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707585898a5427b" /></Relationships>
</file>

<file path=xl/workbook.xml><?xml version="1.0" encoding="utf-8"?>
<x:workbook xmlns:x="http://schemas.openxmlformats.org/spreadsheetml/2006/main">
  <x:sheets>
    <x:sheet xmlns:r="http://schemas.openxmlformats.org/officeDocument/2006/relationships" name="Dashboard" sheetId="1" r:id="Re5ebc3d9412e4fb4"/>
    <x:sheet xmlns:r="http://schemas.openxmlformats.org/officeDocument/2006/relationships" name="Frontier Estimates" sheetId="2" r:id="R6bc6191fc44347c0"/>
    <x:sheet xmlns:r="http://schemas.openxmlformats.org/officeDocument/2006/relationships" name="Open Models 12mo" sheetId="3" r:id="Rdb8a6c34c184484d"/>
    <x:sheet xmlns:r="http://schemas.openxmlformats.org/officeDocument/2006/relationships" name="Regression Data" sheetId="4" r:id="Re0895253c3334ee3"/>
    <x:sheet xmlns:r="http://schemas.openxmlformats.org/officeDocument/2006/relationships" name="Regression Model" sheetId="5" r:id="R29025d114b0346ab"/>
    <x:sheet xmlns:r="http://schemas.openxmlformats.org/officeDocument/2006/relationships" name="ECI Graph Data" sheetId="6" r:id="Rf42471687b204b0a"/>
    <x:sheet xmlns:r="http://schemas.openxmlformats.org/officeDocument/2006/relationships" name="Benchmarked Models" sheetId="7" r:id="R94db738cc2f644bc"/>
    <x:sheet xmlns:r="http://schemas.openxmlformats.org/officeDocument/2006/relationships" name="Sources &amp; Method" sheetId="8" r:id="R7ffbb0db15784379"/>
  </x:sheets>
</x:workbook>
</file>

<file path=xl/sharedStrings.xml><?xml version="1.0" encoding="utf-8"?>
<x:sst xmlns:x="http://schemas.openxmlformats.org/spreadsheetml/2006/main"/>
</file>

<file path=xl/styles.xml><?xml version="1.0" encoding="utf-8"?>
<x:styleSheet xmlns:x="http://schemas.openxmlformats.org/spreadsheetml/2006/main">
  <x:numFmts count="10">
    <x:numFmt numFmtId="200" formatCode="yyyy-mm-dd"/>
    <x:numFmt numFmtId="201" formatCode="0.0000"/>
    <x:numFmt numFmtId="202" formatCode="0"/>
    <x:numFmt numFmtId="203" formatCode="0.00x"/>
    <x:numFmt numFmtId="204" formatCode="0.0"/>
    <x:numFmt numFmtId="205" formatCode="0.000"/>
    <x:numFmt numFmtId="206" formatCode="#,##0"/>
    <x:numFmt numFmtId="207" formatCode="0.00"/>
    <x:numFmt numFmtId="208" formatCode="#,##0.0"/>
    <x:numFmt numFmtId="209" formatCode="0.00E+00"/>
  </x:numFmts>
  <x:fonts count="7">
    <x:font>
      <x:sz val="11"/>
      <x:name val="Carlito"/>
    </x:font>
    <x:font>
      <x:b/>
      <x:sz val="16"/>
      <x:color rgb="FFFFFFFF"/>
      <x:name val="Carlito"/>
    </x:font>
    <x:font>
      <x:b/>
      <x:sz val="11"/>
      <x:name val="Carlito"/>
    </x:font>
    <x:font>
      <x:b/>
      <x:sz val="11"/>
      <x:color rgb="FFFFFFFF"/>
      <x:name val="Carlito"/>
    </x:font>
    <x:font>
      <x:b/>
      <x:sz val="17"/>
      <x:color rgb="FFFFFFFF"/>
      <x:name val="Carlito"/>
    </x:font>
    <x:font>
      <x:i/>
      <x:sz val="11"/>
      <x:name val="Carlito"/>
    </x:font>
    <x:font>
      <x:sz val="11"/>
      <x:color rgb="FF7C2D12"/>
      <x:name val="Carlito"/>
    </x:font>
  </x:fonts>
  <x:fills count="7">
    <x:fill>
      <x:patternFill patternType="none"/>
    </x:fill>
    <x:fill>
      <x:patternFill patternType="gray125"/>
    </x:fill>
    <x:fill>
      <x:patternFill patternType="solid">
        <x:fgColor rgb="FF0F3D5E"/>
      </x:patternFill>
    </x:fill>
    <x:fill>
      <x:patternFill patternType="solid">
        <x:fgColor rgb="FFE8F1F5"/>
      </x:patternFill>
    </x:fill>
    <x:fill>
      <x:patternFill patternType="solid">
        <x:fgColor rgb="FFF2EDE3"/>
      </x:patternFill>
    </x:fill>
    <x:fill>
      <x:patternFill patternType="solid">
        <x:fgColor rgb="FFF8FAFC"/>
      </x:patternFill>
    </x:fill>
    <x:fill>
      <x:patternFill patternType="solid">
        <x:fgColor rgb="FFFFF7ED"/>
      </x:patternFill>
    </x:fill>
  </x:fills>
  <x:borders count="2">
    <x:border/>
    <x:border/>
  </x:borders>
  <x:cellStyleXfs count="1">
    <x:xf numFmtId="0" fontId="0" fillId="0" borderId="0"/>
  </x:cellStyleXfs>
  <x:cellXfs count="72">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horizontal="left"/>
    </x:xf>
    <x:xf numFmtId="0" fontId="1" fillId="2" borderId="1" xfId="0" applyNumberFormat="1" applyFont="1" applyFill="1" applyBorder="1" applyAlignment="1">
      <x:alignment horizontal="left"/>
    </x:xf>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0" fontId="0" fillId="4" borderId="0" xfId="0" applyNumberFormat="1" applyFont="1" applyFill="1" applyBorder="1"/>
    <x:xf numFmtId="0" fontId="0" fillId="4" borderId="1" xfId="0" applyNumberFormat="1" applyFont="1" applyFill="1" applyBorder="1"/>
    <x:xf numFmtId="0" fontId="2" fillId="4" borderId="0" xfId="0" applyNumberFormat="1" applyFont="1" applyFill="1" applyBorder="1"/>
    <x:xf numFmtId="0" fontId="2" fillId="4" borderId="1"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wrapText="1"/>
    </x:xf>
    <x:xf numFmtId="0" fontId="3" fillId="2" borderId="1"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1"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4" fontId="0" fillId="0" borderId="0" xfId="0" applyNumberFormat="1" applyFont="1" applyFill="1" applyBorder="1" applyAlignment="1">
      <x:alignment vertical="top" wrapText="1"/>
    </x:xf>
    <x:xf numFmtId="204"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205" fontId="0" fillId="0" borderId="0" xfId="0" applyNumberFormat="1" applyFont="1" applyFill="1" applyBorder="1" applyAlignment="1">
      <x:alignment vertical="top" wrapText="1"/>
    </x:xf>
    <x:xf numFmtId="205" fontId="0" fillId="0" borderId="1" xfId="0" applyNumberFormat="1" applyFont="1" applyFill="1" applyBorder="1" applyAlignment="1">
      <x:alignment vertical="top" wrapText="1"/>
    </x:xf>
    <x:xf numFmtId="206" fontId="0" fillId="0" borderId="0" xfId="0" applyNumberFormat="1" applyFont="1" applyFill="1" applyBorder="1" applyAlignment="1">
      <x:alignment vertical="top" wrapText="1"/>
    </x:xf>
    <x:xf numFmtId="206" fontId="0" fillId="0" borderId="1" xfId="0" applyNumberFormat="1" applyFont="1" applyFill="1" applyBorder="1" applyAlignment="1">
      <x:alignment vertical="top" wrapText="1"/>
    </x:xf>
    <x:xf numFmtId="207" fontId="0" fillId="0" borderId="0" xfId="0" applyNumberFormat="1" applyFont="1" applyFill="1" applyBorder="1" applyAlignment="1">
      <x:alignment vertical="top" wrapText="1"/>
    </x:xf>
    <x:xf numFmtId="207" fontId="0" fillId="0" borderId="1" xfId="0" applyNumberFormat="1" applyFont="1" applyFill="1" applyBorder="1" applyAlignment="1">
      <x:alignment vertical="top" wrapText="1"/>
    </x:xf>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208" fontId="0" fillId="0" borderId="0" xfId="0" applyNumberFormat="1" applyFont="1" applyFill="1" applyBorder="1" applyAlignment="1">
      <x:alignment vertical="top" wrapText="1"/>
    </x:xf>
    <x:xf numFmtId="208" fontId="0" fillId="0" borderId="1" xfId="0" applyNumberFormat="1" applyFont="1" applyFill="1" applyBorder="1" applyAlignment="1">
      <x:alignment vertical="top" wrapText="1"/>
    </x:xf>
    <x:xf numFmtId="209" fontId="0" fillId="0" borderId="0" xfId="0" applyNumberFormat="1" applyFont="1" applyFill="1" applyBorder="1" applyAlignment="1">
      <x:alignment vertical="top" wrapText="1"/>
    </x:xf>
    <x:xf numFmtId="209" fontId="0" fillId="0" borderId="1" xfId="0" applyNumberFormat="1" applyFont="1" applyFill="1" applyBorder="1" applyAlignment="1">
      <x:alignment vertical="top" wrapText="1"/>
    </x:xf>
    <x:xf numFmtId="0" fontId="4" fillId="2" borderId="0" xfId="0" applyNumberFormat="1" applyFont="1" applyFill="1" applyBorder="1"/>
    <x:xf numFmtId="0" fontId="4" fillId="2" borderId="1" xfId="0" applyNumberFormat="1" applyFont="1" applyFill="1" applyBorder="1"/>
    <x:xf numFmtId="205" fontId="0" fillId="0" borderId="0" xfId="0" applyNumberFormat="1" applyFont="1" applyFill="1" applyBorder="1"/>
    <x:xf numFmtId="205" fontId="0" fillId="0" borderId="1" xfId="0" applyNumberFormat="1" applyFont="1" applyFill="1" applyBorder="1"/>
    <x:xf numFmtId="0" fontId="0" fillId="5" borderId="0" xfId="0" applyNumberFormat="1" applyFont="1" applyFill="1" applyBorder="1" applyAlignment="1">
      <x:alignment wrapText="1"/>
    </x:xf>
    <x:xf numFmtId="0" fontId="0" fillId="5" borderId="1" xfId="0" applyNumberFormat="1" applyFont="1" applyFill="1" applyBorder="1" applyAlignment="1">
      <x:alignment wrapText="1"/>
    </x:xf>
    <x:xf numFmtId="0" fontId="5" fillId="5" borderId="0" xfId="0" applyNumberFormat="1" applyFont="1" applyFill="1" applyBorder="1" applyAlignment="1">
      <x:alignment wrapText="1"/>
    </x:xf>
    <x:xf numFmtId="0" fontId="5" fillId="5" borderId="1" xfId="0" applyNumberFormat="1" applyFont="1" applyFill="1" applyBorder="1" applyAlignment="1">
      <x:alignment wrapText="1"/>
    </x:xf>
    <x:xf numFmtId="0" fontId="0" fillId="6" borderId="0" xfId="0" applyNumberFormat="1" applyFont="1" applyFill="1" applyBorder="1" applyAlignment="1">
      <x:alignment wrapText="1"/>
    </x:xf>
    <x:xf numFmtId="0" fontId="0" fillId="6" borderId="1" xfId="0" applyNumberFormat="1" applyFont="1" applyFill="1" applyBorder="1" applyAlignment="1">
      <x:alignment wrapText="1"/>
    </x:xf>
    <x:xf numFmtId="0" fontId="6" fillId="6" borderId="0" xfId="0" applyNumberFormat="1" applyFont="1" applyFill="1" applyBorder="1" applyAlignment="1">
      <x:alignment wrapText="1"/>
    </x:xf>
    <x:xf numFmtId="0" fontId="6" fillId="6" borderId="1" xfId="0" applyNumberFormat="1" applyFont="1" applyFill="1" applyBorder="1" applyAlignment="1">
      <x:alignment wrapText="1"/>
    </x:xf>
    <x:xf numFmtId="0" fontId="4" fillId="2" borderId="0" xfId="0" applyNumberFormat="1" applyFont="1" applyFill="1" applyBorder="1" applyAlignment="1">
      <x:alignment vertical="top"/>
    </x:xf>
    <x:xf numFmtId="0" fontId="4" fillId="2" borderId="1" xfId="0" applyNumberFormat="1" applyFont="1" applyFill="1" applyBorder="1" applyAlignment="1">
      <x:alignment vertical="top"/>
    </x:xf>
    <x:xf numFmtId="0" fontId="3" fillId="2" borderId="0" xfId="0" applyNumberFormat="1" applyFont="1" applyFill="1" applyBorder="1" applyAlignment="1">
      <x:alignment horizontal="center" vertical="top" wrapText="1"/>
    </x:xf>
    <x:xf numFmtId="0" fontId="3" fillId="2" borderId="1" xfId="0" applyNumberFormat="1" applyFont="1" applyFill="1" applyBorder="1" applyAlignment="1">
      <x:alignment horizontal="center" vertical="top" wrapText="1"/>
    </x:xf>
    <x:xf numFmtId="0" fontId="1" fillId="2" borderId="0" xfId="0" applyNumberFormat="1" applyFont="1" applyFill="1" applyBorder="1" applyAlignment="1">
      <x:alignment vertical="top"/>
    </x:xf>
    <x:xf numFmtId="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46567464cb84bbc" /><Relationship Type="http://schemas.openxmlformats.org/officeDocument/2006/relationships/theme" Target="/xl/theme/theme1.xml" Id="R986bcb103352474a" /><Relationship Type="http://schemas.openxmlformats.org/officeDocument/2006/relationships/sharedStrings" Target="/xl/sharedStrings.xml" Id="R5c0726a46b1746e3" /><Relationship Type="http://schemas.openxmlformats.org/officeDocument/2006/relationships/worksheet" Target="/xl/worksheets/sheet1.xml" Id="Re5ebc3d9412e4fb4" /><Relationship Type="http://schemas.openxmlformats.org/officeDocument/2006/relationships/worksheet" Target="/xl/worksheets/sheet2.xml" Id="R6bc6191fc44347c0" /><Relationship Type="http://schemas.openxmlformats.org/officeDocument/2006/relationships/worksheet" Target="/xl/worksheets/sheet3.xml" Id="Rdb8a6c34c184484d" /><Relationship Type="http://schemas.openxmlformats.org/officeDocument/2006/relationships/worksheet" Target="/xl/worksheets/sheet4.xml" Id="Re0895253c3334ee3" /><Relationship Type="http://schemas.openxmlformats.org/officeDocument/2006/relationships/worksheet" Target="/xl/worksheets/sheet5.xml" Id="R29025d114b0346ab" /><Relationship Type="http://schemas.openxmlformats.org/officeDocument/2006/relationships/worksheet" Target="/xl/worksheets/sheet6.xml" Id="Rf42471687b204b0a" /><Relationship Type="http://schemas.openxmlformats.org/officeDocument/2006/relationships/worksheet" Target="/xl/worksheets/sheet7.xml" Id="R94db738cc2f644bc" /><Relationship Type="http://schemas.openxmlformats.org/officeDocument/2006/relationships/worksheet" Target="/xl/worksheets/sheet8.xml" Id="R7ffbb0db15784379" /></Relationships>
</file>

<file path=xl/drawings/_rels/drawing1.xml.rels>&#65279;<?xml version="1.0" encoding="utf-8"?><Relationships xmlns="http://schemas.openxmlformats.org/package/2006/relationships"><Relationship Type="http://schemas.openxmlformats.org/officeDocument/2006/relationships/chart" Target="/xl/drawings/charts/chart1.xml" Id="Rb1716bf874a44e11" /></Relationships>
</file>

<file path=xl/drawings/_rels/drawing2.xml.rels>&#65279;<?xml version="1.0" encoding="utf-8"?><Relationships xmlns="http://schemas.openxmlformats.org/package/2006/relationships"><Relationship Type="http://schemas.openxmlformats.org/officeDocument/2006/relationships/chart" Target="/xl/drawings/charts/chart2.xml" Id="R1c311891a27349ea" /></Relationships>
</file>

<file path=xl/drawings/charts/chart1.xml><?xml version="1.0" encoding="utf-8"?>
<c:chartSpace xmlns:c="http://schemas.openxmlformats.org/drawingml/2006/chart">
  <c:lang val="en-US"/>
  <c:roundedCorners val="0"/>
  <c:chart>
    <c:plotArea>
      <c:layout/>
      <c:barChart>
        <c:barDir val="col"/>
        <c:grouping val="clustered"/>
        <c:varyColors val="0"/>
        <c:ser>
          <c:idx val="0"/>
          <c:order val="0"/>
          <c:tx>
            <c:v>Implied params (B)</c:v>
          </c:tx>
          <c:cat>
            <c:strRef>
              <c:f>'Dashboard'!$A$16:$A$25</c:f>
              <c:strCache>
                <c:ptCount val="0"/>
              </c:strCache>
            </c:strRef>
          </c:cat>
          <c:val>
            <c:numRef>
              <c:f>'Dashboard'!$E$16:$E$25</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Epoch Capabilities Index: score vs release date</a:t>
            </a:r>
          </a:p>
        </c:rich>
      </c:tx>
      <c:overlay val="0"/>
    </c:title>
    <c:autoTitleDeleted val="0"/>
    <c:plotArea>
      <c:layout/>
      <c:scatterChart>
        <c:scatterStyle val="marker"/>
        <c:ser>
          <c:idx val="0"/>
          <c:order val="0"/>
          <c:tx>
            <c:v>ECI</c:v>
          </c:tx>
          <c:xVal>
            <c:numLit>
              <c:formatCode>General</c:formatCode>
              <c:ptCount val="0"/>
            </c:numLit>
          </c:xVal>
          <c:yVal>
            <c:numRef>
              <c:f>'ECI Graph Data'!$D$2:$D$212</c:f>
              <c:numCache>
                <c:formatCode>0.00</c:formatCode>
                <c:ptCount val="0"/>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valAx>
      <c:val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14</xdr:row>
      <xdr:rowOff>0</xdr:rowOff>
    </xdr:from>
    <xdr:to>
      <xdr:col>15</xdr:col>
      <xdr:colOff>0</xdr:colOff>
      <xdr:row>32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1716bf874a44e11"/>
        </a:graphicData>
      </a:graphic>
    </xdr:graphicFrame>
    <xdr:clientData/>
  </xdr:twoCellAnchor>
</xdr:wsDr>
</file>

<file path=xl/drawings/drawing2.xml><?xml version="1.0" encoding="utf-8"?>
<xdr:wsDr xmlns:xdr="http://schemas.openxmlformats.org/drawingml/2006/spreadsheetDrawing">
  <xdr:twoCellAnchor>
    <xdr:from>
      <xdr:col>12</xdr:col>
      <xdr:colOff>0</xdr:colOff>
      <xdr:row>1</xdr:row>
      <xdr:rowOff>0</xdr:rowOff>
    </xdr:from>
    <xdr:to>
      <xdr:col>23</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c311891a27349ea"/>
        </a:graphicData>
      </a:graphic>
    </xdr:graphicFrame>
    <xdr:clientData/>
  </xdr:twoCellAnchor>
</xdr:wsDr>
</file>

<file path=xl/tables/table1.xml><?xml version="1.0" encoding="utf-8"?>
<x:table xmlns:x="http://schemas.openxmlformats.org/spreadsheetml/2006/main" id="9" name="DashboardTopFrontier" displayName="DashboardTopFrontier" ref="A15:F25" headerRowCount="1">
  <x:tableColumns count="6">
    <x:tableColumn id="1" name="Model"/>
    <x:tableColumn id="2" name="Org"/>
    <x:tableColumn id="3" name="Release"/>
    <x:tableColumn id="4" name="ECI"/>
    <x:tableColumn id="5" name="Implied params (B)"/>
    <x:tableColumn id="6" name="1σ range (B)"/>
  </x:tableColumns>
  <x:tableStyleInfo name="TableStyleMedium2" showRowStripes="1"/>
</x:table>
</file>

<file path=xl/tables/table2.xml><?xml version="1.0" encoding="utf-8"?>
<x:table xmlns:x="http://schemas.openxmlformats.org/spreadsheetml/2006/main" id="2" name="FrontierEstimates" displayName="FrontierEstimates" ref="A1:R27" headerRowCount="1">
  <x:tableColumns count="18">
    <x:tableColumn id="1" name="Model"/>
    <x:tableColumn id="2" name="Organization"/>
    <x:tableColumn id="3" name="Release date"/>
    <x:tableColumn id="4" name="ECI"/>
    <x:tableColumn id="5" name="ECI CI low"/>
    <x:tableColumn id="6" name="ECI CI high"/>
    <x:tableColumn id="7" name="Years since base"/>
    <x:tableColumn id="8" name="Implied log10 total params"/>
    <x:tableColumn id="9" name="Implied total params (B)"/>
    <x:tableColumn id="10" name="1-sigma low total params (B)"/>
    <x:tableColumn id="11" name="1-sigma high total params (B)"/>
    <x:tableColumn id="12" name="ECI-CI low params (B)"/>
    <x:tableColumn id="13" name="ECI-CI high params (B)"/>
    <x:tableColumn id="14" name="Inverse-spec implied total params (B)"/>
    <x:tableColumn id="15" name="Epoch direct/rumor params (B)"/>
    <x:tableColumn id="16" name="Epoch direct/rumor params notes"/>
    <x:tableColumn id="17" name="Source URL"/>
    <x:tableColumn id="18" name="Epoch direct/rumor source URL"/>
  </x:tableColumns>
  <x:tableStyleInfo name="TableStyleMedium2" showRowStripes="1"/>
</x:table>
</file>

<file path=xl/tables/table3.xml><?xml version="1.0" encoding="utf-8"?>
<x:table xmlns:x="http://schemas.openxmlformats.org/spreadsheetml/2006/main" id="3" name="OpenModels12mo" displayName="OpenModels12mo" ref="A1:P18" headerRowCount="1">
  <x:tableColumns count="16">
    <x:tableColumn id="1" name="Model"/>
    <x:tableColumn id="2" name="Organization"/>
    <x:tableColumn id="3" name="Release date"/>
    <x:tableColumn id="4" name="Model accessibility"/>
    <x:tableColumn id="5" name="ECI"/>
    <x:tableColumn id="6" name="ECI CI low"/>
    <x:tableColumn id="7" name="ECI CI high"/>
    <x:tableColumn id="8" name="Total params (B)"/>
    <x:tableColumn id="9" name="Active params (B)"/>
    <x:tableColumn id="10" name="Log10 total params"/>
    <x:tableColumn id="11" name="Years since base"/>
    <x:tableColumn id="12" name="WLS weight"/>
    <x:tableColumn id="13" name="Source URL"/>
    <x:tableColumn id="14" name="Match / assumption"/>
    <x:tableColumn id="15" name="Parameters notes"/>
    <x:tableColumn id="16" name="Training compute notes"/>
  </x:tableColumns>
  <x:tableStyleInfo name="TableStyleMedium2" showRowStripes="1"/>
</x:table>
</file>

<file path=xl/tables/table4.xml><?xml version="1.0" encoding="utf-8"?>
<x:table xmlns:x="http://schemas.openxmlformats.org/spreadsheetml/2006/main" id="4" name="RegressionData" displayName="RegressionData" ref="A1:M59" headerRowCount="1">
  <x:tableColumns count="13">
    <x:tableColumn id="1" name="Model"/>
    <x:tableColumn id="2" name="Organization"/>
    <x:tableColumn id="3" name="Release date"/>
    <x:tableColumn id="4" name="Model accessibility"/>
    <x:tableColumn id="5" name="ECI"/>
    <x:tableColumn id="6" name="ECI CI low"/>
    <x:tableColumn id="7" name="ECI CI high"/>
    <x:tableColumn id="8" name="Total params (B)"/>
    <x:tableColumn id="9" name="Log10 total params"/>
    <x:tableColumn id="10" name="Years since base"/>
    <x:tableColumn id="11" name="WLS weight"/>
    <x:tableColumn id="12" name="Source URL"/>
    <x:tableColumn id="13" name="Match / assumption"/>
  </x:tableColumns>
  <x:tableStyleInfo name="TableStyleMedium2" showRowStripes="1"/>
</x:table>
</file>

<file path=xl/tables/table5.xml><?xml version="1.0" encoding="utf-8"?>
<x:table xmlns:x="http://schemas.openxmlformats.org/spreadsheetml/2006/main" id="1" name="RegressionSpecs" displayName="RegressionSpecs" ref="A25:N31" headerRowCount="1">
  <x:tableColumns count="14">
    <x:tableColumn id="1" name="Model spec"/>
    <x:tableColumn id="2" name="N"/>
    <x:tableColumn id="3" name="Min date"/>
    <x:tableColumn id="4" name="Min total params (B)"/>
    <x:tableColumn id="5" name="Dependent variable"/>
    <x:tableColumn id="6" name="Intercept"/>
    <x:tableColumn id="7" name="ECI coefficient"/>
    <x:tableColumn id="8" name="Years coefficient"/>
    <x:tableColumn id="9" name="Weighted R^2"/>
    <x:tableColumn id="10" name="RMSE log10 params"/>
    <x:tableColumn id="11" name="LOO RMSE log10 params"/>
    <x:tableColumn id="12" name="Implied params for GPT-5.6 Sol (B)"/>
    <x:tableColumn id="13" name="Calendar improvement factor/year at fixed ECI"/>
    <x:tableColumn id="14" name="Param factor per +1 ECI"/>
  </x:tableColumns>
  <x:tableStyleInfo name="TableStyleMedium2" showRowStripes="1"/>
</x:table>
</file>

<file path=xl/tables/table6.xml><?xml version="1.0" encoding="utf-8"?>
<x:table xmlns:x="http://schemas.openxmlformats.org/spreadsheetml/2006/main" id="5" name="ECIScores" displayName="ECIScores" ref="A1:K212" headerRowCount="1">
  <x:tableColumns count="11">
    <x:tableColumn id="1" name="Model"/>
    <x:tableColumn id="2" name="Display name"/>
    <x:tableColumn id="3" name="Date"/>
    <x:tableColumn id="4" name="ECI"/>
    <x:tableColumn id="5" name="ECI CI low"/>
    <x:tableColumn id="6" name="ECI CI high"/>
    <x:tableColumn id="7" name="Organization"/>
    <x:tableColumn id="8" name="Country (of organization)"/>
    <x:tableColumn id="9" name="Model accessibility"/>
    <x:tableColumn id="10" name="Accessibility group"/>
    <x:tableColumn id="11" name="Model versions"/>
  </x:tableColumns>
  <x:tableStyleInfo name="TableStyleMedium2" showRowStripes="1"/>
</x:table>
</file>

<file path=xl/tables/table7.xml><?xml version="1.0" encoding="utf-8"?>
<x:table xmlns:x="http://schemas.openxmlformats.org/spreadsheetml/2006/main" id="6" name="BenchmarkedModels" displayName="BenchmarkedModels" ref="A1:R718" headerRowCount="1">
  <x:tableColumns count="18">
    <x:tableColumn id="1" name="Model"/>
    <x:tableColumn id="2" name="id_model_version"/>
    <x:tableColumn id="3" name="Display name"/>
    <x:tableColumn id="4" name="Organization"/>
    <x:tableColumn id="5" name="Country (of organization)"/>
    <x:tableColumn id="6" name="Version release date"/>
    <x:tableColumn id="7" name="Model accessibility"/>
    <x:tableColumn id="8" name="Publication date"/>
    <x:tableColumn id="9" name="Training compute (FLOP)"/>
    <x:tableColumn id="10" name="Confidence"/>
    <x:tableColumn id="11" name="Description"/>
    <x:tableColumn id="12" name="Unique display name"/>
    <x:tableColumn id="13" name="Model aggregation"/>
    <x:tableColumn id="14" name="model_group"/>
    <x:tableColumn id="15" name="slug"/>
    <x:tableColumn id="16" name="eci"/>
    <x:tableColumn id="17" name="eci_ci_low"/>
    <x:tableColumn id="18" name="eci_ci_high"/>
  </x:tableColumns>
  <x:tableStyleInfo name="TableStyleMedium2" showRowStripes="1"/>
</x:table>
</file>

<file path=xl/tables/table8.xml><?xml version="1.0" encoding="utf-8"?>
<x:table xmlns:x="http://schemas.openxmlformats.org/spreadsheetml/2006/main" id="7" name="SourceList" displayName="SourceList" ref="A3:C10" headerRowCount="1">
  <x:tableColumns count="3">
    <x:tableColumn id="1" name="Item"/>
    <x:tableColumn id="2" name="URL"/>
    <x:tableColumn id="3" name="Use"/>
  </x:tableColumns>
  <x:tableStyleInfo name="TableStyleMedium2" showRowStripes="1"/>
</x:table>
</file>

<file path=xl/tables/table9.xml><?xml version="1.0" encoding="utf-8"?>
<x:table xmlns:x="http://schemas.openxmlformats.org/spreadsheetml/2006/main" id="8" name="Methodology" displayName="Methodology" ref="A12:B19" headerRowCount="1">
  <x:tableColumns count="2">
    <x:tableColumn id="1" name="Step"/>
    <x:tableColumn id="2" name="Detail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2f904fcee8a48bc" /><Relationship Type="http://schemas.openxmlformats.org/officeDocument/2006/relationships/table" Target="/xl/tables/table1.xml" Id="R665b840d68724851" /></Relationships>
</file>

<file path=xl/worksheets/_rels/sheet2.xml.rels>&#65279;<?xml version="1.0" encoding="utf-8"?><Relationships xmlns="http://schemas.openxmlformats.org/package/2006/relationships"><Relationship Type="http://schemas.openxmlformats.org/officeDocument/2006/relationships/table" Target="/xl/tables/table2.xml" Id="Rb0aef624a87140f5" /></Relationships>
</file>

<file path=xl/worksheets/_rels/sheet3.xml.rels>&#65279;<?xml version="1.0" encoding="utf-8"?><Relationships xmlns="http://schemas.openxmlformats.org/package/2006/relationships"><Relationship Type="http://schemas.openxmlformats.org/officeDocument/2006/relationships/table" Target="/xl/tables/table3.xml" Id="R3810a8a7c03b40fa" /></Relationships>
</file>

<file path=xl/worksheets/_rels/sheet4.xml.rels>&#65279;<?xml version="1.0" encoding="utf-8"?><Relationships xmlns="http://schemas.openxmlformats.org/package/2006/relationships"><Relationship Type="http://schemas.openxmlformats.org/officeDocument/2006/relationships/table" Target="/xl/tables/table4.xml" Id="Ra1a5578e59aa425f" /></Relationships>
</file>

<file path=xl/worksheets/_rels/sheet5.xml.rels>&#65279;<?xml version="1.0" encoding="utf-8"?><Relationships xmlns="http://schemas.openxmlformats.org/package/2006/relationships"><Relationship Type="http://schemas.openxmlformats.org/officeDocument/2006/relationships/table" Target="/xl/tables/table5.xml" Id="Rfc88406d4c9b4244" /></Relationships>
</file>

<file path=xl/worksheets/_rels/sheet6.xml.rels>&#65279;<?xml version="1.0" encoding="utf-8"?><Relationships xmlns="http://schemas.openxmlformats.org/package/2006/relationships"><Relationship Type="http://schemas.openxmlformats.org/officeDocument/2006/relationships/drawing" Target="/xl/drawings/drawing2.xml" Id="R78bfd59fc18d4ae3" /><Relationship Type="http://schemas.openxmlformats.org/officeDocument/2006/relationships/table" Target="/xl/tables/table6.xml" Id="R549120caf11c44ce" /></Relationships>
</file>

<file path=xl/worksheets/_rels/sheet7.xml.rels>&#65279;<?xml version="1.0" encoding="utf-8"?><Relationships xmlns="http://schemas.openxmlformats.org/package/2006/relationships"><Relationship Type="http://schemas.openxmlformats.org/officeDocument/2006/relationships/table" Target="/xl/tables/table7.xml" Id="Rc71b8ee285d84cf6" /></Relationships>
</file>

<file path=xl/worksheets/_rels/sheet8.xml.rels>&#65279;<?xml version="1.0" encoding="utf-8"?><Relationships xmlns="http://schemas.openxmlformats.org/package/2006/relationships"><Relationship Type="http://schemas.openxmlformats.org/officeDocument/2006/relationships/table" Target="/xl/tables/table8.xml" Id="Ra609624c09644113" /><Relationship Type="http://schemas.openxmlformats.org/officeDocument/2006/relationships/table" Target="/xl/tables/table9.xml" Id="R85bee25e5afe482c" /></Relationships>
</file>

<file path=xl/worksheets/sheet1.xml><?xml version="1.0" encoding="utf-8"?>
<x:worksheet xmlns:x="http://schemas.openxmlformats.org/spreadsheetml/2006/main">
  <x:sheetFormatPr defaultRowHeight="15"/>
  <x:cols>
    <x:col min="1" max="1" width="24" hidden="0" customWidth="1"/>
    <x:col min="2" max="2" width="14" hidden="0" customWidth="1"/>
    <x:col min="3" max="3" width="13" hidden="0" customWidth="1"/>
    <x:col min="4" max="4" width="12" hidden="0" customWidth="1"/>
    <x:col min="5" max="5" width="18" hidden="0" customWidth="1"/>
    <x:col min="6" max="6" width="20" hidden="0" customWidth="1"/>
    <x:col min="7" max="7" width="4" hidden="0" customWidth="1"/>
    <x:col min="8" max="8" width="18" hidden="0" customWidth="1"/>
    <x:col min="9" max="9" width="18" hidden="0" customWidth="1"/>
    <x:col min="10" max="10" width="18" hidden="0" customWidth="1"/>
  </x:cols>
  <x:sheetData>
    <x:row r="1" ht="24" customHeight="1">
      <x:c r="A1" s="66" t="str">
        <x:v>ECI-implied parameter counts for current frontier models</x:v>
      </x:c>
      <x:c r="B1" s="47"/>
      <x:c r="C1" s="47"/>
      <x:c r="D1" s="47"/>
      <x:c r="E1" s="47"/>
      <x:c r="F1" s="47"/>
      <x:c r="G1" s="47"/>
      <x:c r="H1" s="47"/>
      <x:c r="I1" s="47"/>
      <x:c r="J1" s="47"/>
      <x:c r="K1" s="47"/>
      <x:c r="L1" s="47"/>
      <x:c r="M1" s="47"/>
      <x:c r="N1" s="47"/>
      <x:c r="O1" s="47"/>
      <x:c r="P1" s="47"/>
      <x:c r="Q1" s="47"/>
      <x:c r="R1" s="47"/>
      <x:c r="S1" s="47"/>
      <x:c r="T1" s="47"/>
      <x:c r="U1" s="47"/>
      <x:c r="V1" s="47"/>
      <x:c r="W1" s="47"/>
      <x:c r="X1" s="47"/>
      <x:c r="Y1" s="47"/>
      <x:c r="Z1" s="47"/>
    </x:row>
    <x:row r="3">
      <x:c r="A3" s="10" t="str">
        <x:v>As of</x:v>
      </x:c>
      <x:c r="B3" s="12" t="n">
        <x:v>46219</x:v>
      </x:c>
      <x:c r="D3" s="60" t="str">
        <x:v>Central model: log10(total parameters) = 3.4585 + 0.0643 × ECI − 0.3509 × years since 2023-01-01. This directly predicts parameter count from ECI and release date, with current estimates interpreted as open-weight-equivalent total parameter counts, not confirmed proprietary architecture disclosures.</x:v>
      </x:c>
    </x:row>
    <x:row r="4">
      <x:c r="A4" s="10" t="str">
        <x:v>Open-weight last-year rows</x:v>
      </x:c>
      <x:c r="B4" t="n">
        <x:v>17</x:v>
      </x:c>
    </x:row>
    <x:row r="5">
      <x:c r="A5" s="10" t="str">
        <x:v>Central regression rows</x:v>
      </x:c>
      <x:c r="B5" t="n">
        <x:v>58</x:v>
      </x:c>
    </x:row>
    <x:row r="6">
      <x:c r="A6" s="10" t="str">
        <x:v>Central weighted R^2</x:v>
      </x:c>
      <x:c r="B6" s="56" t="n">
        <x:v>0.7340008127462208</x:v>
      </x:c>
    </x:row>
    <x:row r="7">
      <x:c r="A7" s="10" t="str">
        <x:v>RMSE log10 params</x:v>
      </x:c>
      <x:c r="B7" s="56" t="n">
        <x:v>0.4568124596472265</x:v>
      </x:c>
    </x:row>
    <x:row r="8">
      <x:c r="A8" s="10" t="str">
        <x:v>Param factor per +1 ECI</x:v>
      </x:c>
      <x:c r="B8" s="18" t="n">
        <x:f>'Regression Model'!B13</x:f>
        <x:v>1.1595714836601247</x:v>
      </x:c>
    </x:row>
    <x:row r="9">
      <x:c r="A9" s="10" t="str">
        <x:v>Later-year parameter multiplier</x:v>
      </x:c>
      <x:c r="B9" s="18" t="n">
        <x:f>'Regression Model'!B14</x:f>
        <x:v>0.4457301881304288</x:v>
      </x:c>
    </x:row>
    <x:row r="10">
      <x:c r="A10" s="10" t="str">
        <x:v>Yearly efficiency gain</x:v>
      </x:c>
      <x:c r="B10" s="18" t="n">
        <x:f>'Regression Model'!B15</x:f>
        <x:v>2.243509698533997</x:v>
      </x:c>
    </x:row>
    <x:row r="11">
      <x:c r="A11" s="10" t="str">
        <x:v>Top frontier target count</x:v>
      </x:c>
      <x:c r="B11" t="n">
        <x:v>26</x:v>
      </x:c>
    </x:row>
    <x:row r="12">
      <x:c r="A12" s="10" t="str">
        <x:v>Definition of open source</x:v>
      </x:c>
      <x:c r="B12" t="str">
        <x:v>Epoch open weights</x:v>
      </x:c>
    </x:row>
    <x:row r="15">
      <x:c r="A15" s="28" t="str">
        <x:v>Model</x:v>
      </x:c>
      <x:c r="B15" s="28" t="str">
        <x:v>Org</x:v>
      </x:c>
      <x:c r="C15" s="28" t="str">
        <x:v>Release</x:v>
      </x:c>
      <x:c r="D15" s="28" t="str">
        <x:v>ECI</x:v>
      </x:c>
      <x:c r="E15" s="28" t="str">
        <x:v>Implied params (B)</x:v>
      </x:c>
      <x:c r="F15" s="28" t="str">
        <x:v>1σ range (B)</x:v>
      </x:c>
    </x:row>
    <x:row r="16">
      <x:c r="A16" s="32" t="str">
        <x:f>'Frontier Estimates'!A2</x:f>
        <x:v>GPT-5.6 Sol</x:v>
      </x:c>
      <x:c r="B16" s="32" t="str">
        <x:f>'Frontier Estimates'!B2</x:f>
        <x:v>OpenAI</x:v>
      </x:c>
      <x:c r="C16" s="34" t="n">
        <x:f>'Frontier Estimates'!C2</x:f>
        <x:v>46212</x:v>
      </x:c>
      <x:c r="D16" s="44" t="n">
        <x:f>'Frontier Estimates'!D2</x:f>
        <x:v>161.77</x:v>
      </x:c>
      <x:c r="E16" s="42" t="n">
        <x:f>'Frontier Estimates'!I2</x:f>
        <x:v>4219.995410540012</x:v>
      </x:c>
      <x:c r="F16" s="32" t="str">
        <x:f>TEXT('Frontier Estimates'!J2,"#,##0")&amp;"–"&amp;TEXT('Frontier Estimates'!K2,"#,##0")</x:f>
        <x:v>1,474–12,082</x:v>
      </x:c>
    </x:row>
    <x:row r="17">
      <x:c r="A17" s="32" t="str">
        <x:f>'Frontier Estimates'!A3</x:f>
        <x:v>GPT-5.5 Pro</x:v>
      </x:c>
      <x:c r="B17" s="32" t="str">
        <x:f>'Frontier Estimates'!B3</x:f>
        <x:v>OpenAI</x:v>
      </x:c>
      <x:c r="C17" s="34" t="n">
        <x:f>'Frontier Estimates'!C3</x:f>
        <x:v>46135</x:v>
      </x:c>
      <x:c r="D17" s="44" t="n">
        <x:f>'Frontier Estimates'!D3</x:f>
        <x:v>160.73</x:v>
      </x:c>
      <x:c r="E17" s="42" t="n">
        <x:f>'Frontier Estimates'!I3</x:f>
        <x:v>4289.663793839491</x:v>
      </x:c>
      <x:c r="F17" s="32" t="str">
        <x:f>TEXT('Frontier Estimates'!J3,"#,##0")&amp;"–"&amp;TEXT('Frontier Estimates'!K3,"#,##0")</x:f>
        <x:v>1,498–12,281</x:v>
      </x:c>
    </x:row>
    <x:row r="18">
      <x:c r="A18" s="32" t="str">
        <x:f>'Frontier Estimates'!A4</x:f>
        <x:v>Claude Fable 5</x:v>
      </x:c>
      <x:c r="B18" s="32" t="str">
        <x:f>'Frontier Estimates'!B4</x:f>
        <x:v>Anthropic</x:v>
      </x:c>
      <x:c r="C18" s="34" t="n">
        <x:f>'Frontier Estimates'!C4</x:f>
        <x:v>46182</x:v>
      </x:c>
      <x:c r="D18" s="44" t="n">
        <x:f>'Frontier Estimates'!D4</x:f>
        <x:v>160.44</x:v>
      </x:c>
      <x:c r="E18" s="42" t="n">
        <x:f>'Frontier Estimates'!I4</x:f>
        <x:v>3703.5645574827186</x:v>
      </x:c>
      <x:c r="F18" s="32" t="str">
        <x:f>TEXT('Frontier Estimates'!J4,"#,##0")&amp;"–"&amp;TEXT('Frontier Estimates'!K4,"#,##0")</x:f>
        <x:v>1,294–10,603</x:v>
      </x:c>
    </x:row>
    <x:row r="19">
      <x:c r="A19" s="32" t="str">
        <x:f>'Frontier Estimates'!A5</x:f>
        <x:v>GPT-5.5</x:v>
      </x:c>
      <x:c r="B19" s="32" t="str">
        <x:f>'Frontier Estimates'!B5</x:f>
        <x:v>OpenAI</x:v>
      </x:c>
      <x:c r="C19" s="34" t="n">
        <x:f>'Frontier Estimates'!C5</x:f>
        <x:v>46135</x:v>
      </x:c>
      <x:c r="D19" s="44" t="n">
        <x:f>'Frontier Estimates'!D5</x:f>
        <x:v>158.33</x:v>
      </x:c>
      <x:c r="E19" s="42" t="n">
        <x:f>'Frontier Estimates'!I5</x:f>
        <x:v>3006.832193551858</x:v>
      </x:c>
      <x:c r="F19" s="32" t="str">
        <x:f>TEXT('Frontier Estimates'!J5,"#,##0")&amp;"–"&amp;TEXT('Frontier Estimates'!K5,"#,##0")</x:f>
        <x:v>1,050–8,608</x:v>
      </x:c>
    </x:row>
    <x:row r="20">
      <x:c r="A20" s="32" t="str">
        <x:f>'Frontier Estimates'!A6</x:f>
        <x:v>GPT-5.6 Terra</x:v>
      </x:c>
      <x:c r="B20" s="32" t="str">
        <x:f>'Frontier Estimates'!B6</x:f>
        <x:v>OpenAI</x:v>
      </x:c>
      <x:c r="C20" s="34" t="n">
        <x:f>'Frontier Estimates'!C6</x:f>
        <x:v>46212</x:v>
      </x:c>
      <x:c r="D20" s="44" t="n">
        <x:f>'Frontier Estimates'!D6</x:f>
        <x:v>158.25</x:v>
      </x:c>
      <x:c r="E20" s="42" t="n">
        <x:f>'Frontier Estimates'!I6</x:f>
        <x:v>2506.020879298851</x:v>
      </x:c>
      <x:c r="F20" s="32" t="str">
        <x:f>TEXT('Frontier Estimates'!J6,"#,##0")&amp;"–"&amp;TEXT('Frontier Estimates'!K6,"#,##0")</x:f>
        <x:v>875–7,175</x:v>
      </x:c>
    </x:row>
    <x:row r="21">
      <x:c r="A21" s="32" t="str">
        <x:f>'Frontier Estimates'!A7</x:f>
        <x:v>Claude Opus 4.8</x:v>
      </x:c>
      <x:c r="B21" s="32" t="str">
        <x:f>'Frontier Estimates'!B7</x:f>
        <x:v>Anthropic</x:v>
      </x:c>
      <x:c r="C21" s="34" t="n">
        <x:f>'Frontier Estimates'!C7</x:f>
        <x:v>46170</x:v>
      </x:c>
      <x:c r="D21" s="44" t="n">
        <x:f>'Frontier Estimates'!D7</x:f>
        <x:v>157.85</x:v>
      </x:c>
      <x:c r="E21" s="42" t="n">
        <x:f>'Frontier Estimates'!I7</x:f>
        <x:v>2591.903247744197</x:v>
      </x:c>
      <x:c r="F21" s="32" t="str">
        <x:f>TEXT('Frontier Estimates'!J7,"#,##0")&amp;"–"&amp;TEXT('Frontier Estimates'!K7,"#,##0")</x:f>
        <x:v>905–7,420</x:v>
      </x:c>
    </x:row>
    <x:row r="22">
      <x:c r="A22" s="32" t="str">
        <x:f>'Frontier Estimates'!A8</x:f>
        <x:v>GPT-5.4 Pro</x:v>
      </x:c>
      <x:c r="B22" s="32" t="str">
        <x:f>'Frontier Estimates'!B8</x:f>
        <x:v>OpenAI</x:v>
      </x:c>
      <x:c r="C22" s="34" t="n">
        <x:f>'Frontier Estimates'!C8</x:f>
        <x:v>46086</x:v>
      </x:c>
      <x:c r="D22" s="44" t="n">
        <x:f>'Frontier Estimates'!D8</x:f>
        <x:v>157.83</x:v>
      </x:c>
      <x:c r="E22" s="42" t="n">
        <x:f>'Frontier Estimates'!I8</x:f>
        <x:v>3111.9962015629517</x:v>
      </x:c>
      <x:c r="F22" s="32" t="str">
        <x:f>TEXT('Frontier Estimates'!J8,"#,##0")&amp;"–"&amp;TEXT('Frontier Estimates'!K8,"#,##0")</x:f>
        <x:v>1,087–8,909</x:v>
      </x:c>
    </x:row>
    <x:row r="23">
      <x:c r="A23" s="32" t="str">
        <x:f>'Frontier Estimates'!A9</x:f>
        <x:v>GPT-5.4</x:v>
      </x:c>
      <x:c r="B23" s="32" t="str">
        <x:f>'Frontier Estimates'!B9</x:f>
        <x:v>OpenAI</x:v>
      </x:c>
      <x:c r="C23" s="34" t="n">
        <x:f>'Frontier Estimates'!C9</x:f>
        <x:v>46086</x:v>
      </x:c>
      <x:c r="D23" s="44" t="n">
        <x:f>'Frontier Estimates'!D9</x:f>
        <x:v>156.03</x:v>
      </x:c>
      <x:c r="E23" s="42" t="n">
        <x:f>'Frontier Estimates'!I9</x:f>
        <x:v>2383.9849553817717</x:v>
      </x:c>
      <x:c r="F23" s="32" t="str">
        <x:f>TEXT('Frontier Estimates'!J9,"#,##0")&amp;"–"&amp;TEXT('Frontier Estimates'!K9,"#,##0")</x:f>
        <x:v>833–6,825</x:v>
      </x:c>
    </x:row>
    <x:row r="24">
      <x:c r="A24" s="32" t="str">
        <x:f>'Frontier Estimates'!A10</x:f>
        <x:v>Claude Opus 4.7</x:v>
      </x:c>
      <x:c r="B24" s="32" t="str">
        <x:f>'Frontier Estimates'!B10</x:f>
        <x:v>Anthropic</x:v>
      </x:c>
      <x:c r="C24" s="34" t="n">
        <x:f>'Frontier Estimates'!C10</x:f>
        <x:v>46128</x:v>
      </x:c>
      <x:c r="D24" s="44" t="n">
        <x:f>'Frontier Estimates'!D10</x:f>
        <x:v>156.01</x:v>
      </x:c>
      <x:c r="E24" s="42" t="n">
        <x:f>'Frontier Estimates'!I10</x:f>
        <x:v>2166.029905201433</x:v>
      </x:c>
      <x:c r="F24" s="32" t="str">
        <x:f>TEXT('Frontier Estimates'!J10,"#,##0")&amp;"–"&amp;TEXT('Frontier Estimates'!K10,"#,##0")</x:f>
        <x:v>757–6,201</x:v>
      </x:c>
    </x:row>
    <x:row r="25">
      <x:c r="A25" s="32" t="str">
        <x:f>'Frontier Estimates'!A11</x:f>
        <x:v>GPT-5.6 Luna</x:v>
      </x:c>
      <x:c r="B25" s="32" t="str">
        <x:f>'Frontier Estimates'!B11</x:f>
        <x:v>OpenAI</x:v>
      </x:c>
      <x:c r="C25" s="34" t="n">
        <x:f>'Frontier Estimates'!C11</x:f>
        <x:v>46212</x:v>
      </x:c>
      <x:c r="D25" s="44" t="n">
        <x:f>'Frontier Estimates'!D11</x:f>
        <x:v>155.62</x:v>
      </x:c>
      <x:c r="E25" s="42" t="n">
        <x:f>'Frontier Estimates'!I11</x:f>
        <x:v>1697.7830371135199</x:v>
      </x:c>
      <x:c r="F25" s="32" t="str">
        <x:f>TEXT('Frontier Estimates'!J11,"#,##0")&amp;"–"&amp;TEXT('Frontier Estimates'!K11,"#,##0")</x:f>
        <x:v>593–4,861</x:v>
      </x:c>
    </x:row>
    <x:row r="28">
      <x:c r="A28" s="64" t="str">
        <x:v>Reading note: estimates are regression-implied open-weight-equivalent total parameter counts. Treat them as rough scale indicators, especially for MoE/reasoning models where active parameters, data quality, post-training, and test-time compute can dominate raw total parameters.</x:v>
      </x:c>
    </x:row>
  </x:sheetData>
  <x:mergeCells>
    <x:mergeCell ref="A1:J1"/>
    <x:mergeCell ref="D3:J7"/>
    <x:mergeCell ref="A28:G31"/>
  </x:mergeCells>
  <x:pageMargins left="0.7" right="0.7" top="0.75" bottom="0.75" header="0.3" footer="0.3"/>
  <x:drawing xmlns:r="http://schemas.openxmlformats.org/officeDocument/2006/relationships" r:id="Rb2f904fcee8a48bc"/>
  <x:tableParts count="1">
    <x:tablePart xmlns:r="http://schemas.openxmlformats.org/officeDocument/2006/relationships" r:id="R665b840d68724851"/>
  </x:tableParts>
</x:worksheet>
</file>

<file path=xl/worksheets/sheet2.xml><?xml version="1.0" encoding="utf-8"?>
<x:worksheet xmlns:x="http://schemas.openxmlformats.org/spreadsheetml/2006/main">
  <x:sheetFormatPr defaultRowHeight="15"/>
  <x:cols>
    <x:col min="1" max="1" width="24" hidden="0" customWidth="1"/>
    <x:col min="2" max="2" width="18" hidden="0" customWidth="1"/>
    <x:col min="3" max="3" width="13"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38" hidden="0" customWidth="1"/>
    <x:col min="17" max="17" width="36" hidden="0" customWidth="1"/>
    <x:col min="18" max="18" width="36" hidden="0" customWidth="1"/>
  </x:cols>
  <x:sheetData>
    <x:row r="1" ht="24" customHeight="1">
      <x:c r="A1" s="68" t="str">
        <x:v>Model</x:v>
      </x:c>
      <x:c r="B1" s="68" t="str">
        <x:v>Organization</x:v>
      </x:c>
      <x:c r="C1" s="68" t="str">
        <x:v>Release date</x:v>
      </x:c>
      <x:c r="D1" s="68" t="str">
        <x:v>ECI</x:v>
      </x:c>
      <x:c r="E1" s="68" t="str">
        <x:v>ECI CI low</x:v>
      </x:c>
      <x:c r="F1" s="68" t="str">
        <x:v>ECI CI high</x:v>
      </x:c>
      <x:c r="G1" s="68" t="str">
        <x:v>Years since base</x:v>
      </x:c>
      <x:c r="H1" s="68" t="str">
        <x:v>Implied log10 total params</x:v>
      </x:c>
      <x:c r="I1" s="68" t="str">
        <x:v>Implied total params (B)</x:v>
      </x:c>
      <x:c r="J1" s="68" t="str">
        <x:v>1-sigma low total params (B)</x:v>
      </x:c>
      <x:c r="K1" s="68" t="str">
        <x:v>1-sigma high total params (B)</x:v>
      </x:c>
      <x:c r="L1" s="68" t="str">
        <x:v>ECI-CI low params (B)</x:v>
      </x:c>
      <x:c r="M1" s="68" t="str">
        <x:v>ECI-CI high params (B)</x:v>
      </x:c>
      <x:c r="N1" s="68" t="str">
        <x:v>Inverse-spec implied total params (B)</x:v>
      </x:c>
      <x:c r="O1" s="68" t="str">
        <x:v>Epoch direct/rumor params (B)</x:v>
      </x:c>
      <x:c r="P1" s="68" t="str">
        <x:v>Epoch direct/rumor params notes</x:v>
      </x:c>
      <x:c r="Q1" s="68" t="str">
        <x:v>Source URL</x:v>
      </x:c>
      <x:c r="R1" s="68" t="str">
        <x:v>Epoch direct/rumor source URL</x:v>
      </x:c>
      <x:c r="S1" s="47"/>
      <x:c r="T1" s="47"/>
      <x:c r="U1" s="47"/>
      <x:c r="V1" s="47"/>
      <x:c r="W1" s="47"/>
      <x:c r="X1" s="47"/>
      <x:c r="Y1" s="47"/>
      <x:c r="Z1" s="47"/>
    </x:row>
    <x:row r="2">
      <x:c r="A2" s="32" t="str">
        <x:v>GPT-5.6 Sol</x:v>
      </x:c>
      <x:c r="B2" s="32" t="str">
        <x:v>OpenAI</x:v>
      </x:c>
      <x:c r="C2" s="34" t="n">
        <x:v>46212</x:v>
      </x:c>
      <x:c r="D2" s="44" t="n">
        <x:v>161.77</x:v>
      </x:c>
      <x:c r="E2" s="44" t="n">
        <x:v>159.26</x:v>
      </x:c>
      <x:c r="F2" s="44" t="n">
        <x:v>166.01</x:v>
      </x:c>
      <x:c r="G2" s="40" t="n">
        <x:f>(C2-'Regression Model'!$B$4)/365.25</x:f>
        <x:v>3.5181382614647503</x:v>
      </x:c>
      <x:c r="H2" s="40" t="n">
        <x:f>'Regression Model'!$B$7+'Regression Model'!$B$8*D2+'Regression Model'!$B$9*G2</x:f>
        <x:v>12.625311978644557</x:v>
      </x:c>
      <x:c r="I2" s="42" t="n">
        <x:f>POWER(10,H2)/1E9</x:f>
        <x:v>4219.995410540012</x:v>
      </x:c>
      <x:c r="J2" s="42" t="n">
        <x:f>POWER(10,H2-'Regression Model'!$B$11)/1E9</x:f>
        <x:v>1474.0069084371821</x:v>
      </x:c>
      <x:c r="K2" s="42" t="n">
        <x:f>POWER(10,H2+'Regression Model'!$B$11)/1E9</x:f>
        <x:v>12081.599592949058</x:v>
      </x:c>
      <x:c r="L2" s="42" t="n">
        <x:f>POWER(10,'Regression Model'!$B$7+'Regression Model'!$B$8*E2+'Regression Model'!$B$9*G2)/1E9</x:f>
        <x:v>2910.215750954111</x:v>
      </x:c>
      <x:c r="M2" s="42" t="n">
        <x:f>POWER(10,'Regression Model'!$B$7+'Regression Model'!$B$8*F2+'Regression Model'!$B$9*G2)/1E9</x:f>
        <x:v>7905.575513310822</x:v>
      </x:c>
      <x:c r="N2" s="42" t="n">
        <x:f>POWER(10,(D2-'Regression Model'!$B$18-'Regression Model'!$B$20*G2)/'Regression Model'!$B$19)/1E9</x:f>
        <x:v>33021.45616672974</x:v>
      </x:c>
      <x:c r="O2" s="42"/>
      <x:c r="P2" s="32" t="str"/>
      <x:c r="Q2" s="32" t="str">
        <x:v>https://epoch.ai/data/eci_scores.csv</x:v>
      </x:c>
      <x:c r="R2" s="32" t="str"/>
    </x:row>
    <x:row r="3">
      <x:c r="A3" s="32" t="str">
        <x:v>GPT-5.5 Pro</x:v>
      </x:c>
      <x:c r="B3" s="32" t="str">
        <x:v>OpenAI</x:v>
      </x:c>
      <x:c r="C3" s="34" t="n">
        <x:v>46135</x:v>
      </x:c>
      <x:c r="D3" s="44" t="n">
        <x:v>160.73</x:v>
      </x:c>
      <x:c r="E3" s="44" t="n">
        <x:v>158.24</x:v>
      </x:c>
      <x:c r="F3" s="44" t="n">
        <x:v>164.36</x:v>
      </x:c>
      <x:c r="G3" s="40" t="n">
        <x:f>(C3-'Regression Model'!$B$4)/365.25</x:f>
        <x:v>3.3073237508555784</x:v>
      </x:c>
      <x:c r="H3" s="40" t="n">
        <x:f>'Regression Model'!$B$7+'Regression Model'!$B$8*D3+'Regression Model'!$B$9*G3</x:f>
        <x:v>12.632423255307785</x:v>
      </x:c>
      <x:c r="I3" s="42" t="n">
        <x:f>POWER(10,H3)/1E9</x:f>
        <x:v>4289.663793839491</x:v>
      </x:c>
      <x:c r="J3" s="42" t="n">
        <x:f>POWER(10,H3-'Regression Model'!$B$11)/1E9</x:f>
        <x:v>1498.3414558223747</x:v>
      </x:c>
      <x:c r="K3" s="42" t="n">
        <x:f>POWER(10,H3+'Regression Model'!$B$11)/1E9</x:f>
        <x:v>12281.056092169443</x:v>
      </x:c>
      <x:c r="L3" s="42" t="n">
        <x:f>POWER(10,'Regression Model'!$B$7+'Regression Model'!$B$8*E3+'Regression Model'!$B$9*G3)/1E9</x:f>
        <x:v>2967.0332558334026</x:v>
      </x:c>
      <x:c r="M3" s="42" t="n">
        <x:f>POWER(10,'Regression Model'!$B$7+'Regression Model'!$B$8*F3+'Regression Model'!$B$9*G3)/1E9</x:f>
        <x:v>7342.150404468478</x:v>
      </x:c>
      <x:c r="N3" s="42" t="n">
        <x:f>POWER(10,(D3-'Regression Model'!$B$18-'Regression Model'!$B$20*G3)/'Regression Model'!$B$19)/1E9</x:f>
        <x:v>54435.12473562062</x:v>
      </x:c>
      <x:c r="O3" s="42"/>
      <x:c r="P3" s="32" t="str"/>
      <x:c r="Q3" s="32" t="str">
        <x:v>https://epoch.ai/data/eci_scores.csv</x:v>
      </x:c>
      <x:c r="R3" s="32" t="str"/>
    </x:row>
    <x:row r="4">
      <x:c r="A4" s="32" t="str">
        <x:v>Claude Fable 5</x:v>
      </x:c>
      <x:c r="B4" s="32" t="str">
        <x:v>Anthropic</x:v>
      </x:c>
      <x:c r="C4" s="34" t="n">
        <x:v>46182</x:v>
      </x:c>
      <x:c r="D4" s="44" t="n">
        <x:v>160.44</x:v>
      </x:c>
      <x:c r="E4" s="44" t="n">
        <x:v>158.05</x:v>
      </x:c>
      <x:c r="F4" s="44" t="n">
        <x:v>164.61</x:v>
      </x:c>
      <x:c r="G4" s="40" t="n">
        <x:f>(C4-'Regression Model'!$B$4)/365.25</x:f>
        <x:v>3.436002737850787</x:v>
      </x:c>
      <x:c r="H4" s="40" t="n">
        <x:f>'Regression Model'!$B$7+'Regression Model'!$B$8*D4+'Regression Model'!$B$9*G4</x:f>
        <x:v>12.568619919316802</x:v>
      </x:c>
      <x:c r="I4" s="42" t="n">
        <x:f>POWER(10,H4)/1E9</x:f>
        <x:v>3703.5645574827186</x:v>
      </x:c>
      <x:c r="J4" s="42" t="n">
        <x:f>POWER(10,H4-'Regression Model'!$B$11)/1E9</x:f>
        <x:v>1293.6221991943</x:v>
      </x:c>
      <x:c r="K4" s="42" t="n">
        <x:f>POWER(10,H4+'Regression Model'!$B$11)/1E9</x:f>
        <x:v>10603.088320519757</x:v>
      </x:c>
      <x:c r="L4" s="42" t="n">
        <x:f>POWER(10,'Regression Model'!$B$7+'Regression Model'!$B$8*E4+'Regression Model'!$B$9*G4)/1E9</x:f>
        <x:v>2599.8532265445615</x:v>
      </x:c>
      <x:c r="M4" s="42" t="n">
        <x:f>POWER(10,'Regression Model'!$B$7+'Regression Model'!$B$8*F4+'Regression Model'!$B$9*G4)/1E9</x:f>
        <x:v>6866.581912310386</x:v>
      </x:c>
      <x:c r="N4" s="42" t="n">
        <x:f>POWER(10,(D4-'Regression Model'!$B$18-'Regression Model'!$B$20*G4)/'Regression Model'!$B$19)/1E9</x:f>
        <x:v>27789.088221602997</x:v>
      </x:c>
      <x:c r="O4" s="42"/>
      <x:c r="P4" s="32" t="str"/>
      <x:c r="Q4" s="32" t="str">
        <x:v>https://epoch.ai/data/eci_scores.csv</x:v>
      </x:c>
      <x:c r="R4" s="32" t="str"/>
    </x:row>
    <x:row r="5">
      <x:c r="A5" s="32" t="str">
        <x:v>GPT-5.5</x:v>
      </x:c>
      <x:c r="B5" s="32" t="str">
        <x:v>OpenAI</x:v>
      </x:c>
      <x:c r="C5" s="34" t="n">
        <x:v>46135</x:v>
      </x:c>
      <x:c r="D5" s="44" t="n">
        <x:v>158.33</x:v>
      </x:c>
      <x:c r="E5" s="44" t="n">
        <x:v>156.44</x:v>
      </x:c>
      <x:c r="F5" s="44" t="n">
        <x:v>161.43</x:v>
      </x:c>
      <x:c r="G5" s="40" t="n">
        <x:f>(C5-'Regression Model'!$B$4)/365.25</x:f>
        <x:v>3.3073237508555784</x:v>
      </x:c>
      <x:c r="H5" s="40" t="n">
        <x:f>'Regression Model'!$B$7+'Regression Model'!$B$8*D5+'Regression Model'!$B$9*G5</x:f>
        <x:v>12.478109191503243</x:v>
      </x:c>
      <x:c r="I5" s="42" t="n">
        <x:f>POWER(10,H5)/1E9</x:f>
        <x:v>3006.832193551858</x:v>
      </x:c>
      <x:c r="J5" s="42" t="n">
        <x:f>POWER(10,H5-'Regression Model'!$B$11)/1E9</x:f>
        <x:v>1050.2597739175296</x:v>
      </x:c>
      <x:c r="K5" s="42" t="n">
        <x:f>POWER(10,H5+'Regression Model'!$B$11)/1E9</x:f>
        <x:v>8608.384387089565</x:v>
      </x:c>
      <x:c r="L5" s="42" t="n">
        <x:f>POWER(10,'Regression Model'!$B$7+'Regression Model'!$B$8*E5+'Regression Model'!$B$9*G5)/1E9</x:f>
        <x:v>2272.9342151740957</x:v>
      </x:c>
      <x:c r="M5" s="42" t="n">
        <x:f>POWER(10,'Regression Model'!$B$7+'Regression Model'!$B$8*F5+'Regression Model'!$B$9*G5)/1E9</x:f>
        <x:v>4758.07763509126</x:v>
      </x:c>
      <x:c r="N5" s="42" t="n">
        <x:f>POWER(10,(D5-'Regression Model'!$B$18-'Regression Model'!$B$20*G5)/'Regression Model'!$B$19)/1E9</x:f>
        <x:v>20987.221629082116</x:v>
      </x:c>
      <x:c r="O5" s="42"/>
      <x:c r="P5" s="32" t="str"/>
      <x:c r="Q5" s="32" t="str">
        <x:v>https://epoch.ai/data/eci_scores.csv</x:v>
      </x:c>
      <x:c r="R5" s="32" t="str"/>
    </x:row>
    <x:row r="6">
      <x:c r="A6" s="32" t="str">
        <x:v>GPT-5.6 Terra</x:v>
      </x:c>
      <x:c r="B6" s="32" t="str">
        <x:v>OpenAI</x:v>
      </x:c>
      <x:c r="C6" s="34" t="n">
        <x:v>46212</x:v>
      </x:c>
      <x:c r="D6" s="44" t="n">
        <x:v>158.25</x:v>
      </x:c>
      <x:c r="E6" s="44" t="n">
        <x:v>155.39</x:v>
      </x:c>
      <x:c r="F6" s="44" t="n">
        <x:v>161.26</x:v>
      </x:c>
      <x:c r="G6" s="40" t="n">
        <x:f>(C6-'Regression Model'!$B$4)/365.25</x:f>
        <x:v>3.5181382614647503</x:v>
      </x:c>
      <x:c r="H6" s="40" t="n">
        <x:f>'Regression Model'!$B$7+'Regression Model'!$B$8*D6+'Regression Model'!$B$9*G6</x:f>
        <x:v>12.398984685064557</x:v>
      </x:c>
      <x:c r="I6" s="42" t="n">
        <x:f>POWER(10,H6)/1E9</x:f>
        <x:v>2506.020879298851</x:v>
      </x:c>
      <x:c r="J6" s="42" t="n">
        <x:f>POWER(10,H6-'Regression Model'!$B$11)/1E9</x:f>
        <x:v>875.3308308223112</x:v>
      </x:c>
      <x:c r="K6" s="42" t="n">
        <x:f>POWER(10,H6+'Regression Model'!$B$11)/1E9</x:f>
        <x:v>7174.590939041917</x:v>
      </x:c>
      <x:c r="L6" s="42" t="n">
        <x:f>POWER(10,'Regression Model'!$B$7+'Regression Model'!$B$8*E6+'Regression Model'!$B$9*G6)/1E9</x:f>
        <x:v>1640.9439953199253</x:v>
      </x:c>
      <x:c r="M6" s="42" t="n">
        <x:f>POWER(10,'Regression Model'!$B$7+'Regression Model'!$B$8*F6+'Regression Model'!$B$9*G6)/1E9</x:f>
        <x:v>3913.093634871584</x:v>
      </x:c>
      <x:c r="N6" s="42" t="n">
        <x:f>POWER(10,(D6-'Regression Model'!$B$18-'Regression Model'!$B$20*G6)/'Regression Model'!$B$19)/1E9</x:f>
        <x:v>8160.321811942581</x:v>
      </x:c>
      <x:c r="O6" s="42"/>
      <x:c r="P6" s="32" t="str"/>
      <x:c r="Q6" s="32" t="str">
        <x:v>https://epoch.ai/data/eci_scores.csv</x:v>
      </x:c>
      <x:c r="R6" s="32" t="str"/>
    </x:row>
    <x:row r="7">
      <x:c r="A7" s="32" t="str">
        <x:v>Claude Opus 4.8</x:v>
      </x:c>
      <x:c r="B7" s="32" t="str">
        <x:v>Anthropic</x:v>
      </x:c>
      <x:c r="C7" s="34" t="n">
        <x:v>46170</x:v>
      </x:c>
      <x:c r="D7" s="44" t="n">
        <x:v>157.85</x:v>
      </x:c>
      <x:c r="E7" s="44" t="n">
        <x:v>155.12</x:v>
      </x:c>
      <x:c r="F7" s="44" t="n">
        <x:v>160.58</x:v>
      </x:c>
      <x:c r="G7" s="40" t="n">
        <x:f>(C7-'Regression Model'!$B$4)/365.25</x:f>
        <x:v>3.403148528405202</x:v>
      </x:c>
      <x:c r="H7" s="40" t="n">
        <x:f>'Regression Model'!$B$7+'Regression Model'!$B$8*D7+'Regression Model'!$B$9*G7</x:f>
        <x:v>12.413618785873304</x:v>
      </x:c>
      <x:c r="I7" s="42" t="n">
        <x:f>POWER(10,H7)/1E9</x:f>
        <x:v>2591.903247744197</x:v>
      </x:c>
      <x:c r="J7" s="42" t="n">
        <x:f>POWER(10,H7-'Regression Model'!$B$11)/1E9</x:f>
        <x:v>905.3287791814986</x:v>
      </x:c>
      <x:c r="K7" s="42" t="n">
        <x:f>POWER(10,H7+'Regression Model'!$B$11)/1E9</x:f>
        <x:v>7420.46712768877</x:v>
      </x:c>
      <x:c r="L7" s="42" t="n">
        <x:f>POWER(10,'Regression Model'!$B$7+'Regression Model'!$B$8*E7+'Regression Model'!$B$9*G7)/1E9</x:f>
        <x:v>1730.1610798620338</x:v>
      </x:c>
      <x:c r="M7" s="42" t="n">
        <x:f>POWER(10,'Regression Model'!$B$7+'Regression Model'!$B$8*F7+'Regression Model'!$B$9*G7)/1E9</x:f>
        <x:v>3882.8537549825232</x:v>
      </x:c>
      <x:c r="N7" s="42" t="n">
        <x:f>POWER(10,(D7-'Regression Model'!$B$18-'Regression Model'!$B$20*G7)/'Regression Model'!$B$19)/1E9</x:f>
        <x:v>11454.218504464401</x:v>
      </x:c>
      <x:c r="O7" s="42"/>
      <x:c r="P7" s="32" t="str"/>
      <x:c r="Q7" s="32" t="str">
        <x:v>https://epoch.ai/data/eci_scores.csv</x:v>
      </x:c>
      <x:c r="R7" s="32" t="str"/>
    </x:row>
    <x:row r="8">
      <x:c r="A8" s="32" t="str">
        <x:v>GPT-5.4 Pro</x:v>
      </x:c>
      <x:c r="B8" s="32" t="str">
        <x:v>OpenAI</x:v>
      </x:c>
      <x:c r="C8" s="34" t="n">
        <x:v>46086</x:v>
      </x:c>
      <x:c r="D8" s="44" t="n">
        <x:v>157.83</x:v>
      </x:c>
      <x:c r="E8" s="44" t="n">
        <x:v>155.96</x:v>
      </x:c>
      <x:c r="F8" s="44" t="n">
        <x:v>160.88</x:v>
      </x:c>
      <x:c r="G8" s="40" t="n">
        <x:f>(C8-'Regression Model'!$B$4)/365.25</x:f>
        <x:v>3.1731690622861053</x:v>
      </x:c>
      <x:c r="H8" s="40" t="n">
        <x:f>'Regression Model'!$B$7+'Regression Model'!$B$8*D8+'Regression Model'!$B$9*G8</x:f>
        <x:v>12.493039058227273</x:v>
      </x:c>
      <x:c r="I8" s="42" t="n">
        <x:f>POWER(10,H8)/1E9</x:f>
        <x:v>3111.9962015629517</x:v>
      </x:c>
      <x:c r="J8" s="42" t="n">
        <x:f>POWER(10,H8-'Regression Model'!$B$11)/1E9</x:f>
        <x:v>1086.99262768797</x:v>
      </x:c>
      <x:c r="K8" s="42" t="n">
        <x:f>POWER(10,H8+'Regression Model'!$B$11)/1E9</x:f>
        <x:v>8909.462780020125</x:v>
      </x:c>
      <x:c r="L8" s="42" t="n">
        <x:f>POWER(10,'Regression Model'!$B$7+'Regression Model'!$B$8*E8+'Regression Model'!$B$9*G8)/1E9</x:f>
        <x:v>2359.4060218084537</x:v>
      </x:c>
      <x:c r="M8" s="42" t="n">
        <x:f>POWER(10,'Regression Model'!$B$7+'Regression Model'!$B$8*F8+'Regression Model'!$B$9*G8)/1E9</x:f>
        <x:v>4888.172397300232</x:v>
      </x:c>
      <x:c r="N8" s="42" t="n">
        <x:f>POWER(10,(D8-'Regression Model'!$B$18-'Regression Model'!$B$20*G8)/'Regression Model'!$B$19)/1E9</x:f>
        <x:v>30761.478672901896</x:v>
      </x:c>
      <x:c r="O8" s="42"/>
      <x:c r="P8" s="32" t="str"/>
      <x:c r="Q8" s="32" t="str">
        <x:v>https://epoch.ai/data/eci_scores.csv</x:v>
      </x:c>
      <x:c r="R8" s="32" t="str"/>
    </x:row>
    <x:row r="9">
      <x:c r="A9" s="32" t="str">
        <x:v>GPT-5.4</x:v>
      </x:c>
      <x:c r="B9" s="32" t="str">
        <x:v>OpenAI</x:v>
      </x:c>
      <x:c r="C9" s="34" t="n">
        <x:v>46086</x:v>
      </x:c>
      <x:c r="D9" s="44" t="n">
        <x:v>156.03</x:v>
      </x:c>
      <x:c r="E9" s="44" t="n">
        <x:v>154.45</x:v>
      </x:c>
      <x:c r="F9" s="44" t="n">
        <x:v>158.37</x:v>
      </x:c>
      <x:c r="G9" s="40" t="n">
        <x:f>(C9-'Regression Model'!$B$4)/365.25</x:f>
        <x:v>3.1731690622861053</x:v>
      </x:c>
      <x:c r="H9" s="40" t="n">
        <x:f>'Regression Model'!$B$7+'Regression Model'!$B$8*D9+'Regression Model'!$B$9*G9</x:f>
        <x:v>12.377303510373864</x:v>
      </x:c>
      <x:c r="I9" s="42" t="n">
        <x:f>POWER(10,H9)/1E9</x:f>
        <x:v>2383.9849553817717</x:v>
      </x:c>
      <x:c r="J9" s="42" t="n">
        <x:f>POWER(10,H9-'Regression Model'!$B$11)/1E9</x:f>
        <x:v>832.7047667081156</x:v>
      </x:c>
      <x:c r="K9" s="42" t="n">
        <x:f>POWER(10,H9+'Regression Model'!$B$11)/1E9</x:f>
        <x:v>6825.209239469623</x:v>
      </x:c>
      <x:c r="L9" s="42" t="n">
        <x:f>POWER(10,'Regression Model'!$B$7+'Regression Model'!$B$8*E9+'Regression Model'!$B$9*G9)/1E9</x:f>
        <x:v>1886.7459149878896</x:v>
      </x:c>
      <x:c r="M9" s="42" t="n">
        <x:f>POWER(10,'Regression Model'!$B$7+'Regression Model'!$B$8*F9+'Regression Model'!$B$9*G9)/1E9</x:f>
        <x:v>3371.0075296460873</x:v>
      </x:c>
      <x:c r="N9" s="42" t="n">
        <x:f>POWER(10,(D9-'Regression Model'!$B$18-'Regression Model'!$B$20*G9)/'Regression Model'!$B$19)/1E9</x:f>
        <x:v>15050.953101257812</x:v>
      </x:c>
      <x:c r="O9" s="42"/>
      <x:c r="P9" s="32" t="str"/>
      <x:c r="Q9" s="32" t="str">
        <x:v>https://epoch.ai/data/eci_scores.csv</x:v>
      </x:c>
      <x:c r="R9" s="32" t="str"/>
    </x:row>
    <x:row r="10">
      <x:c r="A10" s="32" t="str">
        <x:v>Claude Opus 4.7</x:v>
      </x:c>
      <x:c r="B10" s="32" t="str">
        <x:v>Anthropic</x:v>
      </x:c>
      <x:c r="C10" s="34" t="n">
        <x:v>46128</x:v>
      </x:c>
      <x:c r="D10" s="44" t="n">
        <x:v>156.01</x:v>
      </x:c>
      <x:c r="E10" s="44" t="n">
        <x:v>154.07</x:v>
      </x:c>
      <x:c r="F10" s="44" t="n">
        <x:v>158.4</x:v>
      </x:c>
      <x:c r="G10" s="40" t="n">
        <x:f>(C10-'Regression Model'!$B$4)/365.25</x:f>
        <x:v>3.2881587953456535</x:v>
      </x:c>
      <x:c r="H10" s="40" t="n">
        <x:f>'Regression Model'!$B$7+'Regression Model'!$B$8*D10+'Regression Model'!$B$9*G10</x:f>
        <x:v>12.335664448399323</x:v>
      </x:c>
      <x:c r="I10" s="42" t="n">
        <x:f>POWER(10,H10)/1E9</x:f>
        <x:v>2166.029905201433</x:v>
      </x:c>
      <x:c r="J10" s="42" t="n">
        <x:f>POWER(10,H10-'Regression Model'!$B$11)/1E9</x:f>
        <x:v>756.5750038907953</x:v>
      </x:c>
      <x:c r="K10" s="42" t="n">
        <x:f>POWER(10,H10+'Regression Model'!$B$11)/1E9</x:f>
        <x:v>6201.216701713995</x:v>
      </x:c>
      <x:c r="L10" s="42" t="n">
        <x:f>POWER(10,'Regression Model'!$B$7+'Regression Model'!$B$8*E10+'Regression Model'!$B$9*G10)/1E9</x:f>
        <x:v>1625.2764660152163</x:v>
      </x:c>
      <x:c r="M10" s="42" t="n">
        <x:f>POWER(10,'Regression Model'!$B$7+'Regression Model'!$B$8*F10+'Regression Model'!$B$9*G10)/1E9</x:f>
        <x:v>3085.5709489468813</x:v>
      </x:c>
      <x:c r="N10" s="42" t="n">
        <x:f>POWER(10,(D10-'Regression Model'!$B$18-'Regression Model'!$B$20*G10)/'Regression Model'!$B$19)/1E9</x:f>
        <x:v>9075.468986386677</x:v>
      </x:c>
      <x:c r="O10" s="42"/>
      <x:c r="P10" s="32" t="str"/>
      <x:c r="Q10" s="32" t="str">
        <x:v>https://epoch.ai/data/eci_scores.csv</x:v>
      </x:c>
      <x:c r="R10" s="32" t="str"/>
    </x:row>
    <x:row r="11">
      <x:c r="A11" s="32" t="str">
        <x:v>GPT-5.6 Luna</x:v>
      </x:c>
      <x:c r="B11" s="32" t="str">
        <x:v>OpenAI</x:v>
      </x:c>
      <x:c r="C11" s="34" t="n">
        <x:v>46212</x:v>
      </x:c>
      <x:c r="D11" s="44" t="n">
        <x:v>155.62</x:v>
      </x:c>
      <x:c r="E11" s="44" t="n">
        <x:v>152.89</x:v>
      </x:c>
      <x:c r="F11" s="44" t="n">
        <x:v>158.51</x:v>
      </x:c>
      <x:c r="G11" s="40" t="n">
        <x:f>(C11-'Regression Model'!$B$4)/365.25</x:f>
        <x:v>3.5181382614647503</x:v>
      </x:c>
      <x:c r="H11" s="40" t="n">
        <x:f>'Regression Model'!$B$7+'Regression Model'!$B$8*D11+'Regression Model'!$B$9*G11</x:f>
        <x:v>12.22988219014541</x:v>
      </x:c>
      <x:c r="I11" s="42" t="n">
        <x:f>POWER(10,H11)/1E9</x:f>
        <x:v>1697.7830371135199</x:v>
      </x:c>
      <x:c r="J11" s="42" t="n">
        <x:f>POWER(10,H11-'Regression Model'!$B$11)/1E9</x:f>
        <x:v>593.020532553743</x:v>
      </x:c>
      <x:c r="K11" s="42" t="n">
        <x:f>POWER(10,H11+'Regression Model'!$B$11)/1E9</x:f>
        <x:v>4860.653354948012</x:v>
      </x:c>
      <x:c r="L11" s="42" t="n">
        <x:f>POWER(10,'Regression Model'!$B$7+'Regression Model'!$B$8*E11+'Regression Model'!$B$9*G11)/1E9</x:f>
        <x:v>1133.313188067611</x:v>
      </x:c>
      <x:c r="M11" s="42" t="n">
        <x:f>POWER(10,'Regression Model'!$B$7+'Regression Model'!$B$8*F11+'Regression Model'!$B$9*G11)/1E9</x:f>
        <x:v>2604.36614979715</x:v>
      </x:c>
      <x:c r="N11" s="42" t="n">
        <x:f>POWER(10,(D11-'Regression Model'!$B$18-'Regression Model'!$B$20*G11)/'Regression Model'!$B$19)/1E9</x:f>
        <x:v>2871.5426393134812</x:v>
      </x:c>
      <x:c r="O11" s="42"/>
      <x:c r="P11" s="32" t="str"/>
      <x:c r="Q11" s="32" t="str">
        <x:v>https://epoch.ai/data/eci_scores.csv</x:v>
      </x:c>
      <x:c r="R11" s="32" t="str"/>
    </x:row>
    <x:row r="12">
      <x:c r="A12" s="32" t="str">
        <x:v>GPT-5.3 Codex</x:v>
      </x:c>
      <x:c r="B12" s="32" t="str">
        <x:v>OpenAI</x:v>
      </x:c>
      <x:c r="C12" s="34" t="n">
        <x:v>46058</x:v>
      </x:c>
      <x:c r="D12" s="44" t="n">
        <x:v>155.49</x:v>
      </x:c>
      <x:c r="E12" s="44" t="n">
        <x:v>153.29</x:v>
      </x:c>
      <x:c r="F12" s="44" t="n">
        <x:v>158.84</x:v>
      </x:c>
      <x:c r="G12" s="40" t="n">
        <x:f>(C12-'Regression Model'!$B$4)/365.25</x:f>
        <x:v>3.0965092402464065</x:v>
      </x:c>
      <x:c r="H12" s="40" t="n">
        <x:f>'Regression Model'!$B$7+'Regression Model'!$B$8*D12+'Regression Model'!$B$9*G12</x:f>
        <x:v>12.369484920313067</x:v>
      </x:c>
      <x:c r="I12" s="42" t="n">
        <x:f>POWER(10,H12)/1E9</x:f>
        <x:v>2341.4501733106463</x:v>
      </x:c>
      <x:c r="J12" s="42" t="n">
        <x:f>POWER(10,H12-'Regression Model'!$B$11)/1E9</x:f>
        <x:v>817.847745189771</x:v>
      </x:c>
      <x:c r="K12" s="42" t="n">
        <x:f>POWER(10,H12+'Regression Model'!$B$11)/1E9</x:f>
        <x:v>6703.434650693252</x:v>
      </x:c>
      <x:c r="L12" s="42" t="n">
        <x:f>POWER(10,'Regression Model'!$B$7+'Regression Model'!$B$8*E12+'Regression Model'!$B$9*G12)/1E9</x:f>
        <x:v>1690.559115661147</x:v>
      </x:c>
      <x:c r="M12" s="42" t="n">
        <x:f>POWER(10,'Regression Model'!$B$7+'Regression Model'!$B$8*F12+'Regression Model'!$B$9*G12)/1E9</x:f>
        <x:v>3844.869770198277</x:v>
      </x:c>
      <x:c r="N12" s="42" t="n">
        <x:f>POWER(10,(D12-'Regression Model'!$B$18-'Regression Model'!$B$20*G12)/'Regression Model'!$B$19)/1E9</x:f>
        <x:v>16927.574945359123</x:v>
      </x:c>
      <x:c r="O12" s="42"/>
      <x:c r="P12" s="32" t="str"/>
      <x:c r="Q12" s="32" t="str">
        <x:v>https://epoch.ai/data/eci_scores.csv</x:v>
      </x:c>
      <x:c r="R12" s="32" t="str"/>
    </x:row>
    <x:row r="13">
      <x:c r="A13" s="32" t="str">
        <x:v>Claude Opus 4.6</x:v>
      </x:c>
      <x:c r="B13" s="32" t="str">
        <x:v>Anthropic</x:v>
      </x:c>
      <x:c r="C13" s="34" t="n">
        <x:v>46058</x:v>
      </x:c>
      <x:c r="D13" s="44" t="n">
        <x:v>155.31</x:v>
      </x:c>
      <x:c r="E13" s="44" t="n">
        <x:v>153.34</x:v>
      </x:c>
      <x:c r="F13" s="44" t="n">
        <x:v>157.92</x:v>
      </x:c>
      <x:c r="G13" s="40" t="n">
        <x:f>(C13-'Regression Model'!$B$4)/365.25</x:f>
        <x:v>3.0965092402464065</x:v>
      </x:c>
      <x:c r="H13" s="40" t="n">
        <x:f>'Regression Model'!$B$7+'Regression Model'!$B$8*D13+'Regression Model'!$B$9*G13</x:f>
        <x:v>12.357911365527725</x:v>
      </x:c>
      <x:c r="I13" s="42" t="n">
        <x:f>POWER(10,H13)/1E9</x:f>
        <x:v>2279.8767280894963</x:v>
      </x:c>
      <x:c r="J13" s="42" t="n">
        <x:f>POWER(10,H13-'Regression Model'!$B$11)/1E9</x:f>
        <x:v>796.3406877636968</x:v>
      </x:c>
      <x:c r="K13" s="42" t="n">
        <x:f>POWER(10,H13+'Regression Model'!$B$11)/1E9</x:f>
        <x:v>6527.153484874371</x:v>
      </x:c>
      <x:c r="L13" s="42" t="n">
        <x:f>POWER(10,'Regression Model'!$B$7+'Regression Model'!$B$8*E13+'Regression Model'!$B$9*G13)/1E9</x:f>
        <x:v>1703.1199576192569</x:v>
      </x:c>
      <x:c r="M13" s="42" t="n">
        <x:f>POWER(10,'Regression Model'!$B$7+'Regression Model'!$B$8*F13+'Regression Model'!$B$9*G13)/1E9</x:f>
        <x:v>3355.273369551312</x:v>
      </x:c>
      <x:c r="N13" s="42" t="n">
        <x:f>POWER(10,(D13-'Regression Model'!$B$18-'Regression Model'!$B$20*G13)/'Regression Model'!$B$19)/1E9</x:f>
        <x:v>15759.789947561645</x:v>
      </x:c>
      <x:c r="O13" s="42"/>
      <x:c r="P13" s="32" t="str"/>
      <x:c r="Q13" s="32" t="str">
        <x:v>https://epoch.ai/data/eci_scores.csv</x:v>
      </x:c>
      <x:c r="R13" s="32" t="str"/>
    </x:row>
    <x:row r="14">
      <x:c r="A14" s="32" t="str">
        <x:v>Gemini 3.1 Pro</x:v>
      </x:c>
      <x:c r="B14" s="32" t="str">
        <x:v>Google DeepMind</x:v>
      </x:c>
      <x:c r="C14" s="34" t="n">
        <x:v>46072</x:v>
      </x:c>
      <x:c r="D14" s="44" t="n">
        <x:v>154.84</x:v>
      </x:c>
      <x:c r="E14" s="44" t="n">
        <x:v>152.95</x:v>
      </x:c>
      <x:c r="F14" s="44" t="n">
        <x:v>157.9</x:v>
      </x:c>
      <x:c r="G14" s="40" t="n">
        <x:f>(C14-'Regression Model'!$B$4)/365.25</x:f>
        <x:v>3.134839151266256</x:v>
      </x:c>
      <x:c r="H14" s="40" t="n">
        <x:f>'Regression Model'!$B$7+'Regression Model'!$B$8*D14+'Regression Model'!$B$9*G14</x:f>
        <x:v>12.314240490885055</x:v>
      </x:c>
      <x:c r="I14" s="42" t="n">
        <x:f>POWER(10,H14)/1E9</x:f>
        <x:v>2061.771304576371</x:v>
      </x:c>
      <x:c r="J14" s="42" t="n">
        <x:f>POWER(10,H14-'Regression Model'!$B$11)/1E9</x:f>
        <x:v>720.1584008770805</x:v>
      </x:c>
      <x:c r="K14" s="42" t="n">
        <x:f>POWER(10,H14+'Regression Model'!$B$11)/1E9</x:f>
        <x:v>5902.730437077987</x:v>
      </x:c>
      <x:c r="L14" s="42" t="n">
        <x:f>POWER(10,'Regression Model'!$B$7+'Regression Model'!$B$8*E14+'Regression Model'!$B$9*G14)/1E9</x:f>
        <x:v>1558.54076329416</x:v>
      </x:c>
      <x:c r="M14" s="42" t="n">
        <x:f>POWER(10,'Regression Model'!$B$7+'Regression Model'!$B$8*F14+'Regression Model'!$B$9*G14)/1E9</x:f>
        <x:v>3243.328379683012</x:v>
      </x:c>
      <x:c r="N14" s="42" t="n">
        <x:f>POWER(10,(D14-'Regression Model'!$B$18-'Regression Model'!$B$20*G14)/'Regression Model'!$B$19)/1E9</x:f>
        <x:v>11076.649215109259</x:v>
      </x:c>
      <x:c r="O14" s="42"/>
      <x:c r="P14" s="32" t="str"/>
      <x:c r="Q14" s="32" t="str">
        <x:v>https://epoch.ai/data/eci_scores.csv</x:v>
      </x:c>
      <x:c r="R14" s="32" t="str"/>
    </x:row>
    <x:row r="15">
      <x:c r="A15" s="32" t="str">
        <x:v>GPT-5.2 Pro</x:v>
      </x:c>
      <x:c r="B15" s="32" t="str">
        <x:v>OpenAI</x:v>
      </x:c>
      <x:c r="C15" s="34" t="n">
        <x:v>46002</x:v>
      </x:c>
      <x:c r="D15" s="44" t="n">
        <x:v>154.65</x:v>
      </x:c>
      <x:c r="E15" s="44" t="n">
        <x:v>152.88</x:v>
      </x:c>
      <x:c r="F15" s="44" t="n">
        <x:v>157.03</x:v>
      </x:c>
      <x:c r="G15" s="40" t="n">
        <x:f>(C15-'Regression Model'!$B$4)/365.25</x:f>
        <x:v>2.943189596167009</x:v>
      </x:c>
      <x:c r="H15" s="40" t="n">
        <x:f>'Regression Model'!$B$7+'Regression Model'!$B$8*D15+'Regression Model'!$B$9*G15</x:f>
        <x:v>12.369279146571925</x:v>
      </x:c>
      <x:c r="I15" s="42" t="n">
        <x:f>POWER(10,H15)/1E9</x:f>
        <x:v>2340.341029960614</x:v>
      </x:c>
      <x:c r="J15" s="42" t="n">
        <x:f>POWER(10,H15-'Regression Model'!$B$11)/1E9</x:f>
        <x:v>817.4603312707151</x:v>
      </x:c>
      <x:c r="K15" s="42" t="n">
        <x:f>POWER(10,H15+'Regression Model'!$B$11)/1E9</x:f>
        <x:v>6700.25923827152</x:v>
      </x:c>
      <x:c r="L15" s="42" t="n">
        <x:f>POWER(10,'Regression Model'!$B$7+'Regression Model'!$B$8*E15+'Regression Model'!$B$9*G15)/1E9</x:f>
        <x:v>1800.8292020273595</x:v>
      </x:c>
      <x:c r="M15" s="42" t="n">
        <x:f>POWER(10,'Regression Model'!$B$7+'Regression Model'!$B$8*F15+'Regression Model'!$B$9*G15)/1E9</x:f>
        <x:v>3328.9499052128454</x:v>
      </x:c>
      <x:c r="N15" s="42" t="n">
        <x:f>POWER(10,(D15-'Regression Model'!$B$18-'Regression Model'!$B$20*G15)/'Regression Model'!$B$19)/1E9</x:f>
        <x:v>23553.131576258005</x:v>
      </x:c>
      <x:c r="O15" s="42"/>
      <x:c r="P15" s="32" t="str"/>
      <x:c r="Q15" s="32" t="str">
        <x:v>https://epoch.ai/data/eci_scores.csv</x:v>
      </x:c>
      <x:c r="R15" s="32" t="str"/>
    </x:row>
    <x:row r="16">
      <x:c r="A16" s="32" t="str">
        <x:v>Gemini 3.5 Flash</x:v>
      </x:c>
      <x:c r="B16" s="32" t="str">
        <x:v>Google</x:v>
      </x:c>
      <x:c r="C16" s="34" t="n">
        <x:v>46161</x:v>
      </x:c>
      <x:c r="D16" s="44" t="n">
        <x:v>154.58</x:v>
      </x:c>
      <x:c r="E16" s="44" t="n">
        <x:v>152.84</x:v>
      </x:c>
      <x:c r="F16" s="44" t="n">
        <x:v>157.2</x:v>
      </x:c>
      <x:c r="G16" s="40" t="n">
        <x:f>(C16-'Regression Model'!$B$4)/365.25</x:f>
        <x:v>3.378507871321013</x:v>
      </x:c>
      <x:c r="H16" s="40" t="n">
        <x:f>'Regression Model'!$B$7+'Regression Model'!$B$8*D16+'Regression Model'!$B$9*G16</x:f>
        <x:v>12.212012969248791</x:v>
      </x:c>
      <x:c r="I16" s="42" t="n">
        <x:f>POWER(10,H16)/1E9</x:f>
        <x:v>1629.3446887060481</x:v>
      </x:c>
      <x:c r="J16" s="42" t="n">
        <x:f>POWER(10,H16-'Regression Model'!$B$11)/1E9</x:f>
        <x:v>569.115625429274</x:v>
      </x:c>
      <x:c r="K16" s="42" t="n">
        <x:f>POWER(10,H16+'Regression Model'!$B$11)/1E9</x:f>
        <x:v>4664.718373550482</x:v>
      </x:c>
      <x:c r="L16" s="42" t="n">
        <x:f>POWER(10,'Regression Model'!$B$7+'Regression Model'!$B$8*E16+'Regression Model'!$B$9*G16)/1E9</x:f>
        <x:v>1259.3175998997358</x:v>
      </x:c>
      <x:c r="M16" s="42" t="n">
        <x:f>POWER(10,'Regression Model'!$B$7+'Regression Model'!$B$8*F16+'Regression Model'!$B$9*G16)/1E9</x:f>
        <x:v>2401.444139640455</x:v>
      </x:c>
      <x:c r="N16" s="42" t="n">
        <x:f>POWER(10,(D16-'Regression Model'!$B$18-'Regression Model'!$B$20*G16)/'Regression Model'!$B$19)/1E9</x:f>
        <x:v>3478.0191932364205</x:v>
      </x:c>
      <x:c r="O16" s="42"/>
      <x:c r="P16" s="32" t="str"/>
      <x:c r="Q16" s="32" t="str">
        <x:v>https://epoch.ai/data/eci_scores.csv</x:v>
      </x:c>
      <x:c r="R16" s="32" t="str"/>
    </x:row>
    <x:row r="17">
      <x:c r="A17" s="32" t="str">
        <x:v>Muse Spark</x:v>
      </x:c>
      <x:c r="B17" s="32" t="str">
        <x:v>Meta AI</x:v>
      </x:c>
      <x:c r="C17" s="34" t="n">
        <x:v>46120</x:v>
      </x:c>
      <x:c r="D17" s="44" t="n">
        <x:v>154.27</x:v>
      </x:c>
      <x:c r="E17" s="44" t="n">
        <x:v>151.76</x:v>
      </x:c>
      <x:c r="F17" s="44" t="n">
        <x:v>158.17</x:v>
      </x:c>
      <x:c r="G17" s="40" t="n">
        <x:f>(C17-'Regression Model'!$B$4)/365.25</x:f>
        <x:v>3.266255989048597</x:v>
      </x:c>
      <x:c r="H17" s="40" t="n">
        <x:f>'Regression Model'!$B$7+'Regression Model'!$B$8*D17+'Regression Model'!$B$9*G17</x:f>
        <x:v>12.231473059082521</x:v>
      </x:c>
      <x:c r="I17" s="42" t="n">
        <x:f>POWER(10,H17)/1E9</x:f>
        <x:v>1704.0136096740468</x:v>
      </x:c>
      <x:c r="J17" s="42" t="n">
        <x:f>POWER(10,H17-'Regression Model'!$B$11)/1E9</x:f>
        <x:v>595.1968161996442</x:v>
      </x:c>
      <x:c r="K17" s="42" t="n">
        <x:f>POWER(10,H17+'Regression Model'!$B$11)/1E9</x:f>
        <x:v>4878.491119113131</x:v>
      </x:c>
      <x:c r="L17" s="42" t="n">
        <x:f>POWER(10,'Regression Model'!$B$7+'Regression Model'!$B$8*E17+'Regression Model'!$B$9*G17)/1E9</x:f>
        <x:v>1175.1309573294059</x:v>
      </x:c>
      <x:c r="M17" s="42" t="n">
        <x:f>POWER(10,'Regression Model'!$B$7+'Regression Model'!$B$8*F17+'Regression Model'!$B$9*G17)/1E9</x:f>
        <x:v>3035.522195619995</x:v>
      </x:c>
      <x:c r="N17" s="42" t="n">
        <x:f>POWER(10,(D17-'Regression Model'!$B$18-'Regression Model'!$B$20*G17)/'Regression Model'!$B$19)/1E9</x:f>
        <x:v>4999.926364942744</x:v>
      </x:c>
      <x:c r="O17" s="42"/>
      <x:c r="P17" s="32" t="str"/>
      <x:c r="Q17" s="32" t="str">
        <x:v>https://epoch.ai/data/eci_scores.csv</x:v>
      </x:c>
      <x:c r="R17" s="32" t="str"/>
    </x:row>
    <x:row r="18">
      <x:c r="A18" s="32" t="str">
        <x:v>GPT-5.2</x:v>
      </x:c>
      <x:c r="B18" s="32" t="str">
        <x:v>OpenAI</x:v>
      </x:c>
      <x:c r="C18" s="34" t="n">
        <x:v>46002</x:v>
      </x:c>
      <x:c r="D18" s="44" t="n">
        <x:v>153.7</x:v>
      </x:c>
      <x:c r="E18" s="44" t="n">
        <x:v>152.26</x:v>
      </x:c>
      <x:c r="F18" s="44" t="n">
        <x:v>155.46</x:v>
      </x:c>
      <x:c r="G18" s="40" t="n">
        <x:f>(C18-'Regression Model'!$B$4)/365.25</x:f>
        <x:v>2.943189596167009</x:v>
      </x:c>
      <x:c r="H18" s="40" t="n">
        <x:f>'Regression Model'!$B$7+'Regression Model'!$B$8*D18+'Regression Model'!$B$9*G18</x:f>
        <x:v>12.308196496315958</x:v>
      </x:c>
      <x:c r="I18" s="42" t="n">
        <x:f>POWER(10,H18)/1E9</x:f>
        <x:v>2033.2767578789833</x:v>
      </x:c>
      <x:c r="J18" s="42" t="n">
        <x:f>POWER(10,H18-'Regression Model'!$B$11)/1E9</x:f>
        <x:v>710.2055088479013</x:v>
      </x:c>
      <x:c r="K18" s="42" t="n">
        <x:f>POWER(10,H18+'Regression Model'!$B$11)/1E9</x:f>
        <x:v>5821.152219499693</x:v>
      </x:c>
      <x:c r="L18" s="42" t="n">
        <x:f>POWER(10,'Regression Model'!$B$7+'Regression Model'!$B$8*E18+'Regression Model'!$B$9*G18)/1E9</x:f>
        <x:v>1642.8883805101905</x:v>
      </x:c>
      <x:c r="M18" s="42" t="n">
        <x:f>POWER(10,'Regression Model'!$B$7+'Regression Model'!$B$8*F18+'Regression Model'!$B$9*G18)/1E9</x:f>
        <x:v>2638.5184970950336</x:v>
      </x:c>
      <x:c r="N18" s="42" t="n">
        <x:f>POWER(10,(D18-'Regression Model'!$B$18-'Regression Model'!$B$20*G18)/'Regression Model'!$B$19)/1E9</x:f>
        <x:v>16151.156793225238</x:v>
      </x:c>
      <x:c r="O18" s="42"/>
      <x:c r="P18" s="32" t="str"/>
      <x:c r="Q18" s="32" t="str">
        <x:v>https://epoch.ai/data/eci_scores.csv</x:v>
      </x:c>
      <x:c r="R18" s="32" t="str"/>
    </x:row>
    <x:row r="19">
      <x:c r="A19" s="32" t="str">
        <x:v>Gemini 3 Pro</x:v>
      </x:c>
      <x:c r="B19" s="32" t="str">
        <x:v>Google DeepMind</x:v>
      </x:c>
      <x:c r="C19" s="34" t="n">
        <x:v>45979</x:v>
      </x:c>
      <x:c r="D19" s="44" t="n">
        <x:v>153.24</x:v>
      </x:c>
      <x:c r="E19" s="44" t="n">
        <x:v>151.34</x:v>
      </x:c>
      <x:c r="F19" s="44" t="n">
        <x:v>155.77</x:v>
      </x:c>
      <x:c r="G19" s="40" t="n">
        <x:f>(C19-'Regression Model'!$B$4)/365.25</x:f>
        <x:v>2.8802190280629705</x:v>
      </x:c>
      <x:c r="H19" s="40" t="n">
        <x:f>'Regression Model'!$B$7+'Regression Model'!$B$8*D19+'Regression Model'!$B$9*G19</x:f>
        <x:v>12.300717766543547</x:v>
      </x:c>
      <x:c r="I19" s="42" t="n">
        <x:f>POWER(10,H19)/1E9</x:f>
        <x:v>1998.5626485058056</x:v>
      </x:c>
      <x:c r="J19" s="42" t="n">
        <x:f>POWER(10,H19-'Regression Model'!$B$11)/1E9</x:f>
        <x:v>698.0801788277533</x:v>
      </x:c>
      <x:c r="K19" s="42" t="n">
        <x:f>POWER(10,H19+'Regression Model'!$B$11)/1E9</x:f>
        <x:v>5721.767758411167</x:v>
      </x:c>
      <x:c r="L19" s="42" t="n">
        <x:f>POWER(10,'Regression Model'!$B$7+'Regression Model'!$B$8*E19+'Regression Model'!$B$9*G19)/1E9</x:f>
        <x:v>1508.5248406510163</x:v>
      </x:c>
      <x:c r="M19" s="42" t="n">
        <x:f>POWER(10,'Regression Model'!$B$7+'Regression Model'!$B$8*F19+'Regression Model'!$B$9*G19)/1E9</x:f>
        <x:v>2906.635067170561</x:v>
      </x:c>
      <x:c r="N19" s="42" t="n">
        <x:f>POWER(10,(D19-'Regression Model'!$B$18-'Regression Model'!$B$20*G19)/'Regression Model'!$B$19)/1E9</x:f>
        <x:v>17672.1070306673</x:v>
      </x:c>
      <x:c r="O19" s="42"/>
      <x:c r="P19" s="32" t="str"/>
      <x:c r="Q19" s="32" t="str">
        <x:v>https://epoch.ai/data/eci_scores.csv</x:v>
      </x:c>
      <x:c r="R19" s="32" t="str"/>
    </x:row>
    <x:row r="20">
      <x:c r="A20" s="32" t="str">
        <x:v>Claude Sonnet 5</x:v>
      </x:c>
      <x:c r="B20" s="32" t="str">
        <x:v>Anthropic</x:v>
      </x:c>
      <x:c r="C20" s="34" t="n">
        <x:v>46203</x:v>
      </x:c>
      <x:c r="D20" s="44" t="n">
        <x:v>153.2</x:v>
      </x:c>
      <x:c r="E20" s="44" t="n">
        <x:v>150.47</x:v>
      </x:c>
      <x:c r="F20" s="44" t="n">
        <x:v>155.24</x:v>
      </x:c>
      <x:c r="G20" s="40" t="n">
        <x:f>(C20-'Regression Model'!$B$4)/365.25</x:f>
        <x:v>3.4934976043805612</x:v>
      </x:c>
      <x:c r="H20" s="40" t="n">
        <x:f>'Regression Model'!$B$7+'Regression Model'!$B$8*D20+'Regression Model'!$B$9*G20</x:f>
        <x:v>12.08292927111834</x:v>
      </x:c>
      <x:c r="I20" s="42" t="n">
        <x:f>POWER(10,H20)/1E9</x:f>
        <x:v>1210.400992477501</x:v>
      </x:c>
      <x:c r="J20" s="42" t="n">
        <x:f>POWER(10,H20-'Regression Model'!$B$11)/1E9</x:f>
        <x:v>422.7823140363915</x:v>
      </x:c>
      <x:c r="K20" s="42" t="n">
        <x:f>POWER(10,H20+'Regression Model'!$B$11)/1E9</x:f>
        <x:v>3465.3071189359434</x:v>
      </x:c>
      <x:c r="L20" s="42" t="n">
        <x:f>POWER(10,'Regression Model'!$B$7+'Regression Model'!$B$8*E20+'Regression Model'!$B$9*G20)/1E9</x:f>
        <x:v>807.9733261778113</x:v>
      </x:c>
      <x:c r="M20" s="42" t="n">
        <x:f>POWER(10,'Regression Model'!$B$7+'Regression Model'!$B$8*F20+'Regression Model'!$B$9*G20)/1E9</x:f>
        <x:v>1637.1792262349986</x:v>
      </x:c>
      <x:c r="N20" s="42" t="n">
        <x:f>POWER(10,(D20-'Regression Model'!$B$18-'Regression Model'!$B$20*G20)/'Regression Model'!$B$19)/1E9</x:f>
        <x:v>1222.0246333370444</x:v>
      </x:c>
      <x:c r="O20" s="42"/>
      <x:c r="P20" s="32" t="str"/>
      <x:c r="Q20" s="32" t="str">
        <x:v>https://epoch.ai/data/eci_scores.csv</x:v>
      </x:c>
      <x:c r="R20" s="32" t="str"/>
    </x:row>
    <x:row r="21">
      <x:c r="A21" s="32" t="str">
        <x:v>Claude Sonnet 4.6</x:v>
      </x:c>
      <x:c r="B21" s="32" t="str">
        <x:v>Anthropic</x:v>
      </x:c>
      <x:c r="C21" s="34" t="n">
        <x:v>46070</x:v>
      </x:c>
      <x:c r="D21" s="44" t="n">
        <x:v>153.18</x:v>
      </x:c>
      <x:c r="E21" s="44" t="n">
        <x:v>149.67</x:v>
      </x:c>
      <x:c r="F21" s="44" t="n">
        <x:v>156.08</x:v>
      </x:c>
      <x:c r="G21" s="40" t="n">
        <x:f>(C21-'Regression Model'!$B$4)/365.25</x:f>
        <x:v>3.1293634496919918</x:v>
      </x:c>
      <x:c r="H21" s="40" t="n">
        <x:f>'Regression Model'!$B$7+'Regression Model'!$B$8*D21+'Regression Model'!$B$9*G21</x:f>
        <x:v>12.209428173488952</x:v>
      </x:c>
      <x:c r="I21" s="42" t="n">
        <x:f>POWER(10,H21)/1E9</x:f>
        <x:v>1619.6760989411607</x:v>
      </x:c>
      <x:c r="J21" s="42" t="n">
        <x:f>POWER(10,H21-'Regression Model'!$B$11)/1E9</x:f>
        <x:v>565.7384729156258</x:v>
      </x:c>
      <x:c r="K21" s="42" t="n">
        <x:f>POWER(10,H21+'Regression Model'!$B$11)/1E9</x:f>
        <x:v>4637.037767577286</x:v>
      </x:c>
      <x:c r="L21" s="42" t="n">
        <x:f>POWER(10,'Regression Model'!$B$7+'Regression Model'!$B$8*E21+'Regression Model'!$B$9*G21)/1E9</x:f>
        <x:v>963.2607294431879</x:v>
      </x:c>
      <x:c r="M21" s="42" t="n">
        <x:f>POWER(10,'Regression Model'!$B$7+'Regression Model'!$B$8*F21+'Regression Model'!$B$9*G21)/1E9</x:f>
        <x:v>2488.2327421949426</x:v>
      </x:c>
      <x:c r="N21" s="42" t="n">
        <x:f>POWER(10,(D21-'Regression Model'!$B$18-'Regression Model'!$B$20*G21)/'Regression Model'!$B$19)/1E9</x:f>
        <x:v>5866.893263564347</x:v>
      </x:c>
      <x:c r="O21" s="42"/>
      <x:c r="P21" s="32" t="str"/>
      <x:c r="Q21" s="32" t="str">
        <x:v>https://epoch.ai/data/eci_scores.csv</x:v>
      </x:c>
      <x:c r="R21" s="32" t="str"/>
    </x:row>
    <x:row r="22">
      <x:c r="A22" s="32" t="str">
        <x:v>Grok 4.5</x:v>
      </x:c>
      <x:c r="B22" s="32" t="str">
        <x:v>xAI</x:v>
      </x:c>
      <x:c r="C22" s="34" t="n">
        <x:v>46211</x:v>
      </x:c>
      <x:c r="D22" s="44" t="n">
        <x:v>153.17</x:v>
      </x:c>
      <x:c r="E22" s="44" t="n">
        <x:v>151.65</x:v>
      </x:c>
      <x:c r="F22" s="44" t="n">
        <x:v>156.15</x:v>
      </x:c>
      <x:c r="G22" s="40" t="n">
        <x:f>(C22-'Regression Model'!$B$4)/365.25</x:f>
        <x:v>3.515400410677618</x:v>
      </x:c>
      <x:c r="H22" s="40" t="n">
        <x:f>'Regression Model'!$B$7+'Regression Model'!$B$8*D22+'Regression Model'!$B$9*G22</x:f>
        <x:v>12.07331403837929</x:v>
      </x:c>
      <x:c r="I22" s="42" t="n">
        <x:f>POWER(10,H22)/1E9</x:f>
        <x:v>1183.8973225467546</x:v>
      </x:c>
      <x:c r="J22" s="42" t="n">
        <x:f>POWER(10,H22-'Regression Model'!$B$11)/1E9</x:f>
        <x:v>413.52481757578283</x:v>
      </x:c>
      <x:c r="K22" s="42" t="n">
        <x:f>POWER(10,H22+'Regression Model'!$B$11)/1E9</x:f>
        <x:v>3389.4286648866328</x:v>
      </x:c>
      <x:c r="L22" s="42" t="n">
        <x:f>POWER(10,'Regression Model'!$B$7+'Regression Model'!$B$8*E22+'Regression Model'!$B$9*G22)/1E9</x:f>
        <x:v>945.3264248679156</x:v>
      </x:c>
      <x:c r="M22" s="42" t="n">
        <x:f>POWER(10,'Regression Model'!$B$7+'Regression Model'!$B$8*F22+'Regression Model'!$B$9*G22)/1E9</x:f>
        <x:v>1840.4357791043367</x:v>
      </x:c>
      <x:c r="N22" s="42" t="n">
        <x:f>POWER(10,(D22-'Regression Model'!$B$18-'Regression Model'!$B$20*G22)/'Regression Model'!$B$19)/1E9</x:f>
        <x:v>1098.2880978648589</x:v>
      </x:c>
      <x:c r="O22" s="42"/>
      <x:c r="P22" s="32" t="str"/>
      <x:c r="Q22" s="32" t="str">
        <x:v>https://epoch.ai/data/eci_scores.csv</x:v>
      </x:c>
      <x:c r="R22" s="32" t="str"/>
    </x:row>
    <x:row r="23">
      <x:c r="A23" s="32" t="str">
        <x:v>Qwen3.7-Max</x:v>
      </x:c>
      <x:c r="B23" s="32" t="str">
        <x:v>Alibaba</x:v>
      </x:c>
      <x:c r="C23" s="34" t="n">
        <x:v>46161</x:v>
      </x:c>
      <x:c r="D23" s="44" t="n">
        <x:v>153.05</x:v>
      </x:c>
      <x:c r="E23" s="44" t="n">
        <x:v>151.09</x:v>
      </x:c>
      <x:c r="F23" s="44" t="n">
        <x:v>155.37</x:v>
      </x:c>
      <x:c r="G23" s="40" t="n">
        <x:f>(C23-'Regression Model'!$B$4)/365.25</x:f>
        <x:v>3.378507871321013</x:v>
      </x:c>
      <x:c r="H23" s="40" t="n">
        <x:f>'Regression Model'!$B$7+'Regression Model'!$B$8*D23+'Regression Model'!$B$9*G23</x:f>
        <x:v>12.113637753573395</x:v>
      </x:c>
      <x:c r="I23" s="42" t="n">
        <x:f>POWER(10,H23)/1E9</x:f>
        <x:v>1299.085554555833</x:v>
      </x:c>
      <x:c r="J23" s="42" t="n">
        <x:f>POWER(10,H23-'Regression Model'!$B$11)/1E9</x:f>
        <x:v>453.7590437382042</x:v>
      </x:c>
      <x:c r="K23" s="42" t="n">
        <x:f>POWER(10,H23+'Regression Model'!$B$11)/1E9</x:f>
        <x:v>3719.2058237616284</x:v>
      </x:c>
      <x:c r="L23" s="42" t="n">
        <x:f>POWER(10,'Regression Model'!$B$7+'Regression Model'!$B$8*E23+'Regression Model'!$B$9*G23)/1E9</x:f>
        <x:v>971.8843782309697</x:v>
      </x:c>
      <x:c r="M23" s="42" t="n">
        <x:f>POWER(10,'Regression Model'!$B$7+'Regression Model'!$B$8*F23+'Regression Model'!$B$9*G23)/1E9</x:f>
        <x:v>1831.5046062280194</x:v>
      </x:c>
      <x:c r="N23" s="42" t="n">
        <x:f>POWER(10,(D23-'Regression Model'!$B$18-'Regression Model'!$B$20*G23)/'Regression Model'!$B$19)/1E9</x:f>
        <x:v>1894.3283107668897</x:v>
      </x:c>
      <x:c r="O23" s="42"/>
      <x:c r="P23" s="32" t="str"/>
      <x:c r="Q23" s="32" t="str">
        <x:v>https://epoch.ai/data/eci_scores.csv</x:v>
      </x:c>
      <x:c r="R23" s="32" t="str"/>
    </x:row>
    <x:row r="24">
      <x:c r="A24" s="32" t="str">
        <x:v>Grok 4.20</x:v>
      </x:c>
      <x:c r="B24" s="32" t="str">
        <x:v>xAI</x:v>
      </x:c>
      <x:c r="C24" s="34" t="n">
        <x:v>46070</x:v>
      </x:c>
      <x:c r="D24" s="44" t="n">
        <x:v>152.56</x:v>
      </x:c>
      <x:c r="E24" s="44" t="n">
        <x:v>149.24</x:v>
      </x:c>
      <x:c r="F24" s="44" t="n">
        <x:v>154.54</x:v>
      </x:c>
      <x:c r="G24" s="40" t="n">
        <x:f>(C24-'Regression Model'!$B$4)/365.25</x:f>
        <x:v>3.1293634496919918</x:v>
      </x:c>
      <x:c r="H24" s="40" t="n">
        <x:f>'Regression Model'!$B$7+'Regression Model'!$B$8*D24+'Regression Model'!$B$9*G24</x:f>
        <x:v>12.169563707006112</x:v>
      </x:c>
      <x:c r="I24" s="42" t="n">
        <x:f>POWER(10,H24)/1E9</x:f>
        <x:v>1477.6232194284905</x:v>
      </x:c>
      <x:c r="J24" s="42" t="n">
        <x:f>POWER(10,H24-'Regression Model'!$B$11)/1E9</x:f>
        <x:v>516.1206640331569</x:v>
      </x:c>
      <x:c r="K24" s="42" t="n">
        <x:f>POWER(10,H24+'Regression Model'!$B$11)/1E9</x:f>
        <x:v>4230.348697013131</x:v>
      </x:c>
      <x:c r="L24" s="42" t="n">
        <x:f>POWER(10,'Regression Model'!$B$7+'Regression Model'!$B$8*E24+'Regression Model'!$B$9*G24)/1E9</x:f>
        <x:v>903.8490767517472</x:v>
      </x:c>
      <x:c r="M24" s="42" t="n">
        <x:f>POWER(10,'Regression Model'!$B$7+'Regression Model'!$B$8*F24+'Regression Model'!$B$9*G24)/1E9</x:f>
        <x:v>1980.9467876614353</x:v>
      </x:c>
      <x:c r="N24" s="42" t="n">
        <x:f>POWER(10,(D24-'Regression Model'!$B$18-'Regression Model'!$B$20*G24)/'Regression Model'!$B$19)/1E9</x:f>
        <x:v>4586.4614739472345</x:v>
      </x:c>
      <x:c r="O24" s="42"/>
      <x:c r="P24" s="32" t="str"/>
      <x:c r="Q24" s="32" t="str">
        <x:v>https://epoch.ai/data/eci_scores.csv</x:v>
      </x:c>
      <x:c r="R24" s="32" t="str"/>
    </x:row>
    <x:row r="25">
      <x:c r="A25" s="32" t="str">
        <x:v>Gemini 3 Flash</x:v>
      </x:c>
      <x:c r="B25" s="32" t="str">
        <x:v>Google DeepMind</x:v>
      </x:c>
      <x:c r="C25" s="34" t="n">
        <x:v>46008</x:v>
      </x:c>
      <x:c r="D25" s="44" t="n">
        <x:v>150.62</x:v>
      </x:c>
      <x:c r="E25" s="44" t="n">
        <x:v>146.15</x:v>
      </x:c>
      <x:c r="F25" s="44" t="n">
        <x:v>152.88</x:v>
      </x:c>
      <x:c r="G25" s="40" t="n">
        <x:f>(C25-'Regression Model'!$B$4)/365.25</x:f>
        <x:v>2.9596167008898013</x:v>
      </x:c>
      <x:c r="H25" s="40" t="n">
        <x:f>'Regression Model'!$B$7+'Regression Model'!$B$8*D25+'Regression Model'!$B$9*G25</x:f>
        <x:v>12.10439538422734</x:v>
      </x:c>
      <x:c r="I25" s="42" t="n">
        <x:f>POWER(10,H25)/1E9</x:f>
        <x:v>1271.7313699890424</x:v>
      </x:c>
      <x:c r="J25" s="42" t="n">
        <x:f>POWER(10,H25-'Regression Model'!$B$11)/1E9</x:f>
        <x:v>444.20447007079923</x:v>
      </x:c>
      <x:c r="K25" s="42" t="n">
        <x:f>POWER(10,H25+'Regression Model'!$B$11)/1E9</x:f>
        <x:v>3640.8923961445826</x:v>
      </x:c>
      <x:c r="L25" s="42" t="n">
        <x:f>POWER(10,'Regression Model'!$B$7+'Regression Model'!$B$8*E25+'Regression Model'!$B$9*G25)/1E9</x:f>
        <x:v>656.1232695736276</x:v>
      </x:c>
      <x:c r="M25" s="42" t="n">
        <x:f>POWER(10,'Regression Model'!$B$7+'Regression Model'!$B$8*F25+'Regression Model'!$B$9*G25)/1E9</x:f>
        <x:v>1777.0833354529962</x:v>
      </x:c>
      <x:c r="N25" s="42" t="n">
        <x:f>POWER(10,(D25-'Regression Model'!$B$18-'Regression Model'!$B$20*G25)/'Regression Model'!$B$19)/1E9</x:f>
        <x:v>4426.990530594806</x:v>
      </x:c>
      <x:c r="O25" s="42"/>
      <x:c r="P25" s="32" t="str"/>
      <x:c r="Q25" s="32" t="str">
        <x:v>https://epoch.ai/data/eci_scores.csv</x:v>
      </x:c>
      <x:c r="R25" s="32" t="str"/>
    </x:row>
    <x:row r="26">
      <x:c r="A26" s="32" t="str">
        <x:v>GPT-5 Pro</x:v>
      </x:c>
      <x:c r="B26" s="32" t="str">
        <x:v>OpenAI</x:v>
      </x:c>
      <x:c r="C26" s="34" t="n">
        <x:v>45937</x:v>
      </x:c>
      <x:c r="D26" s="44" t="n">
        <x:v>150.43</x:v>
      </x:c>
      <x:c r="E26" s="44" t="n">
        <x:v>148.94</x:v>
      </x:c>
      <x:c r="F26" s="44" t="n">
        <x:v>152.05</x:v>
      </x:c>
      <x:c r="G26" s="40" t="n">
        <x:f>(C26-'Regression Model'!$B$4)/365.25</x:f>
        <x:v>2.7652292950034223</x:v>
      </x:c>
      <x:c r="H26" s="40" t="n">
        <x:f>'Regression Model'!$B$7+'Regression Model'!$B$8*D26+'Regression Model'!$B$9*G26</x:f>
        <x:v>12.160394828281897</x:v>
      </x:c>
      <x:c r="I26" s="42" t="n">
        <x:f>POWER(10,H26)/1E9</x:f>
        <x:v>1446.7544547286714</x:v>
      </x:c>
      <x:c r="J26" s="42" t="n">
        <x:f>POWER(10,H26-'Regression Model'!$B$11)/1E9</x:f>
        <x:v>505.3384787471704</x:v>
      </x:c>
      <x:c r="K26" s="42" t="n">
        <x:f>POWER(10,H26+'Regression Model'!$B$11)/1E9</x:f>
        <x:v>4141.973232409379</x:v>
      </x:c>
      <x:c r="L26" s="42" t="n">
        <x:f>POWER(10,'Regression Model'!$B$7+'Regression Model'!$B$8*E26+'Regression Model'!$B$9*G26)/1E9</x:f>
        <x:v>1160.356698445603</x:v>
      </x:c>
      <x:c r="M26" s="42" t="n">
        <x:f>POWER(10,'Regression Model'!$B$7+'Regression Model'!$B$8*F26+'Regression Model'!$B$9*G26)/1E9</x:f>
        <x:v>1838.894531718363</x:v>
      </x:c>
      <x:c r="N26" s="42" t="n">
        <x:f>POWER(10,(D26-'Regression Model'!$B$18-'Regression Model'!$B$20*G26)/'Regression Model'!$B$19)/1E9</x:f>
        <x:v>9525.714318531229</x:v>
      </x:c>
      <x:c r="O26" s="42"/>
      <x:c r="P26" s="32" t="str"/>
      <x:c r="Q26" s="32" t="str">
        <x:v>https://epoch.ai/data/eci_scores.csv</x:v>
      </x:c>
      <x:c r="R26" s="32" t="str"/>
    </x:row>
    <x:row r="27">
      <x:c r="A27" s="32" t="str">
        <x:v>GPT-5</x:v>
      </x:c>
      <x:c r="B27" s="32" t="str">
        <x:v>OpenAI</x:v>
      </x:c>
      <x:c r="C27" s="34" t="n">
        <x:v>45876</x:v>
      </x:c>
      <x:c r="D27" s="44" t="n">
        <x:v>150</x:v>
      </x:c>
      <x:c r="E27" s="44"/>
      <x:c r="F27" s="44"/>
      <x:c r="G27" s="40" t="n">
        <x:f>(C27-'Regression Model'!$B$4)/365.25</x:f>
        <x:v>2.598220396988364</x:v>
      </x:c>
      <x:c r="H27" s="40" t="n">
        <x:f>'Regression Model'!$B$7+'Regression Model'!$B$8*D27+'Regression Model'!$B$9*G27</x:f>
        <x:v>12.191354982279131</x:v>
      </x:c>
      <x:c r="I27" s="42" t="n">
        <x:f>POWER(10,H27)/1E9</x:f>
        <x:v>1553.6564139664945</x:v>
      </x:c>
      <x:c r="J27" s="42" t="n">
        <x:f>POWER(10,H27-'Regression Model'!$B$11)/1E9</x:f>
        <x:v>542.6783834419618</x:v>
      </x:c>
      <x:c r="K27" s="42" t="n">
        <x:f>POWER(10,H27+'Regression Model'!$B$11)/1E9</x:f>
        <x:v>4448.027277868131</x:v>
      </x:c>
      <x:c r="L27" s="42" t="n">
        <x:f>POWER(10,'Regression Model'!$B$7+'Regression Model'!$B$8*E27+'Regression Model'!$B$9*G27)/1E9</x:f>
        <x:v>3.521486229811942e-7</x:v>
      </x:c>
      <x:c r="M27" s="42" t="n">
        <x:f>POWER(10,'Regression Model'!$B$7+'Regression Model'!$B$8*F27+'Regression Model'!$B$9*G27)/1E9</x:f>
        <x:v>3.521486229811942e-7</x:v>
      </x:c>
      <x:c r="N27" s="42" t="n">
        <x:f>POWER(10,(D27-'Regression Model'!$B$18-'Regression Model'!$B$20*G27)/'Regression Model'!$B$19)/1E9</x:f>
        <x:v>16550.344860449088</x:v>
      </x:c>
      <x:c r="O27" s="42"/>
      <x:c r="P27" s="32" t="str"/>
      <x:c r="Q27" s="32" t="str">
        <x:v>https://epoch.ai/data/eci_scores.csv</x:v>
      </x:c>
      <x:c r="R27" s="32" t="str"/>
    </x:row>
  </x:sheetData>
  <x:conditionalFormatting sqref="I2:I27">
    <x:cfRule type="dataBar" priority="1">
      <x:dataBar>
        <x:cfvo type="min"/>
        <x:cfvo type="max"/>
        <x:color rgb="FF2F80ED"/>
      </x:dataBar>
      <x:extLst>
        <x:ext xmlns:x14="http://schemas.microsoft.com/office/spreadsheetml/2009/9/main" uri="{B025F937-C7B1-47D3-B67F-A62EFF666E3E}">
          <x14:id>{0AC33F8A-26D6-C545-D90F-3392646E4CB8}</x14:id>
        </x:ext>
      </x:extLst>
    </x:cfRule>
  </x:conditionalFormatting>
  <x:pageMargins left="0.7" right="0.7" top="0.75" bottom="0.75" header="0.3" footer="0.3"/>
  <x:tableParts count="1">
    <x:tablePart xmlns:r="http://schemas.openxmlformats.org/officeDocument/2006/relationships" r:id="Rb0aef624a87140f5"/>
  </x:tableParts>
  <x:extLst>
    <x:ext xmlns:x14="http://schemas.microsoft.com/office/spreadsheetml/2009/9/main" xmlns:xm="http://schemas.microsoft.com/office/excel/2006/main" uri="{78C0D931-6437-407d-A8EE-F0AAD7539E65}">
      <x14:conditionalFormattings>
        <x14:conditionalFormatting>
          <x14:cfRule type="dataBar" priority="1" id="{0AC33F8A-26D6-C545-D90F-3392646E4CB8}">
            <x14:dataBar gradient="1">
              <x14:cfvo type="min"/>
              <x14:cfvo type="max"/>
              <x14:fillColor rgb="FF2F80ED"/>
            </x14:dataBar>
          </x14:cfRule>
          <xm:sqref>I2:I27</xm:sqref>
        </x14:conditionalFormatting>
      </x14:conditionalFormattings>
    </x:ext>
  </x:extLst>
</x:worksheet>
</file>

<file path=xl/worksheets/sheet3.xml><?xml version="1.0" encoding="utf-8"?>
<x:worksheet xmlns:x="http://schemas.openxmlformats.org/spreadsheetml/2006/main">
  <x:sheetFormatPr defaultRowHeight="15"/>
  <x:cols>
    <x:col min="1" max="1" width="28" hidden="0" customWidth="1"/>
    <x:col min="2" max="2" width="24" hidden="0" customWidth="1"/>
    <x:col min="3" max="3" width="13" hidden="0" customWidth="1"/>
    <x:col min="4" max="4" width="2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38" hidden="0" customWidth="1"/>
    <x:col min="14" max="14" width="46" hidden="0" customWidth="1"/>
    <x:col min="15" max="15" width="42" hidden="0" customWidth="1"/>
    <x:col min="16" max="16" width="48" hidden="0" customWidth="1"/>
  </x:cols>
  <x:sheetData>
    <x:row r="1" ht="24" customHeight="1">
      <x:c r="A1" s="68" t="str">
        <x:v>Model</x:v>
      </x:c>
      <x:c r="B1" s="68" t="str">
        <x:v>Organization</x:v>
      </x:c>
      <x:c r="C1" s="68" t="str">
        <x:v>Release date</x:v>
      </x:c>
      <x:c r="D1" s="68" t="str">
        <x:v>Model accessibility</x:v>
      </x:c>
      <x:c r="E1" s="68" t="str">
        <x:v>ECI</x:v>
      </x:c>
      <x:c r="F1" s="68" t="str">
        <x:v>ECI CI low</x:v>
      </x:c>
      <x:c r="G1" s="68" t="str">
        <x:v>ECI CI high</x:v>
      </x:c>
      <x:c r="H1" s="68" t="str">
        <x:v>Total params (B)</x:v>
      </x:c>
      <x:c r="I1" s="68" t="str">
        <x:v>Active params (B)</x:v>
      </x:c>
      <x:c r="J1" s="68" t="str">
        <x:v>Log10 total params</x:v>
      </x:c>
      <x:c r="K1" s="68" t="str">
        <x:v>Years since base</x:v>
      </x:c>
      <x:c r="L1" s="68" t="str">
        <x:v>WLS weight</x:v>
      </x:c>
      <x:c r="M1" s="68" t="str">
        <x:v>Source URL</x:v>
      </x:c>
      <x:c r="N1" s="68" t="str">
        <x:v>Match / assumption</x:v>
      </x:c>
      <x:c r="O1" s="68" t="str">
        <x:v>Parameters notes</x:v>
      </x:c>
      <x:c r="P1" s="68" t="str">
        <x:v>Training compute notes</x:v>
      </x:c>
      <x:c r="Q1" s="47"/>
      <x:c r="R1" s="47"/>
      <x:c r="S1" s="47"/>
      <x:c r="T1" s="47"/>
      <x:c r="U1" s="47"/>
      <x:c r="V1" s="47"/>
      <x:c r="W1" s="47"/>
      <x:c r="X1" s="47"/>
      <x:c r="Y1" s="47"/>
      <x:c r="Z1" s="47"/>
    </x:row>
    <x:row r="2">
      <x:c r="A2" s="32" t="str">
        <x:v>Qwen3-235B-A22B-Instruct (Jul 2025)</x:v>
      </x:c>
      <x:c r="B2" s="32" t="str">
        <x:v>Alibaba</x:v>
      </x:c>
      <x:c r="C2" s="34" t="n">
        <x:v>45863</x:v>
      </x:c>
      <x:c r="D2" s="32" t="str">
        <x:v>Open weights (unrestricted)</x:v>
      </x:c>
      <x:c r="E2" s="44" t="n">
        <x:v>138.96</x:v>
      </x:c>
      <x:c r="F2" s="44" t="n">
        <x:v>135.35</x:v>
      </x:c>
      <x:c r="G2" s="44" t="n">
        <x:v>140.84</x:v>
      </x:c>
      <x:c r="H2" s="50" t="n">
        <x:v>235</x:v>
      </x:c>
      <x:c r="I2" s="50" t="n">
        <x:v>22</x:v>
      </x:c>
      <x:c r="J2" s="40" t="n">
        <x:f>LOG10(H2*1E9)</x:f>
        <x:v>11.3710678622717</x:v>
      </x:c>
      <x:c r="K2" s="40" t="n">
        <x:f>(C2-'Regression Model'!$B$4)/365.25</x:f>
        <x:v>2.5626283367556466</x:v>
      </x:c>
      <x:c r="L2" s="44" t="n">
        <x:f>IFERROR(1/(((G2-F2)/3.92)^2),1)</x:f>
        <x:v>0.5098324159508412</x:v>
      </x:c>
      <x:c r="M2" s="32" t="str">
        <x:v>https://qwenlm.github.io/blog/qwen3/</x:v>
      </x:c>
      <x:c r="N2" s="32" t="str">
        <x:v>Filled from Qwen3-235B-A22B same-family architecture in Epoch data</x:v>
      </x:c>
      <x:c r="O2" s="32" t="str">
        <x:v>235 billion total parameters and 22 billion activated parameters
Number of Layers: 94
Number of Attention Heads (GQA): 64 for Q and 4 for KV
Number of Experts: 128
Number of Activated Experts: 8
Context Length: 32,768 natively and 131,072 tokens with YaRN.</x:v>
      </x:c>
      <x:c r="P2" s="32" t="str">
        <x:v>6 FLOP / parameter / token * 22*10^9 active parameters * 36000000000000 tokens = 4.752e+24 FLOP</x:v>
      </x:c>
    </x:row>
    <x:row r="3">
      <x:c r="A3" s="32" t="str">
        <x:v>Qwen3-235B-A22B-Thinking (Jul 2025)</x:v>
      </x:c>
      <x:c r="B3" s="32" t="str">
        <x:v>Alibaba</x:v>
      </x:c>
      <x:c r="C3" s="34" t="n">
        <x:v>45863</x:v>
      </x:c>
      <x:c r="D3" s="32" t="str">
        <x:v>Open weights (unrestricted)</x:v>
      </x:c>
      <x:c r="E3" s="44" t="n">
        <x:v>144.78</x:v>
      </x:c>
      <x:c r="F3" s="44" t="n">
        <x:v>142.35</x:v>
      </x:c>
      <x:c r="G3" s="44" t="n">
        <x:v>147.4</x:v>
      </x:c>
      <x:c r="H3" s="50" t="n">
        <x:v>235</x:v>
      </x:c>
      <x:c r="I3" s="50" t="n">
        <x:v>22</x:v>
      </x:c>
      <x:c r="J3" s="40" t="n">
        <x:f>LOG10(H3*1E9)</x:f>
        <x:v>11.3710678622717</x:v>
      </x:c>
      <x:c r="K3" s="40" t="n">
        <x:f>(C3-'Regression Model'!$B$4)/365.25</x:f>
        <x:v>2.5626283367556466</x:v>
      </x:c>
      <x:c r="L3" s="44" t="n">
        <x:f>IFERROR(1/(((G3-F3)/3.92)^2),1)</x:f>
        <x:v>0.6025448485442577</x:v>
      </x:c>
      <x:c r="M3" s="32" t="str">
        <x:v>https://qwenlm.github.io/blog/qwen3/</x:v>
      </x:c>
      <x:c r="N3" s="32" t="str">
        <x:v>Exact/near-exact name match in Epoch all_ai_models.csv</x:v>
      </x:c>
      <x:c r="O3" s="32" t="str">
        <x:v>235 billion total parameters and 22 billion activated parameters
Number of Layers: 94
Number of Attention Heads (GQA): 64 for Q and 4 for KV
Number of Experts: 128
Number of Activated Experts: 8
Context Length: 32,768 natively and 131,072 tokens with YaRN.</x:v>
      </x:c>
      <x:c r="P3" s="32" t="str">
        <x:v>6 FLOP / parameter / token * 22*10^9 active parameters * 36000000000000 tokens = 4.752e+24 FLOP</x:v>
      </x:c>
    </x:row>
    <x:row r="4">
      <x:c r="A4" s="32" t="str">
        <x:v>gpt-oss-120b</x:v>
      </x:c>
      <x:c r="B4" s="32" t="str">
        <x:v>OpenAI</x:v>
      </x:c>
      <x:c r="C4" s="34" t="n">
        <x:v>45874</x:v>
      </x:c>
      <x:c r="D4" s="32" t="str">
        <x:v>Open weights (unrestricted)</x:v>
      </x:c>
      <x:c r="E4" s="44" t="n">
        <x:v>140.57</x:v>
      </x:c>
      <x:c r="F4" s="44" t="n">
        <x:v>136.18</x:v>
      </x:c>
      <x:c r="G4" s="44" t="n">
        <x:v>143.08</x:v>
      </x:c>
      <x:c r="H4" s="50" t="n">
        <x:v>116.83</x:v>
      </x:c>
      <x:c r="I4" s="50" t="n">
        <x:v>116.83</x:v>
      </x:c>
      <x:c r="J4" s="40" t="n">
        <x:f>LOG10(H4*1E9)</x:f>
        <x:v>11.0675543766935</x:v>
      </x:c>
      <x:c r="K4" s="40" t="n">
        <x:f>(C4-'Regression Model'!$B$4)/365.25</x:f>
        <x:v>2.5927446954141</x:v>
      </x:c>
      <x:c r="L4" s="44" t="n">
        <x:f>IFERROR(1/(((G4-F4)/3.92)^2),1)</x:f>
        <x:v>0.32275572358748106</x:v>
      </x:c>
      <x:c r="M4" s="32" t="str">
        <x:v>https://cdn.openai.com/pdf/419b6906-9da6-406c-a19d-1bb078ac7637/oai_gpt-oss_model_card.pdf</x:v>
      </x:c>
      <x:c r="N4" s="32" t="str">
        <x:v>Exact/near-exact name match in Epoch all_ai_models.csv Assumed dense/non-MoE: active params equal total params.</x:v>
      </x:c>
      <x:c r="O4" s="32" t="str">
        <x:v>Total parameters: 116.83B</x:v>
      </x:c>
      <x:c r="P4" s="32" t="str">
        <x:v>"The training run for gpt-oss-120b required 2.1 million H100-hours to complete"
(2.1e6 hours)*(1,979 H100 FLOP/s)*(30% utilization)*(60*60) = 4.49e24
They also do post training similar to o3, which we assume adds at least 10% as much compute, so we multiply this estimate by 1.1 to get 4.94e24
</x:v>
      </x:c>
    </x:row>
    <x:row r="5">
      <x:c r="A5" s="32" t="str">
        <x:v>DeepSeek-V3.1</x:v>
      </x:c>
      <x:c r="B5" s="32" t="str">
        <x:v>DeepSeek</x:v>
      </x:c>
      <x:c r="C5" s="34" t="n">
        <x:v>45890</x:v>
      </x:c>
      <x:c r="D5" s="32" t="str">
        <x:v>Open weights (unrestricted)</x:v>
      </x:c>
      <x:c r="E5" s="44" t="n">
        <x:v>138.68</x:v>
      </x:c>
      <x:c r="F5" s="44" t="n">
        <x:v>135.73</x:v>
      </x:c>
      <x:c r="G5" s="44" t="n">
        <x:v>142.57</x:v>
      </x:c>
      <x:c r="H5" s="50" t="n">
        <x:v>671</x:v>
      </x:c>
      <x:c r="I5" s="50" t="n">
        <x:v>37</x:v>
      </x:c>
      <x:c r="J5" s="40" t="n">
        <x:f>LOG10(H5*1E9)</x:f>
        <x:v>11.826722520169</x:v>
      </x:c>
      <x:c r="K5" s="40" t="n">
        <x:f>(C5-'Regression Model'!$B$4)/365.25</x:f>
        <x:v>2.6365503080082138</x:v>
      </x:c>
      <x:c r="L5" s="44" t="n">
        <x:f>IFERROR(1/(((G5-F5)/3.92)^2),1)</x:f>
        <x:v>0.32844293970794397</x:v>
      </x:c>
      <x:c r="M5" s="32" t="str">
        <x:v>https://api-docs.deepseek.com/news/news250821
https://huggingface.co/deepseek-ai/DeepSeek-V3.1</x:v>
      </x:c>
      <x:c r="N5" s="32" t="str">
        <x:v>Exact/near-exact name match in Epoch all_ai_models.csv</x:v>
      </x:c>
      <x:c r="O5" s="32" t="str">
        <x:v>671B total, 37B active</x:v>
      </x:c>
      <x:c r="P5" s="32" t="str">
        <x:v>This was based on V3 which was trained on 14.8T tokens for a total of 14.8T + 840B = 15.64T pretraining tokens. Adding the FLOPs from continued pretraining onto our estimate for V3, which is 3.4e24 FLOPs, we get 3.4e24 + 1.9e23 = 3.59e24</x:v>
      </x:c>
    </x:row>
    <x:row r="6">
      <x:c r="A6" s="32" t="str">
        <x:v>DeepSeek-V3.2-Exp</x:v>
      </x:c>
      <x:c r="B6" s="32" t="str">
        <x:v>DeepSeek</x:v>
      </x:c>
      <x:c r="C6" s="34" t="n">
        <x:v>45929</x:v>
      </x:c>
      <x:c r="D6" s="32" t="str">
        <x:v>Open weights (unrestricted)</x:v>
      </x:c>
      <x:c r="E6" s="44" t="n">
        <x:v>144.86</x:v>
      </x:c>
      <x:c r="F6" s="44" t="n">
        <x:v>141.79</x:v>
      </x:c>
      <x:c r="G6" s="44" t="n">
        <x:v>146.71</x:v>
      </x:c>
      <x:c r="H6" s="50" t="n">
        <x:v>671</x:v>
      </x:c>
      <x:c r="I6" s="50" t="n">
        <x:v>37</x:v>
      </x:c>
      <x:c r="J6" s="40" t="n">
        <x:f>LOG10(H6*1E9)</x:f>
        <x:v>11.826722520169</x:v>
      </x:c>
      <x:c r="K6" s="40" t="n">
        <x:f>(C6-'Regression Model'!$B$4)/365.25</x:f>
        <x:v>2.7433264887063653</x:v>
      </x:c>
      <x:c r="L6" s="44" t="n">
        <x:f>IFERROR(1/(((G6-F6)/3.92)^2),1)</x:f>
        <x:v>0.6348073236829886</x:v>
      </x:c>
      <x:c r="M6" s="32" t="str">
        <x:v>https://github.com/deepseek-ai/DeepSeek-V3.2-Exp/blob/main/DeepSeek_V3_2.pdf</x:v>
      </x:c>
      <x:c r="N6" s="32" t="str">
        <x:v>Exact/near-exact name match in Epoch all_ai_models.csv</x:v>
      </x:c>
      <x:c r="O6" s="32" t="str">
        <x:v>671B total, 37B active (assuming same as in the base model)</x:v>
      </x:c>
      <x:c r="P6" s="32" t="str">
        <x:v>3.594058e+24 FLOP [base model] + 2.095014e+23 FLOP = 3.8035594e+24 FLOP for pre-training plus continued pre-training
Then, "this framework allocates a
post-training computational budget exceeding 10% of the pre-training cost", so 4.18e24</x:v>
      </x:c>
    </x:row>
    <x:row r="7">
      <x:c r="A7" s="32" t="str">
        <x:v>GLM-4.6</x:v>
      </x:c>
      <x:c r="B7" s="32" t="str">
        <x:v>Z.ai (Zhipu AI),Tsinghua University</x:v>
      </x:c>
      <x:c r="C7" s="34" t="n">
        <x:v>45930</x:v>
      </x:c>
      <x:c r="D7" s="32" t="str">
        <x:v>Open weights (unrestricted)</x:v>
      </x:c>
      <x:c r="E7" s="44" t="n">
        <x:v>140.95</x:v>
      </x:c>
      <x:c r="F7" s="44" t="n">
        <x:v>136.28</x:v>
      </x:c>
      <x:c r="G7" s="44" t="n">
        <x:v>142.51</x:v>
      </x:c>
      <x:c r="H7" s="50" t="n">
        <x:v>357</x:v>
      </x:c>
      <x:c r="I7" s="50" t="n">
        <x:v>32</x:v>
      </x:c>
      <x:c r="J7" s="40" t="n">
        <x:f>LOG10(H7*1E9)</x:f>
        <x:v>11.5526682161122</x:v>
      </x:c>
      <x:c r="K7" s="40" t="n">
        <x:f>(C7-'Regression Model'!$B$4)/365.25</x:f>
        <x:v>2.746064339493498</x:v>
      </x:c>
      <x:c r="L7" s="44" t="n">
        <x:f>IFERROR(1/(((G7-F7)/3.92)^2),1)</x:f>
        <x:v>0.3959096073728077</x:v>
      </x:c>
      <x:c r="M7" s="32" t="str">
        <x:v>https://z.ai/blog/glm-4.6</x:v>
      </x:c>
      <x:c r="N7" s="32" t="str">
        <x:v>Exact/near-exact name match in Epoch all_ai_models.csv</x:v>
      </x:c>
      <x:c r="O7" s="32" t="str">
        <x:v>Similarly to GLM 4.5: 355 billion total parameters (reported) with 32 billion active parameters (assumed)</x:v>
      </x:c>
      <x:c r="P7" s="32" t="str">
        <x:v>6 FLOP/parameter/token * 32000000000 active parameters [very likely assumption - everything else is reported to be same as at GLM 4.5] * 23000000000000 tokens = 4.42e24 FLOP</x:v>
      </x:c>
    </x:row>
    <x:row r="8">
      <x:c r="A8" s="32" t="str">
        <x:v>Kimi K2 Thinking</x:v>
      </x:c>
      <x:c r="B8" s="32" t="str">
        <x:v>Moonshot</x:v>
      </x:c>
      <x:c r="C8" s="34" t="n">
        <x:v>45967</x:v>
      </x:c>
      <x:c r="D8" s="32" t="str">
        <x:v>Open weights (restricted use)</x:v>
      </x:c>
      <x:c r="E8" s="44" t="n">
        <x:v>146.01</x:v>
      </x:c>
      <x:c r="F8" s="44" t="n">
        <x:v>143.68</x:v>
      </x:c>
      <x:c r="G8" s="44" t="n">
        <x:v>147.44</x:v>
      </x:c>
      <x:c r="H8" s="50" t="n">
        <x:v>1000</x:v>
      </x:c>
      <x:c r="I8" s="50" t="n">
        <x:v>32</x:v>
      </x:c>
      <x:c r="J8" s="40" t="n">
        <x:f>LOG10(H8*1E9)</x:f>
        <x:v>12</x:v>
      </x:c>
      <x:c r="K8" s="40" t="n">
        <x:f>(C8-'Regression Model'!$B$4)/365.25</x:f>
        <x:v>2.847364818617385</x:v>
      </x:c>
      <x:c r="L8" s="44" t="n">
        <x:f>IFERROR(1/(((G8-F8)/3.92)^2),1)</x:f>
        <x:v>1.0869171570846587</x:v>
      </x:c>
      <x:c r="M8" s="32" t="str">
        <x:v>https://moonshotai.github.io/Kimi-K2/thinking</x:v>
      </x:c>
      <x:c r="N8" s="32" t="str">
        <x:v>Exact/near-exact name match in Epoch all_ai_models.csv</x:v>
      </x:c>
      <x:c r="O8" s="32" t="str">
        <x:v>Total Parameters	1T
Activated Parameters	32B</x:v>
      </x:c>
      <x:c r="P8" s="32" t="str">
        <x:v>Assuming the additional post-training contributed between 1% and 100% of Kimi K2's training compute (which we confidently estimate at 2.976e+24), we get a range of 3.0e24 to 6.0e24, and a geometric mean of 4.2e24.</x:v>
      </x:c>
    </x:row>
    <x:row r="9">
      <x:c r="A9" s="32" t="str">
        <x:v>DeepSeek-V3.2</x:v>
      </x:c>
      <x:c r="B9" s="32" t="str">
        <x:v>DeepSeek</x:v>
      </x:c>
      <x:c r="C9" s="34" t="n">
        <x:v>45992</x:v>
      </x:c>
      <x:c r="D9" s="32" t="str">
        <x:v>Open weights (unrestricted)</x:v>
      </x:c>
      <x:c r="E9" s="44" t="n">
        <x:v>146.56</x:v>
      </x:c>
      <x:c r="F9" s="44" t="n">
        <x:v>144.63</x:v>
      </x:c>
      <x:c r="G9" s="44" t="n">
        <x:v>147.62</x:v>
      </x:c>
      <x:c r="H9" s="50" t="n">
        <x:v>671</x:v>
      </x:c>
      <x:c r="I9" s="50" t="n">
        <x:v>37</x:v>
      </x:c>
      <x:c r="J9" s="40" t="n">
        <x:f>LOG10(H9*1E9)</x:f>
        <x:v>11.826722520169</x:v>
      </x:c>
      <x:c r="K9" s="40" t="n">
        <x:f>(C9-'Regression Model'!$B$4)/365.25</x:f>
        <x:v>2.915811088295688</x:v>
      </x:c>
      <x:c r="L9" s="44" t="n">
        <x:f>IFERROR(1/(((G9-F9)/3.92)^2),1)</x:f>
        <x:v>1.7188174628919035</x:v>
      </x:c>
      <x:c r="M9" s="32" t="str">
        <x:v>https://github.com/deepseek-ai/DeepSeek-V3.2-Exp/blob/main/DeepSeek_V3_2.pdf</x:v>
      </x:c>
      <x:c r="N9" s="32" t="str">
        <x:v>Filled from DeepSeek-V3.2-Exp / DeepSeek-V3.1 same-family architecture in Epoch data</x:v>
      </x:c>
      <x:c r="O9" s="32" t="str">
        <x:v>671B total, 37B active (assuming same as in the base model)</x:v>
      </x:c>
      <x:c r="P9" s="32" t="str">
        <x:v>3.594058e+24 FLOP [base model] + 2.095014e+23 FLOP = 3.8035594e+24 FLOP for pre-training plus continued pre-training
Then, "this framework allocates a
post-training computational budget exceeding 10% of the pre-training cost", so 4.18e24</x:v>
      </x:c>
    </x:row>
    <x:row r="10">
      <x:c r="A10" s="32" t="str">
        <x:v>GLM-4.7</x:v>
      </x:c>
      <x:c r="B10" s="32" t="str">
        <x:v>Z.ai (Zhipu AI)</x:v>
      </x:c>
      <x:c r="C10" s="34" t="n">
        <x:v>46013</x:v>
      </x:c>
      <x:c r="D10" s="32" t="str">
        <x:v>Open weights (unrestricted)</x:v>
      </x:c>
      <x:c r="E10" s="44" t="n">
        <x:v>143.73</x:v>
      </x:c>
      <x:c r="F10" s="44" t="n">
        <x:v>141.11</x:v>
      </x:c>
      <x:c r="G10" s="44" t="n">
        <x:v>145.38</x:v>
      </x:c>
      <x:c r="H10" s="50" t="n">
        <x:v>358</x:v>
      </x:c>
      <x:c r="I10" s="50" t="n">
        <x:v>32</x:v>
      </x:c>
      <x:c r="J10" s="40" t="n">
        <x:f>LOG10(H10*1E9)</x:f>
        <x:v>11.5538830266439</x:v>
      </x:c>
      <x:c r="K10" s="40" t="n">
        <x:f>(C10-'Regression Model'!$B$4)/365.25</x:f>
        <x:v>2.973305954825462</x:v>
      </x:c>
      <x:c r="L10" s="44" t="n">
        <x:f>IFERROR(1/(((G10-F10)/3.92)^2),1)</x:f>
        <x:v>0.8427841977962982</x:v>
      </x:c>
      <x:c r="M10" s="32" t="str">
        <x:v>https://z.ai/blog/glm-4.7</x:v>
      </x:c>
      <x:c r="N10" s="32" t="str">
        <x:v>Exact/near-exact name match in Epoch all_ai_models.csv</x:v>
      </x:c>
      <x:c r="O10" s="32" t="str">
        <x:v>mixture of experts (MoE) with 358B total, 32B active</x:v>
      </x:c>
      <x:c r="P10" s="32" t="str">
        <x:v>Training tokens not disclosed.
Presuming this is a post-training update from GLM-4.5 (23T tokens) with minor additional compute, training compute is at least:
6 FLOP/parameter/token * 32B active parameters * 23T tokens = 4.42e24 FLOP</x:v>
      </x:c>
    </x:row>
    <x:row r="11">
      <x:c r="A11" s="32" t="str">
        <x:v>Kimi K2.5</x:v>
      </x:c>
      <x:c r="B11" s="32" t="str">
        <x:v>Moonshot</x:v>
      </x:c>
      <x:c r="C11" s="34" t="n">
        <x:v>46055</x:v>
      </x:c>
      <x:c r="D11" s="32" t="str">
        <x:v>Open weights (unrestricted)</x:v>
      </x:c>
      <x:c r="E11" s="44" t="n">
        <x:v>148.24</x:v>
      </x:c>
      <x:c r="F11" s="44" t="n">
        <x:v>146.58</x:v>
      </x:c>
      <x:c r="G11" s="44" t="n">
        <x:v>149.36</x:v>
      </x:c>
      <x:c r="H11" s="50" t="n">
        <x:v>1040</x:v>
      </x:c>
      <x:c r="I11" s="50" t="n">
        <x:v>32</x:v>
      </x:c>
      <x:c r="J11" s="40" t="n">
        <x:f>LOG10(H11*1E9)</x:f>
        <x:v>12.0170333392988</x:v>
      </x:c>
      <x:c r="K11" s="40" t="n">
        <x:f>(C11-'Regression Model'!$B$4)/365.25</x:f>
        <x:v>3.0882956878850103</x:v>
      </x:c>
      <x:c r="L11" s="44" t="n">
        <x:f>IFERROR(1/(((G11-F11)/3.92)^2),1)</x:f>
        <x:v>1.9883028828735556</x:v>
      </x:c>
      <x:c r="M11" s="32" t="str">
        <x:v>https://arxiv.org/abs/2602.02276</x:v>
      </x:c>
      <x:c r="N11" s="32" t="str">
        <x:v>Exact/near-exact name match in Epoch all_ai_models.csv</x:v>
      </x:c>
      <x:c r="O11" s="32" t="str">
        <x:v>"The model comprises 1.04 trillion total parameters"</x:v>
      </x:c>
      <x:c r="P11" s="32" t="str">
        <x:v>Per section 3.2, "The joint pre-training stage continues from a near-end Kimi K2 checkpoint over additional 15T vision-text tokens at 4K sequence length"
Kimi K2 was pretrained on 15T tokens. A near-end checkpoint of K2 was trained into K2.5 over another 15T tokens (or 15.2 to 15.5T tokens). This makes for a total of ~30T.
There are an additional 1T tokens in "Stage 1" used to train the ViT encoder, which is likely much smaller than the full LLM, so we omit those tokens to calculate training compute.
30e12 tokens * 32B parameters * 6 = 5.76e24 FLOP
Per Kimi talk (timestamp 26:00), the 15 trillion tokens of K2.5 were additive, for 30T training tokens overall: https://x.com/Kimi_Moonshot/status/2035011542115393973?s=20</x:v>
      </x:c>
    </x:row>
    <x:row r="12">
      <x:c r="A12" s="32" t="str">
        <x:v>GLM-5</x:v>
      </x:c>
      <x:c r="B12" s="32" t="str">
        <x:v>Z.ai (Zhipu AI)</x:v>
      </x:c>
      <x:c r="C12" s="34" t="n">
        <x:v>46064</x:v>
      </x:c>
      <x:c r="D12" s="32" t="str">
        <x:v>Open weights (unrestricted)</x:v>
      </x:c>
      <x:c r="E12" s="44" t="n">
        <x:v>146.39</x:v>
      </x:c>
      <x:c r="F12" s="44" t="n">
        <x:v>144.52</x:v>
      </x:c>
      <x:c r="G12" s="44" t="n">
        <x:v>147.86</x:v>
      </x:c>
      <x:c r="H12" s="50" t="n">
        <x:v>744</x:v>
      </x:c>
      <x:c r="I12" s="50" t="n">
        <x:v>40</x:v>
      </x:c>
      <x:c r="J12" s="40" t="n">
        <x:f>LOG10(H12*1E9)</x:f>
        <x:v>11.8715729355459</x:v>
      </x:c>
      <x:c r="K12" s="40" t="n">
        <x:f>(C12-'Regression Model'!$B$4)/365.25</x:f>
        <x:v>3.1129363449691994</x:v>
      </x:c>
      <x:c r="L12" s="44" t="n">
        <x:f>IFERROR(1/(((G12-F12)/3.92)^2),1)</x:f>
        <x:v>1.3774606475671383</x:v>
      </x:c>
      <x:c r="M12" s="32" t="str">
        <x:v>https://arxiv.org/pdf/2602.15763</x:v>
      </x:c>
      <x:c r="N12" s="32" t="str">
        <x:v>Exact/near-exact name match in Epoch all_ai_models.csv</x:v>
      </x:c>
      <x:c r="O12" s="32" t="str">
        <x:v>"GLM-5 scales to 256 experts and reduces its layer count to 80 to minimize expert parallelism communication overhead. This results in a 744B parameter model"</x:v>
      </x:c>
      <x:c r="P12" s="32" t="str">
        <x:v>6 * 40B parameters * 28.5e12 tokens = 6.84e24 FLOP estimated</x:v>
      </x:c>
    </x:row>
    <x:row r="13">
      <x:c r="A13" s="32" t="str">
        <x:v>MiniMax-M2.5</x:v>
      </x:c>
      <x:c r="B13" s="32" t="str">
        <x:v>MiniMax</x:v>
      </x:c>
      <x:c r="C13" s="34" t="n">
        <x:v>46065</x:v>
      </x:c>
      <x:c r="D13" s="32" t="str">
        <x:v>Open weights (unrestricted)</x:v>
      </x:c>
      <x:c r="E13" s="44" t="n">
        <x:v>147.07</x:v>
      </x:c>
      <x:c r="F13" s="44" t="n">
        <x:v>142.34</x:v>
      </x:c>
      <x:c r="G13" s="44" t="n">
        <x:v>148.14</x:v>
      </x:c>
      <x:c r="H13" s="50" t="n">
        <x:v>229</x:v>
      </x:c>
      <x:c r="I13" s="50" t="n">
        <x:v>10</x:v>
      </x:c>
      <x:c r="J13" s="40" t="n">
        <x:f>LOG10(H13*1E9)</x:f>
        <x:v>11.3598354823399</x:v>
      </x:c>
      <x:c r="K13" s="40" t="n">
        <x:f>(C13-'Regression Model'!$B$4)/365.25</x:f>
        <x:v>3.1156741957563314</x:v>
      </x:c>
      <x:c r="L13" s="44" t="n">
        <x:f>IFERROR(1/(((G13-F13)/3.92)^2),1)</x:f>
        <x:v>0.4567895362663522</x:v>
      </x:c>
      <x:c r="M13" s="32" t="str">
        <x:v>https://www.minimax.io/news/minimax-m25</x:v>
      </x:c>
      <x:c r="N13" s="32" t="str">
        <x:v>Exact/near-exact name match in Epoch all_ai_models.csv</x:v>
      </x:c>
      <x:c r="O13" s="32" t="str">
        <x:v>HF lists 229B params
10B active parameters</x:v>
      </x:c>
      <x:c r="P13" s="32" t="str"/>
    </x:row>
    <x:row r="14">
      <x:c r="A14" s="32" t="str">
        <x:v>MiniMax-M2.7</x:v>
      </x:c>
      <x:c r="B14" s="32" t="str">
        <x:v>MiniMax</x:v>
      </x:c>
      <x:c r="C14" s="34" t="n">
        <x:v>46099</x:v>
      </x:c>
      <x:c r="D14" s="32" t="str">
        <x:v>Open weights (non-commercial)</x:v>
      </x:c>
      <x:c r="E14" s="44" t="n">
        <x:v>145.61</x:v>
      </x:c>
      <x:c r="F14" s="44" t="n">
        <x:v>138.06</x:v>
      </x:c>
      <x:c r="G14" s="44" t="n">
        <x:v>147.75</x:v>
      </x:c>
      <x:c r="H14" s="50" t="n">
        <x:v>229</x:v>
      </x:c>
      <x:c r="I14" s="50" t="n">
        <x:v>10</x:v>
      </x:c>
      <x:c r="J14" s="40" t="n">
        <x:f>LOG10(H14*1E9)</x:f>
        <x:v>11.3598354823399</x:v>
      </x:c>
      <x:c r="K14" s="40" t="n">
        <x:f>(C14-'Regression Model'!$B$4)/365.25</x:f>
        <x:v>3.2087611225188226</x:v>
      </x:c>
      <x:c r="L14" s="44" t="n">
        <x:f>IFERROR(1/(((G14-F14)/3.92)^2),1)</x:f>
        <x:v>0.16365322947385472</x:v>
      </x:c>
      <x:c r="M14" s="32" t="str">
        <x:v>https://www.minimax.io/news/minimax-m25</x:v>
      </x:c>
      <x:c r="N14" s="32" t="str">
        <x:v>Filled from MiniMax-M2/M2.5 same-family architecture in Epoch data</x:v>
      </x:c>
      <x:c r="O14" s="32" t="str">
        <x:v>HF lists 229B params
10B active parameters</x:v>
      </x:c>
      <x:c r="P14" s="32" t="str"/>
    </x:row>
    <x:row r="15">
      <x:c r="A15" s="32" t="str">
        <x:v>Kimi K2.6</x:v>
      </x:c>
      <x:c r="B15" s="32" t="str">
        <x:v>Moonshot</x:v>
      </x:c>
      <x:c r="C15" s="34" t="n">
        <x:v>46132</x:v>
      </x:c>
      <x:c r="D15" s="32" t="str">
        <x:v>Open weights (unrestricted)</x:v>
      </x:c>
      <x:c r="E15" s="44" t="n">
        <x:v>151.02</x:v>
      </x:c>
      <x:c r="F15" s="44" t="n">
        <x:v>149.18</x:v>
      </x:c>
      <x:c r="G15" s="44" t="n">
        <x:v>152.53</x:v>
      </x:c>
      <x:c r="H15" s="50" t="n">
        <x:v>1040</x:v>
      </x:c>
      <x:c r="I15" s="50" t="n">
        <x:v>32</x:v>
      </x:c>
      <x:c r="J15" s="40" t="n">
        <x:f>LOG10(H15*1E9)</x:f>
        <x:v>12.0170333392988</x:v>
      </x:c>
      <x:c r="K15" s="40" t="n">
        <x:f>(C15-'Regression Model'!$B$4)/365.25</x:f>
        <x:v>3.299110198494182</x:v>
      </x:c>
      <x:c r="L15" s="44" t="n">
        <x:f>IFERROR(1/(((G15-F15)/3.92)^2),1)</x:f>
        <x:v>1.3692492760080244</x:v>
      </x:c>
      <x:c r="M15" s="32" t="str">
        <x:v>https://www.kimi.com/ai-models/kimi-k2-6</x:v>
      </x:c>
      <x:c r="N15" s="32" t="str">
        <x:v>Exact/near-exact name match in Epoch all_ai_models.csv Assumed 32B active params from same Kimi K2.x family where Epoch gives 32B active.</x:v>
      </x:c>
      <x:c r="O15" s="32" t="str"/>
      <x:c r="P15" s="32" t="str"/>
    </x:row>
    <x:row r="16">
      <x:c r="A16" s="32" t="str">
        <x:v>DeepSeek-V4-Pro</x:v>
      </x:c>
      <x:c r="B16" s="32" t="str">
        <x:v>DeepSeek</x:v>
      </x:c>
      <x:c r="C16" s="34" t="n">
        <x:v>46136</x:v>
      </x:c>
      <x:c r="D16" s="32" t="str">
        <x:v>Open weights (unrestricted)</x:v>
      </x:c>
      <x:c r="E16" s="44" t="n">
        <x:v>149.74</x:v>
      </x:c>
      <x:c r="F16" s="44" t="n">
        <x:v>147.87</x:v>
      </x:c>
      <x:c r="G16" s="44" t="n">
        <x:v>152.06</x:v>
      </x:c>
      <x:c r="H16" s="50" t="n">
        <x:v>1600</x:v>
      </x:c>
      <x:c r="I16" s="50" t="n">
        <x:v>49</x:v>
      </x:c>
      <x:c r="J16" s="40" t="n">
        <x:f>LOG10(H16*1E9)</x:f>
        <x:v>12.2041199826559</x:v>
      </x:c>
      <x:c r="K16" s="40" t="n">
        <x:f>(C16-'Regression Model'!$B$4)/365.25</x:f>
        <x:v>3.3100616016427105</x:v>
      </x:c>
      <x:c r="L16" s="44" t="n">
        <x:f>IFERROR(1/(((G16-F16)/3.92)^2),1)</x:f>
        <x:v>0.8752741212456079</x:v>
      </x:c>
      <x:c r="M16" s="32" t="str">
        <x:v>https://huggingface.co/deepseek-ai/DeepSeek-V4-Pro/blob/main/DeepSeek_V4.pdf</x:v>
      </x:c>
      <x:c r="N16" s="32" t="str">
        <x:v>Exact/near-exact name match in Epoch all_ai_models.csv</x:v>
      </x:c>
      <x:c r="O16" s="32" t="str">
        <x:v>1.6T total, 49B active</x:v>
      </x:c>
      <x:c r="P16" s="32" t="str">
        <x:v>6 * 49e9 active parameters * 33e12 tokens = 9.702E24 for pre-training</x:v>
      </x:c>
    </x:row>
    <x:row r="17">
      <x:c r="A17" s="32" t="str">
        <x:v>Kimi K2.7 Code</x:v>
      </x:c>
      <x:c r="B17" s="32" t="str">
        <x:v>Moonshot</x:v>
      </x:c>
      <x:c r="C17" s="34" t="n">
        <x:v>46185</x:v>
      </x:c>
      <x:c r="D17" s="32" t="str">
        <x:v>Open weights (unrestricted)</x:v>
      </x:c>
      <x:c r="E17" s="44" t="n">
        <x:v>150.07</x:v>
      </x:c>
      <x:c r="F17" s="44" t="n">
        <x:v>148.48</x:v>
      </x:c>
      <x:c r="G17" s="44" t="n">
        <x:v>151.25</x:v>
      </x:c>
      <x:c r="H17" s="50" t="n">
        <x:v>1040</x:v>
      </x:c>
      <x:c r="I17" s="50" t="n">
        <x:v>32</x:v>
      </x:c>
      <x:c r="J17" s="40" t="n">
        <x:f>LOG10(H17*1E9)</x:f>
        <x:v>12.0170333392988</x:v>
      </x:c>
      <x:c r="K17" s="40" t="n">
        <x:f>(C17-'Regression Model'!$B$4)/365.25</x:f>
        <x:v>3.4442162902121836</x:v>
      </x:c>
      <x:c r="L17" s="44" t="n">
        <x:f>IFERROR(1/(((G17-F17)/3.92)^2),1)</x:f>
        <x:v>2.0026847736839897</x:v>
      </x:c>
      <x:c r="M17" s="32" t="str">
        <x:v>https://platform.kimi.ai/docs/guide/kimi-k2-7-code-quickstart</x:v>
      </x:c>
      <x:c r="N17" s="32" t="str">
        <x:v>Exact/near-exact name match in Epoch all_ai_models.csv Assumed 32B active params from same Kimi K2.x family where Epoch gives 32B active.</x:v>
      </x:c>
      <x:c r="O17" s="32" t="str"/>
      <x:c r="P17" s="32" t="str"/>
    </x:row>
    <x:row r="18">
      <x:c r="A18" s="32" t="str">
        <x:v>GLM-5.2</x:v>
      </x:c>
      <x:c r="B18" s="32" t="str">
        <x:v>Z.ai (Zhipu AI)</x:v>
      </x:c>
      <x:c r="C18" s="34" t="n">
        <x:v>46189</x:v>
      </x:c>
      <x:c r="D18" s="32" t="str">
        <x:v>Open weights (unrestricted)</x:v>
      </x:c>
      <x:c r="E18" s="44" t="n">
        <x:v>151.6</x:v>
      </x:c>
      <x:c r="F18" s="44" t="n">
        <x:v>149.97</x:v>
      </x:c>
      <x:c r="G18" s="44" t="n">
        <x:v>153.86</x:v>
      </x:c>
      <x:c r="H18" s="50" t="n">
        <x:v>744</x:v>
      </x:c>
      <x:c r="I18" s="50" t="n">
        <x:v>40</x:v>
      </x:c>
      <x:c r="J18" s="40" t="n">
        <x:f>LOG10(H18*1E9)</x:f>
        <x:v>11.8715729355459</x:v>
      </x:c>
      <x:c r="K18" s="40" t="n">
        <x:f>(C18-'Regression Model'!$B$4)/365.25</x:f>
        <x:v>3.455167693360712</x:v>
      </x:c>
      <x:c r="L18" s="44" t="n">
        <x:f>IFERROR(1/(((G18-F18)/3.92)^2),1)</x:f>
        <x:v>1.0154836407372332</x:v>
      </x:c>
      <x:c r="M18" s="32" t="str">
        <x:v>https://z.ai/blog/glm-5.2</x:v>
      </x:c>
      <x:c r="N18" s="32" t="str">
        <x:v>Exact/near-exact name match in Epoch all_ai_models.csv Assumed 40B active params from GLM-5 family compute notes.</x:v>
      </x:c>
      <x:c r="O18" s="32" t="str"/>
      <x:c r="P18" s="32" t="str"/>
    </x:row>
  </x:sheetData>
  <x:conditionalFormatting sqref="H2:H18">
    <x:cfRule type="dataBar" priority="1">
      <x:dataBar>
        <x:cfvo type="min"/>
        <x:cfvo type="max"/>
        <x:color rgb="FF0F766E"/>
      </x:dataBar>
      <x:extLst>
        <x:ext xmlns:x14="http://schemas.microsoft.com/office/spreadsheetml/2009/9/main" uri="{B025F937-C7B1-47D3-B67F-A62EFF666E3E}">
          <x14:id>{6F338DAB-1CF0-F61E-400E-48D9420733B3}</x14:id>
        </x:ext>
      </x:extLst>
    </x:cfRule>
  </x:conditionalFormatting>
  <x:pageMargins left="0.7" right="0.7" top="0.75" bottom="0.75" header="0.3" footer="0.3"/>
  <x:tableParts count="1">
    <x:tablePart xmlns:r="http://schemas.openxmlformats.org/officeDocument/2006/relationships" r:id="R3810a8a7c03b40fa"/>
  </x:tableParts>
  <x:extLst>
    <x:ext xmlns:x14="http://schemas.microsoft.com/office/spreadsheetml/2009/9/main" xmlns:xm="http://schemas.microsoft.com/office/excel/2006/main" uri="{78C0D931-6437-407d-A8EE-F0AAD7539E65}">
      <x14:conditionalFormattings>
        <x14:conditionalFormatting>
          <x14:cfRule type="dataBar" priority="1" id="{6F338DAB-1CF0-F61E-400E-48D9420733B3}">
            <x14:dataBar gradient="1">
              <x14:cfvo type="min"/>
              <x14:cfvo type="max"/>
              <x14:fillColor rgb="FF0F766E"/>
            </x14:dataBar>
          </x14:cfRule>
          <xm:sqref>H2:H18</xm:sqref>
        </x14:conditionalFormatting>
      </x14:conditionalFormattings>
    </x:ext>
  </x:extLst>
</x:worksheet>
</file>

<file path=xl/worksheets/sheet4.xml><?xml version="1.0" encoding="utf-8"?>
<x:worksheet xmlns:x="http://schemas.openxmlformats.org/spreadsheetml/2006/main">
  <x:sheetFormatPr defaultRowHeight="15"/>
  <x:cols>
    <x:col min="1" max="1" width="28" hidden="0" customWidth="1"/>
    <x:col min="2" max="2" width="24" hidden="0" customWidth="1"/>
    <x:col min="3" max="3" width="13" hidden="0" customWidth="1"/>
    <x:col min="4" max="4" width="2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38" hidden="0" customWidth="1"/>
    <x:col min="13" max="13" width="46" hidden="0" customWidth="1"/>
  </x:cols>
  <x:sheetData>
    <x:row r="1" ht="24" customHeight="1">
      <x:c r="A1" s="68" t="str">
        <x:v>Model</x:v>
      </x:c>
      <x:c r="B1" s="68" t="str">
        <x:v>Organization</x:v>
      </x:c>
      <x:c r="C1" s="68" t="str">
        <x:v>Release date</x:v>
      </x:c>
      <x:c r="D1" s="68" t="str">
        <x:v>Model accessibility</x:v>
      </x:c>
      <x:c r="E1" s="68" t="str">
        <x:v>ECI</x:v>
      </x:c>
      <x:c r="F1" s="68" t="str">
        <x:v>ECI CI low</x:v>
      </x:c>
      <x:c r="G1" s="68" t="str">
        <x:v>ECI CI high</x:v>
      </x:c>
      <x:c r="H1" s="68" t="str">
        <x:v>Total params (B)</x:v>
      </x:c>
      <x:c r="I1" s="68" t="str">
        <x:v>Log10 total params</x:v>
      </x:c>
      <x:c r="J1" s="68" t="str">
        <x:v>Years since base</x:v>
      </x:c>
      <x:c r="K1" s="68" t="str">
        <x:v>WLS weight</x:v>
      </x:c>
      <x:c r="L1" s="68" t="str">
        <x:v>Source URL</x:v>
      </x:c>
      <x:c r="M1" s="68" t="str">
        <x:v>Match / assumption</x:v>
      </x:c>
      <x:c r="N1" s="47"/>
      <x:c r="O1" s="47"/>
      <x:c r="P1" s="47"/>
      <x:c r="Q1" s="47"/>
      <x:c r="R1" s="47"/>
      <x:c r="S1" s="47"/>
      <x:c r="T1" s="47"/>
      <x:c r="U1" s="47"/>
      <x:c r="V1" s="47"/>
      <x:c r="W1" s="47"/>
      <x:c r="X1" s="47"/>
      <x:c r="Y1" s="47"/>
      <x:c r="Z1" s="47"/>
    </x:row>
    <x:row r="2">
      <x:c r="A2" s="32" t="str">
        <x:v>LLaMA-65B</x:v>
      </x:c>
      <x:c r="B2" s="32" t="str">
        <x:v>Meta AI</x:v>
      </x:c>
      <x:c r="C2" s="34" t="n">
        <x:v>44981</x:v>
      </x:c>
      <x:c r="D2" s="32" t="str">
        <x:v>Open weights (non-commercial)</x:v>
      </x:c>
      <x:c r="E2" s="44" t="n">
        <x:v>109.93</x:v>
      </x:c>
      <x:c r="F2" s="44" t="n">
        <x:v>100.46</x:v>
      </x:c>
      <x:c r="G2" s="44" t="n">
        <x:v>114.37</x:v>
      </x:c>
      <x:c r="H2" s="50" t="n">
        <x:v>65.2</x:v>
      </x:c>
      <x:c r="I2" s="40" t="n">
        <x:f>LOG10(H2*1E9)</x:f>
        <x:v>10.8142475957319</x:v>
      </x:c>
      <x:c r="J2" s="40" t="n">
        <x:f>(C2-'Regression Model'!$B$4)/365.25</x:f>
        <x:v>0.14784394250513347</x:v>
      </x:c>
      <x:c r="K2" s="44" t="n">
        <x:f>IFERROR(1/(((G2-F2)/3.92)^2),1)</x:f>
        <x:v>0.07941780398897905</x:v>
      </x:c>
      <x:c r="L2" s="32" t="str">
        <x:v>https://arxiv.org/abs/2302.13971</x:v>
      </x:c>
      <x:c r="M2" s="32" t="str">
        <x:v>Exact/near-exact name match in Epoch all_ai_models.csv Assumed dense/non-MoE: active params equal total params.</x:v>
      </x:c>
    </x:row>
    <x:row r="3">
      <x:c r="A3" s="32" t="str">
        <x:v>LLaMA-13B</x:v>
      </x:c>
      <x:c r="B3" s="32" t="str">
        <x:v>Meta AI</x:v>
      </x:c>
      <x:c r="C3" s="34" t="n">
        <x:v>44984</x:v>
      </x:c>
      <x:c r="D3" s="32" t="str">
        <x:v>Open weights (non-commercial)</x:v>
      </x:c>
      <x:c r="E3" s="44" t="n">
        <x:v>100.3</x:v>
      </x:c>
      <x:c r="F3" s="44" t="n">
        <x:v>89.58</x:v>
      </x:c>
      <x:c r="G3" s="44" t="n">
        <x:v>106.66</x:v>
      </x:c>
      <x:c r="H3" s="50" t="n">
        <x:v>13</x:v>
      </x:c>
      <x:c r="I3" s="40" t="n">
        <x:f>LOG10(H3*1E9)</x:f>
        <x:v>10.1139433523068</x:v>
      </x:c>
      <x:c r="J3" s="40" t="n">
        <x:f>(C3-'Regression Model'!$B$4)/365.25</x:f>
        <x:v>0.15605749486652978</x:v>
      </x:c>
      <x:c r="K3" s="44" t="n">
        <x:f>IFERROR(1/(((G3-F3)/3.92)^2),1)</x:f>
        <x:v>0.052674012362268215</x:v>
      </x:c>
      <x:c r="L3" s="32" t="str">
        <x:v>https://arxiv.org/abs/2302.13971</x:v>
      </x:c>
      <x:c r="M3" s="32" t="str">
        <x:v>Exact/near-exact name match in Epoch all_ai_models.csv</x:v>
      </x:c>
    </x:row>
    <x:row r="4">
      <x:c r="A4" s="32" t="str">
        <x:v>LLaMA-33B</x:v>
      </x:c>
      <x:c r="B4" s="32" t="str">
        <x:v>Meta AI</x:v>
      </x:c>
      <x:c r="C4" s="34" t="n">
        <x:v>44984</x:v>
      </x:c>
      <x:c r="D4" s="32" t="str">
        <x:v>Open weights (non-commercial)</x:v>
      </x:c>
      <x:c r="E4" s="44" t="n">
        <x:v>107.16</x:v>
      </x:c>
      <x:c r="F4" s="44" t="n">
        <x:v>96.33</x:v>
      </x:c>
      <x:c r="G4" s="44" t="n">
        <x:v>112.28</x:v>
      </x:c>
      <x:c r="H4" s="50" t="n">
        <x:v>32.5</x:v>
      </x:c>
      <x:c r="I4" s="40" t="n">
        <x:f>LOG10(H4*1E9)</x:f>
        <x:v>10.5118833609789</x:v>
      </x:c>
      <x:c r="J4" s="40" t="n">
        <x:f>(C4-'Regression Model'!$B$4)/365.25</x:f>
        <x:v>0.15605749486652978</x:v>
      </x:c>
      <x:c r="K4" s="44" t="n">
        <x:f>IFERROR(1/(((G4-F4)/3.92)^2),1)</x:f>
        <x:v>0.06040192215092222</x:v>
      </x:c>
      <x:c r="L4" s="32" t="str">
        <x:v>https://arxiv.org/abs/2302.13971</x:v>
      </x:c>
      <x:c r="M4" s="32" t="str">
        <x:v>Exact/near-exact name match in Epoch all_ai_models.csv Assumed dense/non-MoE: active params equal total params.</x:v>
      </x:c>
    </x:row>
    <x:row r="5">
      <x:c r="A5" s="32" t="str">
        <x:v>Falcon-40B</x:v>
      </x:c>
      <x:c r="B5" s="32" t="str">
        <x:v>Technology Innovation Institute</x:v>
      </x:c>
      <x:c r="C5" s="34" t="n">
        <x:v>45000</x:v>
      </x:c>
      <x:c r="D5" s="32" t="str">
        <x:v>Open weights (unrestricted)</x:v>
      </x:c>
      <x:c r="E5" s="44" t="n">
        <x:v>104.19</x:v>
      </x:c>
      <x:c r="F5" s="44" t="n">
        <x:v>94.99</x:v>
      </x:c>
      <x:c r="G5" s="44" t="n">
        <x:v>110.58</x:v>
      </x:c>
      <x:c r="H5" s="50" t="n">
        <x:v>40</x:v>
      </x:c>
      <x:c r="I5" s="40" t="n">
        <x:f>LOG10(H5*1E9)</x:f>
        <x:v>10.602059991328</x:v>
      </x:c>
      <x:c r="J5" s="40" t="n">
        <x:f>(C5-'Regression Model'!$B$4)/365.25</x:f>
        <x:v>0.1998631074606434</x:v>
      </x:c>
      <x:c r="K5" s="44" t="n">
        <x:f>IFERROR(1/(((G5-F5)/3.92)^2),1)</x:f>
        <x:v>0.0632236993418175</x:v>
      </x:c>
      <x:c r="L5" s="32" t="str">
        <x:v>https://arxiv.org/abs/2311.16867; https://www.tii.ae/news/abu-dhabi-based-technology-innovation-institute-introduces-falcon-llm-foundational-large</x:v>
      </x:c>
      <x:c r="M5" s="32" t="str">
        <x:v>Exact/near-exact name match in Epoch all_ai_models.csv Assumed dense/non-MoE: active params equal total params.</x:v>
      </x:c>
    </x:row>
    <x:row r="6">
      <x:c r="A6" s="32" t="str">
        <x:v>Cerebras-GPT-13B</x:v>
      </x:c>
      <x:c r="B6" s="32" t="str">
        <x:v>Cerebras Systems</x:v>
      </x:c>
      <x:c r="C6" s="34" t="n">
        <x:v>45022</x:v>
      </x:c>
      <x:c r="D6" s="32" t="str">
        <x:v>Open weights (unrestricted)</x:v>
      </x:c>
      <x:c r="E6" s="44" t="n">
        <x:v>82.95</x:v>
      </x:c>
      <x:c r="F6" s="44" t="n">
        <x:v>67.22</x:v>
      </x:c>
      <x:c r="G6" s="44" t="n">
        <x:v>92.99</x:v>
      </x:c>
      <x:c r="H6" s="50" t="n">
        <x:v>13</x:v>
      </x:c>
      <x:c r="I6" s="40" t="n">
        <x:f>LOG10(H6*1E9)</x:f>
        <x:v>10.1139433523068</x:v>
      </x:c>
      <x:c r="J6" s="40" t="n">
        <x:f>(C6-'Regression Model'!$B$4)/365.25</x:f>
        <x:v>0.2600958247775496</x:v>
      </x:c>
      <x:c r="K6" s="44" t="n">
        <x:f>IFERROR(1/(((G6-F6)/3.92)^2),1)</x:f>
        <x:v>0.023138931315181965</x:v>
      </x:c>
      <x:c r="L6" s="32" t="str">
        <x:v>https://arxiv.org/abs/2304.03208</x:v>
      </x:c>
      <x:c r="M6" s="32" t="str">
        <x:v>Exact/near-exact name match in Epoch all_ai_models.csv Assumed dense/non-MoE: active params equal total params.</x:v>
      </x:c>
    </x:row>
    <x:row r="7">
      <x:c r="A7" s="32" t="str">
        <x:v>Dolly 2.0-12b</x:v>
      </x:c>
      <x:c r="B7" s="32" t="str">
        <x:v>Databricks</x:v>
      </x:c>
      <x:c r="C7" s="34" t="n">
        <x:v>45028</x:v>
      </x:c>
      <x:c r="D7" s="32" t="str">
        <x:v>Open weights (unrestricted)</x:v>
      </x:c>
      <x:c r="E7" s="44" t="n">
        <x:v>89.37</x:v>
      </x:c>
      <x:c r="F7" s="44" t="n">
        <x:v>74.42</x:v>
      </x:c>
      <x:c r="G7" s="44" t="n">
        <x:v>98.45</x:v>
      </x:c>
      <x:c r="H7" s="50" t="n">
        <x:v>12</x:v>
      </x:c>
      <x:c r="I7" s="40" t="n">
        <x:f>LOG10(H7*1E9)</x:f>
        <x:v>10.0791812460476</x:v>
      </x:c>
      <x:c r="J7" s="40" t="n">
        <x:f>(C7-'Regression Model'!$B$4)/365.25</x:f>
        <x:v>0.27652292950034224</x:v>
      </x:c>
      <x:c r="K7" s="44" t="n">
        <x:f>IFERROR(1/(((G7-F7)/3.92)^2),1)</x:f>
        <x:v>0.02661120817732169</x:v>
      </x:c>
      <x:c r="L7" s="32" t="str">
        <x:v>https://www.databricks.com/blog/2023/04/12/dolly-first-open-commercially-viable-instruction-tuned-llm</x:v>
      </x:c>
      <x:c r="M7" s="32" t="str">
        <x:v>Exact/near-exact name match in Epoch all_ai_models.csv Assumed dense/non-MoE: active params equal total params.</x:v>
      </x:c>
    </x:row>
    <x:row r="8">
      <x:c r="A8" s="32" t="str">
        <x:v>MPT-30B</x:v>
      </x:c>
      <x:c r="B8" s="32" t="str">
        <x:v>MosaicML</x:v>
      </x:c>
      <x:c r="C8" s="34" t="n">
        <x:v>45099</x:v>
      </x:c>
      <x:c r="D8" s="32" t="str">
        <x:v>Open weights (unrestricted)</x:v>
      </x:c>
      <x:c r="E8" s="44" t="n">
        <x:v>100.38</x:v>
      </x:c>
      <x:c r="F8" s="44" t="n">
        <x:v>89.25</x:v>
      </x:c>
      <x:c r="G8" s="44" t="n">
        <x:v>106.66</x:v>
      </x:c>
      <x:c r="H8" s="50" t="n">
        <x:v>30</x:v>
      </x:c>
      <x:c r="I8" s="40" t="n">
        <x:f>LOG10(H8*1E9)</x:f>
        <x:v>10.4771212547197</x:v>
      </x:c>
      <x:c r="J8" s="40" t="n">
        <x:f>(C8-'Regression Model'!$B$4)/365.25</x:f>
        <x:v>0.47091033538672145</x:v>
      </x:c>
      <x:c r="K8" s="44" t="n">
        <x:f>IFERROR(1/(((G8-F8)/3.92)^2),1)</x:f>
        <x:v>0.05069610478901754</x:v>
      </x:c>
      <x:c r="L8" s="32" t="str">
        <x:v>https://huggingface.co/mosaicml/mpt-30b</x:v>
      </x:c>
      <x:c r="M8" s="32" t="str">
        <x:v>Exact/near-exact name match in Epoch all_ai_models.csv Assumed dense/non-MoE: active params equal total params.</x:v>
      </x:c>
    </x:row>
    <x:row r="9">
      <x:c r="A9" s="32" t="str">
        <x:v>Llama 2-13B</x:v>
      </x:c>
      <x:c r="B9" s="32" t="str">
        <x:v>Meta AI</x:v>
      </x:c>
      <x:c r="C9" s="34" t="n">
        <x:v>45125</x:v>
      </x:c>
      <x:c r="D9" s="32" t="str">
        <x:v>Open weights (restricted use)</x:v>
      </x:c>
      <x:c r="E9" s="44" t="n">
        <x:v>105.91</x:v>
      </x:c>
      <x:c r="F9" s="44" t="n">
        <x:v>95.41</x:v>
      </x:c>
      <x:c r="G9" s="44" t="n">
        <x:v>111.37</x:v>
      </x:c>
      <x:c r="H9" s="50" t="n">
        <x:v>13</x:v>
      </x:c>
      <x:c r="I9" s="40" t="n">
        <x:f>LOG10(H9*1E9)</x:f>
        <x:v>10.1139433523068</x:v>
      </x:c>
      <x:c r="J9" s="40" t="n">
        <x:f>(C9-'Regression Model'!$B$4)/365.25</x:f>
        <x:v>0.5420944558521561</x:v>
      </x:c>
      <x:c r="K9" s="44" t="n">
        <x:f>IFERROR(1/(((G9-F9)/3.92)^2),1)</x:f>
        <x:v>0.060326254232071344</x:v>
      </x:c>
      <x:c r="L9" s="32" t="str">
        <x:v>https://ai.meta.com/research/publications/llama-2-open-foundation-and-fine-tuned-chat-models/
https://arxiv.org/abs/2307.09288</x:v>
      </x:c>
      <x:c r="M9" s="32" t="str">
        <x:v>Exact/near-exact name match in Epoch all_ai_models.csv Assumed dense/non-MoE: active params equal total params.</x:v>
      </x:c>
    </x:row>
    <x:row r="10">
      <x:c r="A10" s="32" t="str">
        <x:v>Llama 2-70B</x:v>
      </x:c>
      <x:c r="B10" s="32" t="str">
        <x:v>Meta AI</x:v>
      </x:c>
      <x:c r="C10" s="34" t="n">
        <x:v>45125</x:v>
      </x:c>
      <x:c r="D10" s="32" t="str">
        <x:v>Open weights (restricted use)</x:v>
      </x:c>
      <x:c r="E10" s="44" t="n">
        <x:v>113.72</x:v>
      </x:c>
      <x:c r="F10" s="44" t="n">
        <x:v>104.07</x:v>
      </x:c>
      <x:c r="G10" s="44" t="n">
        <x:v>117.82</x:v>
      </x:c>
      <x:c r="H10" s="50" t="n">
        <x:v>70</x:v>
      </x:c>
      <x:c r="I10" s="40" t="n">
        <x:f>LOG10(H10*1E9)</x:f>
        <x:v>10.8450980400143</x:v>
      </x:c>
      <x:c r="J10" s="40" t="n">
        <x:f>(C10-'Regression Model'!$B$4)/365.25</x:f>
        <x:v>0.5420944558521561</x:v>
      </x:c>
      <x:c r="K10" s="44" t="n">
        <x:f>IFERROR(1/(((G10-F10)/3.92)^2),1)</x:f>
        <x:v>0.081276826446281</x:v>
      </x:c>
      <x:c r="L10" s="32" t="str">
        <x:v>https://ai.meta.com/research/publications/llama-2-open-foundation-and-fine-tuned-chat-models/
https://arxiv.org/abs/2307.09288</x:v>
      </x:c>
      <x:c r="M10" s="32" t="str">
        <x:v>Exact/near-exact name match in Epoch all_ai_models.csv Assumed dense/non-MoE: active params equal total params.</x:v>
      </x:c>
    </x:row>
    <x:row r="11">
      <x:c r="A11" s="32" t="str">
        <x:v>Stable Beluga 2</x:v>
      </x:c>
      <x:c r="B11" s="32" t="str">
        <x:v>Stability AI</x:v>
      </x:c>
      <x:c r="C11" s="34" t="n">
        <x:v>45127</x:v>
      </x:c>
      <x:c r="D11" s="32" t="str">
        <x:v>Open weights (non-commercial)</x:v>
      </x:c>
      <x:c r="E11" s="44" t="n">
        <x:v>116.91</x:v>
      </x:c>
      <x:c r="F11" s="44" t="n">
        <x:v>107.97</x:v>
      </x:c>
      <x:c r="G11" s="44" t="n">
        <x:v>120.27</x:v>
      </x:c>
      <x:c r="H11" s="50" t="n">
        <x:v>70</x:v>
      </x:c>
      <x:c r="I11" s="40" t="n">
        <x:f>LOG10(H11*1E9)</x:f>
        <x:v>10.8450980400143</x:v>
      </x:c>
      <x:c r="J11" s="40" t="n">
        <x:f>(C11-'Regression Model'!$B$4)/365.25</x:f>
        <x:v>0.5475701574264202</x:v>
      </x:c>
      <x:c r="K11" s="44" t="n">
        <x:f>IFERROR(1/(((G11-F11)/3.92)^2),1)</x:f>
        <x:v>0.1015691717892789</x:v>
      </x:c>
      <x:c r="L11" s="32" t="str">
        <x:v>https://stability.ai/news/stable-beluga-large-instruction-fine-tuned-models, https://huggingface.co/stabilityai/StableBeluga2</x:v>
      </x:c>
      <x:c r="M11" s="32" t="str">
        <x:v>Exact/near-exact name match in Epoch all_ai_models.csv Assumed dense/non-MoE: active params equal total params.</x:v>
      </x:c>
    </x:row>
    <x:row r="12">
      <x:c r="A12" s="32" t="str">
        <x:v>Baichuan2-13B</x:v>
      </x:c>
      <x:c r="B12" s="32" t="str">
        <x:v>Baichuan</x:v>
      </x:c>
      <x:c r="C12" s="34" t="n">
        <x:v>45175</x:v>
      </x:c>
      <x:c r="D12" s="32" t="str">
        <x:v>Open weights (restricted use)</x:v>
      </x:c>
      <x:c r="E12" s="44" t="n">
        <x:v>102.93</x:v>
      </x:c>
      <x:c r="F12" s="44" t="n">
        <x:v>89.49</x:v>
      </x:c>
      <x:c r="G12" s="44" t="n">
        <x:v>110.46</x:v>
      </x:c>
      <x:c r="H12" s="50" t="n">
        <x:v>13</x:v>
      </x:c>
      <x:c r="I12" s="40" t="n">
        <x:f>LOG10(H12*1E9)</x:f>
        <x:v>10.1139433523068</x:v>
      </x:c>
      <x:c r="J12" s="40" t="n">
        <x:f>(C12-'Regression Model'!$B$4)/365.25</x:f>
        <x:v>0.6789869952087612</x:v>
      </x:c>
      <x:c r="K12" s="44" t="n">
        <x:f>IFERROR(1/(((G12-F12)/3.92)^2),1)</x:f>
        <x:v>0.034944213740409416</x:v>
      </x:c>
      <x:c r="L12" s="32" t="str">
        <x:v>https://huggingface.co/baichuan-inc/Baichuan2-13B-Base, https://arxiv.org/abs/2309.10305</x:v>
      </x:c>
      <x:c r="M12" s="32" t="str">
        <x:v>Exact/near-exact name match in Epoch all_ai_models.csv Assumed dense/non-MoE: active params equal total params.</x:v>
      </x:c>
    </x:row>
    <x:row r="13">
      <x:c r="A13" s="32" t="str">
        <x:v>Falcon-180B</x:v>
      </x:c>
      <x:c r="B13" s="32" t="str">
        <x:v>Technology Innovation Institute</x:v>
      </x:c>
      <x:c r="C13" s="34" t="n">
        <x:v>45175</x:v>
      </x:c>
      <x:c r="D13" s="32" t="str">
        <x:v>Open weights (restricted use)</x:v>
      </x:c>
      <x:c r="E13" s="44" t="n">
        <x:v>111.92</x:v>
      </x:c>
      <x:c r="F13" s="44" t="n">
        <x:v>102.04</x:v>
      </x:c>
      <x:c r="G13" s="44" t="n">
        <x:v>119.45</x:v>
      </x:c>
      <x:c r="H13" s="50" t="n">
        <x:v>180</x:v>
      </x:c>
      <x:c r="I13" s="40" t="n">
        <x:f>LOG10(H13*1E9)</x:f>
        <x:v>11.2552725051033</x:v>
      </x:c>
      <x:c r="J13" s="40" t="n">
        <x:f>(C13-'Regression Model'!$B$4)/365.25</x:f>
        <x:v>0.6789869952087612</x:v>
      </x:c>
      <x:c r="K13" s="44" t="n">
        <x:f>IFERROR(1/(((G13-F13)/3.92)^2),1)</x:f>
        <x:v>0.05069610478901754</x:v>
      </x:c>
      <x:c r="L13" s="32" t="str">
        <x:v>https://falconllm.tii.ae/falcon-180b.html; https://arxiv.org/abs/2311.16867</x:v>
      </x:c>
      <x:c r="M13" s="32" t="str">
        <x:v>Exact/near-exact name match in Epoch all_ai_models.csv Assumed dense/non-MoE: active params equal total params.</x:v>
      </x:c>
    </x:row>
    <x:row r="14">
      <x:c r="A14" s="32" t="str">
        <x:v>Qwen-14B</x:v>
      </x:c>
      <x:c r="B14" s="32" t="str">
        <x:v>Alibaba</x:v>
      </x:c>
      <x:c r="C14" s="34" t="n">
        <x:v>45193</x:v>
      </x:c>
      <x:c r="D14" s="32" t="str">
        <x:v>Open weights (restricted use)</x:v>
      </x:c>
      <x:c r="E14" s="44" t="n">
        <x:v>112.8</x:v>
      </x:c>
      <x:c r="F14" s="44" t="n">
        <x:v>103.39</x:v>
      </x:c>
      <x:c r="G14" s="44" t="n">
        <x:v>117.54</x:v>
      </x:c>
      <x:c r="H14" s="50" t="n">
        <x:v>14</x:v>
      </x:c>
      <x:c r="I14" s="40" t="n">
        <x:f>LOG10(H14*1E9)</x:f>
        <x:v>10.1461280356782</x:v>
      </x:c>
      <x:c r="J14" s="40" t="n">
        <x:f>(C14-'Regression Model'!$B$4)/365.25</x:f>
        <x:v>0.7282683093771389</x:v>
      </x:c>
      <x:c r="K14" s="44" t="n">
        <x:f>IFERROR(1/(((G14-F14)/3.92)^2),1)</x:f>
        <x:v>0.07674661938593308</x:v>
      </x:c>
      <x:c r="L14" s="32" t="str">
        <x:v>https://arxiv.org/abs/2309.16609</x:v>
      </x:c>
      <x:c r="M14" s="32" t="str">
        <x:v>Exact/near-exact name match in Epoch all_ai_models.csv Assumed dense/non-MoE: active params equal total params.</x:v>
      </x:c>
    </x:row>
    <x:row r="15">
      <x:c r="A15" s="32" t="str">
        <x:v>Yi-34B</x:v>
      </x:c>
      <x:c r="B15" s="32" t="str">
        <x:v>01.AI</x:v>
      </x:c>
      <x:c r="C15" s="34" t="n">
        <x:v>45232</x:v>
      </x:c>
      <x:c r="D15" s="32" t="str">
        <x:v>Open weights (restricted use)</x:v>
      </x:c>
      <x:c r="E15" s="44" t="n">
        <x:v>117.14</x:v>
      </x:c>
      <x:c r="F15" s="44" t="n">
        <x:v>109.02</x:v>
      </x:c>
      <x:c r="G15" s="44" t="n">
        <x:v>120.55</x:v>
      </x:c>
      <x:c r="H15" s="50" t="n">
        <x:v>34</x:v>
      </x:c>
      <x:c r="I15" s="40" t="n">
        <x:f>LOG10(H15*1E9)</x:f>
        <x:v>10.5314789170423</x:v>
      </x:c>
      <x:c r="J15" s="40" t="n">
        <x:f>(C15-'Regression Model'!$B$4)/365.25</x:f>
        <x:v>0.8350444900752909</x:v>
      </x:c>
      <x:c r="K15" s="44" t="n">
        <x:f>IFERROR(1/(((G15-F15)/3.92)^2),1)</x:f>
        <x:v>0.11558820498432006</x:v>
      </x:c>
      <x:c r="L15" s="32" t="str">
        <x:v>https://arxiv.org/abs/2403.04652</x:v>
      </x:c>
      <x:c r="M15" s="32" t="str">
        <x:v>Exact/near-exact name match in Epoch all_ai_models.csv Assumed dense/non-MoE: active params equal total params.</x:v>
      </x:c>
    </x:row>
    <x:row r="16">
      <x:c r="A16" s="32" t="str">
        <x:v>Mixtral 8x7B</x:v>
      </x:c>
      <x:c r="B16" s="32" t="str">
        <x:v>Mistral AI</x:v>
      </x:c>
      <x:c r="C16" s="34" t="n">
        <x:v>45271</x:v>
      </x:c>
      <x:c r="D16" s="32" t="str">
        <x:v>Open weights (unrestricted)</x:v>
      </x:c>
      <x:c r="E16" s="44" t="n">
        <x:v>118.13</x:v>
      </x:c>
      <x:c r="F16" s="44" t="n">
        <x:v>109.36</x:v>
      </x:c>
      <x:c r="G16" s="44" t="n">
        <x:v>120.78</x:v>
      </x:c>
      <x:c r="H16" s="50" t="n">
        <x:v>46.7</x:v>
      </x:c>
      <x:c r="I16" s="40" t="n">
        <x:f>LOG10(H16*1E9)</x:f>
        <x:v>10.6693168805661</x:v>
      </x:c>
      <x:c r="J16" s="40" t="n">
        <x:f>(C16-'Regression Model'!$B$4)/365.25</x:f>
        <x:v>0.9418206707734429</x:v>
      </x:c>
      <x:c r="K16" s="44" t="n">
        <x:f>IFERROR(1/(((G16-F16)/3.92)^2),1)</x:f>
        <x:v>0.11782567223140644</x:v>
      </x:c>
      <x:c r="L16" s="32" t="str">
        <x:v>https://mistral.ai/news/mixtral-of-experts/, https://arxiv.org/abs/2401.04088</x:v>
      </x:c>
      <x:c r="M16" s="32" t="str">
        <x:v>Exact/near-exact name match in Epoch all_ai_models.csv</x:v>
      </x:c>
    </x:row>
    <x:row r="17">
      <x:c r="A17" s="32" t="str">
        <x:v>DeepSeek Coder 33B</x:v>
      </x:c>
      <x:c r="B17" s="32" t="str">
        <x:v>DeepSeek,Peking University</x:v>
      </x:c>
      <x:c r="C17" s="34" t="n">
        <x:v>45316</x:v>
      </x:c>
      <x:c r="D17" s="32" t="str">
        <x:v>Open weights (restricted use)</x:v>
      </x:c>
      <x:c r="E17" s="44" t="n">
        <x:v>96.02</x:v>
      </x:c>
      <x:c r="F17" s="44" t="n">
        <x:v>82.39</x:v>
      </x:c>
      <x:c r="G17" s="44" t="n">
        <x:v>103.58</x:v>
      </x:c>
      <x:c r="H17" s="50" t="n">
        <x:v>33</x:v>
      </x:c>
      <x:c r="I17" s="40" t="n">
        <x:f>LOG10(H17*1E9)</x:f>
        <x:v>10.5185139398779</x:v>
      </x:c>
      <x:c r="J17" s="40" t="n">
        <x:f>(C17-'Regression Model'!$B$4)/365.25</x:f>
        <x:v>1.0650239561943875</x:v>
      </x:c>
      <x:c r="K17" s="44" t="n">
        <x:f>IFERROR(1/(((G17-F17)/3.92)^2),1)</x:f>
        <x:v>0.03422238089012845</x:v>
      </x:c>
      <x:c r="L17" s="32" t="str">
        <x:v>https://arxiv.org/abs/2401.14196</x:v>
      </x:c>
      <x:c r="M17" s="32" t="str">
        <x:v>Exact/near-exact name match in Epoch all_ai_models.csv Assumed dense/non-MoE: active params equal total params.</x:v>
      </x:c>
    </x:row>
    <x:row r="18">
      <x:c r="A18" s="32" t="str">
        <x:v>StarCoder 2 15B</x:v>
      </x:c>
      <x:c r="B18" s="32" t="str">
        <x:v>Hugging Face,ServiceNow,NVIDIA,BigCode</x:v>
      </x:c>
      <x:c r="C18" s="34" t="n">
        <x:v>45351</x:v>
      </x:c>
      <x:c r="D18" s="32" t="str">
        <x:v>Open weights (restricted use)</x:v>
      </x:c>
      <x:c r="E18" s="44" t="n">
        <x:v>104.74</x:v>
      </x:c>
      <x:c r="F18" s="44" t="n">
        <x:v>92.4</x:v>
      </x:c>
      <x:c r="G18" s="44" t="n">
        <x:v>112.13</x:v>
      </x:c>
      <x:c r="H18" s="50" t="n">
        <x:v>15</x:v>
      </x:c>
      <x:c r="I18" s="40" t="n">
        <x:f>LOG10(H18*1E9)</x:f>
        <x:v>10.1760912590557</x:v>
      </x:c>
      <x:c r="J18" s="40" t="n">
        <x:f>(C18-'Regression Model'!$B$4)/365.25</x:f>
        <x:v>1.160848733744011</x:v>
      </x:c>
      <x:c r="K18" s="44" t="n">
        <x:f>IFERROR(1/(((G18-F18)/3.92)^2),1)</x:f>
        <x:v>0.039474620504021764</x:v>
      </x:c>
      <x:c r="L18" s="32" t="str">
        <x:v>https://arxiv.org/abs/2402.19173</x:v>
      </x:c>
      <x:c r="M18" s="32" t="str">
        <x:v>Exact/near-exact name match in Epoch all_ai_models.csv Assumed dense/non-MoE: active params equal total params.</x:v>
      </x:c>
    </x:row>
    <x:row r="19">
      <x:c r="A19" s="32" t="str">
        <x:v>Mixtral 8x22B</x:v>
      </x:c>
      <x:c r="B19" s="32" t="str">
        <x:v>Mistral AI</x:v>
      </x:c>
      <x:c r="C19" s="34" t="n">
        <x:v>45399</x:v>
      </x:c>
      <x:c r="D19" s="32" t="str">
        <x:v>Open weights (unrestricted)</x:v>
      </x:c>
      <x:c r="E19" s="44" t="n">
        <x:v>121.28</x:v>
      </x:c>
      <x:c r="F19" s="44" t="n">
        <x:v>112.48</x:v>
      </x:c>
      <x:c r="G19" s="44" t="n">
        <x:v>123.4</x:v>
      </x:c>
      <x:c r="H19" s="50" t="n">
        <x:v>141</x:v>
      </x:c>
      <x:c r="I19" s="40" t="n">
        <x:f>LOG10(H19*1E9)</x:f>
        <x:v>11.1492191126554</x:v>
      </x:c>
      <x:c r="J19" s="40" t="n">
        <x:f>(C19-'Regression Model'!$B$4)/365.25</x:f>
        <x:v>1.2922655715263518</x:v>
      </x:c>
      <x:c r="K19" s="44" t="n">
        <x:f>IFERROR(1/(((G19-F19)/3.92)^2),1)</x:f>
        <x:v>0.1288625904010519</x:v>
      </x:c>
      <x:c r="L19" s="32" t="str">
        <x:v>https://mistral.ai/news/mixtral-8x22b/</x:v>
      </x:c>
      <x:c r="M19" s="32" t="str">
        <x:v>Exact/near-exact name match in Epoch all_ai_models.csv</x:v>
      </x:c>
    </x:row>
    <x:row r="20">
      <x:c r="A20" s="32" t="str">
        <x:v>Llama 3-70B</x:v>
      </x:c>
      <x:c r="B20" s="32" t="str">
        <x:v>Meta AI</x:v>
      </x:c>
      <x:c r="C20" s="34" t="n">
        <x:v>45400</x:v>
      </x:c>
      <x:c r="D20" s="32" t="str">
        <x:v>Open weights (restricted use)</x:v>
      </x:c>
      <x:c r="E20" s="44" t="n">
        <x:v>122.61</x:v>
      </x:c>
      <x:c r="F20" s="44" t="n">
        <x:v>115.79</x:v>
      </x:c>
      <x:c r="G20" s="44" t="n">
        <x:v>125.52</x:v>
      </x:c>
      <x:c r="H20" s="50" t="n">
        <x:v>70</x:v>
      </x:c>
      <x:c r="I20" s="40" t="n">
        <x:f>LOG10(H20*1E9)</x:f>
        <x:v>10.8450980400143</x:v>
      </x:c>
      <x:c r="J20" s="40" t="n">
        <x:f>(C20-'Regression Model'!$B$4)/365.25</x:f>
        <x:v>1.2950034223134839</x:v>
      </x:c>
      <x:c r="K20" s="44" t="n">
        <x:f>IFERROR(1/(((G20-F20)/3.92)^2),1)</x:f>
        <x:v>0.1623104394182499</x:v>
      </x:c>
      <x:c r="L20" s="32" t="str">
        <x:v>https://ai.meta.com/blog/meta-llama-3/</x:v>
      </x:c>
      <x:c r="M20" s="32" t="str">
        <x:v>Exact/near-exact name match in Epoch all_ai_models.csv Assumed dense/non-MoE: active params equal total params.</x:v>
      </x:c>
    </x:row>
    <x:row r="21">
      <x:c r="A21" s="32" t="str">
        <x:v>phi-3-medium 14B</x:v>
      </x:c>
      <x:c r="B21" s="32" t="str">
        <x:v>Microsoft</x:v>
      </x:c>
      <x:c r="C21" s="34" t="n">
        <x:v>45405</x:v>
      </x:c>
      <x:c r="D21" s="32" t="str">
        <x:v>Open weights (unrestricted)</x:v>
      </x:c>
      <x:c r="E21" s="44" t="n">
        <x:v>121.07</x:v>
      </x:c>
      <x:c r="F21" s="44" t="n">
        <x:v>113.81</x:v>
      </x:c>
      <x:c r="G21" s="44" t="n">
        <x:v>123.74</x:v>
      </x:c>
      <x:c r="H21" s="50" t="n">
        <x:v>14</x:v>
      </x:c>
      <x:c r="I21" s="40" t="n">
        <x:f>LOG10(H21*1E9)</x:f>
        <x:v>10.1461280356782</x:v>
      </x:c>
      <x:c r="J21" s="40" t="n">
        <x:f>(C21-'Regression Model'!$B$4)/365.25</x:f>
        <x:v>1.3086926762491444</x:v>
      </x:c>
      <x:c r="K21" s="44" t="n">
        <x:f>IFERROR(1/(((G21-F21)/3.92)^2),1)</x:f>
        <x:v>0.15583809729536788</x:v>
      </x:c>
      <x:c r="L21" s="32" t="str">
        <x:v>https://arxiv.org/abs/2404.14219</x:v>
      </x:c>
      <x:c r="M21" s="32" t="str">
        <x:v>Exact/near-exact name match in Epoch all_ai_models.csv Assumed dense/non-MoE: active params equal total params.</x:v>
      </x:c>
    </x:row>
    <x:row r="22">
      <x:c r="A22" s="32" t="str">
        <x:v>Falcon 2 11B</x:v>
      </x:c>
      <x:c r="B22" s="32" t="str">
        <x:v>Technology Innovation Institute</x:v>
      </x:c>
      <x:c r="C22" s="34" t="n">
        <x:v>45421</x:v>
      </x:c>
      <x:c r="D22" s="32" t="str">
        <x:v>Open weights (restricted use)</x:v>
      </x:c>
      <x:c r="E22" s="44" t="n">
        <x:v>109.3</x:v>
      </x:c>
      <x:c r="F22" s="44" t="n">
        <x:v>99.71</x:v>
      </x:c>
      <x:c r="G22" s="44" t="n">
        <x:v>115.81</x:v>
      </x:c>
      <x:c r="H22" s="50" t="n">
        <x:v>11</x:v>
      </x:c>
      <x:c r="I22" s="40" t="n">
        <x:f>LOG10(H22*1E9)</x:f>
        <x:v>10.0413926851582</x:v>
      </x:c>
      <x:c r="J22" s="40" t="n">
        <x:f>(C22-'Regression Model'!$B$4)/365.25</x:f>
        <x:v>1.352498288843258</x:v>
      </x:c>
      <x:c r="K22" s="44" t="n">
        <x:f>IFERROR(1/(((G22-F22)/3.92)^2),1)</x:f>
        <x:v>0.059281663516067985</x:v>
      </x:c>
      <x:c r="L22" s="32" t="str">
        <x:v>https://huggingface.co/tiiuae/falcon-11B </x:v>
      </x:c>
      <x:c r="M22" s="32" t="str">
        <x:v>Exact/near-exact name match in Epoch all_ai_models.csv Assumed dense/non-MoE: active params equal total params.</x:v>
      </x:c>
    </x:row>
    <x:row r="23">
      <x:c r="A23" s="32" t="str">
        <x:v>Qwen2-72B</x:v>
      </x:c>
      <x:c r="B23" s="32" t="str">
        <x:v>Alibaba</x:v>
      </x:c>
      <x:c r="C23" s="34" t="n">
        <x:v>45450</x:v>
      </x:c>
      <x:c r="D23" s="32" t="str">
        <x:v>Open weights (unrestricted)</x:v>
      </x:c>
      <x:c r="E23" s="44" t="n">
        <x:v>125.49</x:v>
      </x:c>
      <x:c r="F23" s="44" t="n">
        <x:v>119.09</x:v>
      </x:c>
      <x:c r="G23" s="44" t="n">
        <x:v>127.01</x:v>
      </x:c>
      <x:c r="H23" s="50" t="n">
        <x:v>72.71</x:v>
      </x:c>
      <x:c r="I23" s="40" t="n">
        <x:f>LOG10(H23*1E9)</x:f>
        <x:v>10.8615941446439</x:v>
      </x:c>
      <x:c r="J23" s="40" t="n">
        <x:f>(C23-'Regression Model'!$B$4)/365.25</x:f>
        <x:v>1.431895961670089</x:v>
      </x:c>
      <x:c r="K23" s="44" t="n">
        <x:f>IFERROR(1/(((G23-F23)/3.92)^2),1)</x:f>
        <x:v>0.24497500255075996</x:v>
      </x:c>
      <x:c r="L23" s="32" t="str">
        <x:v>https://qwenlm.github.io/blog/qwen2/ 
https://arxiv.org/abs/2407.10671 </x:v>
      </x:c>
      <x:c r="M23" s="32" t="str">
        <x:v>Exact/near-exact name match in Epoch all_ai_models.csv</x:v>
      </x:c>
    </x:row>
    <x:row r="24">
      <x:c r="A24" s="32" t="str">
        <x:v>Gemma 2 27B</x:v>
      </x:c>
      <x:c r="B24" s="32" t="str">
        <x:v>Google DeepMind</x:v>
      </x:c>
      <x:c r="C24" s="34" t="n">
        <x:v>45467</x:v>
      </x:c>
      <x:c r="D24" s="32" t="str">
        <x:v>Open weights (restricted use)</x:v>
      </x:c>
      <x:c r="E24" s="44" t="n">
        <x:v>122.47</x:v>
      </x:c>
      <x:c r="F24" s="44" t="n">
        <x:v>115.04</x:v>
      </x:c>
      <x:c r="G24" s="44" t="n">
        <x:v>124.23</x:v>
      </x:c>
      <x:c r="H24" s="50" t="n">
        <x:v>27</x:v>
      </x:c>
      <x:c r="I24" s="40" t="n">
        <x:f>LOG10(H24*1E9)</x:f>
        <x:v>10.431363764159</x:v>
      </x:c>
      <x:c r="J24" s="40" t="n">
        <x:f>(C24-'Regression Model'!$B$4)/365.25</x:f>
        <x:v>1.4784394250513346</x:v>
      </x:c>
      <x:c r="K24" s="44" t="n">
        <x:f>IFERROR(1/(((G24-F24)/3.92)^2),1)</x:f>
        <x:v>0.18194541306075</x:v>
      </x:c>
      <x:c r="L24" s="32" t="str">
        <x:v>https://storage.googleapis.com/deepmind-media/gemma/gemma-2-report.pdf</x:v>
      </x:c>
      <x:c r="M24" s="32" t="str">
        <x:v>Exact/near-exact name match in Epoch all_ai_models.csv Assumed dense/non-MoE: active params equal total params.</x:v>
      </x:c>
    </x:row>
    <x:row r="25">
      <x:c r="A25" s="32" t="str">
        <x:v>Mistral NeMo</x:v>
      </x:c>
      <x:c r="B25" s="32" t="str">
        <x:v>Mistral AI</x:v>
      </x:c>
      <x:c r="C25" s="34" t="n">
        <x:v>45491</x:v>
      </x:c>
      <x:c r="D25" s="32" t="str">
        <x:v>Open weights (unrestricted)</x:v>
      </x:c>
      <x:c r="E25" s="44" t="n">
        <x:v>118.38</x:v>
      </x:c>
      <x:c r="F25" s="44" t="n">
        <x:v>109.85</x:v>
      </x:c>
      <x:c r="G25" s="44" t="n">
        <x:v>121.76</x:v>
      </x:c>
      <x:c r="H25" s="50" t="n">
        <x:v>12</x:v>
      </x:c>
      <x:c r="I25" s="40" t="n">
        <x:f>LOG10(H25*1E9)</x:f>
        <x:v>10.0791812460476</x:v>
      </x:c>
      <x:c r="J25" s="40" t="n">
        <x:f>(C25-'Regression Model'!$B$4)/365.25</x:f>
        <x:v>1.5441478439425051</x:v>
      </x:c>
      <x:c r="K25" s="44" t="n">
        <x:f>IFERROR(1/(((G25-F25)/3.92)^2),1)</x:f>
        <x:v>0.10832996705630864</x:v>
      </x:c>
      <x:c r="L25" s="32" t="str">
        <x:v>https://mistral.ai/news/mistral-nemo/</x:v>
      </x:c>
      <x:c r="M25" s="32" t="str">
        <x:v>Exact/near-exact name match in Epoch all_ai_models.csv Assumed dense/non-MoE: active params equal total params.</x:v>
      </x:c>
    </x:row>
    <x:row r="26">
      <x:c r="A26" s="32" t="str">
        <x:v>Llama 3.1-405B</x:v>
      </x:c>
      <x:c r="B26" s="32" t="str">
        <x:v>Meta AI</x:v>
      </x:c>
      <x:c r="C26" s="34" t="n">
        <x:v>45496</x:v>
      </x:c>
      <x:c r="D26" s="32" t="str">
        <x:v>Open weights (restricted use)</x:v>
      </x:c>
      <x:c r="E26" s="44" t="n">
        <x:v>128.99</x:v>
      </x:c>
      <x:c r="F26" s="44" t="n">
        <x:v>123.59</x:v>
      </x:c>
      <x:c r="G26" s="44" t="n">
        <x:v>130.73</x:v>
      </x:c>
      <x:c r="H26" s="50" t="n">
        <x:v>405</x:v>
      </x:c>
      <x:c r="I26" s="40" t="n">
        <x:f>LOG10(H26*1E9)</x:f>
        <x:v>11.6074550232147</x:v>
      </x:c>
      <x:c r="J26" s="40" t="n">
        <x:f>(C26-'Regression Model'!$B$4)/365.25</x:f>
        <x:v>1.5578370978781657</x:v>
      </x:c>
      <x:c r="K26" s="44" t="n">
        <x:f>IFERROR(1/(((G26-F26)/3.92)^2),1)</x:f>
        <x:v>0.30142252979623335</x:v>
      </x:c>
      <x:c r="L26" s="32" t="str">
        <x:v>https://ai.meta.com/research/publications/the-llama-3-herd-of-models/</x:v>
      </x:c>
      <x:c r="M26" s="32" t="str">
        <x:v>Exact/near-exact name match in Epoch all_ai_models.csv Assumed dense/non-MoE: active params equal total params.</x:v>
      </x:c>
    </x:row>
    <x:row r="27">
      <x:c r="A27" s="32" t="str">
        <x:v>Llama 3.1-70B</x:v>
      </x:c>
      <x:c r="B27" s="32" t="str">
        <x:v>Meta AI</x:v>
      </x:c>
      <x:c r="C27" s="34" t="n">
        <x:v>45496</x:v>
      </x:c>
      <x:c r="D27" s="32" t="str">
        <x:v>Open weights (restricted use)</x:v>
      </x:c>
      <x:c r="E27" s="44" t="n">
        <x:v>125.53</x:v>
      </x:c>
      <x:c r="F27" s="44" t="n">
        <x:v>118.91</x:v>
      </x:c>
      <x:c r="G27" s="44" t="n">
        <x:v>127.47</x:v>
      </x:c>
      <x:c r="H27" s="50" t="n">
        <x:v>70</x:v>
      </x:c>
      <x:c r="I27" s="40" t="n">
        <x:f>LOG10(H27*1E9)</x:f>
        <x:v>10.8450980400143</x:v>
      </x:c>
      <x:c r="J27" s="40" t="n">
        <x:f>(C27-'Regression Model'!$B$4)/365.25</x:f>
        <x:v>1.5578370978781657</x:v>
      </x:c>
      <x:c r="K27" s="44" t="n">
        <x:f>IFERROR(1/(((G27-F27)/3.92)^2),1)</x:f>
        <x:v>0.20971263865839804</x:v>
      </x:c>
      <x:c r="L27" s="32" t="str">
        <x:v>https://ai.meta.com/research/publications/the-llama-3-herd-of-models/</x:v>
      </x:c>
      <x:c r="M27" s="32" t="str">
        <x:v>Exact/near-exact name match in Epoch all_ai_models.csv Assumed dense/non-MoE: active params equal total params.</x:v>
      </x:c>
    </x:row>
    <x:row r="28">
      <x:c r="A28" s="32" t="str">
        <x:v>Qwen2.5-Coder-32B</x:v>
      </x:c>
      <x:c r="B28" s="32" t="str">
        <x:v>Alibaba</x:v>
      </x:c>
      <x:c r="C28" s="34" t="n">
        <x:v>45553</x:v>
      </x:c>
      <x:c r="D28" s="32" t="str">
        <x:v>Open weights (unrestricted)</x:v>
      </x:c>
      <x:c r="E28" s="44" t="n">
        <x:v>119.27</x:v>
      </x:c>
      <x:c r="F28" s="44" t="n">
        <x:v>110.01</x:v>
      </x:c>
      <x:c r="G28" s="44" t="n">
        <x:v>124.64</x:v>
      </x:c>
      <x:c r="H28" s="50" t="n">
        <x:v>32.5</x:v>
      </x:c>
      <x:c r="I28" s="40" t="n">
        <x:f>LOG10(H28*1E9)</x:f>
        <x:v>10.5118833609789</x:v>
      </x:c>
      <x:c r="J28" s="40" t="n">
        <x:f>(C28-'Regression Model'!$B$4)/365.25</x:f>
        <x:v>1.7138945927446954</x:v>
      </x:c>
      <x:c r="K28" s="44" t="n">
        <x:f>IFERROR(1/(((G28-F28)/3.92)^2),1)</x:f>
        <x:v>0.07179322817701064</x:v>
      </x:c>
      <x:c r="L28" s="32" t="str">
        <x:v>https://arxiv.org/abs/2409.12186</x:v>
      </x:c>
      <x:c r="M28" s="32" t="str">
        <x:v>Exact/near-exact name match in Epoch all_ai_models.csv Assumed dense/non-MoE: active params equal total params.</x:v>
      </x:c>
    </x:row>
    <x:row r="29">
      <x:c r="A29" s="32" t="str">
        <x:v>Qwen2.5-72B</x:v>
      </x:c>
      <x:c r="B29" s="32" t="str">
        <x:v>Alibaba</x:v>
      </x:c>
      <x:c r="C29" s="34" t="n">
        <x:v>45554</x:v>
      </x:c>
      <x:c r="D29" s="32" t="str">
        <x:v>Open weights (unrestricted)</x:v>
      </x:c>
      <x:c r="E29" s="44" t="n">
        <x:v>129.12</x:v>
      </x:c>
      <x:c r="F29" s="44" t="n">
        <x:v>122.2</x:v>
      </x:c>
      <x:c r="G29" s="44" t="n">
        <x:v>130.91</x:v>
      </x:c>
      <x:c r="H29" s="50" t="n">
        <x:v>72.7</x:v>
      </x:c>
      <x:c r="I29" s="40" t="n">
        <x:f>LOG10(H29*1E9)</x:f>
        <x:v>10.861534410859</x:v>
      </x:c>
      <x:c r="J29" s="40" t="n">
        <x:f>(C29-'Regression Model'!$B$4)/365.25</x:f>
        <x:v>1.7166324435318274</x:v>
      </x:c>
      <x:c r="K29" s="44" t="n">
        <x:f>IFERROR(1/(((G29-F29)/3.92)^2),1)</x:f>
        <x:v>0.20255166804852393</x:v>
      </x:c>
      <x:c r="L29" s="32" t="str">
        <x:v>https://qwenlm.github.io/blog/qwen2.5/</x:v>
      </x:c>
      <x:c r="M29" s="32" t="str">
        <x:v>Exact/near-exact name match in Epoch all_ai_models.csv Assumed dense/non-MoE: active params equal total params.</x:v>
      </x:c>
    </x:row>
    <x:row r="30">
      <x:c r="A30" s="32" t="str">
        <x:v>Llama 3.2 90B</x:v>
      </x:c>
      <x:c r="B30" s="32" t="str">
        <x:v>Meta AI</x:v>
      </x:c>
      <x:c r="C30" s="34" t="n">
        <x:v>45559</x:v>
      </x:c>
      <x:c r="D30" s="32" t="str">
        <x:v>Open weights (restricted use)</x:v>
      </x:c>
      <x:c r="E30" s="44" t="n">
        <x:v>125.71</x:v>
      </x:c>
      <x:c r="F30" s="44" t="n">
        <x:v>119.36</x:v>
      </x:c>
      <x:c r="G30" s="44" t="n">
        <x:v>127.43</x:v>
      </x:c>
      <x:c r="H30" s="50" t="n">
        <x:v>88.6</x:v>
      </x:c>
      <x:c r="I30" s="40" t="n">
        <x:f>LOG10(H30*1E9)</x:f>
        <x:v>10.947433721887</x:v>
      </x:c>
      <x:c r="J30" s="40" t="n">
        <x:f>(C30-'Regression Model'!$B$4)/365.25</x:f>
        <x:v>1.730321697467488</x:v>
      </x:c>
      <x:c r="K30" s="44" t="n">
        <x:f>IFERROR(1/(((G30-F30)/3.92)^2),1)</x:f>
        <x:v>0.23595276153974862</x:v>
      </x:c>
      <x:c r="L30" s="32" t="str">
        <x:v>https://ai.meta.com/blog/llama-3-2-connect-2024-vision-edge-mobile-devices/</x:v>
      </x:c>
      <x:c r="M30" s="32" t="str">
        <x:v>Exact/near-exact name match in Epoch all_ai_models.csv Assumed dense/non-MoE: active params equal total params.</x:v>
      </x:c>
    </x:row>
    <x:row r="31">
      <x:c r="A31" s="32" t="str">
        <x:v>Llama 3.3 70B</x:v>
      </x:c>
      <x:c r="B31" s="32" t="str">
        <x:v>Meta AI</x:v>
      </x:c>
      <x:c r="C31" s="34" t="n">
        <x:v>45632</x:v>
      </x:c>
      <x:c r="D31" s="32" t="str">
        <x:v>Open weights (restricted use)</x:v>
      </x:c>
      <x:c r="E31" s="44" t="n">
        <x:v>127.5</x:v>
      </x:c>
      <x:c r="F31" s="44" t="n">
        <x:v>122.01</x:v>
      </x:c>
      <x:c r="G31" s="44" t="n">
        <x:v>129.87</x:v>
      </x:c>
      <x:c r="H31" s="50" t="n">
        <x:v>70</x:v>
      </x:c>
      <x:c r="I31" s="40" t="n">
        <x:f>LOG10(H31*1E9)</x:f>
        <x:v>10.8450980400143</x:v>
      </x:c>
      <x:c r="J31" s="40" t="n">
        <x:f>(C31-'Regression Model'!$B$4)/365.25</x:f>
        <x:v>1.9301848049281314</x:v>
      </x:c>
      <x:c r="K31" s="44" t="n">
        <x:f>IFERROR(1/(((G31-F31)/3.92)^2),1)</x:f>
        <x:v>0.24872935402624824</x:v>
      </x:c>
      <x:c r="L31" s="32" t="str">
        <x:v>https://www.llama.com/docs/model-cards-and-prompt-formats/llama3_3/</x:v>
      </x:c>
      <x:c r="M31" s="32" t="str">
        <x:v>Exact/near-exact name match in Epoch all_ai_models.csv Assumed dense/non-MoE: active params equal total params.</x:v>
      </x:c>
    </x:row>
    <x:row r="32">
      <x:c r="A32" s="32" t="str">
        <x:v>Phi-4</x:v>
      </x:c>
      <x:c r="B32" s="32" t="str">
        <x:v>Microsoft Research</x:v>
      </x:c>
      <x:c r="C32" s="34" t="n">
        <x:v>45638</x:v>
      </x:c>
      <x:c r="D32" s="32" t="str">
        <x:v>Open weights (unrestricted)</x:v>
      </x:c>
      <x:c r="E32" s="44" t="n">
        <x:v>131.05</x:v>
      </x:c>
      <x:c r="F32" s="44" t="n">
        <x:v>123.6</x:v>
      </x:c>
      <x:c r="G32" s="44" t="n">
        <x:v>132.36</x:v>
      </x:c>
      <x:c r="H32" s="50" t="n">
        <x:v>14</x:v>
      </x:c>
      <x:c r="I32" s="40" t="n">
        <x:f>LOG10(H32*1E9)</x:f>
        <x:v>10.1461280356782</x:v>
      </x:c>
      <x:c r="J32" s="40" t="n">
        <x:f>(C32-'Regression Model'!$B$4)/365.25</x:f>
        <x:v>1.946611909650924</x:v>
      </x:c>
      <x:c r="K32" s="44" t="n">
        <x:f>IFERROR(1/(((G32-F32)/3.92)^2),1)</x:f>
        <x:v>0.20024603323533618</x:v>
      </x:c>
      <x:c r="L32" s="32" t="str">
        <x:v>https://arxiv.org/abs/2412.08905</x:v>
      </x:c>
      <x:c r="M32" s="32" t="str">
        <x:v>Exact/near-exact name match in Epoch all_ai_models.csv Assumed dense/non-MoE: active params equal total params.</x:v>
      </x:c>
    </x:row>
    <x:row r="33">
      <x:c r="A33" s="32" t="str">
        <x:v>DeepSeek-V3</x:v>
      </x:c>
      <x:c r="B33" s="32" t="str">
        <x:v>DeepSeek</x:v>
      </x:c>
      <x:c r="C33" s="34" t="n">
        <x:v>45650</x:v>
      </x:c>
      <x:c r="D33" s="32" t="str">
        <x:v>Open weights (restricted use)</x:v>
      </x:c>
      <x:c r="E33" s="44" t="n">
        <x:v>132.99</x:v>
      </x:c>
      <x:c r="F33" s="44" t="n">
        <x:v>127.9</x:v>
      </x:c>
      <x:c r="G33" s="44" t="n">
        <x:v>135.76</x:v>
      </x:c>
      <x:c r="H33" s="50" t="n">
        <x:v>671</x:v>
      </x:c>
      <x:c r="I33" s="40" t="n">
        <x:f>LOG10(H33*1E9)</x:f>
        <x:v>11.826722520169</x:v>
      </x:c>
      <x:c r="J33" s="40" t="n">
        <x:f>(C33-'Regression Model'!$B$4)/365.25</x:f>
        <x:v>1.9794661190965093</x:v>
      </x:c>
      <x:c r="K33" s="44" t="n">
        <x:f>IFERROR(1/(((G33-F33)/3.92)^2),1)</x:f>
        <x:v>0.2487293540262491</x:v>
      </x:c>
      <x:c r="L33" s="32" t="str">
        <x:v>https://arxiv.org/abs/2412.19437</x:v>
      </x:c>
      <x:c r="M33" s="32" t="str">
        <x:v>Exact/near-exact name match in Epoch all_ai_models.csv</x:v>
      </x:c>
    </x:row>
    <x:row r="34">
      <x:c r="A34" s="32" t="str">
        <x:v>DeepSeek-R1</x:v>
      </x:c>
      <x:c r="B34" s="32" t="str">
        <x:v>DeepSeek</x:v>
      </x:c>
      <x:c r="C34" s="34" t="n">
        <x:v>45677</x:v>
      </x:c>
      <x:c r="D34" s="32" t="str">
        <x:v>Open weights (unrestricted)</x:v>
      </x:c>
      <x:c r="E34" s="44" t="n">
        <x:v>139.67</x:v>
      </x:c>
      <x:c r="F34" s="44" t="n">
        <x:v>136.9</x:v>
      </x:c>
      <x:c r="G34" s="44" t="n">
        <x:v>140.9</x:v>
      </x:c>
      <x:c r="H34" s="50" t="n">
        <x:v>671</x:v>
      </x:c>
      <x:c r="I34" s="40" t="n">
        <x:f>LOG10(H34*1E9)</x:f>
        <x:v>11.826722520169</x:v>
      </x:c>
      <x:c r="J34" s="40" t="n">
        <x:f>(C34-'Regression Model'!$B$4)/365.25</x:f>
        <x:v>2.0533880903490758</x:v>
      </x:c>
      <x:c r="K34" s="44" t="n">
        <x:f>IFERROR(1/(((G34-F34)/3.92)^2),1)</x:f>
        <x:v>0.9603999999999999</x:v>
      </x:c>
      <x:c r="L34" s="32" t="str">
        <x:v>https://api-docs.deepseek.com/news/news250120</x:v>
      </x:c>
      <x:c r="M34" s="32" t="str">
        <x:v>Exact/near-exact name match in Epoch all_ai_models.csv</x:v>
      </x:c>
    </x:row>
    <x:row r="35">
      <x:c r="A35" s="32" t="str">
        <x:v>Gemma 3 27B</x:v>
      </x:c>
      <x:c r="B35" s="32" t="str">
        <x:v>Google DeepMind</x:v>
      </x:c>
      <x:c r="C35" s="34" t="n">
        <x:v>45728</x:v>
      </x:c>
      <x:c r="D35" s="32" t="str">
        <x:v>Open weights (restricted use)</x:v>
      </x:c>
      <x:c r="E35" s="44" t="n">
        <x:v>131.08</x:v>
      </x:c>
      <x:c r="F35" s="44" t="n">
        <x:v>124.84</x:v>
      </x:c>
      <x:c r="G35" s="44" t="n">
        <x:v>133.28</x:v>
      </x:c>
      <x:c r="H35" s="50" t="n">
        <x:v>27</x:v>
      </x:c>
      <x:c r="I35" s="40" t="n">
        <x:f>LOG10(H35*1E9)</x:f>
        <x:v>10.431363764159</x:v>
      </x:c>
      <x:c r="J35" s="40" t="n">
        <x:f>(C35-'Regression Model'!$B$4)/365.25</x:f>
        <x:v>2.193018480492813</x:v>
      </x:c>
      <x:c r="K35" s="44" t="n">
        <x:f>IFERROR(1/(((G35-F35)/3.92)^2),1)</x:f>
        <x:v>0.21571842501291538</x:v>
      </x:c>
      <x:c r="L35" s="32" t="str">
        <x:v>https://storage.googleapis.com/deepmind-media/gemma/Gemma3Report.pdf</x:v>
      </x:c>
      <x:c r="M35" s="32" t="str">
        <x:v>Exact/near-exact name match in Epoch all_ai_models.csv</x:v>
      </x:c>
    </x:row>
    <x:row r="36">
      <x:c r="A36" s="32" t="str">
        <x:v>Mistral Small 3.1</x:v>
      </x:c>
      <x:c r="B36" s="32" t="str">
        <x:v>Mistral AI</x:v>
      </x:c>
      <x:c r="C36" s="34" t="n">
        <x:v>45733</x:v>
      </x:c>
      <x:c r="D36" s="32" t="str">
        <x:v>Open weights (unrestricted)</x:v>
      </x:c>
      <x:c r="E36" s="44" t="n">
        <x:v>127.75</x:v>
      </x:c>
      <x:c r="F36" s="44" t="n">
        <x:v>121.89</x:v>
      </x:c>
      <x:c r="G36" s="44" t="n">
        <x:v>129.38</x:v>
      </x:c>
      <x:c r="H36" s="50" t="n">
        <x:v>24</x:v>
      </x:c>
      <x:c r="I36" s="40" t="n">
        <x:f>LOG10(H36*1E9)</x:f>
        <x:v>10.3802112417116</x:v>
      </x:c>
      <x:c r="J36" s="40" t="n">
        <x:f>(C36-'Regression Model'!$B$4)/365.25</x:f>
        <x:v>2.206707734428474</x:v>
      </x:c>
      <x:c r="K36" s="44" t="n">
        <x:f>IFERROR(1/(((G36-F36)/3.92)^2),1)</x:f>
        <x:v>0.27391038518647953</x:v>
      </x:c>
      <x:c r="L36" s="32" t="str">
        <x:v>https://mistral.ai/news/mistral-small-3-1</x:v>
      </x:c>
      <x:c r="M36" s="32" t="str">
        <x:v>Exact/near-exact name match in Epoch all_ai_models.csv</x:v>
      </x:c>
    </x:row>
    <x:row r="37">
      <x:c r="A37" s="32" t="str">
        <x:v>DeepSeek-V3 (Mar 2025)</x:v>
      </x:c>
      <x:c r="B37" s="32" t="str">
        <x:v>DeepSeek</x:v>
      </x:c>
      <x:c r="C37" s="34" t="n">
        <x:v>45740</x:v>
      </x:c>
      <x:c r="D37" s="32" t="str">
        <x:v>Open weights (restricted use)</x:v>
      </x:c>
      <x:c r="E37" s="44" t="n">
        <x:v>137.04</x:v>
      </x:c>
      <x:c r="F37" s="44" t="n">
        <x:v>133.64</x:v>
      </x:c>
      <x:c r="G37" s="44" t="n">
        <x:v>138.66</x:v>
      </x:c>
      <x:c r="H37" s="50" t="n">
        <x:v>671</x:v>
      </x:c>
      <x:c r="I37" s="40" t="n">
        <x:f>LOG10(H37*1E9)</x:f>
        <x:v>11.826722520169</x:v>
      </x:c>
      <x:c r="J37" s="40" t="n">
        <x:f>(C37-'Regression Model'!$B$4)/365.25</x:f>
        <x:v>2.2258726899383983</x:v>
      </x:c>
      <x:c r="K37" s="44" t="n">
        <x:f>IFERROR(1/(((G37-F37)/3.92)^2),1)</x:f>
        <x:v>0.6097680989190624</x:v>
      </x:c>
      <x:c r="L37" s="32" t="str">
        <x:v>https://arxiv.org/abs/2412.19437</x:v>
      </x:c>
      <x:c r="M37" s="32" t="str">
        <x:v>Exact/near-exact name match in Epoch all_ai_models.csv</x:v>
      </x:c>
    </x:row>
    <x:row r="38">
      <x:c r="A38" s="32" t="str">
        <x:v>Llama 4 Maverick</x:v>
      </x:c>
      <x:c r="B38" s="32" t="str">
        <x:v>Meta AI</x:v>
      </x:c>
      <x:c r="C38" s="34" t="n">
        <x:v>45752</x:v>
      </x:c>
      <x:c r="D38" s="32" t="str">
        <x:v>Open weights (restricted use)</x:v>
      </x:c>
      <x:c r="E38" s="44" t="n">
        <x:v>133.04</x:v>
      </x:c>
      <x:c r="F38" s="44" t="n">
        <x:v>128.11</x:v>
      </x:c>
      <x:c r="G38" s="44" t="n">
        <x:v>135.12</x:v>
      </x:c>
      <x:c r="H38" s="50" t="n">
        <x:v>400</x:v>
      </x:c>
      <x:c r="I38" s="40" t="n">
        <x:f>LOG10(H38*1E9)</x:f>
        <x:v>11.602059991328</x:v>
      </x:c>
      <x:c r="J38" s="40" t="n">
        <x:f>(C38-'Regression Model'!$B$4)/365.25</x:f>
        <x:v>2.2587268993839835</x:v>
      </x:c>
      <x:c r="K38" s="44" t="n">
        <x:f>IFERROR(1/(((G38-F38)/3.92)^2),1)</x:f>
        <x:v>0.3127059163493774</x:v>
      </x:c>
      <x:c r="L38" s="32" t="str">
        <x:v>https://ai.meta.com/blog/llama-4-multimodal-intelligence/</x:v>
      </x:c>
      <x:c r="M38" s="32" t="str">
        <x:v>Exact/near-exact name match in Epoch all_ai_models.csv</x:v>
      </x:c>
    </x:row>
    <x:row r="39">
      <x:c r="A39" s="32" t="str">
        <x:v>Llama 4 Scout</x:v>
      </x:c>
      <x:c r="B39" s="32" t="str">
        <x:v>Meta AI</x:v>
      </x:c>
      <x:c r="C39" s="34" t="n">
        <x:v>45752</x:v>
      </x:c>
      <x:c r="D39" s="32" t="str">
        <x:v>Open weights (restricted use)</x:v>
      </x:c>
      <x:c r="E39" s="44" t="n">
        <x:v>130.56</x:v>
      </x:c>
      <x:c r="F39" s="44" t="n">
        <x:v>125.67</x:v>
      </x:c>
      <x:c r="G39" s="44" t="n">
        <x:v>132.06</x:v>
      </x:c>
      <x:c r="H39" s="50" t="n">
        <x:v>109</x:v>
      </x:c>
      <x:c r="I39" s="40" t="n">
        <x:f>LOG10(H39*1E9)</x:f>
        <x:v>11.0374264979406</x:v>
      </x:c>
      <x:c r="J39" s="40" t="n">
        <x:f>(C39-'Regression Model'!$B$4)/365.25</x:f>
        <x:v>2.2587268993839835</x:v>
      </x:c>
      <x:c r="K39" s="44" t="n">
        <x:f>IFERROR(1/(((G39-F39)/3.92)^2),1)</x:f>
        <x:v>0.37633136674332196</x:v>
      </x:c>
      <x:c r="L39" s="32" t="str">
        <x:v>https://ai.meta.com/blog/llama-4-multimodal-intelligence/</x:v>
      </x:c>
      <x:c r="M39" s="32" t="str">
        <x:v>Exact/near-exact name match in Epoch all_ai_models.csv</x:v>
      </x:c>
    </x:row>
    <x:row r="40">
      <x:c r="A40" s="32" t="str">
        <x:v>Qwen3-235B-A22B</x:v>
      </x:c>
      <x:c r="B40" s="32" t="str">
        <x:v>Alibaba</x:v>
      </x:c>
      <x:c r="C40" s="34" t="n">
        <x:v>45775</x:v>
      </x:c>
      <x:c r="D40" s="32" t="str">
        <x:v>Open weights (unrestricted)</x:v>
      </x:c>
      <x:c r="E40" s="44" t="n">
        <x:v>139.58</x:v>
      </x:c>
      <x:c r="F40" s="44" t="n">
        <x:v>134.79</x:v>
      </x:c>
      <x:c r="G40" s="44" t="n">
        <x:v>141.08</x:v>
      </x:c>
      <x:c r="H40" s="50" t="n">
        <x:v>235</x:v>
      </x:c>
      <x:c r="I40" s="40" t="n">
        <x:f>LOG10(H40*1E9)</x:f>
        <x:v>11.3710678622717</x:v>
      </x:c>
      <x:c r="J40" s="40" t="n">
        <x:f>(C40-'Regression Model'!$B$4)/365.25</x:f>
        <x:v>2.321697467488022</x:v>
      </x:c>
      <x:c r="K40" s="44" t="n">
        <x:f>IFERROR(1/(((G40-F40)/3.92)^2),1)</x:f>
        <x:v>0.38839250734883135</x:v>
      </x:c>
      <x:c r="L40" s="32" t="str">
        <x:v>https://qwenlm.github.io/blog/qwen3/</x:v>
      </x:c>
      <x:c r="M40" s="32" t="str">
        <x:v>Exact/near-exact name match in Epoch all_ai_models.csv</x:v>
      </x:c>
    </x:row>
    <x:row r="41">
      <x:c r="A41" s="32" t="str">
        <x:v>DeepSeek-R1 (May 2025)</x:v>
      </x:c>
      <x:c r="B41" s="32" t="str">
        <x:v>DeepSeek</x:v>
      </x:c>
      <x:c r="C41" s="34" t="n">
        <x:v>45805</x:v>
      </x:c>
      <x:c r="D41" s="32" t="str">
        <x:v>Open weights (unrestricted)</x:v>
      </x:c>
      <x:c r="E41" s="44" t="n">
        <x:v>142</x:v>
      </x:c>
      <x:c r="F41" s="44" t="n">
        <x:v>139.66</x:v>
      </x:c>
      <x:c r="G41" s="44" t="n">
        <x:v>143.43</x:v>
      </x:c>
      <x:c r="H41" s="50" t="n">
        <x:v>671</x:v>
      </x:c>
      <x:c r="I41" s="40" t="n">
        <x:f>LOG10(H41*1E9)</x:f>
        <x:v>11.826722520169</x:v>
      </x:c>
      <x:c r="J41" s="40" t="n">
        <x:f>(C41-'Regression Model'!$B$4)/365.25</x:f>
        <x:v>2.403832991101985</x:v>
      </x:c>
      <x:c r="K41" s="44" t="n">
        <x:f>IFERROR(1/(((G41-F41)/3.92)^2),1)</x:f>
        <x:v>1.0811586657191647</x:v>
      </x:c>
      <x:c r="L41" s="32" t="str">
        <x:v>https://api-docs.deepseek.com/news/news250120</x:v>
      </x:c>
      <x:c r="M41" s="32" t="str">
        <x:v>Exact/near-exact name match in Epoch all_ai_models.csv</x:v>
      </x:c>
    </x:row>
    <x:row r="42">
      <x:c r="A42" s="32" t="str">
        <x:v>Magistral Small 1.1</x:v>
      </x:c>
      <x:c r="B42" s="32" t="str">
        <x:v>Mistral AI</x:v>
      </x:c>
      <x:c r="C42" s="34" t="n">
        <x:v>45818</x:v>
      </x:c>
      <x:c r="D42" s="32" t="str">
        <x:v>Open weights (unrestricted)</x:v>
      </x:c>
      <x:c r="E42" s="44" t="n">
        <x:v>133.07</x:v>
      </x:c>
      <x:c r="F42" s="44" t="n">
        <x:v>127.02</x:v>
      </x:c>
      <x:c r="G42" s="44" t="n">
        <x:v>135.4</x:v>
      </x:c>
      <x:c r="H42" s="50" t="n">
        <x:v>24</x:v>
      </x:c>
      <x:c r="I42" s="40" t="n">
        <x:f>LOG10(H42*1E9)</x:f>
        <x:v>10.3802112417116</x:v>
      </x:c>
      <x:c r="J42" s="40" t="n">
        <x:f>(C42-'Regression Model'!$B$4)/365.25</x:f>
        <x:v>2.439425051334702</x:v>
      </x:c>
      <x:c r="K42" s="44" t="n">
        <x:f>IFERROR(1/(((G42-F42)/3.92)^2),1)</x:f>
        <x:v>0.21881853031140125</x:v>
      </x:c>
      <x:c r="L42" s="32" t="str">
        <x:v>https://mistral.ai/news/magistral</x:v>
      </x:c>
      <x:c r="M42" s="32" t="str">
        <x:v>Exact/near-exact name match in Epoch all_ai_models.csv Assumed dense/non-MoE: active params equal total params.</x:v>
      </x:c>
    </x:row>
    <x:row r="43">
      <x:c r="A43" s="32" t="str">
        <x:v>Qwen3-235B-A22B-Instruct (Jul 2025)</x:v>
      </x:c>
      <x:c r="B43" s="32" t="str">
        <x:v>Alibaba</x:v>
      </x:c>
      <x:c r="C43" s="34" t="n">
        <x:v>45863</x:v>
      </x:c>
      <x:c r="D43" s="32" t="str">
        <x:v>Open weights (unrestricted)</x:v>
      </x:c>
      <x:c r="E43" s="44" t="n">
        <x:v>138.96</x:v>
      </x:c>
      <x:c r="F43" s="44" t="n">
        <x:v>135.35</x:v>
      </x:c>
      <x:c r="G43" s="44" t="n">
        <x:v>140.84</x:v>
      </x:c>
      <x:c r="H43" s="50" t="n">
        <x:v>235</x:v>
      </x:c>
      <x:c r="I43" s="40" t="n">
        <x:f>LOG10(H43*1E9)</x:f>
        <x:v>11.3710678622717</x:v>
      </x:c>
      <x:c r="J43" s="40" t="n">
        <x:f>(C43-'Regression Model'!$B$4)/365.25</x:f>
        <x:v>2.5626283367556466</x:v>
      </x:c>
      <x:c r="K43" s="44" t="n">
        <x:f>IFERROR(1/(((G43-F43)/3.92)^2),1)</x:f>
        <x:v>0.5098324159508412</x:v>
      </x:c>
      <x:c r="L43" s="32" t="str">
        <x:v>https://qwenlm.github.io/blog/qwen3/</x:v>
      </x:c>
      <x:c r="M43" s="32" t="str">
        <x:v>Filled from Qwen3-235B-A22B same-family architecture in Epoch data</x:v>
      </x:c>
    </x:row>
    <x:row r="44">
      <x:c r="A44" s="32" t="str">
        <x:v>Qwen3-235B-A22B-Thinking (Jul 2025)</x:v>
      </x:c>
      <x:c r="B44" s="32" t="str">
        <x:v>Alibaba</x:v>
      </x:c>
      <x:c r="C44" s="34" t="n">
        <x:v>45863</x:v>
      </x:c>
      <x:c r="D44" s="32" t="str">
        <x:v>Open weights (unrestricted)</x:v>
      </x:c>
      <x:c r="E44" s="44" t="n">
        <x:v>144.78</x:v>
      </x:c>
      <x:c r="F44" s="44" t="n">
        <x:v>142.35</x:v>
      </x:c>
      <x:c r="G44" s="44" t="n">
        <x:v>147.4</x:v>
      </x:c>
      <x:c r="H44" s="50" t="n">
        <x:v>235</x:v>
      </x:c>
      <x:c r="I44" s="40" t="n">
        <x:f>LOG10(H44*1E9)</x:f>
        <x:v>11.3710678622717</x:v>
      </x:c>
      <x:c r="J44" s="40" t="n">
        <x:f>(C44-'Regression Model'!$B$4)/365.25</x:f>
        <x:v>2.5626283367556466</x:v>
      </x:c>
      <x:c r="K44" s="44" t="n">
        <x:f>IFERROR(1/(((G44-F44)/3.92)^2),1)</x:f>
        <x:v>0.6025448485442577</x:v>
      </x:c>
      <x:c r="L44" s="32" t="str">
        <x:v>https://qwenlm.github.io/blog/qwen3/</x:v>
      </x:c>
      <x:c r="M44" s="32" t="str">
        <x:v>Exact/near-exact name match in Epoch all_ai_models.csv</x:v>
      </x:c>
    </x:row>
    <x:row r="45">
      <x:c r="A45" s="32" t="str">
        <x:v>gpt-oss-120b</x:v>
      </x:c>
      <x:c r="B45" s="32" t="str">
        <x:v>OpenAI</x:v>
      </x:c>
      <x:c r="C45" s="34" t="n">
        <x:v>45874</x:v>
      </x:c>
      <x:c r="D45" s="32" t="str">
        <x:v>Open weights (unrestricted)</x:v>
      </x:c>
      <x:c r="E45" s="44" t="n">
        <x:v>140.57</x:v>
      </x:c>
      <x:c r="F45" s="44" t="n">
        <x:v>136.18</x:v>
      </x:c>
      <x:c r="G45" s="44" t="n">
        <x:v>143.08</x:v>
      </x:c>
      <x:c r="H45" s="50" t="n">
        <x:v>116.83</x:v>
      </x:c>
      <x:c r="I45" s="40" t="n">
        <x:f>LOG10(H45*1E9)</x:f>
        <x:v>11.0675543766935</x:v>
      </x:c>
      <x:c r="J45" s="40" t="n">
        <x:f>(C45-'Regression Model'!$B$4)/365.25</x:f>
        <x:v>2.5927446954141</x:v>
      </x:c>
      <x:c r="K45" s="44" t="n">
        <x:f>IFERROR(1/(((G45-F45)/3.92)^2),1)</x:f>
        <x:v>0.32275572358748106</x:v>
      </x:c>
      <x:c r="L45" s="32" t="str">
        <x:v>https://cdn.openai.com/pdf/419b6906-9da6-406c-a19d-1bb078ac7637/oai_gpt-oss_model_card.pdf</x:v>
      </x:c>
      <x:c r="M45" s="32" t="str">
        <x:v>Exact/near-exact name match in Epoch all_ai_models.csv Assumed dense/non-MoE: active params equal total params.</x:v>
      </x:c>
    </x:row>
    <x:row r="46">
      <x:c r="A46" s="32" t="str">
        <x:v>DeepSeek-V3.1</x:v>
      </x:c>
      <x:c r="B46" s="32" t="str">
        <x:v>DeepSeek</x:v>
      </x:c>
      <x:c r="C46" s="34" t="n">
        <x:v>45890</x:v>
      </x:c>
      <x:c r="D46" s="32" t="str">
        <x:v>Open weights (unrestricted)</x:v>
      </x:c>
      <x:c r="E46" s="44" t="n">
        <x:v>138.68</x:v>
      </x:c>
      <x:c r="F46" s="44" t="n">
        <x:v>135.73</x:v>
      </x:c>
      <x:c r="G46" s="44" t="n">
        <x:v>142.57</x:v>
      </x:c>
      <x:c r="H46" s="50" t="n">
        <x:v>671</x:v>
      </x:c>
      <x:c r="I46" s="40" t="n">
        <x:f>LOG10(H46*1E9)</x:f>
        <x:v>11.826722520169</x:v>
      </x:c>
      <x:c r="J46" s="40" t="n">
        <x:f>(C46-'Regression Model'!$B$4)/365.25</x:f>
        <x:v>2.6365503080082138</x:v>
      </x:c>
      <x:c r="K46" s="44" t="n">
        <x:f>IFERROR(1/(((G46-F46)/3.92)^2),1)</x:f>
        <x:v>0.32844293970794397</x:v>
      </x:c>
      <x:c r="L46" s="32" t="str">
        <x:v>https://api-docs.deepseek.com/news/news250821
https://huggingface.co/deepseek-ai/DeepSeek-V3.1</x:v>
      </x:c>
      <x:c r="M46" s="32" t="str">
        <x:v>Exact/near-exact name match in Epoch all_ai_models.csv</x:v>
      </x:c>
    </x:row>
    <x:row r="47">
      <x:c r="A47" s="32" t="str">
        <x:v>DeepSeek-V3.2-Exp</x:v>
      </x:c>
      <x:c r="B47" s="32" t="str">
        <x:v>DeepSeek</x:v>
      </x:c>
      <x:c r="C47" s="34" t="n">
        <x:v>45929</x:v>
      </x:c>
      <x:c r="D47" s="32" t="str">
        <x:v>Open weights (unrestricted)</x:v>
      </x:c>
      <x:c r="E47" s="44" t="n">
        <x:v>144.86</x:v>
      </x:c>
      <x:c r="F47" s="44" t="n">
        <x:v>141.79</x:v>
      </x:c>
      <x:c r="G47" s="44" t="n">
        <x:v>146.71</x:v>
      </x:c>
      <x:c r="H47" s="50" t="n">
        <x:v>671</x:v>
      </x:c>
      <x:c r="I47" s="40" t="n">
        <x:f>LOG10(H47*1E9)</x:f>
        <x:v>11.826722520169</x:v>
      </x:c>
      <x:c r="J47" s="40" t="n">
        <x:f>(C47-'Regression Model'!$B$4)/365.25</x:f>
        <x:v>2.7433264887063653</x:v>
      </x:c>
      <x:c r="K47" s="44" t="n">
        <x:f>IFERROR(1/(((G47-F47)/3.92)^2),1)</x:f>
        <x:v>0.6348073236829886</x:v>
      </x:c>
      <x:c r="L47" s="32" t="str">
        <x:v>https://github.com/deepseek-ai/DeepSeek-V3.2-Exp/blob/main/DeepSeek_V3_2.pdf</x:v>
      </x:c>
      <x:c r="M47" s="32" t="str">
        <x:v>Exact/near-exact name match in Epoch all_ai_models.csv</x:v>
      </x:c>
    </x:row>
    <x:row r="48">
      <x:c r="A48" s="32" t="str">
        <x:v>GLM-4.6</x:v>
      </x:c>
      <x:c r="B48" s="32" t="str">
        <x:v>Z.ai (Zhipu AI),Tsinghua University</x:v>
      </x:c>
      <x:c r="C48" s="34" t="n">
        <x:v>45930</x:v>
      </x:c>
      <x:c r="D48" s="32" t="str">
        <x:v>Open weights (unrestricted)</x:v>
      </x:c>
      <x:c r="E48" s="44" t="n">
        <x:v>140.95</x:v>
      </x:c>
      <x:c r="F48" s="44" t="n">
        <x:v>136.28</x:v>
      </x:c>
      <x:c r="G48" s="44" t="n">
        <x:v>142.51</x:v>
      </x:c>
      <x:c r="H48" s="50" t="n">
        <x:v>357</x:v>
      </x:c>
      <x:c r="I48" s="40" t="n">
        <x:f>LOG10(H48*1E9)</x:f>
        <x:v>11.5526682161122</x:v>
      </x:c>
      <x:c r="J48" s="40" t="n">
        <x:f>(C48-'Regression Model'!$B$4)/365.25</x:f>
        <x:v>2.746064339493498</x:v>
      </x:c>
      <x:c r="K48" s="44" t="n">
        <x:f>IFERROR(1/(((G48-F48)/3.92)^2),1)</x:f>
        <x:v>0.3959096073728077</x:v>
      </x:c>
      <x:c r="L48" s="32" t="str">
        <x:v>https://z.ai/blog/glm-4.6</x:v>
      </x:c>
      <x:c r="M48" s="32" t="str">
        <x:v>Exact/near-exact name match in Epoch all_ai_models.csv</x:v>
      </x:c>
    </x:row>
    <x:row r="49">
      <x:c r="A49" s="32" t="str">
        <x:v>Kimi K2 Thinking</x:v>
      </x:c>
      <x:c r="B49" s="32" t="str">
        <x:v>Moonshot</x:v>
      </x:c>
      <x:c r="C49" s="34" t="n">
        <x:v>45967</x:v>
      </x:c>
      <x:c r="D49" s="32" t="str">
        <x:v>Open weights (restricted use)</x:v>
      </x:c>
      <x:c r="E49" s="44" t="n">
        <x:v>146.01</x:v>
      </x:c>
      <x:c r="F49" s="44" t="n">
        <x:v>143.68</x:v>
      </x:c>
      <x:c r="G49" s="44" t="n">
        <x:v>147.44</x:v>
      </x:c>
      <x:c r="H49" s="50" t="n">
        <x:v>1000</x:v>
      </x:c>
      <x:c r="I49" s="40" t="n">
        <x:f>LOG10(H49*1E9)</x:f>
        <x:v>12</x:v>
      </x:c>
      <x:c r="J49" s="40" t="n">
        <x:f>(C49-'Regression Model'!$B$4)/365.25</x:f>
        <x:v>2.847364818617385</x:v>
      </x:c>
      <x:c r="K49" s="44" t="n">
        <x:f>IFERROR(1/(((G49-F49)/3.92)^2),1)</x:f>
        <x:v>1.0869171570846587</x:v>
      </x:c>
      <x:c r="L49" s="32" t="str">
        <x:v>https://moonshotai.github.io/Kimi-K2/thinking</x:v>
      </x:c>
      <x:c r="M49" s="32" t="str">
        <x:v>Exact/near-exact name match in Epoch all_ai_models.csv</x:v>
      </x:c>
    </x:row>
    <x:row r="50">
      <x:c r="A50" s="32" t="str">
        <x:v>DeepSeek-V3.2</x:v>
      </x:c>
      <x:c r="B50" s="32" t="str">
        <x:v>DeepSeek</x:v>
      </x:c>
      <x:c r="C50" s="34" t="n">
        <x:v>45992</x:v>
      </x:c>
      <x:c r="D50" s="32" t="str">
        <x:v>Open weights (unrestricted)</x:v>
      </x:c>
      <x:c r="E50" s="44" t="n">
        <x:v>146.56</x:v>
      </x:c>
      <x:c r="F50" s="44" t="n">
        <x:v>144.63</x:v>
      </x:c>
      <x:c r="G50" s="44" t="n">
        <x:v>147.62</x:v>
      </x:c>
      <x:c r="H50" s="50" t="n">
        <x:v>671</x:v>
      </x:c>
      <x:c r="I50" s="40" t="n">
        <x:f>LOG10(H50*1E9)</x:f>
        <x:v>11.826722520169</x:v>
      </x:c>
      <x:c r="J50" s="40" t="n">
        <x:f>(C50-'Regression Model'!$B$4)/365.25</x:f>
        <x:v>2.915811088295688</x:v>
      </x:c>
      <x:c r="K50" s="44" t="n">
        <x:f>IFERROR(1/(((G50-F50)/3.92)^2),1)</x:f>
        <x:v>1.7188174628919035</x:v>
      </x:c>
      <x:c r="L50" s="32" t="str">
        <x:v>https://github.com/deepseek-ai/DeepSeek-V3.2-Exp/blob/main/DeepSeek_V3_2.pdf</x:v>
      </x:c>
      <x:c r="M50" s="32" t="str">
        <x:v>Filled from DeepSeek-V3.2-Exp / DeepSeek-V3.1 same-family architecture in Epoch data</x:v>
      </x:c>
    </x:row>
    <x:row r="51">
      <x:c r="A51" s="32" t="str">
        <x:v>GLM-4.7</x:v>
      </x:c>
      <x:c r="B51" s="32" t="str">
        <x:v>Z.ai (Zhipu AI)</x:v>
      </x:c>
      <x:c r="C51" s="34" t="n">
        <x:v>46013</x:v>
      </x:c>
      <x:c r="D51" s="32" t="str">
        <x:v>Open weights (unrestricted)</x:v>
      </x:c>
      <x:c r="E51" s="44" t="n">
        <x:v>143.73</x:v>
      </x:c>
      <x:c r="F51" s="44" t="n">
        <x:v>141.11</x:v>
      </x:c>
      <x:c r="G51" s="44" t="n">
        <x:v>145.38</x:v>
      </x:c>
      <x:c r="H51" s="50" t="n">
        <x:v>358</x:v>
      </x:c>
      <x:c r="I51" s="40" t="n">
        <x:f>LOG10(H51*1E9)</x:f>
        <x:v>11.5538830266439</x:v>
      </x:c>
      <x:c r="J51" s="40" t="n">
        <x:f>(C51-'Regression Model'!$B$4)/365.25</x:f>
        <x:v>2.973305954825462</x:v>
      </x:c>
      <x:c r="K51" s="44" t="n">
        <x:f>IFERROR(1/(((G51-F51)/3.92)^2),1)</x:f>
        <x:v>0.8427841977962982</x:v>
      </x:c>
      <x:c r="L51" s="32" t="str">
        <x:v>https://z.ai/blog/glm-4.7</x:v>
      </x:c>
      <x:c r="M51" s="32" t="str">
        <x:v>Exact/near-exact name match in Epoch all_ai_models.csv</x:v>
      </x:c>
    </x:row>
    <x:row r="52">
      <x:c r="A52" s="32" t="str">
        <x:v>Kimi K2.5</x:v>
      </x:c>
      <x:c r="B52" s="32" t="str">
        <x:v>Moonshot</x:v>
      </x:c>
      <x:c r="C52" s="34" t="n">
        <x:v>46055</x:v>
      </x:c>
      <x:c r="D52" s="32" t="str">
        <x:v>Open weights (unrestricted)</x:v>
      </x:c>
      <x:c r="E52" s="44" t="n">
        <x:v>148.24</x:v>
      </x:c>
      <x:c r="F52" s="44" t="n">
        <x:v>146.58</x:v>
      </x:c>
      <x:c r="G52" s="44" t="n">
        <x:v>149.36</x:v>
      </x:c>
      <x:c r="H52" s="50" t="n">
        <x:v>1040</x:v>
      </x:c>
      <x:c r="I52" s="40" t="n">
        <x:f>LOG10(H52*1E9)</x:f>
        <x:v>12.0170333392988</x:v>
      </x:c>
      <x:c r="J52" s="40" t="n">
        <x:f>(C52-'Regression Model'!$B$4)/365.25</x:f>
        <x:v>3.0882956878850103</x:v>
      </x:c>
      <x:c r="K52" s="44" t="n">
        <x:f>IFERROR(1/(((G52-F52)/3.92)^2),1)</x:f>
        <x:v>1.9883028828735556</x:v>
      </x:c>
      <x:c r="L52" s="32" t="str">
        <x:v>https://arxiv.org/abs/2602.02276</x:v>
      </x:c>
      <x:c r="M52" s="32" t="str">
        <x:v>Exact/near-exact name match in Epoch all_ai_models.csv</x:v>
      </x:c>
    </x:row>
    <x:row r="53">
      <x:c r="A53" s="32" t="str">
        <x:v>GLM-5</x:v>
      </x:c>
      <x:c r="B53" s="32" t="str">
        <x:v>Z.ai (Zhipu AI)</x:v>
      </x:c>
      <x:c r="C53" s="34" t="n">
        <x:v>46064</x:v>
      </x:c>
      <x:c r="D53" s="32" t="str">
        <x:v>Open weights (unrestricted)</x:v>
      </x:c>
      <x:c r="E53" s="44" t="n">
        <x:v>146.39</x:v>
      </x:c>
      <x:c r="F53" s="44" t="n">
        <x:v>144.52</x:v>
      </x:c>
      <x:c r="G53" s="44" t="n">
        <x:v>147.86</x:v>
      </x:c>
      <x:c r="H53" s="50" t="n">
        <x:v>744</x:v>
      </x:c>
      <x:c r="I53" s="40" t="n">
        <x:f>LOG10(H53*1E9)</x:f>
        <x:v>11.8715729355459</x:v>
      </x:c>
      <x:c r="J53" s="40" t="n">
        <x:f>(C53-'Regression Model'!$B$4)/365.25</x:f>
        <x:v>3.1129363449691994</x:v>
      </x:c>
      <x:c r="K53" s="44" t="n">
        <x:f>IFERROR(1/(((G53-F53)/3.92)^2),1)</x:f>
        <x:v>1.3774606475671383</x:v>
      </x:c>
      <x:c r="L53" s="32" t="str">
        <x:v>https://arxiv.org/pdf/2602.15763</x:v>
      </x:c>
      <x:c r="M53" s="32" t="str">
        <x:v>Exact/near-exact name match in Epoch all_ai_models.csv</x:v>
      </x:c>
    </x:row>
    <x:row r="54">
      <x:c r="A54" s="32" t="str">
        <x:v>MiniMax-M2.5</x:v>
      </x:c>
      <x:c r="B54" s="32" t="str">
        <x:v>MiniMax</x:v>
      </x:c>
      <x:c r="C54" s="34" t="n">
        <x:v>46065</x:v>
      </x:c>
      <x:c r="D54" s="32" t="str">
        <x:v>Open weights (unrestricted)</x:v>
      </x:c>
      <x:c r="E54" s="44" t="n">
        <x:v>147.07</x:v>
      </x:c>
      <x:c r="F54" s="44" t="n">
        <x:v>142.34</x:v>
      </x:c>
      <x:c r="G54" s="44" t="n">
        <x:v>148.14</x:v>
      </x:c>
      <x:c r="H54" s="50" t="n">
        <x:v>229</x:v>
      </x:c>
      <x:c r="I54" s="40" t="n">
        <x:f>LOG10(H54*1E9)</x:f>
        <x:v>11.3598354823399</x:v>
      </x:c>
      <x:c r="J54" s="40" t="n">
        <x:f>(C54-'Regression Model'!$B$4)/365.25</x:f>
        <x:v>3.1156741957563314</x:v>
      </x:c>
      <x:c r="K54" s="44" t="n">
        <x:f>IFERROR(1/(((G54-F54)/3.92)^2),1)</x:f>
        <x:v>0.4567895362663522</x:v>
      </x:c>
      <x:c r="L54" s="32" t="str">
        <x:v>https://www.minimax.io/news/minimax-m25</x:v>
      </x:c>
      <x:c r="M54" s="32" t="str">
        <x:v>Exact/near-exact name match in Epoch all_ai_models.csv</x:v>
      </x:c>
    </x:row>
    <x:row r="55">
      <x:c r="A55" s="32" t="str">
        <x:v>MiniMax-M2.7</x:v>
      </x:c>
      <x:c r="B55" s="32" t="str">
        <x:v>MiniMax</x:v>
      </x:c>
      <x:c r="C55" s="34" t="n">
        <x:v>46099</x:v>
      </x:c>
      <x:c r="D55" s="32" t="str">
        <x:v>Open weights (non-commercial)</x:v>
      </x:c>
      <x:c r="E55" s="44" t="n">
        <x:v>145.61</x:v>
      </x:c>
      <x:c r="F55" s="44" t="n">
        <x:v>138.06</x:v>
      </x:c>
      <x:c r="G55" s="44" t="n">
        <x:v>147.75</x:v>
      </x:c>
      <x:c r="H55" s="50" t="n">
        <x:v>229</x:v>
      </x:c>
      <x:c r="I55" s="40" t="n">
        <x:f>LOG10(H55*1E9)</x:f>
        <x:v>11.3598354823399</x:v>
      </x:c>
      <x:c r="J55" s="40" t="n">
        <x:f>(C55-'Regression Model'!$B$4)/365.25</x:f>
        <x:v>3.2087611225188226</x:v>
      </x:c>
      <x:c r="K55" s="44" t="n">
        <x:f>IFERROR(1/(((G55-F55)/3.92)^2),1)</x:f>
        <x:v>0.16365322947385472</x:v>
      </x:c>
      <x:c r="L55" s="32" t="str">
        <x:v>https://www.minimax.io/news/minimax-m25</x:v>
      </x:c>
      <x:c r="M55" s="32" t="str">
        <x:v>Filled from MiniMax-M2/M2.5 same-family architecture in Epoch data</x:v>
      </x:c>
    </x:row>
    <x:row r="56">
      <x:c r="A56" s="32" t="str">
        <x:v>Kimi K2.6</x:v>
      </x:c>
      <x:c r="B56" s="32" t="str">
        <x:v>Moonshot</x:v>
      </x:c>
      <x:c r="C56" s="34" t="n">
        <x:v>46132</x:v>
      </x:c>
      <x:c r="D56" s="32" t="str">
        <x:v>Open weights (unrestricted)</x:v>
      </x:c>
      <x:c r="E56" s="44" t="n">
        <x:v>151.02</x:v>
      </x:c>
      <x:c r="F56" s="44" t="n">
        <x:v>149.18</x:v>
      </x:c>
      <x:c r="G56" s="44" t="n">
        <x:v>152.53</x:v>
      </x:c>
      <x:c r="H56" s="50" t="n">
        <x:v>1040</x:v>
      </x:c>
      <x:c r="I56" s="40" t="n">
        <x:f>LOG10(H56*1E9)</x:f>
        <x:v>12.0170333392988</x:v>
      </x:c>
      <x:c r="J56" s="40" t="n">
        <x:f>(C56-'Regression Model'!$B$4)/365.25</x:f>
        <x:v>3.299110198494182</x:v>
      </x:c>
      <x:c r="K56" s="44" t="n">
        <x:f>IFERROR(1/(((G56-F56)/3.92)^2),1)</x:f>
        <x:v>1.3692492760080244</x:v>
      </x:c>
      <x:c r="L56" s="32" t="str">
        <x:v>https://www.kimi.com/ai-models/kimi-k2-6</x:v>
      </x:c>
      <x:c r="M56" s="32" t="str">
        <x:v>Exact/near-exact name match in Epoch all_ai_models.csv Assumed 32B active params from same Kimi K2.x family where Epoch gives 32B active.</x:v>
      </x:c>
    </x:row>
    <x:row r="57">
      <x:c r="A57" s="32" t="str">
        <x:v>DeepSeek-V4-Pro</x:v>
      </x:c>
      <x:c r="B57" s="32" t="str">
        <x:v>DeepSeek</x:v>
      </x:c>
      <x:c r="C57" s="34" t="n">
        <x:v>46136</x:v>
      </x:c>
      <x:c r="D57" s="32" t="str">
        <x:v>Open weights (unrestricted)</x:v>
      </x:c>
      <x:c r="E57" s="44" t="n">
        <x:v>149.74</x:v>
      </x:c>
      <x:c r="F57" s="44" t="n">
        <x:v>147.87</x:v>
      </x:c>
      <x:c r="G57" s="44" t="n">
        <x:v>152.06</x:v>
      </x:c>
      <x:c r="H57" s="50" t="n">
        <x:v>1600</x:v>
      </x:c>
      <x:c r="I57" s="40" t="n">
        <x:f>LOG10(H57*1E9)</x:f>
        <x:v>12.2041199826559</x:v>
      </x:c>
      <x:c r="J57" s="40" t="n">
        <x:f>(C57-'Regression Model'!$B$4)/365.25</x:f>
        <x:v>3.3100616016427105</x:v>
      </x:c>
      <x:c r="K57" s="44" t="n">
        <x:f>IFERROR(1/(((G57-F57)/3.92)^2),1)</x:f>
        <x:v>0.8752741212456079</x:v>
      </x:c>
      <x:c r="L57" s="32" t="str">
        <x:v>https://huggingface.co/deepseek-ai/DeepSeek-V4-Pro/blob/main/DeepSeek_V4.pdf</x:v>
      </x:c>
      <x:c r="M57" s="32" t="str">
        <x:v>Exact/near-exact name match in Epoch all_ai_models.csv</x:v>
      </x:c>
    </x:row>
    <x:row r="58">
      <x:c r="A58" s="32" t="str">
        <x:v>Kimi K2.7 Code</x:v>
      </x:c>
      <x:c r="B58" s="32" t="str">
        <x:v>Moonshot</x:v>
      </x:c>
      <x:c r="C58" s="34" t="n">
        <x:v>46185</x:v>
      </x:c>
      <x:c r="D58" s="32" t="str">
        <x:v>Open weights (unrestricted)</x:v>
      </x:c>
      <x:c r="E58" s="44" t="n">
        <x:v>150.07</x:v>
      </x:c>
      <x:c r="F58" s="44" t="n">
        <x:v>148.48</x:v>
      </x:c>
      <x:c r="G58" s="44" t="n">
        <x:v>151.25</x:v>
      </x:c>
      <x:c r="H58" s="50" t="n">
        <x:v>1040</x:v>
      </x:c>
      <x:c r="I58" s="40" t="n">
        <x:f>LOG10(H58*1E9)</x:f>
        <x:v>12.0170333392988</x:v>
      </x:c>
      <x:c r="J58" s="40" t="n">
        <x:f>(C58-'Regression Model'!$B$4)/365.25</x:f>
        <x:v>3.4442162902121836</x:v>
      </x:c>
      <x:c r="K58" s="44" t="n">
        <x:f>IFERROR(1/(((G58-F58)/3.92)^2),1)</x:f>
        <x:v>2.0026847736839897</x:v>
      </x:c>
      <x:c r="L58" s="32" t="str">
        <x:v>https://platform.kimi.ai/docs/guide/kimi-k2-7-code-quickstart</x:v>
      </x:c>
      <x:c r="M58" s="32" t="str">
        <x:v>Exact/near-exact name match in Epoch all_ai_models.csv Assumed 32B active params from same Kimi K2.x family where Epoch gives 32B active.</x:v>
      </x:c>
    </x:row>
    <x:row r="59">
      <x:c r="A59" s="32" t="str">
        <x:v>GLM-5.2</x:v>
      </x:c>
      <x:c r="B59" s="32" t="str">
        <x:v>Z.ai (Zhipu AI)</x:v>
      </x:c>
      <x:c r="C59" s="34" t="n">
        <x:v>46189</x:v>
      </x:c>
      <x:c r="D59" s="32" t="str">
        <x:v>Open weights (unrestricted)</x:v>
      </x:c>
      <x:c r="E59" s="44" t="n">
        <x:v>151.6</x:v>
      </x:c>
      <x:c r="F59" s="44" t="n">
        <x:v>149.97</x:v>
      </x:c>
      <x:c r="G59" s="44" t="n">
        <x:v>153.86</x:v>
      </x:c>
      <x:c r="H59" s="50" t="n">
        <x:v>744</x:v>
      </x:c>
      <x:c r="I59" s="40" t="n">
        <x:f>LOG10(H59*1E9)</x:f>
        <x:v>11.8715729355459</x:v>
      </x:c>
      <x:c r="J59" s="40" t="n">
        <x:f>(C59-'Regression Model'!$B$4)/365.25</x:f>
        <x:v>3.455167693360712</x:v>
      </x:c>
      <x:c r="K59" s="44" t="n">
        <x:f>IFERROR(1/(((G59-F59)/3.92)^2),1)</x:f>
        <x:v>1.0154836407372332</x:v>
      </x:c>
      <x:c r="L59" s="32" t="str">
        <x:v>https://z.ai/blog/glm-5.2</x:v>
      </x:c>
      <x:c r="M59" s="32" t="str">
        <x:v>Exact/near-exact name match in Epoch all_ai_models.csv Assumed 40B active params from GLM-5 family compute notes.</x:v>
      </x:c>
    </x:row>
  </x:sheetData>
  <x:pageMargins left="0.7" right="0.7" top="0.75" bottom="0.75" header="0.3" footer="0.3"/>
  <x:tableParts count="1">
    <x:tablePart xmlns:r="http://schemas.openxmlformats.org/officeDocument/2006/relationships" r:id="Ra1a5578e59aa425f"/>
  </x:tableParts>
</x:worksheet>
</file>

<file path=xl/worksheets/sheet5.xml><?xml version="1.0" encoding="utf-8"?>
<x:worksheet xmlns:x="http://schemas.openxmlformats.org/spreadsheetml/2006/main">
  <x:sheetFormatPr defaultRowHeight="15"/>
  <x:cols>
    <x:col min="1" max="1" width="36" hidden="0" customWidth="1"/>
    <x:col min="2" max="2" width="8" hidden="0" customWidth="1"/>
    <x:col min="3" max="3" width="13" hidden="0" customWidth="1"/>
    <x:col min="4" max="4" width="16" hidden="0" customWidth="1"/>
    <x:col min="5" max="5" width="24" hidden="0" customWidth="1"/>
    <x:col min="6" max="6" width="12" hidden="0" customWidth="1"/>
    <x:col min="7" max="7" width="14" hidden="0" customWidth="1"/>
    <x:col min="8" max="8" width="14" hidden="0" customWidth="1"/>
    <x:col min="9" max="9" width="12" hidden="0" customWidth="1"/>
    <x:col min="10" max="10" width="14" hidden="0" customWidth="1"/>
    <x:col min="11" max="11" width="14" hidden="0" customWidth="1"/>
    <x:col min="12" max="12" width="18" hidden="0" customWidth="1"/>
    <x:col min="13" max="13" width="18" hidden="0" customWidth="1"/>
    <x:col min="14" max="14" width="14" hidden="0" customWidth="1"/>
  </x:cols>
  <x:sheetData>
    <x:row r="1" ht="24" customHeight="1">
      <x:c r="A1" s="46" t="str">
        <x:v>Regression model and sensitivity</x:v>
      </x:c>
      <x:c r="B1" s="47"/>
      <x:c r="C1" s="47"/>
      <x:c r="D1" s="47"/>
      <x:c r="E1" s="47"/>
      <x:c r="F1" s="47"/>
      <x:c r="G1" s="47"/>
      <x:c r="H1" s="47"/>
      <x:c r="I1" s="47"/>
      <x:c r="J1" s="47"/>
      <x:c r="K1" s="47"/>
      <x:c r="L1" s="47"/>
      <x:c r="M1" s="47"/>
      <x:c r="N1" s="47"/>
      <x:c r="O1" s="47"/>
      <x:c r="P1" s="47"/>
      <x:c r="Q1" s="47"/>
      <x:c r="R1" s="47"/>
      <x:c r="S1" s="47"/>
      <x:c r="T1" s="47"/>
      <x:c r="U1" s="47"/>
      <x:c r="V1" s="47"/>
      <x:c r="W1" s="47"/>
      <x:c r="X1" s="47"/>
      <x:c r="Y1" s="47"/>
      <x:c r="Z1" s="47"/>
    </x:row>
    <x:row r="2">
      <x:c r="A2" s="10" t="str">
        <x:v>As of</x:v>
      </x:c>
      <x:c r="B2" s="12" t="n">
        <x:v>46219</x:v>
      </x:c>
    </x:row>
    <x:row r="3">
      <x:c r="A3" s="10" t="str">
        <x:v>Last-year window start</x:v>
      </x:c>
      <x:c r="B3" s="12" t="n">
        <x:v>45854</x:v>
      </x:c>
    </x:row>
    <x:row r="4">
      <x:c r="A4" s="10" t="str">
        <x:v>Base date</x:v>
      </x:c>
      <x:c r="B4" s="12" t="n">
        <x:v>44927</x:v>
      </x:c>
    </x:row>
    <x:row r="5">
      <x:c r="A5" s="10" t="str">
        <x:v>Central equation</x:v>
      </x:c>
      <x:c r="B5" t="str">
        <x:v>log10(total parameters) = intercept + b1 × ECI + b2 × years_since_2023_01_01</x:v>
      </x:c>
    </x:row>
    <x:row r="6">
      <x:c r="A6" s="10" t="str">
        <x:v>Training sample</x:v>
      </x:c>
      <x:c r="B6" t="str">
        <x:v>Open-weight ECI models since 2023-01-01 with known total params and total params &gt;=10B</x:v>
      </x:c>
    </x:row>
    <x:row r="7">
      <x:c r="A7" s="10" t="str">
        <x:v>Intercept</x:v>
      </x:c>
      <x:c r="B7" s="14" t="n">
        <x:v>3.4585141554296785</x:v>
      </x:c>
    </x:row>
    <x:row r="8">
      <x:c r="A8" s="10" t="str">
        <x:v>ECI coefficient</x:v>
      </x:c>
      <x:c r="B8" s="14" t="n">
        <x:v>0.06429752658522685</x:v>
      </x:c>
    </x:row>
    <x:row r="9">
      <x:c r="A9" s="10" t="str">
        <x:v>Years coefficient</x:v>
      </x:c>
      <x:c r="B9" s="14" t="n">
        <x:v>-0.35092795129752774</x:v>
      </x:c>
    </x:row>
    <x:row r="10">
      <x:c r="A10" s="10" t="str">
        <x:v>Weighted R^2</x:v>
      </x:c>
      <x:c r="B10" s="14" t="n">
        <x:v>0.7340008127462208</x:v>
      </x:c>
    </x:row>
    <x:row r="11">
      <x:c r="A11" s="10" t="str">
        <x:v>RMSE log10 params</x:v>
      </x:c>
      <x:c r="B11" s="14" t="n">
        <x:v>0.4568124596472265</x:v>
      </x:c>
    </x:row>
    <x:row r="12">
      <x:c r="A12" s="10" t="str">
        <x:v>N</x:v>
      </x:c>
      <x:c r="B12" s="16" t="n">
        <x:v>58</x:v>
      </x:c>
    </x:row>
    <x:row r="13">
      <x:c r="A13" s="10" t="str">
        <x:v>Parameter multiplier per +1 ECI</x:v>
      </x:c>
      <x:c r="B13" s="18" t="n">
        <x:f>POWER(10,B8)</x:f>
        <x:v>1.1595714836601247</x:v>
      </x:c>
    </x:row>
    <x:row r="14">
      <x:c r="A14" s="10" t="str">
        <x:v>Parameter multiplier per later year at fixed ECI</x:v>
      </x:c>
      <x:c r="B14" s="18" t="n">
        <x:f>POWER(10,B9)</x:f>
        <x:v>0.4457301881304288</x:v>
      </x:c>
    </x:row>
    <x:row r="15">
      <x:c r="A15" s="10" t="str">
        <x:v>Equivalent yearly efficiency gain</x:v>
      </x:c>
      <x:c r="B15" s="18" t="n">
        <x:f>1/B14</x:f>
        <x:v>2.243509698533997</x:v>
      </x:c>
    </x:row>
    <x:row r="18">
      <x:c r="A18" s="22" t="str">
        <x:v>Inverse sensitivity intercept</x:v>
      </x:c>
      <x:c r="B18" s="14" t="n">
        <x:v>45.02470067746367</x:v>
      </x:c>
    </x:row>
    <x:row r="19">
      <x:c r="A19" s="22" t="str">
        <x:v>Inverse sensitivity log10 params coefficient</x:v>
      </x:c>
      <x:c r="B19" s="14" t="n">
        <x:v>5.798162013680883</x:v>
      </x:c>
    </x:row>
    <x:row r="20">
      <x:c r="A20" s="22" t="str">
        <x:v>Inverse sensitivity years coefficient</x:v>
      </x:c>
      <x:c r="B20" s="14" t="n">
        <x:v>10.903814959525159</x:v>
      </x:c>
    </x:row>
    <x:row r="21">
      <x:c r="A21" s="22" t="str">
        <x:v>Inverse sensitivity R^2</x:v>
      </x:c>
      <x:c r="B21" s="14" t="n">
        <x:v>0.9411650498179159</x:v>
      </x:c>
    </x:row>
    <x:row r="22">
      <x:c r="A22" s="22" t="str">
        <x:v>Inverse sensitivity RMSE ECI</x:v>
      </x:c>
      <x:c r="B22" s="14" t="n">
        <x:v>5.962170158659284</x:v>
      </x:c>
    </x:row>
    <x:row r="25">
      <x:c r="A25" s="28" t="str">
        <x:v>Model spec</x:v>
      </x:c>
      <x:c r="B25" s="28" t="str">
        <x:v>N</x:v>
      </x:c>
      <x:c r="C25" s="28" t="str">
        <x:v>Min date</x:v>
      </x:c>
      <x:c r="D25" s="28" t="str">
        <x:v>Min total params (B)</x:v>
      </x:c>
      <x:c r="E25" s="28" t="str">
        <x:v>Dependent variable</x:v>
      </x:c>
      <x:c r="F25" s="28" t="str">
        <x:v>Intercept</x:v>
      </x:c>
      <x:c r="G25" s="28" t="str">
        <x:v>ECI coefficient</x:v>
      </x:c>
      <x:c r="H25" s="28" t="str">
        <x:v>Years coefficient</x:v>
      </x:c>
      <x:c r="I25" s="28" t="str">
        <x:v>Weighted R^2</x:v>
      </x:c>
      <x:c r="J25" s="28" t="str">
        <x:v>RMSE log10 params</x:v>
      </x:c>
      <x:c r="K25" s="28" t="str">
        <x:v>LOO RMSE log10 params</x:v>
      </x:c>
      <x:c r="L25" s="28" t="str">
        <x:v>Implied params for GPT-5.6 Sol (B)</x:v>
      </x:c>
      <x:c r="M25" s="28" t="str">
        <x:v>Calendar improvement factor/year at fixed ECI</x:v>
      </x:c>
      <x:c r="N25" s="28" t="str">
        <x:v>Param factor per +1 ECI</x:v>
      </x:c>
    </x:row>
    <x:row r="26">
      <x:c r="A26" s="32" t="str">
        <x:v>Central: 2023+ open-weight, &gt;=10B params, direct log-param WLS</x:v>
      </x:c>
      <x:c r="B26" s="32" t="n">
        <x:v>58</x:v>
      </x:c>
      <x:c r="C26" s="34" t="n">
        <x:v>44927</x:v>
      </x:c>
      <x:c r="D26" s="36" t="n">
        <x:v>10</x:v>
      </x:c>
      <x:c r="E26" s="32" t="str">
        <x:v>log10(total parameters)</x:v>
      </x:c>
      <x:c r="F26" s="38" t="n">
        <x:v>3.4585141554296785</x:v>
      </x:c>
      <x:c r="G26" s="38" t="n">
        <x:v>0.06429752658522685</x:v>
      </x:c>
      <x:c r="H26" s="38" t="n">
        <x:v>-0.35092795129752774</x:v>
      </x:c>
      <x:c r="I26" s="40" t="n">
        <x:v>0.7340008127462208</x:v>
      </x:c>
      <x:c r="J26" s="40" t="n">
        <x:v>0.4568124596472265</x:v>
      </x:c>
      <x:c r="K26" s="40" t="n">
        <x:v>0.4786953420081606</x:v>
      </x:c>
      <x:c r="L26" s="42" t="n">
        <x:v>4219.995410539994</x:v>
      </x:c>
      <x:c r="M26" s="44" t="n">
        <x:v>2.243509698533997</x:v>
      </x:c>
      <x:c r="N26" s="44" t="n">
        <x:v>1.1595714836601247</x:v>
      </x:c>
    </x:row>
    <x:row r="27">
      <x:c r="A27" s="32" t="str">
        <x:v>All 2023+ open-weight direct log-param WLS</x:v>
      </x:c>
      <x:c r="B27" s="32" t="n">
        <x:v>82</x:v>
      </x:c>
      <x:c r="C27" s="34" t="n">
        <x:v>44927</x:v>
      </x:c>
      <x:c r="D27" s="36" t="n">
        <x:v>0</x:v>
      </x:c>
      <x:c r="E27" s="32" t="str">
        <x:v>log10(total parameters)</x:v>
      </x:c>
      <x:c r="F27" s="38" t="n">
        <x:v>4.05003563110486</x:v>
      </x:c>
      <x:c r="G27" s="38" t="n">
        <x:v>0.05790174016296787</x:v>
      </x:c>
      <x:c r="H27" s="38" t="n">
        <x:v>-0.2378072898834216</x:v>
      </x:c>
      <x:c r="I27" s="40" t="n">
        <x:v>0.7856644827000391</x:v>
      </x:c>
      <x:c r="J27" s="40" t="n">
        <x:v>0.5033825965613057</x:v>
      </x:c>
      <x:c r="K27" s="40" t="n">
        <x:v>0.5199024002242301</x:v>
      </x:c>
      <x:c r="L27" s="42" t="n">
        <x:v>3803.3055036415544</x:v>
      </x:c>
      <x:c r="M27" s="44" t="n">
        <x:v>1.7290489555812982</x:v>
      </x:c>
      <x:c r="N27" s="44" t="n">
        <x:v>1.14261978594644</x:v>
      </x:c>
    </x:row>
    <x:row r="28">
      <x:c r="A28" s="32" t="str">
        <x:v>2023+ open-weight &gt;=100B direct log-param WLS</x:v>
      </x:c>
      <x:c r="B28" s="32" t="n">
        <x:v>27</x:v>
      </x:c>
      <x:c r="C28" s="34" t="n">
        <x:v>44927</x:v>
      </x:c>
      <x:c r="D28" s="36" t="n">
        <x:v>100</x:v>
      </x:c>
      <x:c r="E28" s="32" t="str">
        <x:v>log10(total parameters)</x:v>
      </x:c>
      <x:c r="F28" s="38" t="n">
        <x:v>5.748704979277983</x:v>
      </x:c>
      <x:c r="G28" s="38" t="n">
        <x:v>0.04653087888544048</x:v>
      </x:c>
      <x:c r="H28" s="38" t="n">
        <x:v>-0.2381262221980376</x:v>
      </x:c>
      <x:c r="I28" s="40" t="n">
        <x:v>0.4250564692704415</x:v>
      </x:c>
      <x:c r="J28" s="40" t="n">
        <x:v>0.2705662689371151</x:v>
      </x:c>
      <x:c r="K28" s="40" t="n">
        <x:v>0.29309447666850974</x:v>
      </x:c>
      <x:c r="L28" s="42" t="n">
        <x:v>2743.1166941923766</x:v>
      </x:c>
      <x:c r="M28" s="44" t="n">
        <x:v>1.730319181526442</x:v>
      </x:c>
      <x:c r="N28" s="44" t="n">
        <x:v>1.1130915322001882</x:v>
      </x:c>
    </x:row>
    <x:row r="29">
      <x:c r="A29" s="32" t="str">
        <x:v>2025+ open-weight direct log-param WLS</x:v>
      </x:c>
      <x:c r="B29" s="32" t="n">
        <x:v>26</x:v>
      </x:c>
      <x:c r="C29" s="34" t="n">
        <x:v>45658</x:v>
      </x:c>
      <x:c r="D29" s="36" t="n">
        <x:v>10</x:v>
      </x:c>
      <x:c r="E29" s="32" t="str">
        <x:v>log10(total parameters)</x:v>
      </x:c>
      <x:c r="F29" s="38" t="n">
        <x:v>1.036220453034049</x:v>
      </x:c>
      <x:c r="G29" s="38" t="n">
        <x:v>0.08391826210343374</x:v>
      </x:c>
      <x:c r="H29" s="38" t="n">
        <x:v>-0.4960362573814</x:v>
      </x:c>
      <x:c r="I29" s="40" t="n">
        <x:v>0.6367161778636228</x:v>
      </x:c>
      <x:c r="J29" s="40" t="n">
        <x:v>0.3063253691685199</x:v>
      </x:c>
      <x:c r="K29" s="40" t="n">
        <x:v>0.3367889617197527</x:v>
      </x:c>
      <x:c r="L29" s="42" t="n">
        <x:v>7354.507197740522</x:v>
      </x:c>
      <x:c r="M29" s="44" t="n">
        <x:v>3.1335473198057278</x:v>
      </x:c>
      <x:c r="N29" s="44" t="n">
        <x:v>1.2131605019046614</x:v>
      </x:c>
    </x:row>
    <x:row r="30">
      <x:c r="A30" s="32" t="str">
        <x:v>Last-12-month open-weight direct log-param WLS</x:v>
      </x:c>
      <x:c r="B30" s="32" t="n">
        <x:v>17</x:v>
      </x:c>
      <x:c r="C30" s="34" t="n">
        <x:v>45854</x:v>
      </x:c>
      <x:c r="D30" s="36" t="n">
        <x:v>10</x:v>
      </x:c>
      <x:c r="E30" s="32" t="str">
        <x:v>log10(total parameters)</x:v>
      </x:c>
      <x:c r="F30" s="38" t="n">
        <x:v>4.334981123373012</x:v>
      </x:c>
      <x:c r="G30" s="38" t="n">
        <x:v>0.05037306011196367</x:v>
      </x:c>
      <x:c r="H30" s="38" t="n">
        <x:v>0.03218123632711365</x:v>
      </x:c>
      <x:c r="I30" s="40" t="n">
        <x:v>0.482083518420078</x:v>
      </x:c>
      <x:c r="J30" s="40" t="n">
        <x:v>0.2509901623553377</x:v>
      </x:c>
      <x:c r="K30" s="40" t="n">
        <x:v>0.29298234432208636</x:v>
      </x:c>
      <x:c r="L30" s="42" t="n">
        <x:v>3954.1131835209467</x:v>
      </x:c>
      <x:c r="M30" s="44" t="n">
        <x:v>0.9285787987768411</x:v>
      </x:c>
      <x:c r="N30" s="44" t="n">
        <x:v>1.1229826852096356</x:v>
      </x:c>
    </x:row>
    <x:row r="31">
      <x:c r="A31" s="32" t="str">
        <x:v>Sensitivity only: inverse WLS ECI ~ log10(params)+years, &gt;=10B</x:v>
      </x:c>
      <x:c r="B31" s="32" t="n">
        <x:v>58</x:v>
      </x:c>
      <x:c r="C31" s="34" t="n">
        <x:v>44927</x:v>
      </x:c>
      <x:c r="D31" s="36" t="n">
        <x:v>10</x:v>
      </x:c>
      <x:c r="E31" s="32" t="str">
        <x:v>ECI, inverted to params</x:v>
      </x:c>
      <x:c r="F31" s="38" t="n">
        <x:v>45.02470067746367</x:v>
      </x:c>
      <x:c r="G31" s="38"/>
      <x:c r="H31" s="38" t="n">
        <x:v>10.903814959525159</x:v>
      </x:c>
      <x:c r="I31" s="40" t="n">
        <x:v>0.9411650498179159</x:v>
      </x:c>
      <x:c r="J31" s="40"/>
      <x:c r="K31" s="40"/>
      <x:c r="L31" s="42" t="n">
        <x:v>33021.45616672974</x:v>
      </x:c>
      <x:c r="M31" s="44"/>
      <x:c r="N31" s="44"/>
    </x:row>
  </x:sheetData>
  <x:mergeCells>
    <x:mergeCell ref="A1:H1"/>
  </x:mergeCells>
  <x:pageMargins left="0.7" right="0.7" top="0.75" bottom="0.75" header="0.3" footer="0.3"/>
  <x:tableParts count="1">
    <x:tablePart xmlns:r="http://schemas.openxmlformats.org/officeDocument/2006/relationships" r:id="Rfc88406d4c9b4244"/>
  </x:tableParts>
</x:worksheet>
</file>

<file path=xl/worksheets/sheet6.xml><?xml version="1.0" encoding="utf-8"?>
<x:worksheet xmlns:x="http://schemas.openxmlformats.org/spreadsheetml/2006/main">
  <x:sheetFormatPr defaultRowHeight="15"/>
  <x:cols>
    <x:col min="1" max="1" width="28" hidden="0" customWidth="1"/>
    <x:col min="2" max="2" width="28" hidden="0" customWidth="1"/>
    <x:col min="3" max="3" width="13" hidden="0" customWidth="1"/>
    <x:col min="4" max="4" width="14" hidden="0" customWidth="1"/>
    <x:col min="5" max="5" width="14" hidden="0" customWidth="1"/>
    <x:col min="6" max="6" width="14" hidden="0" customWidth="1"/>
    <x:col min="7" max="7" width="20" hidden="0" customWidth="1"/>
    <x:col min="8" max="8" width="24" hidden="0" customWidth="1"/>
    <x:col min="9" max="9" width="24" hidden="0" customWidth="1"/>
    <x:col min="10" max="10" width="14" hidden="0" customWidth="1"/>
    <x:col min="11" max="11" width="40" hidden="0" customWidth="1"/>
  </x:cols>
  <x:sheetData>
    <x:row r="1" ht="24" customHeight="1">
      <x:c r="A1" s="68" t="str">
        <x:v>Model</x:v>
      </x:c>
      <x:c r="B1" s="68" t="str">
        <x:v>Display name</x:v>
      </x:c>
      <x:c r="C1" s="68" t="str">
        <x:v>Date</x:v>
      </x:c>
      <x:c r="D1" s="68" t="str">
        <x:v>ECI</x:v>
      </x:c>
      <x:c r="E1" s="68" t="str">
        <x:v>ECI CI low</x:v>
      </x:c>
      <x:c r="F1" s="68" t="str">
        <x:v>ECI CI high</x:v>
      </x:c>
      <x:c r="G1" s="68" t="str">
        <x:v>Organization</x:v>
      </x:c>
      <x:c r="H1" s="68" t="str">
        <x:v>Country (of organization)</x:v>
      </x:c>
      <x:c r="I1" s="68" t="str">
        <x:v>Model accessibility</x:v>
      </x:c>
      <x:c r="J1" s="68" t="str">
        <x:v>Accessibility group</x:v>
      </x:c>
      <x:c r="K1" s="68" t="str">
        <x:v>Model versions</x:v>
      </x:c>
      <x:c r="L1" s="47"/>
      <x:c r="M1" s="47"/>
      <x:c r="N1" s="47"/>
      <x:c r="O1" s="47"/>
      <x:c r="P1" s="47"/>
      <x:c r="Q1" s="47"/>
      <x:c r="R1" s="47"/>
      <x:c r="S1" s="47"/>
      <x:c r="T1" s="47"/>
      <x:c r="U1" s="47"/>
      <x:c r="V1" s="47"/>
      <x:c r="W1" s="47"/>
      <x:c r="X1" s="47"/>
      <x:c r="Y1" s="47"/>
      <x:c r="Z1" s="47"/>
    </x:row>
    <x:row r="2">
      <x:c r="A2" s="32" t="str">
        <x:v>GPT-5.6 Sol</x:v>
      </x:c>
      <x:c r="B2" s="32" t="str">
        <x:v>GPT-5.6 Sol</x:v>
      </x:c>
      <x:c r="C2" s="34" t="n">
        <x:v>46212</x:v>
      </x:c>
      <x:c r="D2" s="44" t="n">
        <x:v>161.77</x:v>
      </x:c>
      <x:c r="E2" s="44" t="n">
        <x:v>159.26</x:v>
      </x:c>
      <x:c r="F2" s="44" t="n">
        <x:v>166.01</x:v>
      </x:c>
      <x:c r="G2" s="32" t="str">
        <x:v>OpenAI</x:v>
      </x:c>
      <x:c r="H2" s="32" t="str">
        <x:v>United States of America</x:v>
      </x:c>
      <x:c r="I2" s="32" t="str">
        <x:v>API access</x:v>
      </x:c>
      <x:c r="J2" s="32" t="str">
        <x:v>Closed weights</x:v>
      </x:c>
      <x:c r="K2" s="32" t="str"/>
    </x:row>
    <x:row r="3">
      <x:c r="A3" s="32" t="str">
        <x:v>GPT-5.5 Pro</x:v>
      </x:c>
      <x:c r="B3" s="32" t="str">
        <x:v>GPT-5.5 Pro</x:v>
      </x:c>
      <x:c r="C3" s="34" t="n">
        <x:v>46135</x:v>
      </x:c>
      <x:c r="D3" s="44" t="n">
        <x:v>160.73</x:v>
      </x:c>
      <x:c r="E3" s="44" t="n">
        <x:v>158.24</x:v>
      </x:c>
      <x:c r="F3" s="44" t="n">
        <x:v>164.36</x:v>
      </x:c>
      <x:c r="G3" s="32" t="str">
        <x:v>OpenAI</x:v>
      </x:c>
      <x:c r="H3" s="32" t="str">
        <x:v>United States of America</x:v>
      </x:c>
      <x:c r="I3" s="32" t="str">
        <x:v>API access</x:v>
      </x:c>
      <x:c r="J3" s="32" t="str">
        <x:v>Closed weights</x:v>
      </x:c>
      <x:c r="K3" s="32" t="str"/>
    </x:row>
    <x:row r="4">
      <x:c r="A4" s="32" t="str">
        <x:v>Claude Fable 5</x:v>
      </x:c>
      <x:c r="B4" s="32" t="str">
        <x:v>Claude Fable 5</x:v>
      </x:c>
      <x:c r="C4" s="34" t="n">
        <x:v>46182</x:v>
      </x:c>
      <x:c r="D4" s="44" t="n">
        <x:v>160.44</x:v>
      </x:c>
      <x:c r="E4" s="44" t="n">
        <x:v>158.05</x:v>
      </x:c>
      <x:c r="F4" s="44" t="n">
        <x:v>164.61</x:v>
      </x:c>
      <x:c r="G4" s="32" t="str">
        <x:v>Anthropic</x:v>
      </x:c>
      <x:c r="H4" s="32" t="str">
        <x:v>United States of America</x:v>
      </x:c>
      <x:c r="I4" s="32" t="str">
        <x:v>API access</x:v>
      </x:c>
      <x:c r="J4" s="32" t="str">
        <x:v>Closed weights</x:v>
      </x:c>
      <x:c r="K4" s="32" t="str"/>
    </x:row>
    <x:row r="5">
      <x:c r="A5" s="32" t="str">
        <x:v>GPT-5.5</x:v>
      </x:c>
      <x:c r="B5" s="32" t="str">
        <x:v>GPT-5.5</x:v>
      </x:c>
      <x:c r="C5" s="34" t="n">
        <x:v>46135</x:v>
      </x:c>
      <x:c r="D5" s="44" t="n">
        <x:v>158.33</x:v>
      </x:c>
      <x:c r="E5" s="44" t="n">
        <x:v>156.44</x:v>
      </x:c>
      <x:c r="F5" s="44" t="n">
        <x:v>161.43</x:v>
      </x:c>
      <x:c r="G5" s="32" t="str">
        <x:v>OpenAI</x:v>
      </x:c>
      <x:c r="H5" s="32" t="str">
        <x:v>United States of America</x:v>
      </x:c>
      <x:c r="I5" s="32" t="str">
        <x:v>API access</x:v>
      </x:c>
      <x:c r="J5" s="32" t="str">
        <x:v>Closed weights</x:v>
      </x:c>
      <x:c r="K5" s="32" t="str"/>
    </x:row>
    <x:row r="6">
      <x:c r="A6" s="32" t="str">
        <x:v>GPT-5.6 Terra</x:v>
      </x:c>
      <x:c r="B6" s="32" t="str">
        <x:v>GPT-5.6 Terra</x:v>
      </x:c>
      <x:c r="C6" s="34" t="n">
        <x:v>46212</x:v>
      </x:c>
      <x:c r="D6" s="44" t="n">
        <x:v>158.25</x:v>
      </x:c>
      <x:c r="E6" s="44" t="n">
        <x:v>155.39</x:v>
      </x:c>
      <x:c r="F6" s="44" t="n">
        <x:v>161.26</x:v>
      </x:c>
      <x:c r="G6" s="32" t="str">
        <x:v>OpenAI</x:v>
      </x:c>
      <x:c r="H6" s="32" t="str">
        <x:v>United States of America</x:v>
      </x:c>
      <x:c r="I6" s="32" t="str">
        <x:v>API access</x:v>
      </x:c>
      <x:c r="J6" s="32" t="str">
        <x:v>Closed weights</x:v>
      </x:c>
      <x:c r="K6" s="32" t="str"/>
    </x:row>
    <x:row r="7">
      <x:c r="A7" s="32" t="str">
        <x:v>Claude Opus 4.8</x:v>
      </x:c>
      <x:c r="B7" s="32" t="str">
        <x:v>Claude Opus 4.8</x:v>
      </x:c>
      <x:c r="C7" s="34" t="n">
        <x:v>46170</x:v>
      </x:c>
      <x:c r="D7" s="44" t="n">
        <x:v>157.85</x:v>
      </x:c>
      <x:c r="E7" s="44" t="n">
        <x:v>155.12</x:v>
      </x:c>
      <x:c r="F7" s="44" t="n">
        <x:v>160.58</x:v>
      </x:c>
      <x:c r="G7" s="32" t="str">
        <x:v>Anthropic</x:v>
      </x:c>
      <x:c r="H7" s="32" t="str">
        <x:v>United States of America</x:v>
      </x:c>
      <x:c r="I7" s="32" t="str">
        <x:v>API access</x:v>
      </x:c>
      <x:c r="J7" s="32" t="str">
        <x:v>Closed weights</x:v>
      </x:c>
      <x:c r="K7" s="32" t="str"/>
    </x:row>
    <x:row r="8">
      <x:c r="A8" s="32" t="str">
        <x:v>GPT-5.4 Pro</x:v>
      </x:c>
      <x:c r="B8" s="32" t="str">
        <x:v>GPT-5.4 Pro</x:v>
      </x:c>
      <x:c r="C8" s="34" t="n">
        <x:v>46086</x:v>
      </x:c>
      <x:c r="D8" s="44" t="n">
        <x:v>157.83</x:v>
      </x:c>
      <x:c r="E8" s="44" t="n">
        <x:v>155.96</x:v>
      </x:c>
      <x:c r="F8" s="44" t="n">
        <x:v>160.88</x:v>
      </x:c>
      <x:c r="G8" s="32" t="str">
        <x:v>OpenAI</x:v>
      </x:c>
      <x:c r="H8" s="32" t="str">
        <x:v>United States of America</x:v>
      </x:c>
      <x:c r="I8" s="32" t="str">
        <x:v>API access</x:v>
      </x:c>
      <x:c r="J8" s="32" t="str">
        <x:v>Closed weights</x:v>
      </x:c>
      <x:c r="K8" s="32" t="str"/>
    </x:row>
    <x:row r="9">
      <x:c r="A9" s="32" t="str">
        <x:v>GPT-5.4</x:v>
      </x:c>
      <x:c r="B9" s="32" t="str">
        <x:v>GPT-5.4</x:v>
      </x:c>
      <x:c r="C9" s="34" t="n">
        <x:v>46086</x:v>
      </x:c>
      <x:c r="D9" s="44" t="n">
        <x:v>156.03</x:v>
      </x:c>
      <x:c r="E9" s="44" t="n">
        <x:v>154.45</x:v>
      </x:c>
      <x:c r="F9" s="44" t="n">
        <x:v>158.37</x:v>
      </x:c>
      <x:c r="G9" s="32" t="str">
        <x:v>OpenAI</x:v>
      </x:c>
      <x:c r="H9" s="32" t="str">
        <x:v>United States of America</x:v>
      </x:c>
      <x:c r="I9" s="32" t="str">
        <x:v>API access</x:v>
      </x:c>
      <x:c r="J9" s="32" t="str">
        <x:v>Closed weights</x:v>
      </x:c>
      <x:c r="K9" s="32" t="str"/>
    </x:row>
    <x:row r="10">
      <x:c r="A10" s="32" t="str">
        <x:v>Claude Opus 4.7</x:v>
      </x:c>
      <x:c r="B10" s="32" t="str">
        <x:v>Claude Opus 4.7</x:v>
      </x:c>
      <x:c r="C10" s="34" t="n">
        <x:v>46128</x:v>
      </x:c>
      <x:c r="D10" s="44" t="n">
        <x:v>156.01</x:v>
      </x:c>
      <x:c r="E10" s="44" t="n">
        <x:v>154.07</x:v>
      </x:c>
      <x:c r="F10" s="44" t="n">
        <x:v>158.4</x:v>
      </x:c>
      <x:c r="G10" s="32" t="str">
        <x:v>Anthropic</x:v>
      </x:c>
      <x:c r="H10" s="32" t="str">
        <x:v>United States of America</x:v>
      </x:c>
      <x:c r="I10" s="32" t="str">
        <x:v>API access</x:v>
      </x:c>
      <x:c r="J10" s="32" t="str">
        <x:v>Closed weights</x:v>
      </x:c>
      <x:c r="K10" s="32" t="str"/>
    </x:row>
    <x:row r="11">
      <x:c r="A11" s="32" t="str">
        <x:v>GPT-5.6 Luna</x:v>
      </x:c>
      <x:c r="B11" s="32" t="str">
        <x:v>GPT-5.6 Luna</x:v>
      </x:c>
      <x:c r="C11" s="34" t="n">
        <x:v>46212</x:v>
      </x:c>
      <x:c r="D11" s="44" t="n">
        <x:v>155.62</x:v>
      </x:c>
      <x:c r="E11" s="44" t="n">
        <x:v>152.89</x:v>
      </x:c>
      <x:c r="F11" s="44" t="n">
        <x:v>158.51</x:v>
      </x:c>
      <x:c r="G11" s="32" t="str">
        <x:v>OpenAI</x:v>
      </x:c>
      <x:c r="H11" s="32" t="str">
        <x:v>United States of America</x:v>
      </x:c>
      <x:c r="I11" s="32" t="str">
        <x:v>API access</x:v>
      </x:c>
      <x:c r="J11" s="32" t="str">
        <x:v>Closed weights</x:v>
      </x:c>
      <x:c r="K11" s="32" t="str"/>
    </x:row>
    <x:row r="12">
      <x:c r="A12" s="32" t="str">
        <x:v>GPT-5.3 Codex</x:v>
      </x:c>
      <x:c r="B12" s="32" t="str">
        <x:v>GPT-5.3 Codex</x:v>
      </x:c>
      <x:c r="C12" s="34" t="n">
        <x:v>46058</x:v>
      </x:c>
      <x:c r="D12" s="44" t="n">
        <x:v>155.49</x:v>
      </x:c>
      <x:c r="E12" s="44" t="n">
        <x:v>153.29</x:v>
      </x:c>
      <x:c r="F12" s="44" t="n">
        <x:v>158.84</x:v>
      </x:c>
      <x:c r="G12" s="32" t="str">
        <x:v>OpenAI</x:v>
      </x:c>
      <x:c r="H12" s="32" t="str">
        <x:v>United States of America</x:v>
      </x:c>
      <x:c r="I12" s="32" t="str">
        <x:v>API access</x:v>
      </x:c>
      <x:c r="J12" s="32" t="str">
        <x:v>Closed weights</x:v>
      </x:c>
      <x:c r="K12" s="32" t="str"/>
    </x:row>
    <x:row r="13">
      <x:c r="A13" s="32" t="str">
        <x:v>Claude Opus 4.6</x:v>
      </x:c>
      <x:c r="B13" s="32" t="str">
        <x:v>Claude Opus 4.6</x:v>
      </x:c>
      <x:c r="C13" s="34" t="n">
        <x:v>46058</x:v>
      </x:c>
      <x:c r="D13" s="44" t="n">
        <x:v>155.31</x:v>
      </x:c>
      <x:c r="E13" s="44" t="n">
        <x:v>153.34</x:v>
      </x:c>
      <x:c r="F13" s="44" t="n">
        <x:v>157.92</x:v>
      </x:c>
      <x:c r="G13" s="32" t="str">
        <x:v>Anthropic</x:v>
      </x:c>
      <x:c r="H13" s="32" t="str">
        <x:v>United States of America</x:v>
      </x:c>
      <x:c r="I13" s="32" t="str">
        <x:v>API access</x:v>
      </x:c>
      <x:c r="J13" s="32" t="str">
        <x:v>Closed weights</x:v>
      </x:c>
      <x:c r="K13" s="32" t="str"/>
    </x:row>
    <x:row r="14">
      <x:c r="A14" s="32" t="str">
        <x:v>Gemini 3.1 Pro</x:v>
      </x:c>
      <x:c r="B14" s="32" t="str">
        <x:v>Gemini 3.1 Pro</x:v>
      </x:c>
      <x:c r="C14" s="34" t="n">
        <x:v>46072</x:v>
      </x:c>
      <x:c r="D14" s="44" t="n">
        <x:v>154.84</x:v>
      </x:c>
      <x:c r="E14" s="44" t="n">
        <x:v>152.95</x:v>
      </x:c>
      <x:c r="F14" s="44" t="n">
        <x:v>157.9</x:v>
      </x:c>
      <x:c r="G14" s="32" t="str">
        <x:v>Google DeepMind</x:v>
      </x:c>
      <x:c r="H14" s="32" t="str">
        <x:v>United States of America</x:v>
      </x:c>
      <x:c r="I14" s="32" t="str">
        <x:v>API access</x:v>
      </x:c>
      <x:c r="J14" s="32" t="str">
        <x:v>Closed weights</x:v>
      </x:c>
      <x:c r="K14" s="32" t="str"/>
    </x:row>
    <x:row r="15">
      <x:c r="A15" s="32" t="str">
        <x:v>GPT-5.2 Pro</x:v>
      </x:c>
      <x:c r="B15" s="32" t="str">
        <x:v>GPT-5.2 Pro</x:v>
      </x:c>
      <x:c r="C15" s="34" t="n">
        <x:v>46002</x:v>
      </x:c>
      <x:c r="D15" s="44" t="n">
        <x:v>154.65</x:v>
      </x:c>
      <x:c r="E15" s="44" t="n">
        <x:v>152.88</x:v>
      </x:c>
      <x:c r="F15" s="44" t="n">
        <x:v>157.03</x:v>
      </x:c>
      <x:c r="G15" s="32" t="str">
        <x:v>OpenAI</x:v>
      </x:c>
      <x:c r="H15" s="32" t="str">
        <x:v>United States of America</x:v>
      </x:c>
      <x:c r="I15" s="32" t="str">
        <x:v>API access</x:v>
      </x:c>
      <x:c r="J15" s="32" t="str">
        <x:v>Closed weights</x:v>
      </x:c>
      <x:c r="K15" s="32" t="str"/>
    </x:row>
    <x:row r="16">
      <x:c r="A16" s="32" t="str">
        <x:v>Gemini 3.5 Flash</x:v>
      </x:c>
      <x:c r="B16" s="32" t="str">
        <x:v>Gemini 3.5 Flash</x:v>
      </x:c>
      <x:c r="C16" s="34" t="n">
        <x:v>46161</x:v>
      </x:c>
      <x:c r="D16" s="44" t="n">
        <x:v>154.58</x:v>
      </x:c>
      <x:c r="E16" s="44" t="n">
        <x:v>152.84</x:v>
      </x:c>
      <x:c r="F16" s="44" t="n">
        <x:v>157.2</x:v>
      </x:c>
      <x:c r="G16" s="32" t="str">
        <x:v>Google</x:v>
      </x:c>
      <x:c r="H16" s="32" t="str">
        <x:v>United States of America</x:v>
      </x:c>
      <x:c r="I16" s="32" t="str">
        <x:v>API access</x:v>
      </x:c>
      <x:c r="J16" s="32" t="str">
        <x:v>Closed weights</x:v>
      </x:c>
      <x:c r="K16" s="32" t="str"/>
    </x:row>
    <x:row r="17">
      <x:c r="A17" s="32" t="str">
        <x:v>Muse Spark</x:v>
      </x:c>
      <x:c r="B17" s="32" t="str">
        <x:v>Muse Spark</x:v>
      </x:c>
      <x:c r="C17" s="34" t="n">
        <x:v>46120</x:v>
      </x:c>
      <x:c r="D17" s="44" t="n">
        <x:v>154.27</x:v>
      </x:c>
      <x:c r="E17" s="44" t="n">
        <x:v>151.76</x:v>
      </x:c>
      <x:c r="F17" s="44" t="n">
        <x:v>158.17</x:v>
      </x:c>
      <x:c r="G17" s="32" t="str">
        <x:v>Meta AI</x:v>
      </x:c>
      <x:c r="H17" s="32" t="str">
        <x:v>United States of America</x:v>
      </x:c>
      <x:c r="I17" s="32" t="str">
        <x:v>API access</x:v>
      </x:c>
      <x:c r="J17" s="32" t="str">
        <x:v>Closed weights</x:v>
      </x:c>
      <x:c r="K17" s="32" t="str"/>
    </x:row>
    <x:row r="18">
      <x:c r="A18" s="32" t="str">
        <x:v>GPT-5.2</x:v>
      </x:c>
      <x:c r="B18" s="32" t="str">
        <x:v>GPT-5.2</x:v>
      </x:c>
      <x:c r="C18" s="34" t="n">
        <x:v>46002</x:v>
      </x:c>
      <x:c r="D18" s="44" t="n">
        <x:v>153.7</x:v>
      </x:c>
      <x:c r="E18" s="44" t="n">
        <x:v>152.26</x:v>
      </x:c>
      <x:c r="F18" s="44" t="n">
        <x:v>155.46</x:v>
      </x:c>
      <x:c r="G18" s="32" t="str">
        <x:v>OpenAI</x:v>
      </x:c>
      <x:c r="H18" s="32" t="str">
        <x:v>United States of America</x:v>
      </x:c>
      <x:c r="I18" s="32" t="str">
        <x:v>API access</x:v>
      </x:c>
      <x:c r="J18" s="32" t="str">
        <x:v>Closed weights</x:v>
      </x:c>
      <x:c r="K18" s="32" t="str"/>
    </x:row>
    <x:row r="19">
      <x:c r="A19" s="32" t="str">
        <x:v>Gemini 3 Pro</x:v>
      </x:c>
      <x:c r="B19" s="32" t="str">
        <x:v>Gemini 3 Pro</x:v>
      </x:c>
      <x:c r="C19" s="34" t="n">
        <x:v>45979</x:v>
      </x:c>
      <x:c r="D19" s="44" t="n">
        <x:v>153.24</x:v>
      </x:c>
      <x:c r="E19" s="44" t="n">
        <x:v>151.34</x:v>
      </x:c>
      <x:c r="F19" s="44" t="n">
        <x:v>155.77</x:v>
      </x:c>
      <x:c r="G19" s="32" t="str">
        <x:v>Google DeepMind</x:v>
      </x:c>
      <x:c r="H19" s="32" t="str">
        <x:v>United States of America</x:v>
      </x:c>
      <x:c r="I19" s="32" t="str">
        <x:v>API access</x:v>
      </x:c>
      <x:c r="J19" s="32" t="str">
        <x:v>Closed weights</x:v>
      </x:c>
      <x:c r="K19" s="32" t="str"/>
    </x:row>
    <x:row r="20">
      <x:c r="A20" s="32" t="str">
        <x:v>Claude Sonnet 5</x:v>
      </x:c>
      <x:c r="B20" s="32" t="str">
        <x:v>Claude Sonnet 5</x:v>
      </x:c>
      <x:c r="C20" s="34" t="n">
        <x:v>46203</x:v>
      </x:c>
      <x:c r="D20" s="44" t="n">
        <x:v>153.2</x:v>
      </x:c>
      <x:c r="E20" s="44" t="n">
        <x:v>150.47</x:v>
      </x:c>
      <x:c r="F20" s="44" t="n">
        <x:v>155.24</x:v>
      </x:c>
      <x:c r="G20" s="32" t="str">
        <x:v>Anthropic</x:v>
      </x:c>
      <x:c r="H20" s="32" t="str">
        <x:v>United States of America</x:v>
      </x:c>
      <x:c r="I20" s="32" t="str">
        <x:v>API access</x:v>
      </x:c>
      <x:c r="J20" s="32" t="str">
        <x:v>Closed weights</x:v>
      </x:c>
      <x:c r="K20" s="32" t="str"/>
    </x:row>
    <x:row r="21">
      <x:c r="A21" s="32" t="str">
        <x:v>Claude Sonnet 4.6</x:v>
      </x:c>
      <x:c r="B21" s="32" t="str">
        <x:v>Claude Sonnet 4.6</x:v>
      </x:c>
      <x:c r="C21" s="34" t="n">
        <x:v>46070</x:v>
      </x:c>
      <x:c r="D21" s="44" t="n">
        <x:v>153.18</x:v>
      </x:c>
      <x:c r="E21" s="44" t="n">
        <x:v>149.67</x:v>
      </x:c>
      <x:c r="F21" s="44" t="n">
        <x:v>156.08</x:v>
      </x:c>
      <x:c r="G21" s="32" t="str">
        <x:v>Anthropic</x:v>
      </x:c>
      <x:c r="H21" s="32" t="str">
        <x:v>United States of America</x:v>
      </x:c>
      <x:c r="I21" s="32" t="str">
        <x:v>API access</x:v>
      </x:c>
      <x:c r="J21" s="32" t="str">
        <x:v>Closed weights</x:v>
      </x:c>
      <x:c r="K21" s="32" t="str"/>
    </x:row>
    <x:row r="22">
      <x:c r="A22" s="32" t="str">
        <x:v>Grok 4.5</x:v>
      </x:c>
      <x:c r="B22" s="32" t="str">
        <x:v>Grok 4.5</x:v>
      </x:c>
      <x:c r="C22" s="34" t="n">
        <x:v>46211</x:v>
      </x:c>
      <x:c r="D22" s="44" t="n">
        <x:v>153.17</x:v>
      </x:c>
      <x:c r="E22" s="44" t="n">
        <x:v>151.65</x:v>
      </x:c>
      <x:c r="F22" s="44" t="n">
        <x:v>156.15</x:v>
      </x:c>
      <x:c r="G22" s="32" t="str">
        <x:v>xAI</x:v>
      </x:c>
      <x:c r="H22" s="32" t="str">
        <x:v>United States of America</x:v>
      </x:c>
      <x:c r="I22" s="32" t="str">
        <x:v>API access</x:v>
      </x:c>
      <x:c r="J22" s="32" t="str">
        <x:v>Closed weights</x:v>
      </x:c>
      <x:c r="K22" s="32" t="str"/>
    </x:row>
    <x:row r="23">
      <x:c r="A23" s="32" t="str">
        <x:v>Qwen3.7-Max</x:v>
      </x:c>
      <x:c r="B23" s="32" t="str">
        <x:v>Qwen3.7-Max</x:v>
      </x:c>
      <x:c r="C23" s="34" t="n">
        <x:v>46161</x:v>
      </x:c>
      <x:c r="D23" s="44" t="n">
        <x:v>153.05</x:v>
      </x:c>
      <x:c r="E23" s="44" t="n">
        <x:v>151.09</x:v>
      </x:c>
      <x:c r="F23" s="44" t="n">
        <x:v>155.37</x:v>
      </x:c>
      <x:c r="G23" s="32" t="str">
        <x:v>Alibaba</x:v>
      </x:c>
      <x:c r="H23" s="32" t="str">
        <x:v>China</x:v>
      </x:c>
      <x:c r="I23" s="32" t="str">
        <x:v>API access</x:v>
      </x:c>
      <x:c r="J23" s="32" t="str">
        <x:v>Closed weights</x:v>
      </x:c>
      <x:c r="K23" s="32" t="str"/>
    </x:row>
    <x:row r="24">
      <x:c r="A24" s="32" t="str">
        <x:v>Grok 4.20</x:v>
      </x:c>
      <x:c r="B24" s="32" t="str">
        <x:v>Grok 4.20</x:v>
      </x:c>
      <x:c r="C24" s="34" t="n">
        <x:v>46070</x:v>
      </x:c>
      <x:c r="D24" s="44" t="n">
        <x:v>152.56</x:v>
      </x:c>
      <x:c r="E24" s="44" t="n">
        <x:v>149.24</x:v>
      </x:c>
      <x:c r="F24" s="44" t="n">
        <x:v>154.54</x:v>
      </x:c>
      <x:c r="G24" s="32" t="str">
        <x:v>xAI</x:v>
      </x:c>
      <x:c r="H24" s="32" t="str">
        <x:v>United States of America</x:v>
      </x:c>
      <x:c r="I24" s="32" t="str">
        <x:v>API access</x:v>
      </x:c>
      <x:c r="J24" s="32" t="str">
        <x:v>Closed weights</x:v>
      </x:c>
      <x:c r="K24" s="32" t="str"/>
    </x:row>
    <x:row r="25">
      <x:c r="A25" s="32" t="str">
        <x:v>GLM-5.2</x:v>
      </x:c>
      <x:c r="B25" s="32" t="str">
        <x:v>GLM-5.2</x:v>
      </x:c>
      <x:c r="C25" s="34" t="n">
        <x:v>46189</x:v>
      </x:c>
      <x:c r="D25" s="44" t="n">
        <x:v>151.6</x:v>
      </x:c>
      <x:c r="E25" s="44" t="n">
        <x:v>149.97</x:v>
      </x:c>
      <x:c r="F25" s="44" t="n">
        <x:v>153.86</x:v>
      </x:c>
      <x:c r="G25" s="32" t="str">
        <x:v>Z.ai (Zhipu AI)</x:v>
      </x:c>
      <x:c r="H25" s="32" t="str">
        <x:v>China</x:v>
      </x:c>
      <x:c r="I25" s="32" t="str">
        <x:v>Open weights (unrestricted)</x:v>
      </x:c>
      <x:c r="J25" s="32" t="str">
        <x:v>Open weights</x:v>
      </x:c>
      <x:c r="K25" s="32" t="str"/>
    </x:row>
    <x:row r="26">
      <x:c r="A26" s="32" t="str">
        <x:v>Kimi K2.6</x:v>
      </x:c>
      <x:c r="B26" s="32" t="str">
        <x:v>Kimi K2.6</x:v>
      </x:c>
      <x:c r="C26" s="34" t="n">
        <x:v>46132</x:v>
      </x:c>
      <x:c r="D26" s="44" t="n">
        <x:v>151.02</x:v>
      </x:c>
      <x:c r="E26" s="44" t="n">
        <x:v>149.18</x:v>
      </x:c>
      <x:c r="F26" s="44" t="n">
        <x:v>152.53</x:v>
      </x:c>
      <x:c r="G26" s="32" t="str">
        <x:v>Moonshot</x:v>
      </x:c>
      <x:c r="H26" s="32" t="str">
        <x:v>China</x:v>
      </x:c>
      <x:c r="I26" s="32" t="str">
        <x:v>Open weights (unrestricted)</x:v>
      </x:c>
      <x:c r="J26" s="32" t="str">
        <x:v>Open weights</x:v>
      </x:c>
      <x:c r="K26" s="32" t="str"/>
    </x:row>
    <x:row r="27">
      <x:c r="A27" s="32" t="str">
        <x:v>Gemini 3 Flash</x:v>
      </x:c>
      <x:c r="B27" s="32" t="str">
        <x:v>Gemini 3 Flash</x:v>
      </x:c>
      <x:c r="C27" s="34" t="n">
        <x:v>46008</x:v>
      </x:c>
      <x:c r="D27" s="44" t="n">
        <x:v>150.62</x:v>
      </x:c>
      <x:c r="E27" s="44" t="n">
        <x:v>146.15</x:v>
      </x:c>
      <x:c r="F27" s="44" t="n">
        <x:v>152.88</x:v>
      </x:c>
      <x:c r="G27" s="32" t="str">
        <x:v>Google DeepMind</x:v>
      </x:c>
      <x:c r="H27" s="32" t="str">
        <x:v>United States of America</x:v>
      </x:c>
      <x:c r="I27" s="32" t="str">
        <x:v>API access</x:v>
      </x:c>
      <x:c r="J27" s="32" t="str">
        <x:v>Closed weights</x:v>
      </x:c>
      <x:c r="K27" s="32" t="str"/>
    </x:row>
    <x:row r="28">
      <x:c r="A28" s="32" t="str">
        <x:v>GPT-5 Pro</x:v>
      </x:c>
      <x:c r="B28" s="32" t="str">
        <x:v>GPT-5 Pro</x:v>
      </x:c>
      <x:c r="C28" s="34" t="n">
        <x:v>45937</x:v>
      </x:c>
      <x:c r="D28" s="44" t="n">
        <x:v>150.43</x:v>
      </x:c>
      <x:c r="E28" s="44" t="n">
        <x:v>148.94</x:v>
      </x:c>
      <x:c r="F28" s="44" t="n">
        <x:v>152.05</x:v>
      </x:c>
      <x:c r="G28" s="32" t="str">
        <x:v>OpenAI</x:v>
      </x:c>
      <x:c r="H28" s="32" t="str">
        <x:v>United States of America</x:v>
      </x:c>
      <x:c r="I28" s="32" t="str">
        <x:v>API access</x:v>
      </x:c>
      <x:c r="J28" s="32" t="str">
        <x:v>Closed weights</x:v>
      </x:c>
      <x:c r="K28" s="32" t="str"/>
    </x:row>
    <x:row r="29">
      <x:c r="A29" s="32" t="str">
        <x:v>GLM-5.1</x:v>
      </x:c>
      <x:c r="B29" s="32" t="str">
        <x:v>GLM-5.1</x:v>
      </x:c>
      <x:c r="C29" s="34" t="n">
        <x:v>46119</x:v>
      </x:c>
      <x:c r="D29" s="44" t="n">
        <x:v>150.39</x:v>
      </x:c>
      <x:c r="E29" s="44" t="n">
        <x:v>148.1</x:v>
      </x:c>
      <x:c r="F29" s="44" t="n">
        <x:v>151.89</x:v>
      </x:c>
      <x:c r="G29" s="32" t="str">
        <x:v>Z.ai (Zhipu AI)</x:v>
      </x:c>
      <x:c r="H29" s="32" t="str">
        <x:v>China</x:v>
      </x:c>
      <x:c r="I29" s="32" t="str">
        <x:v>Unknown</x:v>
      </x:c>
      <x:c r="J29" s="32" t="str">
        <x:v>Other</x:v>
      </x:c>
      <x:c r="K29" s="32" t="str"/>
    </x:row>
    <x:row r="30">
      <x:c r="A30" s="32" t="str">
        <x:v>Kimi K2.7 Code</x:v>
      </x:c>
      <x:c r="B30" s="32" t="str">
        <x:v>Kimi K2.7 Code</x:v>
      </x:c>
      <x:c r="C30" s="34" t="n">
        <x:v>46185</x:v>
      </x:c>
      <x:c r="D30" s="44" t="n">
        <x:v>150.07</x:v>
      </x:c>
      <x:c r="E30" s="44" t="n">
        <x:v>148.48</x:v>
      </x:c>
      <x:c r="F30" s="44" t="n">
        <x:v>151.25</x:v>
      </x:c>
      <x:c r="G30" s="32" t="str">
        <x:v>Moonshot</x:v>
      </x:c>
      <x:c r="H30" s="32" t="str">
        <x:v>China</x:v>
      </x:c>
      <x:c r="I30" s="32" t="str">
        <x:v>Open weights (unrestricted)</x:v>
      </x:c>
      <x:c r="J30" s="32" t="str">
        <x:v>Open weights</x:v>
      </x:c>
      <x:c r="K30" s="32" t="str"/>
    </x:row>
    <x:row r="31">
      <x:c r="A31" s="32" t="str">
        <x:v>GPT-5</x:v>
      </x:c>
      <x:c r="B31" s="32" t="str">
        <x:v>GPT-5</x:v>
      </x:c>
      <x:c r="C31" s="34" t="n">
        <x:v>45876</x:v>
      </x:c>
      <x:c r="D31" s="44" t="n">
        <x:v>150</x:v>
      </x:c>
      <x:c r="E31" s="44"/>
      <x:c r="F31" s="44"/>
      <x:c r="G31" s="32" t="str">
        <x:v>OpenAI</x:v>
      </x:c>
      <x:c r="H31" s="32" t="str">
        <x:v>United States of America</x:v>
      </x:c>
      <x:c r="I31" s="32" t="str">
        <x:v>API access</x:v>
      </x:c>
      <x:c r="J31" s="32" t="str">
        <x:v>Closed weights</x:v>
      </x:c>
      <x:c r="K31" s="32" t="str"/>
    </x:row>
    <x:row r="32">
      <x:c r="A32" s="32" t="str">
        <x:v>DeepSeek-V4-Pro</x:v>
      </x:c>
      <x:c r="B32" s="32" t="str">
        <x:v>DeepSeek-V4-Pro</x:v>
      </x:c>
      <x:c r="C32" s="34" t="n">
        <x:v>46136</x:v>
      </x:c>
      <x:c r="D32" s="44" t="n">
        <x:v>149.74</x:v>
      </x:c>
      <x:c r="E32" s="44" t="n">
        <x:v>147.87</x:v>
      </x:c>
      <x:c r="F32" s="44" t="n">
        <x:v>152.06</x:v>
      </x:c>
      <x:c r="G32" s="32" t="str">
        <x:v>DeepSeek</x:v>
      </x:c>
      <x:c r="H32" s="32" t="str">
        <x:v>China</x:v>
      </x:c>
      <x:c r="I32" s="32" t="str">
        <x:v>Open weights (unrestricted)</x:v>
      </x:c>
      <x:c r="J32" s="32" t="str">
        <x:v>Open weights</x:v>
      </x:c>
      <x:c r="K32" s="32" t="str"/>
    </x:row>
    <x:row r="33">
      <x:c r="A33" s="32" t="str">
        <x:v>GPT-5.1</x:v>
      </x:c>
      <x:c r="B33" s="32" t="str">
        <x:v>GPT-5.1</x:v>
      </x:c>
      <x:c r="C33" s="34" t="n">
        <x:v>45974</x:v>
      </x:c>
      <x:c r="D33" s="44" t="n">
        <x:v>149.72</x:v>
      </x:c>
      <x:c r="E33" s="44" t="n">
        <x:v>148.31</x:v>
      </x:c>
      <x:c r="F33" s="44" t="n">
        <x:v>151.01</x:v>
      </x:c>
      <x:c r="G33" s="32" t="str">
        <x:v>OpenAI</x:v>
      </x:c>
      <x:c r="H33" s="32" t="str">
        <x:v>United States of America</x:v>
      </x:c>
      <x:c r="I33" s="32" t="str">
        <x:v>API access</x:v>
      </x:c>
      <x:c r="J33" s="32" t="str">
        <x:v>Closed weights</x:v>
      </x:c>
      <x:c r="K33" s="32" t="str"/>
    </x:row>
    <x:row r="34">
      <x:c r="A34" s="32" t="str">
        <x:v>Qwen 3.6 Max (Preview)</x:v>
      </x:c>
      <x:c r="B34" s="32" t="str">
        <x:v>Qwen 3.6 Max (Preview)</x:v>
      </x:c>
      <x:c r="C34" s="34" t="n">
        <x:v>46132</x:v>
      </x:c>
      <x:c r="D34" s="44" t="n">
        <x:v>149.61</x:v>
      </x:c>
      <x:c r="E34" s="44" t="n">
        <x:v>147.62</x:v>
      </x:c>
      <x:c r="F34" s="44" t="n">
        <x:v>153.07</x:v>
      </x:c>
      <x:c r="G34" s="32" t="str">
        <x:v>Alibaba</x:v>
      </x:c>
      <x:c r="H34" s="32" t="str">
        <x:v>China</x:v>
      </x:c>
      <x:c r="I34" s="32" t="str">
        <x:v>Unknown</x:v>
      </x:c>
      <x:c r="J34" s="32" t="str">
        <x:v>Other</x:v>
      </x:c>
      <x:c r="K34" s="32" t="str"/>
    </x:row>
    <x:row r="35">
      <x:c r="A35" s="32" t="str">
        <x:v>Claude Opus 4.5</x:v>
      </x:c>
      <x:c r="B35" s="32" t="str">
        <x:v>Claude Opus 4.5</x:v>
      </x:c>
      <x:c r="C35" s="34" t="n">
        <x:v>45985</x:v>
      </x:c>
      <x:c r="D35" s="44" t="n">
        <x:v>149.53</x:v>
      </x:c>
      <x:c r="E35" s="44" t="n">
        <x:v>147.66</x:v>
      </x:c>
      <x:c r="F35" s="44" t="n">
        <x:v>151.99</x:v>
      </x:c>
      <x:c r="G35" s="32" t="str">
        <x:v>Anthropic</x:v>
      </x:c>
      <x:c r="H35" s="32" t="str">
        <x:v>United States of America</x:v>
      </x:c>
      <x:c r="I35" s="32" t="str">
        <x:v>API access</x:v>
      </x:c>
      <x:c r="J35" s="32" t="str">
        <x:v>Closed weights</x:v>
      </x:c>
      <x:c r="K35" s="32" t="str"/>
    </x:row>
    <x:row r="36">
      <x:c r="A36" s="32" t="str">
        <x:v>Qwen 3.6 Plus</x:v>
      </x:c>
      <x:c r="B36" s="32" t="str">
        <x:v>Qwen 3.6 Plus</x:v>
      </x:c>
      <x:c r="C36" s="34" t="n">
        <x:v>46113</x:v>
      </x:c>
      <x:c r="D36" s="44" t="n">
        <x:v>149.13</x:v>
      </x:c>
      <x:c r="E36" s="44" t="n">
        <x:v>146.49</x:v>
      </x:c>
      <x:c r="F36" s="44" t="n">
        <x:v>150.98</x:v>
      </x:c>
      <x:c r="G36" s="32" t="str">
        <x:v>Alibaba</x:v>
      </x:c>
      <x:c r="H36" s="32" t="str">
        <x:v>China</x:v>
      </x:c>
      <x:c r="I36" s="32" t="str">
        <x:v>API access</x:v>
      </x:c>
      <x:c r="J36" s="32" t="str">
        <x:v>Closed weights</x:v>
      </x:c>
      <x:c r="K36" s="32" t="str"/>
    </x:row>
    <x:row r="37">
      <x:c r="A37" s="32" t="str">
        <x:v>Grok 4.3 Beta</x:v>
      </x:c>
      <x:c r="B37" s="32" t="str">
        <x:v>Grok 4.3 Beta</x:v>
      </x:c>
      <x:c r="C37" s="34" t="n">
        <x:v>46129</x:v>
      </x:c>
      <x:c r="D37" s="44" t="n">
        <x:v>148.98</x:v>
      </x:c>
      <x:c r="E37" s="44" t="n">
        <x:v>147.37</x:v>
      </x:c>
      <x:c r="F37" s="44" t="n">
        <x:v>150.53</x:v>
      </x:c>
      <x:c r="G37" s="32" t="str">
        <x:v>xAI</x:v>
      </x:c>
      <x:c r="H37" s="32" t="str">
        <x:v>United States of America</x:v>
      </x:c>
      <x:c r="I37" s="32" t="str">
        <x:v>Hosted access (no API)</x:v>
      </x:c>
      <x:c r="J37" s="32" t="str">
        <x:v>Closed weights</x:v>
      </x:c>
      <x:c r="K37" s="32" t="str"/>
    </x:row>
    <x:row r="38">
      <x:c r="A38" s="32" t="str">
        <x:v>GPT-5.4 Mini</x:v>
      </x:c>
      <x:c r="B38" s="32" t="str">
        <x:v>GPT-5.4 Mini</x:v>
      </x:c>
      <x:c r="C38" s="34" t="n">
        <x:v>46098</x:v>
      </x:c>
      <x:c r="D38" s="44" t="n">
        <x:v>148.9</x:v>
      </x:c>
      <x:c r="E38" s="44" t="n">
        <x:v>147.11</x:v>
      </x:c>
      <x:c r="F38" s="44" t="n">
        <x:v>150.06</x:v>
      </x:c>
      <x:c r="G38" s="32" t="str">
        <x:v>OpenAI</x:v>
      </x:c>
      <x:c r="H38" s="32" t="str">
        <x:v>United States of America</x:v>
      </x:c>
      <x:c r="I38" s="32" t="str">
        <x:v>API access</x:v>
      </x:c>
      <x:c r="J38" s="32" t="str">
        <x:v>Closed weights</x:v>
      </x:c>
      <x:c r="K38" s="32" t="str"/>
    </x:row>
    <x:row r="39">
      <x:c r="A39" s="32" t="str">
        <x:v>Kimi K2.5</x:v>
      </x:c>
      <x:c r="B39" s="32" t="str">
        <x:v>Kimi K2.5</x:v>
      </x:c>
      <x:c r="C39" s="34" t="n">
        <x:v>46055</x:v>
      </x:c>
      <x:c r="D39" s="44" t="n">
        <x:v>148.24</x:v>
      </x:c>
      <x:c r="E39" s="44" t="n">
        <x:v>146.58</x:v>
      </x:c>
      <x:c r="F39" s="44" t="n">
        <x:v>149.36</x:v>
      </x:c>
      <x:c r="G39" s="32" t="str">
        <x:v>Moonshot</x:v>
      </x:c>
      <x:c r="H39" s="32" t="str">
        <x:v>China</x:v>
      </x:c>
      <x:c r="I39" s="32" t="str">
        <x:v>Open weights (unrestricted)</x:v>
      </x:c>
      <x:c r="J39" s="32" t="str">
        <x:v>Open weights</x:v>
      </x:c>
      <x:c r="K39" s="32" t="str"/>
    </x:row>
    <x:row r="40">
      <x:c r="A40" s="32" t="str">
        <x:v>o3-pro</x:v>
      </x:c>
      <x:c r="B40" s="32" t="str">
        <x:v>o3-pro</x:v>
      </x:c>
      <x:c r="C40" s="34" t="n">
        <x:v>45818</x:v>
      </x:c>
      <x:c r="D40" s="44" t="n">
        <x:v>147.92</x:v>
      </x:c>
      <x:c r="E40" s="44" t="n">
        <x:v>146.24</x:v>
      </x:c>
      <x:c r="F40" s="44" t="n">
        <x:v>150.45</x:v>
      </x:c>
      <x:c r="G40" s="32" t="str">
        <x:v>OpenAI</x:v>
      </x:c>
      <x:c r="H40" s="32" t="str">
        <x:v>United States of America</x:v>
      </x:c>
      <x:c r="I40" s="32" t="str">
        <x:v>Unknown</x:v>
      </x:c>
      <x:c r="J40" s="32" t="str">
        <x:v>Other</x:v>
      </x:c>
      <x:c r="K40" s="32" t="str"/>
    </x:row>
    <x:row r="41">
      <x:c r="A41" s="32" t="str">
        <x:v>MiniMax-M2.5</x:v>
      </x:c>
      <x:c r="B41" s="32" t="str">
        <x:v>MiniMax-M2.5</x:v>
      </x:c>
      <x:c r="C41" s="34" t="n">
        <x:v>46065</x:v>
      </x:c>
      <x:c r="D41" s="44" t="n">
        <x:v>147.07</x:v>
      </x:c>
      <x:c r="E41" s="44" t="n">
        <x:v>142.34</x:v>
      </x:c>
      <x:c r="F41" s="44" t="n">
        <x:v>148.14</x:v>
      </x:c>
      <x:c r="G41" s="32" t="str">
        <x:v>MiniMax</x:v>
      </x:c>
      <x:c r="H41" s="32" t="str">
        <x:v>China</x:v>
      </x:c>
      <x:c r="I41" s="32" t="str">
        <x:v>Open weights (unrestricted)</x:v>
      </x:c>
      <x:c r="J41" s="32" t="str">
        <x:v>Open weights</x:v>
      </x:c>
      <x:c r="K41" s="32" t="str"/>
    </x:row>
    <x:row r="42">
      <x:c r="A42" s="32" t="str">
        <x:v>o3</x:v>
      </x:c>
      <x:c r="B42" s="32" t="str">
        <x:v>o3</x:v>
      </x:c>
      <x:c r="C42" s="34" t="n">
        <x:v>45646</x:v>
      </x:c>
      <x:c r="D42" s="44" t="n">
        <x:v>147.05</x:v>
      </x:c>
      <x:c r="E42" s="44" t="n">
        <x:v>145.11</x:v>
      </x:c>
      <x:c r="F42" s="44" t="n">
        <x:v>148.38</x:v>
      </x:c>
      <x:c r="G42" s="32" t="str">
        <x:v>OpenAI</x:v>
      </x:c>
      <x:c r="H42" s="32" t="str">
        <x:v>United States of America</x:v>
      </x:c>
      <x:c r="I42" s="32" t="str">
        <x:v>API access</x:v>
      </x:c>
      <x:c r="J42" s="32" t="str">
        <x:v>Closed weights</x:v>
      </x:c>
      <x:c r="K42" s="32" t="str"/>
    </x:row>
    <x:row r="43">
      <x:c r="A43" s="32" t="str">
        <x:v>Grok 4</x:v>
      </x:c>
      <x:c r="B43" s="32" t="str">
        <x:v>Grok 4</x:v>
      </x:c>
      <x:c r="C43" s="34" t="n">
        <x:v>45847</x:v>
      </x:c>
      <x:c r="D43" s="44" t="n">
        <x:v>147.04</x:v>
      </x:c>
      <x:c r="E43" s="44" t="n">
        <x:v>144.92</x:v>
      </x:c>
      <x:c r="F43" s="44" t="n">
        <x:v>148.75</x:v>
      </x:c>
      <x:c r="G43" s="32" t="str">
        <x:v>xAI</x:v>
      </x:c>
      <x:c r="H43" s="32" t="str">
        <x:v>United States of America</x:v>
      </x:c>
      <x:c r="I43" s="32" t="str">
        <x:v>API access</x:v>
      </x:c>
      <x:c r="J43" s="32" t="str">
        <x:v>Closed weights</x:v>
      </x:c>
      <x:c r="K43" s="32" t="str"/>
    </x:row>
    <x:row r="44">
      <x:c r="A44" s="32" t="str">
        <x:v>Qwen 3.5 Plus (hosted 397B-A17B)</x:v>
      </x:c>
      <x:c r="B44" s="32" t="str">
        <x:v>Qwen 3.5 Plus (hosted 397B-A17B)</x:v>
      </x:c>
      <x:c r="C44" s="34" t="n">
        <x:v>46069</x:v>
      </x:c>
      <x:c r="D44" s="44" t="n">
        <x:v>146.95</x:v>
      </x:c>
      <x:c r="E44" s="44" t="n">
        <x:v>144.65</x:v>
      </x:c>
      <x:c r="F44" s="44" t="n">
        <x:v>148.03</x:v>
      </x:c>
      <x:c r="G44" s="32" t="str">
        <x:v>Alibaba</x:v>
      </x:c>
      <x:c r="H44" s="32" t="str">
        <x:v>China</x:v>
      </x:c>
      <x:c r="I44" s="32" t="str">
        <x:v>Unknown</x:v>
      </x:c>
      <x:c r="J44" s="32" t="str">
        <x:v>Other</x:v>
      </x:c>
      <x:c r="K44" s="32" t="str"/>
    </x:row>
    <x:row r="45">
      <x:c r="A45" s="32" t="str">
        <x:v>Claude Sonnet 4.5</x:v>
      </x:c>
      <x:c r="B45" s="32" t="str">
        <x:v>Claude Sonnet 4.5</x:v>
      </x:c>
      <x:c r="C45" s="34" t="n">
        <x:v>45929</x:v>
      </x:c>
      <x:c r="D45" s="44" t="n">
        <x:v>146.75</x:v>
      </x:c>
      <x:c r="E45" s="44" t="n">
        <x:v>144.71</x:v>
      </x:c>
      <x:c r="F45" s="44" t="n">
        <x:v>148.07</x:v>
      </x:c>
      <x:c r="G45" s="32" t="str">
        <x:v>Anthropic</x:v>
      </x:c>
      <x:c r="H45" s="32" t="str">
        <x:v>United States of America</x:v>
      </x:c>
      <x:c r="I45" s="32" t="str">
        <x:v>API access</x:v>
      </x:c>
      <x:c r="J45" s="32" t="str">
        <x:v>Closed weights</x:v>
      </x:c>
      <x:c r="K45" s="32" t="str"/>
    </x:row>
    <x:row r="46">
      <x:c r="A46" s="32" t="str">
        <x:v>GPT-5.4 Nano</x:v>
      </x:c>
      <x:c r="B46" s="32" t="str">
        <x:v>GPT-5.4 Nano</x:v>
      </x:c>
      <x:c r="C46" s="34" t="n">
        <x:v>46098</x:v>
      </x:c>
      <x:c r="D46" s="44" t="n">
        <x:v>146.64</x:v>
      </x:c>
      <x:c r="E46" s="44" t="n">
        <x:v>144.07</x:v>
      </x:c>
      <x:c r="F46" s="44" t="n">
        <x:v>148.4</x:v>
      </x:c>
      <x:c r="G46" s="32" t="str">
        <x:v>OpenAI</x:v>
      </x:c>
      <x:c r="H46" s="32" t="str">
        <x:v>United States of America</x:v>
      </x:c>
      <x:c r="I46" s="32" t="str">
        <x:v>API access</x:v>
      </x:c>
      <x:c r="J46" s="32" t="str">
        <x:v>Closed weights</x:v>
      </x:c>
      <x:c r="K46" s="32" t="str"/>
    </x:row>
    <x:row r="47">
      <x:c r="A47" s="32" t="str">
        <x:v>DeepSeek-V3.2</x:v>
      </x:c>
      <x:c r="B47" s="32" t="str">
        <x:v>DeepSeek-V3.2</x:v>
      </x:c>
      <x:c r="C47" s="34" t="n">
        <x:v>45992</x:v>
      </x:c>
      <x:c r="D47" s="44" t="n">
        <x:v>146.56</x:v>
      </x:c>
      <x:c r="E47" s="44" t="n">
        <x:v>144.63</x:v>
      </x:c>
      <x:c r="F47" s="44" t="n">
        <x:v>147.62</x:v>
      </x:c>
      <x:c r="G47" s="32" t="str">
        <x:v>DeepSeek</x:v>
      </x:c>
      <x:c r="H47" s="32" t="str">
        <x:v>China</x:v>
      </x:c>
      <x:c r="I47" s="32" t="str">
        <x:v>Open weights (unrestricted)</x:v>
      </x:c>
      <x:c r="J47" s="32" t="str">
        <x:v>Open weights</x:v>
      </x:c>
      <x:c r="K47" s="32" t="str"/>
    </x:row>
    <x:row r="48">
      <x:c r="A48" s="32" t="str">
        <x:v>o4-mini</x:v>
      </x:c>
      <x:c r="B48" s="32" t="str">
        <x:v>o4-mini</x:v>
      </x:c>
      <x:c r="C48" s="34" t="n">
        <x:v>45763</x:v>
      </x:c>
      <x:c r="D48" s="44" t="n">
        <x:v>146.54</x:v>
      </x:c>
      <x:c r="E48" s="44" t="n">
        <x:v>144.05</x:v>
      </x:c>
      <x:c r="F48" s="44" t="n">
        <x:v>147.85</x:v>
      </x:c>
      <x:c r="G48" s="32" t="str">
        <x:v>OpenAI</x:v>
      </x:c>
      <x:c r="H48" s="32" t="str">
        <x:v>United States of America</x:v>
      </x:c>
      <x:c r="I48" s="32" t="str">
        <x:v>API access</x:v>
      </x:c>
      <x:c r="J48" s="32" t="str">
        <x:v>Closed weights</x:v>
      </x:c>
      <x:c r="K48" s="32" t="str"/>
    </x:row>
    <x:row r="49">
      <x:c r="A49" s="32" t="str">
        <x:v>GLM-5</x:v>
      </x:c>
      <x:c r="B49" s="32" t="str">
        <x:v>GLM-5</x:v>
      </x:c>
      <x:c r="C49" s="34" t="n">
        <x:v>46064</x:v>
      </x:c>
      <x:c r="D49" s="44" t="n">
        <x:v>146.39</x:v>
      </x:c>
      <x:c r="E49" s="44" t="n">
        <x:v>144.52</x:v>
      </x:c>
      <x:c r="F49" s="44" t="n">
        <x:v>147.86</x:v>
      </x:c>
      <x:c r="G49" s="32" t="str">
        <x:v>Z.ai (Zhipu AI)</x:v>
      </x:c>
      <x:c r="H49" s="32" t="str">
        <x:v>China</x:v>
      </x:c>
      <x:c r="I49" s="32" t="str">
        <x:v>Open weights (unrestricted)</x:v>
      </x:c>
      <x:c r="J49" s="32" t="str">
        <x:v>Open weights</x:v>
      </x:c>
      <x:c r="K49" s="32" t="str"/>
    </x:row>
    <x:row r="50">
      <x:c r="A50" s="32" t="str">
        <x:v>Gemini 2.5 Pro (Jun 2025)</x:v>
      </x:c>
      <x:c r="B50" s="32" t="str">
        <x:v>Gemini 2.5 Pro (Jun 2025)</x:v>
      </x:c>
      <x:c r="C50" s="34" t="n">
        <x:v>45813</x:v>
      </x:c>
      <x:c r="D50" s="44" t="n">
        <x:v>146.08</x:v>
      </x:c>
      <x:c r="E50" s="44" t="n">
        <x:v>144.33</x:v>
      </x:c>
      <x:c r="F50" s="44" t="n">
        <x:v>147.72</x:v>
      </x:c>
      <x:c r="G50" s="32" t="str">
        <x:v>Google DeepMind</x:v>
      </x:c>
      <x:c r="H50" s="32" t="str">
        <x:v>United States of America</x:v>
      </x:c>
      <x:c r="I50" s="32" t="str">
        <x:v>API access</x:v>
      </x:c>
      <x:c r="J50" s="32" t="str">
        <x:v>Closed weights</x:v>
      </x:c>
      <x:c r="K50" s="32" t="str"/>
    </x:row>
    <x:row r="51">
      <x:c r="A51" s="32" t="str">
        <x:v>Kimi K2 Thinking</x:v>
      </x:c>
      <x:c r="B51" s="32" t="str">
        <x:v>Kimi K2 Thinking</x:v>
      </x:c>
      <x:c r="C51" s="34" t="n">
        <x:v>45967</x:v>
      </x:c>
      <x:c r="D51" s="44" t="n">
        <x:v>146.01</x:v>
      </x:c>
      <x:c r="E51" s="44" t="n">
        <x:v>143.68</x:v>
      </x:c>
      <x:c r="F51" s="44" t="n">
        <x:v>147.44</x:v>
      </x:c>
      <x:c r="G51" s="32" t="str">
        <x:v>Moonshot</x:v>
      </x:c>
      <x:c r="H51" s="32" t="str">
        <x:v>China</x:v>
      </x:c>
      <x:c r="I51" s="32" t="str">
        <x:v>Open weights (restricted use)</x:v>
      </x:c>
      <x:c r="J51" s="32" t="str">
        <x:v>Open weights</x:v>
      </x:c>
      <x:c r="K51" s="32" t="str"/>
    </x:row>
    <x:row r="52">
      <x:c r="A52" s="32" t="str">
        <x:v>GPT-5 mini</x:v>
      </x:c>
      <x:c r="B52" s="32" t="str">
        <x:v>GPT-5 mini</x:v>
      </x:c>
      <x:c r="C52" s="34" t="n">
        <x:v>45876</x:v>
      </x:c>
      <x:c r="D52" s="44" t="n">
        <x:v>145.79</x:v>
      </x:c>
      <x:c r="E52" s="44" t="n">
        <x:v>143.69</x:v>
      </x:c>
      <x:c r="F52" s="44" t="n">
        <x:v>147.21</x:v>
      </x:c>
      <x:c r="G52" s="32" t="str">
        <x:v>OpenAI</x:v>
      </x:c>
      <x:c r="H52" s="32" t="str">
        <x:v>United States of America</x:v>
      </x:c>
      <x:c r="I52" s="32" t="str">
        <x:v>API access</x:v>
      </x:c>
      <x:c r="J52" s="32" t="str">
        <x:v>Closed weights</x:v>
      </x:c>
      <x:c r="K52" s="32" t="str"/>
    </x:row>
    <x:row r="53">
      <x:c r="A53" s="32" t="str">
        <x:v>MiniMax-M2.7</x:v>
      </x:c>
      <x:c r="B53" s="32" t="str">
        <x:v>MiniMax-M2.7</x:v>
      </x:c>
      <x:c r="C53" s="34" t="n">
        <x:v>46099</x:v>
      </x:c>
      <x:c r="D53" s="44" t="n">
        <x:v>145.61</x:v>
      </x:c>
      <x:c r="E53" s="44" t="n">
        <x:v>138.06</x:v>
      </x:c>
      <x:c r="F53" s="44" t="n">
        <x:v>147.75</x:v>
      </x:c>
      <x:c r="G53" s="32" t="str">
        <x:v>MiniMax</x:v>
      </x:c>
      <x:c r="H53" s="32" t="str">
        <x:v>China</x:v>
      </x:c>
      <x:c r="I53" s="32" t="str">
        <x:v>Open weights (non-commercial)</x:v>
      </x:c>
      <x:c r="J53" s="32" t="str">
        <x:v>Open weights</x:v>
      </x:c>
      <x:c r="K53" s="32" t="str"/>
    </x:row>
    <x:row r="54">
      <x:c r="A54" s="32" t="str">
        <x:v>MiniMax-M3</x:v>
      </x:c>
      <x:c r="B54" s="32" t="str">
        <x:v>MiniMax-M3</x:v>
      </x:c>
      <x:c r="C54" s="34" t="n">
        <x:v>46174</x:v>
      </x:c>
      <x:c r="D54" s="44" t="n">
        <x:v>144.93</x:v>
      </x:c>
      <x:c r="E54" s="44" t="n">
        <x:v>141.94</x:v>
      </x:c>
      <x:c r="F54" s="44" t="n">
        <x:v>146.52</x:v>
      </x:c>
      <x:c r="G54" s="32" t="str">
        <x:v>MiniMax</x:v>
      </x:c>
      <x:c r="H54" s="32" t="str">
        <x:v>China</x:v>
      </x:c>
      <x:c r="I54" s="32" t="str">
        <x:v>API access</x:v>
      </x:c>
      <x:c r="J54" s="32" t="str">
        <x:v>Closed weights</x:v>
      </x:c>
      <x:c r="K54" s="32" t="str"/>
    </x:row>
    <x:row r="55">
      <x:c r="A55" s="32" t="str">
        <x:v>DeepSeek-V3.2-Exp</x:v>
      </x:c>
      <x:c r="B55" s="32" t="str">
        <x:v>DeepSeek-V3.2-Exp</x:v>
      </x:c>
      <x:c r="C55" s="34" t="n">
        <x:v>45929</x:v>
      </x:c>
      <x:c r="D55" s="44" t="n">
        <x:v>144.86</x:v>
      </x:c>
      <x:c r="E55" s="44" t="n">
        <x:v>141.79</x:v>
      </x:c>
      <x:c r="F55" s="44" t="n">
        <x:v>146.71</x:v>
      </x:c>
      <x:c r="G55" s="32" t="str">
        <x:v>DeepSeek</x:v>
      </x:c>
      <x:c r="H55" s="32" t="str">
        <x:v>China</x:v>
      </x:c>
      <x:c r="I55" s="32" t="str">
        <x:v>Open weights (unrestricted)</x:v>
      </x:c>
      <x:c r="J55" s="32" t="str">
        <x:v>Open weights</x:v>
      </x:c>
      <x:c r="K55" s="32" t="str"/>
    </x:row>
    <x:row r="56">
      <x:c r="A56" s="32" t="str">
        <x:v>Gemini 2.5 Pro (Mar 2025)</x:v>
      </x:c>
      <x:c r="B56" s="32" t="str">
        <x:v>Gemini 2.5 Pro (Mar 2025)</x:v>
      </x:c>
      <x:c r="C56" s="34" t="n">
        <x:v>45741</x:v>
      </x:c>
      <x:c r="D56" s="44" t="n">
        <x:v>144.84</x:v>
      </x:c>
      <x:c r="E56" s="44" t="n">
        <x:v>142.71</x:v>
      </x:c>
      <x:c r="F56" s="44" t="n">
        <x:v>147.18</x:v>
      </x:c>
      <x:c r="G56" s="32" t="str">
        <x:v>Google DeepMind</x:v>
      </x:c>
      <x:c r="H56" s="32" t="str">
        <x:v>United States of America</x:v>
      </x:c>
      <x:c r="I56" s="32" t="str">
        <x:v>API access</x:v>
      </x:c>
      <x:c r="J56" s="32" t="str">
        <x:v>Closed weights</x:v>
      </x:c>
      <x:c r="K56" s="32" t="str"/>
    </x:row>
    <x:row r="57">
      <x:c r="A57" s="32" t="str">
        <x:v>Qwen3-235B-A22B-Thinking (Jul 2025)</x:v>
      </x:c>
      <x:c r="B57" s="32" t="str">
        <x:v>Qwen3-235B-A22B-Thinking (Jul 2025)</x:v>
      </x:c>
      <x:c r="C57" s="34" t="n">
        <x:v>45863</x:v>
      </x:c>
      <x:c r="D57" s="44" t="n">
        <x:v>144.78</x:v>
      </x:c>
      <x:c r="E57" s="44" t="n">
        <x:v>142.35</x:v>
      </x:c>
      <x:c r="F57" s="44" t="n">
        <x:v>147.4</x:v>
      </x:c>
      <x:c r="G57" s="32" t="str">
        <x:v>Alibaba</x:v>
      </x:c>
      <x:c r="H57" s="32" t="str">
        <x:v>China</x:v>
      </x:c>
      <x:c r="I57" s="32" t="str">
        <x:v>Open weights (unrestricted)</x:v>
      </x:c>
      <x:c r="J57" s="32" t="str">
        <x:v>Open weights</x:v>
      </x:c>
      <x:c r="K57" s="32" t="str"/>
    </x:row>
    <x:row r="58">
      <x:c r="A58" s="32" t="str">
        <x:v>Grok 4 Fast</x:v>
      </x:c>
      <x:c r="B58" s="32" t="str">
        <x:v>Grok 4 Fast</x:v>
      </x:c>
      <x:c r="C58" s="34" t="n">
        <x:v>45919</x:v>
      </x:c>
      <x:c r="D58" s="44" t="n">
        <x:v>144.62</x:v>
      </x:c>
      <x:c r="E58" s="44" t="n">
        <x:v>141.49</x:v>
      </x:c>
      <x:c r="F58" s="44" t="n">
        <x:v>147.06</x:v>
      </x:c>
      <x:c r="G58" s="32" t="str">
        <x:v>xAI</x:v>
      </x:c>
      <x:c r="H58" s="32" t="str">
        <x:v>United States of America</x:v>
      </x:c>
      <x:c r="I58" s="32" t="str">
        <x:v>API access</x:v>
      </x:c>
      <x:c r="J58" s="32" t="str">
        <x:v>Closed weights</x:v>
      </x:c>
      <x:c r="K58" s="32" t="str"/>
    </x:row>
    <x:row r="59">
      <x:c r="A59" s="32" t="str">
        <x:v>Gemini 3.1 Flash-Lite</x:v>
      </x:c>
      <x:c r="B59" s="32" t="str">
        <x:v>Gemini 3.1 Flash-Lite</x:v>
      </x:c>
      <x:c r="C59" s="34" t="n">
        <x:v>46084</x:v>
      </x:c>
      <x:c r="D59" s="44" t="n">
        <x:v>144.36</x:v>
      </x:c>
      <x:c r="E59" s="44" t="n">
        <x:v>136.85</x:v>
      </x:c>
      <x:c r="F59" s="44" t="n">
        <x:v>146.37</x:v>
      </x:c>
      <x:c r="G59" s="32" t="str">
        <x:v>Google</x:v>
      </x:c>
      <x:c r="H59" s="32" t="str">
        <x:v>United States of America</x:v>
      </x:c>
      <x:c r="I59" s="32" t="str">
        <x:v>API access</x:v>
      </x:c>
      <x:c r="J59" s="32" t="str">
        <x:v>Closed weights</x:v>
      </x:c>
      <x:c r="K59" s="32" t="str"/>
    </x:row>
    <x:row r="60">
      <x:c r="A60" s="32" t="str">
        <x:v>Claude Opus 4.1</x:v>
      </x:c>
      <x:c r="B60" s="32" t="str">
        <x:v>Claude Opus 4.1</x:v>
      </x:c>
      <x:c r="C60" s="34" t="n">
        <x:v>45874</x:v>
      </x:c>
      <x:c r="D60" s="44" t="n">
        <x:v>144.21</x:v>
      </x:c>
      <x:c r="E60" s="44" t="n">
        <x:v>141.74</x:v>
      </x:c>
      <x:c r="F60" s="44" t="n">
        <x:v>146.36</x:v>
      </x:c>
      <x:c r="G60" s="32" t="str">
        <x:v>Anthropic</x:v>
      </x:c>
      <x:c r="H60" s="32" t="str">
        <x:v>United States of America</x:v>
      </x:c>
      <x:c r="I60" s="32" t="str">
        <x:v>API access</x:v>
      </x:c>
      <x:c r="J60" s="32" t="str">
        <x:v>Closed weights</x:v>
      </x:c>
      <x:c r="K60" s="32" t="str"/>
    </x:row>
    <x:row r="61">
      <x:c r="A61" s="32" t="str">
        <x:v>Qwen 3.6 Flash</x:v>
      </x:c>
      <x:c r="B61" s="32" t="str">
        <x:v>Qwen 3.6 Flash</x:v>
      </x:c>
      <x:c r="C61" s="34" t="n">
        <x:v>46138</x:v>
      </x:c>
      <x:c r="D61" s="44" t="n">
        <x:v>144.17</x:v>
      </x:c>
      <x:c r="E61" s="44" t="n">
        <x:v>141.12</x:v>
      </x:c>
      <x:c r="F61" s="44" t="n">
        <x:v>145.65</x:v>
      </x:c>
      <x:c r="G61" s="32" t="str">
        <x:v>Alibaba</x:v>
      </x:c>
      <x:c r="H61" s="32" t="str">
        <x:v>China</x:v>
      </x:c>
      <x:c r="I61" s="32" t="str">
        <x:v>Unknown</x:v>
      </x:c>
      <x:c r="J61" s="32" t="str">
        <x:v>Other</x:v>
      </x:c>
      <x:c r="K61" s="32" t="str"/>
    </x:row>
    <x:row r="62">
      <x:c r="A62" s="32" t="str">
        <x:v>Qwen 3.5 Flash (hosted 35B-A3B)</x:v>
      </x:c>
      <x:c r="B62" s="32" t="str">
        <x:v>Qwen 3.5 Flash (hosted 35B-A3B)</x:v>
      </x:c>
      <x:c r="C62" s="34" t="n">
        <x:v>46078</x:v>
      </x:c>
      <x:c r="D62" s="44" t="n">
        <x:v>144.07</x:v>
      </x:c>
      <x:c r="E62" s="44" t="n">
        <x:v>140.99</x:v>
      </x:c>
      <x:c r="F62" s="44" t="n">
        <x:v>146.42</x:v>
      </x:c>
      <x:c r="G62" s="32" t="str">
        <x:v>Alibaba</x:v>
      </x:c>
      <x:c r="H62" s="32" t="str">
        <x:v>China</x:v>
      </x:c>
      <x:c r="I62" s="32" t="str">
        <x:v>Unknown</x:v>
      </x:c>
      <x:c r="J62" s="32" t="str">
        <x:v>Other</x:v>
      </x:c>
      <x:c r="K62" s="32" t="str"/>
    </x:row>
    <x:row r="63">
      <x:c r="A63" s="32" t="str">
        <x:v>Qwen3-Max</x:v>
      </x:c>
      <x:c r="B63" s="32" t="str">
        <x:v>Qwen3-Max</x:v>
      </x:c>
      <x:c r="C63" s="34" t="n">
        <x:v>45905</x:v>
      </x:c>
      <x:c r="D63" s="44" t="n">
        <x:v>143.95</x:v>
      </x:c>
      <x:c r="E63" s="44" t="n">
        <x:v>140.4</x:v>
      </x:c>
      <x:c r="F63" s="44" t="n">
        <x:v>155.83</x:v>
      </x:c>
      <x:c r="G63" s="32" t="str">
        <x:v>Alibaba</x:v>
      </x:c>
      <x:c r="H63" s="32" t="str">
        <x:v>China</x:v>
      </x:c>
      <x:c r="I63" s="32" t="str">
        <x:v>API access</x:v>
      </x:c>
      <x:c r="J63" s="32" t="str">
        <x:v>Closed weights</x:v>
      </x:c>
      <x:c r="K63" s="32" t="str"/>
    </x:row>
    <x:row r="64">
      <x:c r="A64" s="32" t="str">
        <x:v>GLM-4.7</x:v>
      </x:c>
      <x:c r="B64" s="32" t="str">
        <x:v>GLM-4.7</x:v>
      </x:c>
      <x:c r="C64" s="34" t="n">
        <x:v>46013</x:v>
      </x:c>
      <x:c r="D64" s="44" t="n">
        <x:v>143.73</x:v>
      </x:c>
      <x:c r="E64" s="44" t="n">
        <x:v>141.11</x:v>
      </x:c>
      <x:c r="F64" s="44" t="n">
        <x:v>145.38</x:v>
      </x:c>
      <x:c r="G64" s="32" t="str">
        <x:v>Z.ai (Zhipu AI)</x:v>
      </x:c>
      <x:c r="H64" s="32" t="str">
        <x:v>China</x:v>
      </x:c>
      <x:c r="I64" s="32" t="str">
        <x:v>Open weights (unrestricted)</x:v>
      </x:c>
      <x:c r="J64" s="32" t="str">
        <x:v>Open weights</x:v>
      </x:c>
      <x:c r="K64" s="32" t="str"/>
    </x:row>
    <x:row r="65">
      <x:c r="A65" s="32" t="str">
        <x:v>Gemini 2.5 Flash (Sep 2025)</x:v>
      </x:c>
      <x:c r="B65" s="32" t="str">
        <x:v>Gemini 2.5 Flash (Sep 2025)</x:v>
      </x:c>
      <x:c r="C65" s="34" t="n">
        <x:v>45925</x:v>
      </x:c>
      <x:c r="D65" s="44" t="n">
        <x:v>143.1</x:v>
      </x:c>
      <x:c r="E65" s="44" t="n">
        <x:v>138.81</x:v>
      </x:c>
      <x:c r="F65" s="44" t="n">
        <x:v>146.24</x:v>
      </x:c>
      <x:c r="G65" s="32" t="str">
        <x:v>Google DeepMind</x:v>
      </x:c>
      <x:c r="H65" s="32" t="str">
        <x:v>United States of America</x:v>
      </x:c>
      <x:c r="I65" s="32" t="str">
        <x:v>API access</x:v>
      </x:c>
      <x:c r="J65" s="32" t="str">
        <x:v>Closed weights</x:v>
      </x:c>
      <x:c r="K65" s="32" t="str"/>
    </x:row>
    <x:row r="66">
      <x:c r="A66" s="32" t="str">
        <x:v>Claude Opus 4</x:v>
      </x:c>
      <x:c r="B66" s="32" t="str">
        <x:v>Claude Opus 4</x:v>
      </x:c>
      <x:c r="C66" s="34" t="n">
        <x:v>45799</x:v>
      </x:c>
      <x:c r="D66" s="44" t="n">
        <x:v>142.89</x:v>
      </x:c>
      <x:c r="E66" s="44" t="n">
        <x:v>140.36</x:v>
      </x:c>
      <x:c r="F66" s="44" t="n">
        <x:v>144.3</x:v>
      </x:c>
      <x:c r="G66" s="32" t="str">
        <x:v>Anthropic</x:v>
      </x:c>
      <x:c r="H66" s="32" t="str">
        <x:v>United States of America</x:v>
      </x:c>
      <x:c r="I66" s="32" t="str">
        <x:v>API access</x:v>
      </x:c>
      <x:c r="J66" s="32" t="str">
        <x:v>Closed weights</x:v>
      </x:c>
      <x:c r="K66" s="32" t="str"/>
    </x:row>
    <x:row r="67">
      <x:c r="A67" s="32" t="str">
        <x:v>Claude Haiku 4.5</x:v>
      </x:c>
      <x:c r="B67" s="32" t="str">
        <x:v>Claude Haiku 4.5</x:v>
      </x:c>
      <x:c r="C67" s="34" t="n">
        <x:v>45945</x:v>
      </x:c>
      <x:c r="D67" s="44" t="n">
        <x:v>142.86</x:v>
      </x:c>
      <x:c r="E67" s="44" t="n">
        <x:v>139.6</x:v>
      </x:c>
      <x:c r="F67" s="44" t="n">
        <x:v>144.62</x:v>
      </x:c>
      <x:c r="G67" s="32" t="str">
        <x:v>Anthropic</x:v>
      </x:c>
      <x:c r="H67" s="32" t="str">
        <x:v>United States of America</x:v>
      </x:c>
      <x:c r="I67" s="32" t="str">
        <x:v>API access</x:v>
      </x:c>
      <x:c r="J67" s="32" t="str">
        <x:v>Closed weights</x:v>
      </x:c>
      <x:c r="K67" s="32" t="str"/>
    </x:row>
    <x:row r="68">
      <x:c r="A68" s="32" t="str">
        <x:v>Gemini 2.5 Pro (May 2025)</x:v>
      </x:c>
      <x:c r="B68" s="32" t="str">
        <x:v>Gemini 2.5 Pro (May 2025)</x:v>
      </x:c>
      <x:c r="C68" s="34" t="n">
        <x:v>45783</x:v>
      </x:c>
      <x:c r="D68" s="44" t="n">
        <x:v>142.83</x:v>
      </x:c>
      <x:c r="E68" s="44" t="n">
        <x:v>139.38</x:v>
      </x:c>
      <x:c r="F68" s="44" t="n">
        <x:v>145.35</x:v>
      </x:c>
      <x:c r="G68" s="32" t="str">
        <x:v>Google DeepMind</x:v>
      </x:c>
      <x:c r="H68" s="32" t="str">
        <x:v>United States of America</x:v>
      </x:c>
      <x:c r="I68" s="32" t="str">
        <x:v>API access</x:v>
      </x:c>
      <x:c r="J68" s="32" t="str">
        <x:v>Closed weights</x:v>
      </x:c>
      <x:c r="K68" s="32" t="str"/>
    </x:row>
    <x:row r="69">
      <x:c r="A69" s="32" t="str">
        <x:v>o1</x:v>
      </x:c>
      <x:c r="B69" s="32" t="str">
        <x:v>o1</x:v>
      </x:c>
      <x:c r="C69" s="34" t="n">
        <x:v>45631</x:v>
      </x:c>
      <x:c r="D69" s="44" t="n">
        <x:v>142.69</x:v>
      </x:c>
      <x:c r="E69" s="44" t="n">
        <x:v>140.88</x:v>
      </x:c>
      <x:c r="F69" s="44" t="n">
        <x:v>143.81</x:v>
      </x:c>
      <x:c r="G69" s="32" t="str">
        <x:v>OpenAI</x:v>
      </x:c>
      <x:c r="H69" s="32" t="str">
        <x:v>United States of America</x:v>
      </x:c>
      <x:c r="I69" s="32" t="str">
        <x:v>API access</x:v>
      </x:c>
      <x:c r="J69" s="32" t="str">
        <x:v>Closed weights</x:v>
      </x:c>
      <x:c r="K69" s="32" t="str"/>
    </x:row>
    <x:row r="70">
      <x:c r="A70" s="32" t="str">
        <x:v>Gemini 2.5 Flash (May 2025)</x:v>
      </x:c>
      <x:c r="B70" s="32" t="str">
        <x:v>Gemini 2.5 Flash (May 2025)</x:v>
      </x:c>
      <x:c r="C70" s="34" t="n">
        <x:v>45797</x:v>
      </x:c>
      <x:c r="D70" s="44" t="n">
        <x:v>142.24</x:v>
      </x:c>
      <x:c r="E70" s="44" t="n">
        <x:v>139.89</x:v>
      </x:c>
      <x:c r="F70" s="44" t="n">
        <x:v>143.54</x:v>
      </x:c>
      <x:c r="G70" s="32" t="str">
        <x:v>Google DeepMind</x:v>
      </x:c>
      <x:c r="H70" s="32" t="str">
        <x:v>United States of America</x:v>
      </x:c>
      <x:c r="I70" s="32" t="str">
        <x:v>API access</x:v>
      </x:c>
      <x:c r="J70" s="32" t="str">
        <x:v>Closed weights</x:v>
      </x:c>
      <x:c r="K70" s="32" t="str"/>
    </x:row>
    <x:row r="71">
      <x:c r="A71" s="32" t="str">
        <x:v>Claude Sonnet 4</x:v>
      </x:c>
      <x:c r="B71" s="32" t="str">
        <x:v>Claude Sonnet 4</x:v>
      </x:c>
      <x:c r="C71" s="34" t="n">
        <x:v>45799</x:v>
      </x:c>
      <x:c r="D71" s="44" t="n">
        <x:v>142.15</x:v>
      </x:c>
      <x:c r="E71" s="44" t="n">
        <x:v>139.04</x:v>
      </x:c>
      <x:c r="F71" s="44" t="n">
        <x:v>143.61</x:v>
      </x:c>
      <x:c r="G71" s="32" t="str">
        <x:v>Anthropic</x:v>
      </x:c>
      <x:c r="H71" s="32" t="str">
        <x:v>United States of America</x:v>
      </x:c>
      <x:c r="I71" s="32" t="str">
        <x:v>API access</x:v>
      </x:c>
      <x:c r="J71" s="32" t="str">
        <x:v>Closed weights</x:v>
      </x:c>
      <x:c r="K71" s="32" t="str"/>
    </x:row>
    <x:row r="72">
      <x:c r="A72" s="32" t="str">
        <x:v>DeepSeek-R1 (May 2025)</x:v>
      </x:c>
      <x:c r="B72" s="32" t="str">
        <x:v>DeepSeek-R1 (May 2025)</x:v>
      </x:c>
      <x:c r="C72" s="34" t="n">
        <x:v>45805</x:v>
      </x:c>
      <x:c r="D72" s="44" t="n">
        <x:v>142</x:v>
      </x:c>
      <x:c r="E72" s="44" t="n">
        <x:v>139.66</x:v>
      </x:c>
      <x:c r="F72" s="44" t="n">
        <x:v>143.43</x:v>
      </x:c>
      <x:c r="G72" s="32" t="str">
        <x:v>DeepSeek</x:v>
      </x:c>
      <x:c r="H72" s="32" t="str">
        <x:v>China</x:v>
      </x:c>
      <x:c r="I72" s="32" t="str">
        <x:v>Open weights (unrestricted)</x:v>
      </x:c>
      <x:c r="J72" s="32" t="str">
        <x:v>Open weights</x:v>
      </x:c>
      <x:c r="K72" s="32" t="str"/>
    </x:row>
    <x:row r="73">
      <x:c r="A73" s="32" t="str">
        <x:v>Claude 3.7 Sonnet</x:v>
      </x:c>
      <x:c r="B73" s="32" t="str">
        <x:v>Claude 3.7 Sonnet</x:v>
      </x:c>
      <x:c r="C73" s="34" t="n">
        <x:v>45712</x:v>
      </x:c>
      <x:c r="D73" s="44" t="n">
        <x:v>141.7</x:v>
      </x:c>
      <x:c r="E73" s="44" t="n">
        <x:v>139.28</x:v>
      </x:c>
      <x:c r="F73" s="44" t="n">
        <x:v>143.27</x:v>
      </x:c>
      <x:c r="G73" s="32" t="str">
        <x:v>Anthropic</x:v>
      </x:c>
      <x:c r="H73" s="32" t="str">
        <x:v>United States of America</x:v>
      </x:c>
      <x:c r="I73" s="32" t="str">
        <x:v>API access</x:v>
      </x:c>
      <x:c r="J73" s="32" t="str">
        <x:v>Closed weights</x:v>
      </x:c>
      <x:c r="K73" s="32" t="str"/>
    </x:row>
    <x:row r="74">
      <x:c r="A74" s="32" t="str">
        <x:v>o3-mini</x:v>
      </x:c>
      <x:c r="B74" s="32" t="str">
        <x:v>o3-mini</x:v>
      </x:c>
      <x:c r="C74" s="34" t="n">
        <x:v>45688</x:v>
      </x:c>
      <x:c r="D74" s="44" t="n">
        <x:v>141.41</x:v>
      </x:c>
      <x:c r="E74" s="44" t="n">
        <x:v>137.82</x:v>
      </x:c>
      <x:c r="F74" s="44" t="n">
        <x:v>142.81</x:v>
      </x:c>
      <x:c r="G74" s="32" t="str">
        <x:v>OpenAI</x:v>
      </x:c>
      <x:c r="H74" s="32" t="str">
        <x:v>United States of America</x:v>
      </x:c>
      <x:c r="I74" s="32" t="str">
        <x:v>API access</x:v>
      </x:c>
      <x:c r="J74" s="32" t="str">
        <x:v>Closed weights</x:v>
      </x:c>
      <x:c r="K74" s="32" t="str"/>
    </x:row>
    <x:row r="75">
      <x:c r="A75" s="32" t="str">
        <x:v>Grok-3 mini</x:v>
      </x:c>
      <x:c r="B75" s="32" t="str">
        <x:v>Grok-3 mini</x:v>
      </x:c>
      <x:c r="C75" s="34" t="n">
        <x:v>45707</x:v>
      </x:c>
      <x:c r="D75" s="44" t="n">
        <x:v>141.01</x:v>
      </x:c>
      <x:c r="E75" s="44" t="n">
        <x:v>137.89</x:v>
      </x:c>
      <x:c r="F75" s="44" t="n">
        <x:v>142.63</x:v>
      </x:c>
      <x:c r="G75" s="32" t="str">
        <x:v>xAI</x:v>
      </x:c>
      <x:c r="H75" s="32" t="str">
        <x:v>United States of America</x:v>
      </x:c>
      <x:c r="I75" s="32" t="str">
        <x:v>API access</x:v>
      </x:c>
      <x:c r="J75" s="32" t="str">
        <x:v>Closed weights</x:v>
      </x:c>
      <x:c r="K75" s="32" t="str"/>
    </x:row>
    <x:row r="76">
      <x:c r="A76" s="32" t="str">
        <x:v>Kimi K2 (Sep 2025)</x:v>
      </x:c>
      <x:c r="B76" s="32" t="str">
        <x:v>Kimi K2 (Sep 2025)</x:v>
      </x:c>
      <x:c r="C76" s="34" t="n">
        <x:v>45849</x:v>
      </x:c>
      <x:c r="D76" s="44" t="n">
        <x:v>140.98</x:v>
      </x:c>
      <x:c r="E76" s="44" t="n">
        <x:v>138.39</x:v>
      </x:c>
      <x:c r="F76" s="44" t="n">
        <x:v>142.27</x:v>
      </x:c>
      <x:c r="G76" s="32" t="str">
        <x:v>Moonshot</x:v>
      </x:c>
      <x:c r="H76" s="32" t="str">
        <x:v>China</x:v>
      </x:c>
      <x:c r="I76" s="32" t="str">
        <x:v>Open weights (restricted use)</x:v>
      </x:c>
      <x:c r="J76" s="32" t="str">
        <x:v>Open weights</x:v>
      </x:c>
      <x:c r="K76" s="32" t="str"/>
    </x:row>
    <x:row r="77">
      <x:c r="A77" s="32" t="str">
        <x:v>GLM-4.6</x:v>
      </x:c>
      <x:c r="B77" s="32" t="str">
        <x:v>GLM-4.6</x:v>
      </x:c>
      <x:c r="C77" s="34" t="n">
        <x:v>45930</x:v>
      </x:c>
      <x:c r="D77" s="44" t="n">
        <x:v>140.95</x:v>
      </x:c>
      <x:c r="E77" s="44" t="n">
        <x:v>136.28</x:v>
      </x:c>
      <x:c r="F77" s="44" t="n">
        <x:v>142.51</x:v>
      </x:c>
      <x:c r="G77" s="32" t="str">
        <x:v>Z.ai (Zhipu AI),Tsinghua University</x:v>
      </x:c>
      <x:c r="H77" s="32" t="str">
        <x:v>China</x:v>
      </x:c>
      <x:c r="I77" s="32" t="str">
        <x:v>Open weights (unrestricted)</x:v>
      </x:c>
      <x:c r="J77" s="32" t="str">
        <x:v>Open weights</x:v>
      </x:c>
      <x:c r="K77" s="32" t="str"/>
    </x:row>
    <x:row r="78">
      <x:c r="A78" s="32" t="str">
        <x:v>GPT-5 nano</x:v>
      </x:c>
      <x:c r="B78" s="32" t="str">
        <x:v>GPT-5 nano</x:v>
      </x:c>
      <x:c r="C78" s="34" t="n">
        <x:v>45876</x:v>
      </x:c>
      <x:c r="D78" s="44" t="n">
        <x:v>140.85</x:v>
      </x:c>
      <x:c r="E78" s="44" t="n">
        <x:v>136.43</x:v>
      </x:c>
      <x:c r="F78" s="44" t="n">
        <x:v>142.54</x:v>
      </x:c>
      <x:c r="G78" s="32" t="str">
        <x:v>OpenAI</x:v>
      </x:c>
      <x:c r="H78" s="32" t="str">
        <x:v>United States of America</x:v>
      </x:c>
      <x:c r="I78" s="32" t="str">
        <x:v>API access</x:v>
      </x:c>
      <x:c r="J78" s="32" t="str">
        <x:v>Closed weights</x:v>
      </x:c>
      <x:c r="K78" s="32" t="str"/>
    </x:row>
    <x:row r="79">
      <x:c r="A79" s="32" t="str">
        <x:v>Gemini 2.5 Flash (Apr 2025)</x:v>
      </x:c>
      <x:c r="B79" s="32" t="str">
        <x:v>Gemini 2.5 Flash (Apr 2025)</x:v>
      </x:c>
      <x:c r="C79" s="34" t="n">
        <x:v>45764</x:v>
      </x:c>
      <x:c r="D79" s="44" t="n">
        <x:v>140.61</x:v>
      </x:c>
      <x:c r="E79" s="44" t="n">
        <x:v>135.95</x:v>
      </x:c>
      <x:c r="F79" s="44" t="n">
        <x:v>142.64</x:v>
      </x:c>
      <x:c r="G79" s="32" t="str">
        <x:v>Google DeepMind</x:v>
      </x:c>
      <x:c r="H79" s="32" t="str">
        <x:v>United States of America</x:v>
      </x:c>
      <x:c r="I79" s="32" t="str">
        <x:v>API access</x:v>
      </x:c>
      <x:c r="J79" s="32" t="str">
        <x:v>Closed weights</x:v>
      </x:c>
      <x:c r="K79" s="32" t="str"/>
    </x:row>
    <x:row r="80">
      <x:c r="A80" s="32" t="str">
        <x:v>gpt-oss-120b</x:v>
      </x:c>
      <x:c r="B80" s="32" t="str">
        <x:v>gpt-oss-120b</x:v>
      </x:c>
      <x:c r="C80" s="34" t="n">
        <x:v>45874</x:v>
      </x:c>
      <x:c r="D80" s="44" t="n">
        <x:v>140.57</x:v>
      </x:c>
      <x:c r="E80" s="44" t="n">
        <x:v>136.18</x:v>
      </x:c>
      <x:c r="F80" s="44" t="n">
        <x:v>143.08</x:v>
      </x:c>
      <x:c r="G80" s="32" t="str">
        <x:v>OpenAI</x:v>
      </x:c>
      <x:c r="H80" s="32" t="str">
        <x:v>United States of America</x:v>
      </x:c>
      <x:c r="I80" s="32" t="str">
        <x:v>Open weights (unrestricted)</x:v>
      </x:c>
      <x:c r="J80" s="32" t="str">
        <x:v>Open weights</x:v>
      </x:c>
      <x:c r="K80" s="32" t="str"/>
    </x:row>
    <x:row r="81">
      <x:c r="A81" s="32" t="str">
        <x:v>Kimi K2 (Jul 2025)</x:v>
      </x:c>
      <x:c r="B81" s="32" t="str">
        <x:v>Kimi K2 (Jul 2025)</x:v>
      </x:c>
      <x:c r="C81" s="34" t="n">
        <x:v>45849</x:v>
      </x:c>
      <x:c r="D81" s="44" t="n">
        <x:v>140.45</x:v>
      </x:c>
      <x:c r="E81" s="44" t="n">
        <x:v>137</x:v>
      </x:c>
      <x:c r="F81" s="44" t="n">
        <x:v>142.06</x:v>
      </x:c>
      <x:c r="G81" s="32" t="str">
        <x:v>Moonshot</x:v>
      </x:c>
      <x:c r="H81" s="32" t="str">
        <x:v>China</x:v>
      </x:c>
      <x:c r="I81" s="32" t="str">
        <x:v>Open weights (restricted use)</x:v>
      </x:c>
      <x:c r="J81" s="32" t="str">
        <x:v>Open weights</x:v>
      </x:c>
      <x:c r="K81" s="32" t="str"/>
    </x:row>
    <x:row r="82">
      <x:c r="A82" s="32" t="str">
        <x:v>Gemini 2.5 Flash (Jun 2025)</x:v>
      </x:c>
      <x:c r="B82" s="32" t="str">
        <x:v>Gemini 2.5 Flash (Jun 2025)</x:v>
      </x:c>
      <x:c r="C82" s="34" t="n">
        <x:v>45825</x:v>
      </x:c>
      <x:c r="D82" s="44" t="n">
        <x:v>140.26</x:v>
      </x:c>
      <x:c r="E82" s="44" t="n">
        <x:v>136.94</x:v>
      </x:c>
      <x:c r="F82" s="44" t="n">
        <x:v>142</x:v>
      </x:c>
      <x:c r="G82" s="32" t="str">
        <x:v>Google DeepMind</x:v>
      </x:c>
      <x:c r="H82" s="32" t="str">
        <x:v>United States of America</x:v>
      </x:c>
      <x:c r="I82" s="32" t="str">
        <x:v>API access</x:v>
      </x:c>
      <x:c r="J82" s="32" t="str">
        <x:v>Closed weights</x:v>
      </x:c>
      <x:c r="K82" s="32" t="str"/>
    </x:row>
    <x:row r="83">
      <x:c r="A83" s="32" t="str">
        <x:v>DeepSeek-R1</x:v>
      </x:c>
      <x:c r="B83" s="32" t="str">
        <x:v>DeepSeek-R1</x:v>
      </x:c>
      <x:c r="C83" s="34" t="n">
        <x:v>45677</x:v>
      </x:c>
      <x:c r="D83" s="44" t="n">
        <x:v>139.67</x:v>
      </x:c>
      <x:c r="E83" s="44" t="n">
        <x:v>136.9</x:v>
      </x:c>
      <x:c r="F83" s="44" t="n">
        <x:v>140.9</x:v>
      </x:c>
      <x:c r="G83" s="32" t="str">
        <x:v>DeepSeek</x:v>
      </x:c>
      <x:c r="H83" s="32" t="str">
        <x:v>China</x:v>
      </x:c>
      <x:c r="I83" s="32" t="str">
        <x:v>Open weights (unrestricted)</x:v>
      </x:c>
      <x:c r="J83" s="32" t="str">
        <x:v>Open weights</x:v>
      </x:c>
      <x:c r="K83" s="32" t="str"/>
    </x:row>
    <x:row r="84">
      <x:c r="A84" s="32" t="str">
        <x:v>Qwen3-235B-A22B</x:v>
      </x:c>
      <x:c r="B84" s="32" t="str">
        <x:v>Qwen3-235B-A22B</x:v>
      </x:c>
      <x:c r="C84" s="34" t="n">
        <x:v>45775</x:v>
      </x:c>
      <x:c r="D84" s="44" t="n">
        <x:v>139.58</x:v>
      </x:c>
      <x:c r="E84" s="44" t="n">
        <x:v>134.79</x:v>
      </x:c>
      <x:c r="F84" s="44" t="n">
        <x:v>141.08</x:v>
      </x:c>
      <x:c r="G84" s="32" t="str">
        <x:v>Alibaba</x:v>
      </x:c>
      <x:c r="H84" s="32" t="str">
        <x:v>China</x:v>
      </x:c>
      <x:c r="I84" s="32" t="str">
        <x:v>Open weights (unrestricted)</x:v>
      </x:c>
      <x:c r="J84" s="32" t="str">
        <x:v>Open weights</x:v>
      </x:c>
      <x:c r="K84" s="32" t="str"/>
    </x:row>
    <x:row r="85">
      <x:c r="A85" s="32" t="str">
        <x:v>Grok 3</x:v>
      </x:c>
      <x:c r="B85" s="32" t="str">
        <x:v>Grok 3</x:v>
      </x:c>
      <x:c r="C85" s="34" t="n">
        <x:v>45705</x:v>
      </x:c>
      <x:c r="D85" s="44" t="n">
        <x:v>139.02</x:v>
      </x:c>
      <x:c r="E85" s="44" t="n">
        <x:v>136.17</x:v>
      </x:c>
      <x:c r="F85" s="44" t="n">
        <x:v>140.24</x:v>
      </x:c>
      <x:c r="G85" s="32" t="str">
        <x:v>xAI</x:v>
      </x:c>
      <x:c r="H85" s="32" t="str">
        <x:v>United States of America</x:v>
      </x:c>
      <x:c r="I85" s="32" t="str">
        <x:v>API access</x:v>
      </x:c>
      <x:c r="J85" s="32" t="str">
        <x:v>Closed weights</x:v>
      </x:c>
      <x:c r="K85" s="32" t="str"/>
    </x:row>
    <x:row r="86">
      <x:c r="A86" s="32" t="str">
        <x:v>Qwen3-235B-A22B-Instruct (Jul 2025)</x:v>
      </x:c>
      <x:c r="B86" s="32" t="str">
        <x:v>Qwen3-235B-A22B-Instruct (Jul 2025)</x:v>
      </x:c>
      <x:c r="C86" s="34" t="n">
        <x:v>45863</x:v>
      </x:c>
      <x:c r="D86" s="44" t="n">
        <x:v>138.96</x:v>
      </x:c>
      <x:c r="E86" s="44" t="n">
        <x:v>135.35</x:v>
      </x:c>
      <x:c r="F86" s="44" t="n">
        <x:v>140.84</x:v>
      </x:c>
      <x:c r="G86" s="32" t="str">
        <x:v>Alibaba</x:v>
      </x:c>
      <x:c r="H86" s="32" t="str">
        <x:v>China</x:v>
      </x:c>
      <x:c r="I86" s="32" t="str">
        <x:v>Open weights (unrestricted)</x:v>
      </x:c>
      <x:c r="J86" s="32" t="str">
        <x:v>Open weights</x:v>
      </x:c>
      <x:c r="K86" s="32" t="str"/>
    </x:row>
    <x:row r="87">
      <x:c r="A87" s="32" t="str">
        <x:v>DeepSeek-V3.1</x:v>
      </x:c>
      <x:c r="B87" s="32" t="str">
        <x:v>DeepSeek-V3.1</x:v>
      </x:c>
      <x:c r="C87" s="34" t="n">
        <x:v>45890</x:v>
      </x:c>
      <x:c r="D87" s="44" t="n">
        <x:v>138.68</x:v>
      </x:c>
      <x:c r="E87" s="44" t="n">
        <x:v>135.73</x:v>
      </x:c>
      <x:c r="F87" s="44" t="n">
        <x:v>142.57</x:v>
      </x:c>
      <x:c r="G87" s="32" t="str">
        <x:v>DeepSeek</x:v>
      </x:c>
      <x:c r="H87" s="32" t="str">
        <x:v>China</x:v>
      </x:c>
      <x:c r="I87" s="32" t="str">
        <x:v>Open weights (unrestricted)</x:v>
      </x:c>
      <x:c r="J87" s="32" t="str">
        <x:v>Open weights</x:v>
      </x:c>
      <x:c r="K87" s="32" t="str"/>
    </x:row>
    <x:row r="88">
      <x:c r="A88" s="32" t="str">
        <x:v>GPT-4.5</x:v>
      </x:c>
      <x:c r="B88" s="32" t="str">
        <x:v>GPT-4.5</x:v>
      </x:c>
      <x:c r="C88" s="34" t="n">
        <x:v>45715</x:v>
      </x:c>
      <x:c r="D88" s="44" t="n">
        <x:v>137.54</x:v>
      </x:c>
      <x:c r="E88" s="44" t="n">
        <x:v>134.46</x:v>
      </x:c>
      <x:c r="F88" s="44" t="n">
        <x:v>139.14</x:v>
      </x:c>
      <x:c r="G88" s="32" t="str">
        <x:v>OpenAI</x:v>
      </x:c>
      <x:c r="H88" s="32" t="str">
        <x:v>United States of America</x:v>
      </x:c>
      <x:c r="I88" s="32" t="str">
        <x:v>API access</x:v>
      </x:c>
      <x:c r="J88" s="32" t="str">
        <x:v>Closed weights</x:v>
      </x:c>
      <x:c r="K88" s="32" t="str"/>
    </x:row>
    <x:row r="89">
      <x:c r="A89" s="32" t="str">
        <x:v>GPT-4.1</x:v>
      </x:c>
      <x:c r="B89" s="32" t="str">
        <x:v>GPT-4.1</x:v>
      </x:c>
      <x:c r="C89" s="34" t="n">
        <x:v>45761</x:v>
      </x:c>
      <x:c r="D89" s="44" t="n">
        <x:v>137.46</x:v>
      </x:c>
      <x:c r="E89" s="44" t="n">
        <x:v>134.54</x:v>
      </x:c>
      <x:c r="F89" s="44" t="n">
        <x:v>139.14</x:v>
      </x:c>
      <x:c r="G89" s="32" t="str">
        <x:v>OpenAI</x:v>
      </x:c>
      <x:c r="H89" s="32" t="str">
        <x:v>United States of America</x:v>
      </x:c>
      <x:c r="I89" s="32" t="str">
        <x:v>API access</x:v>
      </x:c>
      <x:c r="J89" s="32" t="str">
        <x:v>Closed weights</x:v>
      </x:c>
      <x:c r="K89" s="32" t="str"/>
    </x:row>
    <x:row r="90">
      <x:c r="A90" s="32" t="str">
        <x:v>DeepSeek-V3 (Mar 2025)</x:v>
      </x:c>
      <x:c r="B90" s="32" t="str">
        <x:v>DeepSeek-V3 (Mar 2025)</x:v>
      </x:c>
      <x:c r="C90" s="34" t="n">
        <x:v>45740</x:v>
      </x:c>
      <x:c r="D90" s="44" t="n">
        <x:v>137.04</x:v>
      </x:c>
      <x:c r="E90" s="44" t="n">
        <x:v>133.64</x:v>
      </x:c>
      <x:c r="F90" s="44" t="n">
        <x:v>138.66</x:v>
      </x:c>
      <x:c r="G90" s="32" t="str">
        <x:v>DeepSeek</x:v>
      </x:c>
      <x:c r="H90" s="32" t="str">
        <x:v>China</x:v>
      </x:c>
      <x:c r="I90" s="32" t="str">
        <x:v>Open weights (restricted use)</x:v>
      </x:c>
      <x:c r="J90" s="32" t="str">
        <x:v>Open weights</x:v>
      </x:c>
      <x:c r="K90" s="32" t="str"/>
    </x:row>
    <x:row r="91">
      <x:c r="A91" s="32" t="str">
        <x:v>o1-mini</x:v>
      </x:c>
      <x:c r="B91" s="32" t="str">
        <x:v>o1-mini</x:v>
      </x:c>
      <x:c r="C91" s="34" t="n">
        <x:v>45547</x:v>
      </x:c>
      <x:c r="D91" s="44" t="n">
        <x:v>136.56</x:v>
      </x:c>
      <x:c r="E91" s="44" t="n">
        <x:v>132.78</x:v>
      </x:c>
      <x:c r="F91" s="44" t="n">
        <x:v>138</x:v>
      </x:c>
      <x:c r="G91" s="32" t="str">
        <x:v>OpenAI</x:v>
      </x:c>
      <x:c r="H91" s="32" t="str">
        <x:v>United States of America</x:v>
      </x:c>
      <x:c r="I91" s="32" t="str">
        <x:v>API access</x:v>
      </x:c>
      <x:c r="J91" s="32" t="str">
        <x:v>Closed weights</x:v>
      </x:c>
      <x:c r="K91" s="32" t="str"/>
    </x:row>
    <x:row r="92">
      <x:c r="A92" s="32" t="str">
        <x:v>Gemini 2.0 Flash Thinking (Jan 2025)</x:v>
      </x:c>
      <x:c r="B92" s="32" t="str">
        <x:v>Gemini 2.0 Flash Thinking (Jan 2025)</x:v>
      </x:c>
      <x:c r="C92" s="34" t="n">
        <x:v>45678</x:v>
      </x:c>
      <x:c r="D92" s="44" t="n">
        <x:v>136.23</x:v>
      </x:c>
      <x:c r="E92" s="44" t="n">
        <x:v>130.57</x:v>
      </x:c>
      <x:c r="F92" s="44" t="n">
        <x:v>139</x:v>
      </x:c>
      <x:c r="G92" s="32" t="str">
        <x:v>Google DeepMind,Google</x:v>
      </x:c>
      <x:c r="H92" s="32" t="str">
        <x:v>United States of America</x:v>
      </x:c>
      <x:c r="I92" s="32" t="str">
        <x:v>API access</x:v>
      </x:c>
      <x:c r="J92" s="32" t="str">
        <x:v>Closed weights</x:v>
      </x:c>
      <x:c r="K92" s="32" t="str"/>
    </x:row>
    <x:row r="93">
      <x:c r="A93" s="32" t="str">
        <x:v>o1-preview</x:v>
      </x:c>
      <x:c r="B93" s="32" t="str">
        <x:v>o1-preview</x:v>
      </x:c>
      <x:c r="C93" s="34" t="n">
        <x:v>45547</x:v>
      </x:c>
      <x:c r="D93" s="44" t="n">
        <x:v>135.81</x:v>
      </x:c>
      <x:c r="E93" s="44" t="n">
        <x:v>132.17</x:v>
      </x:c>
      <x:c r="F93" s="44" t="n">
        <x:v>139.39</x:v>
      </x:c>
      <x:c r="G93" s="32" t="str">
        <x:v>OpenAI</x:v>
      </x:c>
      <x:c r="H93" s="32" t="str">
        <x:v>United States of America</x:v>
      </x:c>
      <x:c r="I93" s="32" t="str">
        <x:v>API access</x:v>
      </x:c>
      <x:c r="J93" s="32" t="str">
        <x:v>Closed weights</x:v>
      </x:c>
      <x:c r="K93" s="32" t="str"/>
    </x:row>
    <x:row r="94">
      <x:c r="A94" s="32" t="str">
        <x:v>GPT-4.1 mini</x:v>
      </x:c>
      <x:c r="B94" s="32" t="str">
        <x:v>GPT-4.1 mini</x:v>
      </x:c>
      <x:c r="C94" s="34" t="n">
        <x:v>45761</x:v>
      </x:c>
      <x:c r="D94" s="44" t="n">
        <x:v>135.79</x:v>
      </x:c>
      <x:c r="E94" s="44" t="n">
        <x:v>131.28</x:v>
      </x:c>
      <x:c r="F94" s="44" t="n">
        <x:v>137.58</x:v>
      </x:c>
      <x:c r="G94" s="32" t="str">
        <x:v>OpenAI</x:v>
      </x:c>
      <x:c r="H94" s="32" t="str">
        <x:v>United States of America</x:v>
      </x:c>
      <x:c r="I94" s="32" t="str">
        <x:v>API access</x:v>
      </x:c>
      <x:c r="J94" s="32" t="str">
        <x:v>Closed weights</x:v>
      </x:c>
      <x:c r="K94" s="32" t="str"/>
    </x:row>
    <x:row r="95">
      <x:c r="A95" s="32" t="str">
        <x:v>Gemini 2.0 Flash (Feb 2025)</x:v>
      </x:c>
      <x:c r="B95" s="32" t="str">
        <x:v>Gemini 2.0 Flash (Feb 2025)</x:v>
      </x:c>
      <x:c r="C95" s="34" t="n">
        <x:v>45637</x:v>
      </x:c>
      <x:c r="D95" s="44" t="n">
        <x:v>135.79</x:v>
      </x:c>
      <x:c r="E95" s="44" t="n">
        <x:v>132.35</x:v>
      </x:c>
      <x:c r="F95" s="44" t="n">
        <x:v>137.51</x:v>
      </x:c>
      <x:c r="G95" s="32" t="str">
        <x:v>Google DeepMind,Google</x:v>
      </x:c>
      <x:c r="H95" s="32" t="str">
        <x:v>United States of America</x:v>
      </x:c>
      <x:c r="I95" s="32" t="str">
        <x:v>API access</x:v>
      </x:c>
      <x:c r="J95" s="32" t="str">
        <x:v>Closed weights</x:v>
      </x:c>
      <x:c r="K95" s="32" t="str"/>
    </x:row>
    <x:row r="96">
      <x:c r="A96" s="32" t="str">
        <x:v>Gemini 2.0 Pro</x:v>
      </x:c>
      <x:c r="B96" s="32" t="str">
        <x:v>Gemini 2.0 Pro</x:v>
      </x:c>
      <x:c r="C96" s="34" t="n">
        <x:v>45637</x:v>
      </x:c>
      <x:c r="D96" s="44" t="n">
        <x:v>135.62</x:v>
      </x:c>
      <x:c r="E96" s="44" t="n">
        <x:v>131.84</x:v>
      </x:c>
      <x:c r="F96" s="44" t="n">
        <x:v>137.18</x:v>
      </x:c>
      <x:c r="G96" s="32" t="str">
        <x:v>Google DeepMind</x:v>
      </x:c>
      <x:c r="H96" s="32" t="str">
        <x:v>United States of America</x:v>
      </x:c>
      <x:c r="I96" s="32" t="str">
        <x:v>Hosted access (no API)</x:v>
      </x:c>
      <x:c r="J96" s="32" t="str">
        <x:v>Closed weights</x:v>
      </x:c>
      <x:c r="K96" s="32" t="str"/>
    </x:row>
    <x:row r="97">
      <x:c r="A97" s="32" t="str">
        <x:v>Mistral Medium 3</x:v>
      </x:c>
      <x:c r="B97" s="32" t="str">
        <x:v>Mistral Medium 3</x:v>
      </x:c>
      <x:c r="C97" s="34" t="n">
        <x:v>45784</x:v>
      </x:c>
      <x:c r="D97" s="44" t="n">
        <x:v>135.28</x:v>
      </x:c>
      <x:c r="E97" s="44" t="n">
        <x:v>131.52</x:v>
      </x:c>
      <x:c r="F97" s="44" t="n">
        <x:v>136.44</x:v>
      </x:c>
      <x:c r="G97" s="32" t="str">
        <x:v>Mistral AI</x:v>
      </x:c>
      <x:c r="H97" s="32" t="str">
        <x:v>France</x:v>
      </x:c>
      <x:c r="I97" s="32" t="str">
        <x:v>API access</x:v>
      </x:c>
      <x:c r="J97" s="32" t="str">
        <x:v>Closed weights</x:v>
      </x:c>
      <x:c r="K97" s="32" t="str"/>
    </x:row>
    <x:row r="98">
      <x:c r="A98" s="32" t="str">
        <x:v>Gemini 2.0 Flash (Dec 2024)</x:v>
      </x:c>
      <x:c r="B98" s="32" t="str">
        <x:v>Gemini 2.0 Flash (Dec 2024)</x:v>
      </x:c>
      <x:c r="C98" s="34" t="n">
        <x:v>45637</x:v>
      </x:c>
      <x:c r="D98" s="44" t="n">
        <x:v>135.06</x:v>
      </x:c>
      <x:c r="E98" s="44" t="n">
        <x:v>123.87</x:v>
      </x:c>
      <x:c r="F98" s="44" t="n">
        <x:v>136.77</x:v>
      </x:c>
      <x:c r="G98" s="32" t="str">
        <x:v>Google DeepMind,Google</x:v>
      </x:c>
      <x:c r="H98" s="32" t="str">
        <x:v>United States of America</x:v>
      </x:c>
      <x:c r="I98" s="32" t="str">
        <x:v>API access</x:v>
      </x:c>
      <x:c r="J98" s="32" t="str">
        <x:v>Closed weights</x:v>
      </x:c>
      <x:c r="K98" s="32" t="str"/>
    </x:row>
    <x:row r="99">
      <x:c r="A99" s="32" t="str">
        <x:v>Claude 3.5 Sonnet (October 2024)</x:v>
      </x:c>
      <x:c r="B99" s="32" t="str">
        <x:v>Claude 3.5 Sonnet (October 2024)</x:v>
      </x:c>
      <x:c r="C99" s="34" t="n">
        <x:v>45587</x:v>
      </x:c>
      <x:c r="D99" s="44" t="n">
        <x:v>134.28</x:v>
      </x:c>
      <x:c r="E99" s="44" t="n">
        <x:v>129.48</x:v>
      </x:c>
      <x:c r="F99" s="44" t="n">
        <x:v>138.92</x:v>
      </x:c>
      <x:c r="G99" s="32" t="str">
        <x:v>Anthropic</x:v>
      </x:c>
      <x:c r="H99" s="32" t="str">
        <x:v>United States of America</x:v>
      </x:c>
      <x:c r="I99" s="32" t="str">
        <x:v>API access</x:v>
      </x:c>
      <x:c r="J99" s="32" t="str">
        <x:v>Closed weights</x:v>
      </x:c>
      <x:c r="K99" s="32" t="str"/>
    </x:row>
    <x:row r="100">
      <x:c r="A100" s="32" t="str">
        <x:v>Qwen2.5-Max</x:v>
      </x:c>
      <x:c r="B100" s="32" t="str">
        <x:v>Qwen2.5-Max</x:v>
      </x:c>
      <x:c r="C100" s="34" t="n">
        <x:v>45682</x:v>
      </x:c>
      <x:c r="D100" s="44" t="n">
        <x:v>133.41</x:v>
      </x:c>
      <x:c r="E100" s="44" t="n">
        <x:v>129.19</x:v>
      </x:c>
      <x:c r="F100" s="44" t="n">
        <x:v>136.34</x:v>
      </x:c>
      <x:c r="G100" s="32" t="str">
        <x:v>Alibaba</x:v>
      </x:c>
      <x:c r="H100" s="32" t="str">
        <x:v>China</x:v>
      </x:c>
      <x:c r="I100" s="32" t="str">
        <x:v>API access</x:v>
      </x:c>
      <x:c r="J100" s="32" t="str">
        <x:v>Closed weights</x:v>
      </x:c>
      <x:c r="K100" s="32" t="str"/>
    </x:row>
    <x:row r="101">
      <x:c r="A101" s="32" t="str">
        <x:v>Magistral Small 1.1</x:v>
      </x:c>
      <x:c r="B101" s="32" t="str">
        <x:v>Magistral Small 1.1</x:v>
      </x:c>
      <x:c r="C101" s="34" t="n">
        <x:v>45818</x:v>
      </x:c>
      <x:c r="D101" s="44" t="n">
        <x:v>133.07</x:v>
      </x:c>
      <x:c r="E101" s="44" t="n">
        <x:v>127.02</x:v>
      </x:c>
      <x:c r="F101" s="44" t="n">
        <x:v>135.4</x:v>
      </x:c>
      <x:c r="G101" s="32" t="str">
        <x:v>Mistral AI</x:v>
      </x:c>
      <x:c r="H101" s="32" t="str">
        <x:v>France</x:v>
      </x:c>
      <x:c r="I101" s="32" t="str">
        <x:v>Open weights (unrestricted)</x:v>
      </x:c>
      <x:c r="J101" s="32" t="str">
        <x:v>Open weights</x:v>
      </x:c>
      <x:c r="K101" s="32" t="str"/>
    </x:row>
    <x:row r="102">
      <x:c r="A102" s="32" t="str">
        <x:v>Llama 4 Maverick</x:v>
      </x:c>
      <x:c r="B102" s="32" t="str">
        <x:v>Llama 4 Maverick</x:v>
      </x:c>
      <x:c r="C102" s="34" t="n">
        <x:v>45752</x:v>
      </x:c>
      <x:c r="D102" s="44" t="n">
        <x:v>133.04</x:v>
      </x:c>
      <x:c r="E102" s="44" t="n">
        <x:v>128.11</x:v>
      </x:c>
      <x:c r="F102" s="44" t="n">
        <x:v>135.12</x:v>
      </x:c>
      <x:c r="G102" s="32" t="str">
        <x:v>Meta AI</x:v>
      </x:c>
      <x:c r="H102" s="32" t="str">
        <x:v>United States of America</x:v>
      </x:c>
      <x:c r="I102" s="32" t="str">
        <x:v>Open weights (restricted use)</x:v>
      </x:c>
      <x:c r="J102" s="32" t="str">
        <x:v>Open weights</x:v>
      </x:c>
      <x:c r="K102" s="32" t="str"/>
    </x:row>
    <x:row r="103">
      <x:c r="A103" s="32" t="str">
        <x:v>DeepSeek-V3</x:v>
      </x:c>
      <x:c r="B103" s="32" t="str">
        <x:v>DeepSeek-V3</x:v>
      </x:c>
      <x:c r="C103" s="34" t="n">
        <x:v>45650</x:v>
      </x:c>
      <x:c r="D103" s="44" t="n">
        <x:v>132.99</x:v>
      </x:c>
      <x:c r="E103" s="44" t="n">
        <x:v>127.9</x:v>
      </x:c>
      <x:c r="F103" s="44" t="n">
        <x:v>135.76</x:v>
      </x:c>
      <x:c r="G103" s="32" t="str">
        <x:v>DeepSeek</x:v>
      </x:c>
      <x:c r="H103" s="32" t="str">
        <x:v>China</x:v>
      </x:c>
      <x:c r="I103" s="32" t="str">
        <x:v>Open weights (restricted use)</x:v>
      </x:c>
      <x:c r="J103" s="32" t="str">
        <x:v>Open weights</x:v>
      </x:c>
      <x:c r="K103" s="32" t="str"/>
    </x:row>
    <x:row r="104">
      <x:c r="A104" s="32" t="str">
        <x:v>Gemini 1.5 Pro (Sept 2024)</x:v>
      </x:c>
      <x:c r="B104" s="32" t="str">
        <x:v>Gemini 1.5 Pro (Sept 2024)</x:v>
      </x:c>
      <x:c r="C104" s="34" t="n">
        <x:v>45559</x:v>
      </x:c>
      <x:c r="D104" s="44" t="n">
        <x:v>132.7</x:v>
      </x:c>
      <x:c r="E104" s="44" t="n">
        <x:v>127.97</x:v>
      </x:c>
      <x:c r="F104" s="44" t="n">
        <x:v>133.93</x:v>
      </x:c>
      <x:c r="G104" s="32" t="str">
        <x:v>Google DeepMind</x:v>
      </x:c>
      <x:c r="H104" s="32" t="str">
        <x:v>United States of America</x:v>
      </x:c>
      <x:c r="I104" s="32" t="str">
        <x:v>API access</x:v>
      </x:c>
      <x:c r="J104" s="32" t="str">
        <x:v>Closed weights</x:v>
      </x:c>
      <x:c r="K104" s="32" t="str"/>
    </x:row>
    <x:row r="105">
      <x:c r="A105" s="32" t="str">
        <x:v>Gemma 3 27B</x:v>
      </x:c>
      <x:c r="B105" s="32" t="str">
        <x:v>Gemma 3 27B</x:v>
      </x:c>
      <x:c r="C105" s="34" t="n">
        <x:v>45728</x:v>
      </x:c>
      <x:c r="D105" s="44" t="n">
        <x:v>131.08</x:v>
      </x:c>
      <x:c r="E105" s="44" t="n">
        <x:v>124.84</x:v>
      </x:c>
      <x:c r="F105" s="44" t="n">
        <x:v>133.28</x:v>
      </x:c>
      <x:c r="G105" s="32" t="str">
        <x:v>Google DeepMind</x:v>
      </x:c>
      <x:c r="H105" s="32" t="str">
        <x:v>United States of America</x:v>
      </x:c>
      <x:c r="I105" s="32" t="str">
        <x:v>Open weights (restricted use)</x:v>
      </x:c>
      <x:c r="J105" s="32" t="str">
        <x:v>Open weights</x:v>
      </x:c>
      <x:c r="K105" s="32" t="str"/>
    </x:row>
    <x:row r="106">
      <x:c r="A106" s="32" t="str">
        <x:v>Phi-4</x:v>
      </x:c>
      <x:c r="B106" s="32" t="str">
        <x:v>Phi-4</x:v>
      </x:c>
      <x:c r="C106" s="34" t="n">
        <x:v>45638</x:v>
      </x:c>
      <x:c r="D106" s="44" t="n">
        <x:v>131.05</x:v>
      </x:c>
      <x:c r="E106" s="44" t="n">
        <x:v>123.6</x:v>
      </x:c>
      <x:c r="F106" s="44" t="n">
        <x:v>132.36</x:v>
      </x:c>
      <x:c r="G106" s="32" t="str">
        <x:v>Microsoft Research</x:v>
      </x:c>
      <x:c r="H106" s="32" t="str">
        <x:v>United States of America</x:v>
      </x:c>
      <x:c r="I106" s="32" t="str">
        <x:v>Open weights (unrestricted)</x:v>
      </x:c>
      <x:c r="J106" s="32" t="str">
        <x:v>Open weights</x:v>
      </x:c>
      <x:c r="K106" s="32" t="str"/>
    </x:row>
    <x:row r="107">
      <x:c r="A107" s="32" t="str">
        <x:v>GPT-4.1 nano</x:v>
      </x:c>
      <x:c r="B107" s="32" t="str">
        <x:v>GPT-4.1 nano</x:v>
      </x:c>
      <x:c r="C107" s="34" t="n">
        <x:v>45761</x:v>
      </x:c>
      <x:c r="D107" s="44" t="n">
        <x:v>130.88</x:v>
      </x:c>
      <x:c r="E107" s="44" t="n">
        <x:v>125.17</x:v>
      </x:c>
      <x:c r="F107" s="44" t="n">
        <x:v>133.34</x:v>
      </x:c>
      <x:c r="G107" s="32" t="str">
        <x:v>OpenAI</x:v>
      </x:c>
      <x:c r="H107" s="32" t="str">
        <x:v>United States of America</x:v>
      </x:c>
      <x:c r="I107" s="32" t="str">
        <x:v>API access</x:v>
      </x:c>
      <x:c r="J107" s="32" t="str">
        <x:v>Closed weights</x:v>
      </x:c>
      <x:c r="K107" s="32" t="str"/>
    </x:row>
    <x:row r="108">
      <x:c r="A108" s="32" t="str">
        <x:v>Grok-2 (Dec 2024)</x:v>
      </x:c>
      <x:c r="B108" s="32" t="str">
        <x:v>Grok-2 (Dec 2024)</x:v>
      </x:c>
      <x:c r="C108" s="34" t="n">
        <x:v>45517</x:v>
      </x:c>
      <x:c r="D108" s="44" t="n">
        <x:v>130.78</x:v>
      </x:c>
      <x:c r="E108" s="44" t="n">
        <x:v>124.85</x:v>
      </x:c>
      <x:c r="F108" s="44" t="n">
        <x:v>131.99</x:v>
      </x:c>
      <x:c r="G108" s="32" t="str">
        <x:v>xAI</x:v>
      </x:c>
      <x:c r="H108" s="32" t="str">
        <x:v>United States of America</x:v>
      </x:c>
      <x:c r="I108" s="32" t="str">
        <x:v>API access</x:v>
      </x:c>
      <x:c r="J108" s="32" t="str">
        <x:v>Closed weights</x:v>
      </x:c>
      <x:c r="K108" s="32" t="str"/>
    </x:row>
    <x:row r="109">
      <x:c r="A109" s="32" t="str">
        <x:v>Llama 4 Scout</x:v>
      </x:c>
      <x:c r="B109" s="32" t="str">
        <x:v>Llama 4 Scout</x:v>
      </x:c>
      <x:c r="C109" s="34" t="n">
        <x:v>45752</x:v>
      </x:c>
      <x:c r="D109" s="44" t="n">
        <x:v>130.56</x:v>
      </x:c>
      <x:c r="E109" s="44" t="n">
        <x:v>125.67</x:v>
      </x:c>
      <x:c r="F109" s="44" t="n">
        <x:v>132.06</x:v>
      </x:c>
      <x:c r="G109" s="32" t="str">
        <x:v>Meta AI</x:v>
      </x:c>
      <x:c r="H109" s="32" t="str">
        <x:v>United States of America</x:v>
      </x:c>
      <x:c r="I109" s="32" t="str">
        <x:v>Open weights (restricted use)</x:v>
      </x:c>
      <x:c r="J109" s="32" t="str">
        <x:v>Open weights</x:v>
      </x:c>
      <x:c r="K109" s="32" t="str"/>
    </x:row>
    <x:row r="110">
      <x:c r="A110" s="32" t="str">
        <x:v>Gemini 1.5 Flash (Sep 2024)</x:v>
      </x:c>
      <x:c r="B110" s="32" t="str">
        <x:v>Gemini 1.5 Flash (Sep 2024)</x:v>
      </x:c>
      <x:c r="C110" s="34" t="n">
        <x:v>45422</x:v>
      </x:c>
      <x:c r="D110" s="44" t="n">
        <x:v>130.39</x:v>
      </x:c>
      <x:c r="E110" s="44" t="n">
        <x:v>123.54</x:v>
      </x:c>
      <x:c r="F110" s="44" t="n">
        <x:v>132.06</x:v>
      </x:c>
      <x:c r="G110" s="32" t="str">
        <x:v>Google DeepMind</x:v>
      </x:c>
      <x:c r="H110" s="32" t="str">
        <x:v>United States of America</x:v>
      </x:c>
      <x:c r="I110" s="32" t="str">
        <x:v>API access</x:v>
      </x:c>
      <x:c r="J110" s="32" t="str">
        <x:v>Closed weights</x:v>
      </x:c>
      <x:c r="K110" s="32" t="str"/>
    </x:row>
    <x:row r="111">
      <x:c r="A111" s="32" t="str">
        <x:v>Claude 3.5 Sonnet</x:v>
      </x:c>
      <x:c r="B111" s="32" t="str">
        <x:v>Claude 3.5 Sonnet</x:v>
      </x:c>
      <x:c r="C111" s="34" t="n">
        <x:v>45463</x:v>
      </x:c>
      <x:c r="D111" s="44" t="n">
        <x:v>130</x:v>
      </x:c>
      <x:c r="E111" s="44"/>
      <x:c r="F111" s="44"/>
      <x:c r="G111" s="32" t="str">
        <x:v>Anthropic</x:v>
      </x:c>
      <x:c r="H111" s="32" t="str">
        <x:v>United States of America</x:v>
      </x:c>
      <x:c r="I111" s="32" t="str">
        <x:v>API access</x:v>
      </x:c>
      <x:c r="J111" s="32" t="str">
        <x:v>Closed weights</x:v>
      </x:c>
      <x:c r="K111" s="32" t="str"/>
    </x:row>
    <x:row r="112">
      <x:c r="A112" s="32" t="str">
        <x:v>GPT-4o (Nov 2024)</x:v>
      </x:c>
      <x:c r="B112" s="32" t="str">
        <x:v>GPT-4o (Nov 2024)</x:v>
      </x:c>
      <x:c r="C112" s="34" t="n">
        <x:v>45425</x:v>
      </x:c>
      <x:c r="D112" s="44" t="n">
        <x:v>129.31</x:v>
      </x:c>
      <x:c r="E112" s="44" t="n">
        <x:v>124.23</x:v>
      </x:c>
      <x:c r="F112" s="44" t="n">
        <x:v>131.64</x:v>
      </x:c>
      <x:c r="G112" s="32" t="str">
        <x:v>OpenAI</x:v>
      </x:c>
      <x:c r="H112" s="32" t="str">
        <x:v>United States of America</x:v>
      </x:c>
      <x:c r="I112" s="32" t="str">
        <x:v>API access</x:v>
      </x:c>
      <x:c r="J112" s="32" t="str">
        <x:v>Closed weights</x:v>
      </x:c>
      <x:c r="K112" s="32" t="str"/>
    </x:row>
    <x:row r="113">
      <x:c r="A113" s="32" t="str">
        <x:v>GPT-4o (Aug 2024)</x:v>
      </x:c>
      <x:c r="B113" s="32" t="str">
        <x:v>GPT-4o (Aug 2024)</x:v>
      </x:c>
      <x:c r="C113" s="34" t="n">
        <x:v>45425</x:v>
      </x:c>
      <x:c r="D113" s="44" t="n">
        <x:v>129.16</x:v>
      </x:c>
      <x:c r="E113" s="44" t="n">
        <x:v>123.4</x:v>
      </x:c>
      <x:c r="F113" s="44" t="n">
        <x:v>130.88</x:v>
      </x:c>
      <x:c r="G113" s="32" t="str">
        <x:v>OpenAI</x:v>
      </x:c>
      <x:c r="H113" s="32" t="str">
        <x:v>United States of America</x:v>
      </x:c>
      <x:c r="I113" s="32" t="str">
        <x:v>API access</x:v>
      </x:c>
      <x:c r="J113" s="32" t="str">
        <x:v>Closed weights</x:v>
      </x:c>
      <x:c r="K113" s="32" t="str"/>
    </x:row>
    <x:row r="114">
      <x:c r="A114" s="32" t="str">
        <x:v>Qwen2.5-72B</x:v>
      </x:c>
      <x:c r="B114" s="32" t="str">
        <x:v>Qwen2.5-72B</x:v>
      </x:c>
      <x:c r="C114" s="34" t="n">
        <x:v>45554</x:v>
      </x:c>
      <x:c r="D114" s="44" t="n">
        <x:v>129.12</x:v>
      </x:c>
      <x:c r="E114" s="44" t="n">
        <x:v>122.2</x:v>
      </x:c>
      <x:c r="F114" s="44" t="n">
        <x:v>130.91</x:v>
      </x:c>
      <x:c r="G114" s="32" t="str">
        <x:v>Alibaba</x:v>
      </x:c>
      <x:c r="H114" s="32" t="str">
        <x:v>China</x:v>
      </x:c>
      <x:c r="I114" s="32" t="str">
        <x:v>Open weights (unrestricted)</x:v>
      </x:c>
      <x:c r="J114" s="32" t="str">
        <x:v>Open weights</x:v>
      </x:c>
      <x:c r="K114" s="32" t="str"/>
    </x:row>
    <x:row r="115">
      <x:c r="A115" s="32" t="str">
        <x:v>Llama 3.1-405B</x:v>
      </x:c>
      <x:c r="B115" s="32" t="str">
        <x:v>Llama 3.1-405B</x:v>
      </x:c>
      <x:c r="C115" s="34" t="n">
        <x:v>45496</x:v>
      </x:c>
      <x:c r="D115" s="44" t="n">
        <x:v>128.99</x:v>
      </x:c>
      <x:c r="E115" s="44" t="n">
        <x:v>123.59</x:v>
      </x:c>
      <x:c r="F115" s="44" t="n">
        <x:v>130.73</x:v>
      </x:c>
      <x:c r="G115" s="32" t="str">
        <x:v>Meta AI</x:v>
      </x:c>
      <x:c r="H115" s="32" t="str">
        <x:v>United States of America</x:v>
      </x:c>
      <x:c r="I115" s="32" t="str">
        <x:v>Open weights (restricted use)</x:v>
      </x:c>
      <x:c r="J115" s="32" t="str">
        <x:v>Open weights</x:v>
      </x:c>
      <x:c r="K115" s="32" t="str"/>
    </x:row>
    <x:row r="116">
      <x:c r="A116" s="32" t="str">
        <x:v>GPT-4o (May 2024)</x:v>
      </x:c>
      <x:c r="B116" s="32" t="str">
        <x:v>GPT-4o (May 2024)</x:v>
      </x:c>
      <x:c r="C116" s="34" t="n">
        <x:v>45425</x:v>
      </x:c>
      <x:c r="D116" s="44" t="n">
        <x:v>128.83</x:v>
      </x:c>
      <x:c r="E116" s="44" t="n">
        <x:v>123.33</x:v>
      </x:c>
      <x:c r="F116" s="44" t="n">
        <x:v>130.68</x:v>
      </x:c>
      <x:c r="G116" s="32" t="str">
        <x:v>OpenAI</x:v>
      </x:c>
      <x:c r="H116" s="32" t="str">
        <x:v>United States of America</x:v>
      </x:c>
      <x:c r="I116" s="32" t="str">
        <x:v>API access</x:v>
      </x:c>
      <x:c r="J116" s="32" t="str">
        <x:v>Closed weights</x:v>
      </x:c>
      <x:c r="K116" s="32" t="str"/>
    </x:row>
    <x:row r="117">
      <x:c r="A117" s="32" t="str">
        <x:v>Mistral Large 2 (Nov 2024)</x:v>
      </x:c>
      <x:c r="B117" s="32" t="str">
        <x:v>Mistral Large 2 (Nov 2024)</x:v>
      </x:c>
      <x:c r="C117" s="34" t="n">
        <x:v>45497</x:v>
      </x:c>
      <x:c r="D117" s="44" t="n">
        <x:v>128.81</x:v>
      </x:c>
      <x:c r="E117" s="44" t="n">
        <x:v>123.59</x:v>
      </x:c>
      <x:c r="F117" s="44" t="n">
        <x:v>130.68</x:v>
      </x:c>
      <x:c r="G117" s="32" t="str">
        <x:v>Mistral AI</x:v>
      </x:c>
      <x:c r="H117" s="32" t="str">
        <x:v>France</x:v>
      </x:c>
      <x:c r="I117" s="32" t="str">
        <x:v>Open weights (non-commercial)</x:v>
      </x:c>
      <x:c r="J117" s="32" t="str">
        <x:v>Open weights</x:v>
      </x:c>
      <x:c r="K117" s="32" t="str"/>
    </x:row>
    <x:row r="118">
      <x:c r="A118" s="32" t="str">
        <x:v>Mistral Small 3.1</x:v>
      </x:c>
      <x:c r="B118" s="32" t="str">
        <x:v>Mistral Small 3.1</x:v>
      </x:c>
      <x:c r="C118" s="34" t="n">
        <x:v>45733</x:v>
      </x:c>
      <x:c r="D118" s="44" t="n">
        <x:v>127.75</x:v>
      </x:c>
      <x:c r="E118" s="44" t="n">
        <x:v>121.89</x:v>
      </x:c>
      <x:c r="F118" s="44" t="n">
        <x:v>129.38</x:v>
      </x:c>
      <x:c r="G118" s="32" t="str">
        <x:v>Mistral AI</x:v>
      </x:c>
      <x:c r="H118" s="32" t="str">
        <x:v>France</x:v>
      </x:c>
      <x:c r="I118" s="32" t="str">
        <x:v>Open weights (unrestricted)</x:v>
      </x:c>
      <x:c r="J118" s="32" t="str">
        <x:v>Open weights</x:v>
      </x:c>
      <x:c r="K118" s="32" t="str"/>
    </x:row>
    <x:row r="119">
      <x:c r="A119" s="32" t="str">
        <x:v>GPT-4 Turbo (Apr 2024)</x:v>
      </x:c>
      <x:c r="B119" s="32" t="str">
        <x:v>GPT-4 Turbo (Apr 2024)</x:v>
      </x:c>
      <x:c r="C119" s="34" t="n">
        <x:v>45391</x:v>
      </x:c>
      <x:c r="D119" s="44" t="n">
        <x:v>127.59</x:v>
      </x:c>
      <x:c r="E119" s="44" t="n">
        <x:v>121.74</x:v>
      </x:c>
      <x:c r="F119" s="44" t="n">
        <x:v>129</x:v>
      </x:c>
      <x:c r="G119" s="32" t="str">
        <x:v>OpenAI</x:v>
      </x:c>
      <x:c r="H119" s="32" t="str">
        <x:v>United States of America</x:v>
      </x:c>
      <x:c r="I119" s="32" t="str">
        <x:v>API access</x:v>
      </x:c>
      <x:c r="J119" s="32" t="str">
        <x:v>Closed weights</x:v>
      </x:c>
      <x:c r="K119" s="32" t="str"/>
    </x:row>
    <x:row r="120">
      <x:c r="A120" s="32" t="str">
        <x:v>Mistral Large 2 (Jul 2024)</x:v>
      </x:c>
      <x:c r="B120" s="32" t="str">
        <x:v>Mistral Large 2 (Jul 2024)</x:v>
      </x:c>
      <x:c r="C120" s="34" t="n">
        <x:v>45497</x:v>
      </x:c>
      <x:c r="D120" s="44" t="n">
        <x:v>127.53</x:v>
      </x:c>
      <x:c r="E120" s="44" t="n">
        <x:v>121.93</x:v>
      </x:c>
      <x:c r="F120" s="44" t="n">
        <x:v>129.33</x:v>
      </x:c>
      <x:c r="G120" s="32" t="str">
        <x:v>Mistral AI</x:v>
      </x:c>
      <x:c r="H120" s="32" t="str">
        <x:v>France</x:v>
      </x:c>
      <x:c r="I120" s="32" t="str">
        <x:v>Open weights (non-commercial)</x:v>
      </x:c>
      <x:c r="J120" s="32" t="str">
        <x:v>Open weights</x:v>
      </x:c>
      <x:c r="K120" s="32" t="str"/>
    </x:row>
    <x:row r="121">
      <x:c r="A121" s="32" t="str">
        <x:v>Claude 3.5 Haiku</x:v>
      </x:c>
      <x:c r="B121" s="32" t="str">
        <x:v>Claude 3.5 Haiku</x:v>
      </x:c>
      <x:c r="C121" s="34" t="n">
        <x:v>45587</x:v>
      </x:c>
      <x:c r="D121" s="44" t="n">
        <x:v>127.5</x:v>
      </x:c>
      <x:c r="E121" s="44" t="n">
        <x:v>119.27</x:v>
      </x:c>
      <x:c r="F121" s="44" t="n">
        <x:v>130.1</x:v>
      </x:c>
      <x:c r="G121" s="32" t="str">
        <x:v>Anthropic</x:v>
      </x:c>
      <x:c r="H121" s="32" t="str">
        <x:v>United States of America</x:v>
      </x:c>
      <x:c r="I121" s="32" t="str">
        <x:v>API access</x:v>
      </x:c>
      <x:c r="J121" s="32" t="str">
        <x:v>Closed weights</x:v>
      </x:c>
      <x:c r="K121" s="32" t="str"/>
    </x:row>
    <x:row r="122">
      <x:c r="A122" s="32" t="str">
        <x:v>Llama 3.3 70B</x:v>
      </x:c>
      <x:c r="B122" s="32" t="str">
        <x:v>Llama 3.3 70B</x:v>
      </x:c>
      <x:c r="C122" s="34" t="n">
        <x:v>45632</x:v>
      </x:c>
      <x:c r="D122" s="44" t="n">
        <x:v>127.5</x:v>
      </x:c>
      <x:c r="E122" s="44" t="n">
        <x:v>122.01</x:v>
      </x:c>
      <x:c r="F122" s="44" t="n">
        <x:v>129.87</x:v>
      </x:c>
      <x:c r="G122" s="32" t="str">
        <x:v>Meta AI</x:v>
      </x:c>
      <x:c r="H122" s="32" t="str">
        <x:v>United States of America</x:v>
      </x:c>
      <x:c r="I122" s="32" t="str">
        <x:v>Open weights (restricted use)</x:v>
      </x:c>
      <x:c r="J122" s="32" t="str">
        <x:v>Open weights</x:v>
      </x:c>
      <x:c r="K122" s="32" t="str"/>
    </x:row>
    <x:row r="123">
      <x:c r="A123" s="32" t="str">
        <x:v>Gemini 1.5 Pro (May 2024)</x:v>
      </x:c>
      <x:c r="B123" s="32" t="str">
        <x:v>Gemini 1.5 Pro (May 2024)</x:v>
      </x:c>
      <x:c r="C123" s="34" t="n">
        <x:v>45426</x:v>
      </x:c>
      <x:c r="D123" s="44" t="n">
        <x:v>127.2</x:v>
      </x:c>
      <x:c r="E123" s="44" t="n">
        <x:v>121.34</x:v>
      </x:c>
      <x:c r="F123" s="44" t="n">
        <x:v>129.39</x:v>
      </x:c>
      <x:c r="G123" s="32" t="str">
        <x:v>Google DeepMind</x:v>
      </x:c>
      <x:c r="H123" s="32" t="str">
        <x:v>United States of America</x:v>
      </x:c>
      <x:c r="I123" s="32" t="str">
        <x:v>API access</x:v>
      </x:c>
      <x:c r="J123" s="32" t="str">
        <x:v>Closed weights</x:v>
      </x:c>
      <x:c r="K123" s="32" t="str"/>
    </x:row>
    <x:row r="124">
      <x:c r="A124" s="32" t="str">
        <x:v>GPT-4o mini</x:v>
      </x:c>
      <x:c r="B124" s="32" t="str">
        <x:v>GPT-4o mini</x:v>
      </x:c>
      <x:c r="C124" s="34" t="n">
        <x:v>45491</x:v>
      </x:c>
      <x:c r="D124" s="44" t="n">
        <x:v>126.94</x:v>
      </x:c>
      <x:c r="E124" s="44" t="n">
        <x:v>120.2</x:v>
      </x:c>
      <x:c r="F124" s="44" t="n">
        <x:v>129.11</x:v>
      </x:c>
      <x:c r="G124" s="32" t="str">
        <x:v>OpenAI</x:v>
      </x:c>
      <x:c r="H124" s="32" t="str">
        <x:v>United States of America</x:v>
      </x:c>
      <x:c r="I124" s="32" t="str">
        <x:v>API access</x:v>
      </x:c>
      <x:c r="J124" s="32" t="str">
        <x:v>Closed weights</x:v>
      </x:c>
      <x:c r="K124" s="32" t="str"/>
    </x:row>
    <x:row r="125">
      <x:c r="A125" s="32" t="str">
        <x:v>Claude 3 Opus</x:v>
      </x:c>
      <x:c r="B125" s="32" t="str">
        <x:v>Claude 3 Opus</x:v>
      </x:c>
      <x:c r="C125" s="34" t="n">
        <x:v>45355</x:v>
      </x:c>
      <x:c r="D125" s="44" t="n">
        <x:v>126.92</x:v>
      </x:c>
      <x:c r="E125" s="44" t="n">
        <x:v>121.31</x:v>
      </x:c>
      <x:c r="F125" s="44" t="n">
        <x:v>129.83</x:v>
      </x:c>
      <x:c r="G125" s="32" t="str">
        <x:v>Anthropic</x:v>
      </x:c>
      <x:c r="H125" s="32" t="str">
        <x:v>United States of America</x:v>
      </x:c>
      <x:c r="I125" s="32" t="str">
        <x:v>API access</x:v>
      </x:c>
      <x:c r="J125" s="32" t="str">
        <x:v>Closed weights</x:v>
      </x:c>
      <x:c r="K125" s="32" t="str"/>
    </x:row>
    <x:row r="126">
      <x:c r="A126" s="32" t="str">
        <x:v>GPT-4 (Mar 2023)</x:v>
      </x:c>
      <x:c r="B126" s="32" t="str">
        <x:v>GPT-4 (Mar 2023)</x:v>
      </x:c>
      <x:c r="C126" s="34" t="n">
        <x:v>45000</x:v>
      </x:c>
      <x:c r="D126" s="44" t="n">
        <x:v>125.93</x:v>
      </x:c>
      <x:c r="E126" s="44" t="n">
        <x:v>119.58</x:v>
      </x:c>
      <x:c r="F126" s="44" t="n">
        <x:v>132.2</x:v>
      </x:c>
      <x:c r="G126" s="32" t="str">
        <x:v>OpenAI</x:v>
      </x:c>
      <x:c r="H126" s="32" t="str">
        <x:v>United States of America</x:v>
      </x:c>
      <x:c r="I126" s="32" t="str">
        <x:v>API access</x:v>
      </x:c>
      <x:c r="J126" s="32" t="str">
        <x:v>Closed weights</x:v>
      </x:c>
      <x:c r="K126" s="32" t="str"/>
    </x:row>
    <x:row r="127">
      <x:c r="A127" s="32" t="str">
        <x:v>Llama 3.2 90B</x:v>
      </x:c>
      <x:c r="B127" s="32" t="str">
        <x:v>Llama 3.2 90B</x:v>
      </x:c>
      <x:c r="C127" s="34" t="n">
        <x:v>45559</x:v>
      </x:c>
      <x:c r="D127" s="44" t="n">
        <x:v>125.71</x:v>
      </x:c>
      <x:c r="E127" s="44" t="n">
        <x:v>119.36</x:v>
      </x:c>
      <x:c r="F127" s="44" t="n">
        <x:v>127.43</x:v>
      </x:c>
      <x:c r="G127" s="32" t="str">
        <x:v>Meta AI</x:v>
      </x:c>
      <x:c r="H127" s="32" t="str">
        <x:v>United States of America</x:v>
      </x:c>
      <x:c r="I127" s="32" t="str">
        <x:v>Open weights (restricted use)</x:v>
      </x:c>
      <x:c r="J127" s="32" t="str">
        <x:v>Open weights</x:v>
      </x:c>
      <x:c r="K127" s="32" t="str"/>
    </x:row>
    <x:row r="128">
      <x:c r="A128" s="32" t="str">
        <x:v>Llama 3.1-70B</x:v>
      </x:c>
      <x:c r="B128" s="32" t="str">
        <x:v>Llama 3.1-70B</x:v>
      </x:c>
      <x:c r="C128" s="34" t="n">
        <x:v>45496</x:v>
      </x:c>
      <x:c r="D128" s="44" t="n">
        <x:v>125.53</x:v>
      </x:c>
      <x:c r="E128" s="44" t="n">
        <x:v>118.91</x:v>
      </x:c>
      <x:c r="F128" s="44" t="n">
        <x:v>127.47</x:v>
      </x:c>
      <x:c r="G128" s="32" t="str">
        <x:v>Meta AI</x:v>
      </x:c>
      <x:c r="H128" s="32" t="str">
        <x:v>United States of America</x:v>
      </x:c>
      <x:c r="I128" s="32" t="str">
        <x:v>Open weights (restricted use)</x:v>
      </x:c>
      <x:c r="J128" s="32" t="str">
        <x:v>Open weights</x:v>
      </x:c>
      <x:c r="K128" s="32" t="str"/>
    </x:row>
    <x:row r="129">
      <x:c r="A129" s="32" t="str">
        <x:v>Qwen2-72B</x:v>
      </x:c>
      <x:c r="B129" s="32" t="str">
        <x:v>Qwen2-72B</x:v>
      </x:c>
      <x:c r="C129" s="34" t="n">
        <x:v>45450</x:v>
      </x:c>
      <x:c r="D129" s="44" t="n">
        <x:v>125.49</x:v>
      </x:c>
      <x:c r="E129" s="44" t="n">
        <x:v>119.09</x:v>
      </x:c>
      <x:c r="F129" s="44" t="n">
        <x:v>127.01</x:v>
      </x:c>
      <x:c r="G129" s="32" t="str">
        <x:v>Alibaba</x:v>
      </x:c>
      <x:c r="H129" s="32" t="str">
        <x:v>China</x:v>
      </x:c>
      <x:c r="I129" s="32" t="str">
        <x:v>Open weights (unrestricted)</x:v>
      </x:c>
      <x:c r="J129" s="32" t="str">
        <x:v>Open weights</x:v>
      </x:c>
      <x:c r="K129" s="32" t="str"/>
    </x:row>
    <x:row r="130">
      <x:c r="A130" s="32" t="str">
        <x:v>DeepSeek-V2 (MoE-236B, May 2024)</x:v>
      </x:c>
      <x:c r="B130" s="32" t="str">
        <x:v>DeepSeek-V2 (MoE-236B, May 2024)</x:v>
      </x:c>
      <x:c r="C130" s="34" t="n">
        <x:v>45419</x:v>
      </x:c>
      <x:c r="D130" s="44" t="n">
        <x:v>124.58</x:v>
      </x:c>
      <x:c r="E130" s="44" t="n">
        <x:v>117.97</x:v>
      </x:c>
      <x:c r="F130" s="44" t="n">
        <x:v>127.63</x:v>
      </x:c>
      <x:c r="G130" s="32" t="str">
        <x:v>DeepSeek</x:v>
      </x:c>
      <x:c r="H130" s="32" t="str">
        <x:v>China</x:v>
      </x:c>
      <x:c r="I130" s="32" t="str">
        <x:v>Open weights (restricted use)</x:v>
      </x:c>
      <x:c r="J130" s="32" t="str">
        <x:v>Open weights</x:v>
      </x:c>
      <x:c r="K130" s="32" t="str"/>
    </x:row>
    <x:row r="131">
      <x:c r="A131" s="32" t="str">
        <x:v>Amazon Nova Pro</x:v>
      </x:c>
      <x:c r="B131" s="32" t="str">
        <x:v>Amazon Nova Pro</x:v>
      </x:c>
      <x:c r="C131" s="34" t="n">
        <x:v>45629</x:v>
      </x:c>
      <x:c r="D131" s="44" t="n">
        <x:v>123.88</x:v>
      </x:c>
      <x:c r="E131" s="44" t="n">
        <x:v>110.76</x:v>
      </x:c>
      <x:c r="F131" s="44" t="n">
        <x:v>126.58</x:v>
      </x:c>
      <x:c r="G131" s="32" t="str">
        <x:v>Amazon</x:v>
      </x:c>
      <x:c r="H131" s="32" t="str">
        <x:v>United States of America</x:v>
      </x:c>
      <x:c r="I131" s="32" t="str">
        <x:v>API access</x:v>
      </x:c>
      <x:c r="J131" s="32" t="str">
        <x:v>Closed weights</x:v>
      </x:c>
      <x:c r="K131" s="32" t="str"/>
    </x:row>
    <x:row r="132">
      <x:c r="A132" s="32" t="str">
        <x:v>Llama 3-70B</x:v>
      </x:c>
      <x:c r="B132" s="32" t="str">
        <x:v>Llama 3-70B</x:v>
      </x:c>
      <x:c r="C132" s="34" t="n">
        <x:v>45400</x:v>
      </x:c>
      <x:c r="D132" s="44" t="n">
        <x:v>122.61</x:v>
      </x:c>
      <x:c r="E132" s="44" t="n">
        <x:v>115.79</x:v>
      </x:c>
      <x:c r="F132" s="44" t="n">
        <x:v>125.52</x:v>
      </x:c>
      <x:c r="G132" s="32" t="str">
        <x:v>Meta AI</x:v>
      </x:c>
      <x:c r="H132" s="32" t="str">
        <x:v>United States of America</x:v>
      </x:c>
      <x:c r="I132" s="32" t="str">
        <x:v>Open weights (restricted use)</x:v>
      </x:c>
      <x:c r="J132" s="32" t="str">
        <x:v>Open weights</x:v>
      </x:c>
      <x:c r="K132" s="32" t="str"/>
    </x:row>
    <x:row r="133">
      <x:c r="A133" s="32" t="str">
        <x:v>Gemini 1.5 Flash (May 2024)</x:v>
      </x:c>
      <x:c r="B133" s="32" t="str">
        <x:v>Gemini 1.5 Flash (May 2024)</x:v>
      </x:c>
      <x:c r="C133" s="34" t="n">
        <x:v>45422</x:v>
      </x:c>
      <x:c r="D133" s="44" t="n">
        <x:v>122.54</x:v>
      </x:c>
      <x:c r="E133" s="44" t="n">
        <x:v>115.28</x:v>
      </x:c>
      <x:c r="F133" s="44" t="n">
        <x:v>124.46</x:v>
      </x:c>
      <x:c r="G133" s="32" t="str">
        <x:v>Google DeepMind</x:v>
      </x:c>
      <x:c r="H133" s="32" t="str">
        <x:v>United States of America</x:v>
      </x:c>
      <x:c r="I133" s="32" t="str">
        <x:v>API access</x:v>
      </x:c>
      <x:c r="J133" s="32" t="str">
        <x:v>Closed weights</x:v>
      </x:c>
      <x:c r="K133" s="32" t="str"/>
    </x:row>
    <x:row r="134">
      <x:c r="A134" s="32" t="str">
        <x:v>Gemma 2 27B</x:v>
      </x:c>
      <x:c r="B134" s="32" t="str">
        <x:v>Gemma 2 27B</x:v>
      </x:c>
      <x:c r="C134" s="34" t="n">
        <x:v>45467</x:v>
      </x:c>
      <x:c r="D134" s="44" t="n">
        <x:v>122.47</x:v>
      </x:c>
      <x:c r="E134" s="44" t="n">
        <x:v>115.04</x:v>
      </x:c>
      <x:c r="F134" s="44" t="n">
        <x:v>124.23</x:v>
      </x:c>
      <x:c r="G134" s="32" t="str">
        <x:v>Google DeepMind</x:v>
      </x:c>
      <x:c r="H134" s="32" t="str">
        <x:v>United States of America</x:v>
      </x:c>
      <x:c r="I134" s="32" t="str">
        <x:v>Open weights (restricted use)</x:v>
      </x:c>
      <x:c r="J134" s="32" t="str">
        <x:v>Open weights</x:v>
      </x:c>
      <x:c r="K134" s="32" t="str"/>
    </x:row>
    <x:row r="135">
      <x:c r="A135" s="32" t="str">
        <x:v>GPT-4 (Jun 2023)</x:v>
      </x:c>
      <x:c r="B135" s="32" t="str">
        <x:v>GPT-4 (Jun 2023)</x:v>
      </x:c>
      <x:c r="C135" s="34" t="n">
        <x:v>45090</x:v>
      </x:c>
      <x:c r="D135" s="44" t="n">
        <x:v>121.91</x:v>
      </x:c>
      <x:c r="E135" s="44" t="n">
        <x:v>114.46</x:v>
      </x:c>
      <x:c r="F135" s="44" t="n">
        <x:v>124.8</x:v>
      </x:c>
      <x:c r="G135" s="32" t="str">
        <x:v>OpenAI</x:v>
      </x:c>
      <x:c r="H135" s="32" t="str">
        <x:v>United States of America</x:v>
      </x:c>
      <x:c r="I135" s="32" t="str">
        <x:v>API access</x:v>
      </x:c>
      <x:c r="J135" s="32" t="str">
        <x:v>Closed weights</x:v>
      </x:c>
      <x:c r="K135" s="32" t="str"/>
    </x:row>
    <x:row r="136">
      <x:c r="A136" s="32" t="str">
        <x:v>phi-3-small 7.4B</x:v>
      </x:c>
      <x:c r="B136" s="32" t="str">
        <x:v>phi-3-small 7.4B</x:v>
      </x:c>
      <x:c r="C136" s="34" t="n">
        <x:v>45405</x:v>
      </x:c>
      <x:c r="D136" s="44" t="n">
        <x:v>121.64</x:v>
      </x:c>
      <x:c r="E136" s="44" t="n">
        <x:v>113.57</x:v>
      </x:c>
      <x:c r="F136" s="44" t="n">
        <x:v>124.38</x:v>
      </x:c>
      <x:c r="G136" s="32" t="str">
        <x:v>Microsoft</x:v>
      </x:c>
      <x:c r="H136" s="32" t="str">
        <x:v>United States of America</x:v>
      </x:c>
      <x:c r="I136" s="32" t="str">
        <x:v>Open weights (unrestricted)</x:v>
      </x:c>
      <x:c r="J136" s="32" t="str">
        <x:v>Open weights</x:v>
      </x:c>
      <x:c r="K136" s="32" t="str"/>
    </x:row>
    <x:row r="137">
      <x:c r="A137" s="32" t="str">
        <x:v>Mixtral 8x22B</x:v>
      </x:c>
      <x:c r="B137" s="32" t="str">
        <x:v>Mixtral 8x22B</x:v>
      </x:c>
      <x:c r="C137" s="34" t="n">
        <x:v>45399</x:v>
      </x:c>
      <x:c r="D137" s="44" t="n">
        <x:v>121.28</x:v>
      </x:c>
      <x:c r="E137" s="44" t="n">
        <x:v>112.48</x:v>
      </x:c>
      <x:c r="F137" s="44" t="n">
        <x:v>123.4</x:v>
      </x:c>
      <x:c r="G137" s="32" t="str">
        <x:v>Mistral AI</x:v>
      </x:c>
      <x:c r="H137" s="32" t="str">
        <x:v>France</x:v>
      </x:c>
      <x:c r="I137" s="32" t="str">
        <x:v>Open weights (unrestricted)</x:v>
      </x:c>
      <x:c r="J137" s="32" t="str">
        <x:v>Open weights</x:v>
      </x:c>
      <x:c r="K137" s="32" t="str"/>
    </x:row>
    <x:row r="138">
      <x:c r="A138" s="32" t="str">
        <x:v>Claude Instant</x:v>
      </x:c>
      <x:c r="B138" s="32" t="str">
        <x:v>Claude Instant</x:v>
      </x:c>
      <x:c r="C138" s="34" t="n">
        <x:v>45147</x:v>
      </x:c>
      <x:c r="D138" s="44" t="n">
        <x:v>121.11</x:v>
      </x:c>
      <x:c r="E138" s="44" t="n">
        <x:v>113.87</x:v>
      </x:c>
      <x:c r="F138" s="44" t="n">
        <x:v>123.96</x:v>
      </x:c>
      <x:c r="G138" s="32" t="str">
        <x:v>Anthropic</x:v>
      </x:c>
      <x:c r="H138" s="32" t="str">
        <x:v>United States of America</x:v>
      </x:c>
      <x:c r="I138" s="32" t="str">
        <x:v>API access</x:v>
      </x:c>
      <x:c r="J138" s="32" t="str">
        <x:v>Closed weights</x:v>
      </x:c>
      <x:c r="K138" s="32" t="str"/>
    </x:row>
    <x:row r="139">
      <x:c r="A139" s="32" t="str">
        <x:v>phi-3-medium 14B</x:v>
      </x:c>
      <x:c r="B139" s="32" t="str">
        <x:v>phi-3-medium 14B</x:v>
      </x:c>
      <x:c r="C139" s="34" t="n">
        <x:v>45405</x:v>
      </x:c>
      <x:c r="D139" s="44" t="n">
        <x:v>121.07</x:v>
      </x:c>
      <x:c r="E139" s="44" t="n">
        <x:v>113.81</x:v>
      </x:c>
      <x:c r="F139" s="44" t="n">
        <x:v>123.74</x:v>
      </x:c>
      <x:c r="G139" s="32" t="str">
        <x:v>Microsoft</x:v>
      </x:c>
      <x:c r="H139" s="32" t="str">
        <x:v>United States of America</x:v>
      </x:c>
      <x:c r="I139" s="32" t="str">
        <x:v>Open weights (unrestricted)</x:v>
      </x:c>
      <x:c r="J139" s="32" t="str">
        <x:v>Open weights</x:v>
      </x:c>
      <x:c r="K139" s="32" t="str"/>
    </x:row>
    <x:row r="140">
      <x:c r="A140" s="32" t="str">
        <x:v>Mistral Large</x:v>
      </x:c>
      <x:c r="B140" s="32" t="str">
        <x:v>Mistral Large</x:v>
      </x:c>
      <x:c r="C140" s="34" t="n">
        <x:v>45348</x:v>
      </x:c>
      <x:c r="D140" s="44" t="n">
        <x:v>121.01</x:v>
      </x:c>
      <x:c r="E140" s="44" t="n">
        <x:v>112.49</x:v>
      </x:c>
      <x:c r="F140" s="44" t="n">
        <x:v>123.7</x:v>
      </x:c>
      <x:c r="G140" s="32" t="str">
        <x:v>Mistral AI</x:v>
      </x:c>
      <x:c r="H140" s="32" t="str">
        <x:v>France</x:v>
      </x:c>
      <x:c r="I140" s="32" t="str">
        <x:v>API access</x:v>
      </x:c>
      <x:c r="J140" s="32" t="str">
        <x:v>Closed weights</x:v>
      </x:c>
      <x:c r="K140" s="32" t="str"/>
    </x:row>
    <x:row r="141">
      <x:c r="A141" s="32" t="str">
        <x:v>Claude 3 Sonnet</x:v>
      </x:c>
      <x:c r="B141" s="32" t="str">
        <x:v>Claude 3 Sonnet</x:v>
      </x:c>
      <x:c r="C141" s="34" t="n">
        <x:v>45355</x:v>
      </x:c>
      <x:c r="D141" s="44" t="n">
        <x:v>119.9</x:v>
      </x:c>
      <x:c r="E141" s="44" t="n">
        <x:v>111.74</x:v>
      </x:c>
      <x:c r="F141" s="44" t="n">
        <x:v>122.91</x:v>
      </x:c>
      <x:c r="G141" s="32" t="str">
        <x:v>Anthropic</x:v>
      </x:c>
      <x:c r="H141" s="32" t="str">
        <x:v>United States of America</x:v>
      </x:c>
      <x:c r="I141" s="32" t="str">
        <x:v>API access</x:v>
      </x:c>
      <x:c r="J141" s="32" t="str">
        <x:v>Closed weights</x:v>
      </x:c>
      <x:c r="K141" s="32" t="str"/>
    </x:row>
    <x:row r="142">
      <x:c r="A142" s="32" t="str">
        <x:v>Claude 2</x:v>
      </x:c>
      <x:c r="B142" s="32" t="str">
        <x:v>Claude 2</x:v>
      </x:c>
      <x:c r="C142" s="34" t="n">
        <x:v>45118</x:v>
      </x:c>
      <x:c r="D142" s="44" t="n">
        <x:v>119.58</x:v>
      </x:c>
      <x:c r="E142" s="44" t="n">
        <x:v>111.5</x:v>
      </x:c>
      <x:c r="F142" s="44" t="n">
        <x:v>124.06</x:v>
      </x:c>
      <x:c r="G142" s="32" t="str">
        <x:v>Anthropic</x:v>
      </x:c>
      <x:c r="H142" s="32" t="str">
        <x:v>United States of America</x:v>
      </x:c>
      <x:c r="I142" s="32" t="str">
        <x:v>API access</x:v>
      </x:c>
      <x:c r="J142" s="32" t="str">
        <x:v>Closed weights</x:v>
      </x:c>
      <x:c r="K142" s="32" t="str"/>
    </x:row>
    <x:row r="143">
      <x:c r="A143" s="32" t="str">
        <x:v>Gemma 2 9B</x:v>
      </x:c>
      <x:c r="B143" s="32" t="str">
        <x:v>Gemma 2 9B</x:v>
      </x:c>
      <x:c r="C143" s="34" t="n">
        <x:v>45467</x:v>
      </x:c>
      <x:c r="D143" s="44" t="n">
        <x:v>119.58</x:v>
      </x:c>
      <x:c r="E143" s="44" t="n">
        <x:v>111.3</x:v>
      </x:c>
      <x:c r="F143" s="44" t="n">
        <x:v>122.38</x:v>
      </x:c>
      <x:c r="G143" s="32" t="str">
        <x:v>Google DeepMind</x:v>
      </x:c>
      <x:c r="H143" s="32" t="str">
        <x:v>United States of America</x:v>
      </x:c>
      <x:c r="I143" s="32" t="str">
        <x:v>Open weights (restricted use)</x:v>
      </x:c>
      <x:c r="J143" s="32" t="str">
        <x:v>Open weights</x:v>
      </x:c>
      <x:c r="K143" s="32" t="str"/>
    </x:row>
    <x:row r="144">
      <x:c r="A144" s="32" t="str">
        <x:v>Qwen2.5-Coder-32B</x:v>
      </x:c>
      <x:c r="B144" s="32" t="str">
        <x:v>Qwen2.5-Coder-32B</x:v>
      </x:c>
      <x:c r="C144" s="34" t="n">
        <x:v>45553</x:v>
      </x:c>
      <x:c r="D144" s="44" t="n">
        <x:v>119.27</x:v>
      </x:c>
      <x:c r="E144" s="44" t="n">
        <x:v>110.01</x:v>
      </x:c>
      <x:c r="F144" s="44" t="n">
        <x:v>124.64</x:v>
      </x:c>
      <x:c r="G144" s="32" t="str">
        <x:v>Alibaba</x:v>
      </x:c>
      <x:c r="H144" s="32" t="str">
        <x:v>China</x:v>
      </x:c>
      <x:c r="I144" s="32" t="str">
        <x:v>Open weights (unrestricted)</x:v>
      </x:c>
      <x:c r="J144" s="32" t="str">
        <x:v>Open weights</x:v>
      </x:c>
      <x:c r="K144" s="32" t="str"/>
    </x:row>
    <x:row r="145">
      <x:c r="A145" s="32" t="str">
        <x:v>Mistral NeMo</x:v>
      </x:c>
      <x:c r="B145" s="32" t="str">
        <x:v>Mistral NeMo</x:v>
      </x:c>
      <x:c r="C145" s="34" t="n">
        <x:v>45491</x:v>
      </x:c>
      <x:c r="D145" s="44" t="n">
        <x:v>118.38</x:v>
      </x:c>
      <x:c r="E145" s="44" t="n">
        <x:v>109.85</x:v>
      </x:c>
      <x:c r="F145" s="44" t="n">
        <x:v>121.76</x:v>
      </x:c>
      <x:c r="G145" s="32" t="str">
        <x:v>Mistral AI</x:v>
      </x:c>
      <x:c r="H145" s="32" t="str">
        <x:v>France</x:v>
      </x:c>
      <x:c r="I145" s="32" t="str">
        <x:v>Open weights (unrestricted)</x:v>
      </x:c>
      <x:c r="J145" s="32" t="str">
        <x:v>Open weights</x:v>
      </x:c>
      <x:c r="K145" s="32" t="str"/>
    </x:row>
    <x:row r="146">
      <x:c r="A146" s="32" t="str">
        <x:v>Claude 2.1</x:v>
      </x:c>
      <x:c r="B146" s="32" t="str">
        <x:v>Claude 2.1</x:v>
      </x:c>
      <x:c r="C146" s="34" t="n">
        <x:v>45251</x:v>
      </x:c>
      <x:c r="D146" s="44" t="n">
        <x:v>118.37</x:v>
      </x:c>
      <x:c r="E146" s="44" t="n">
        <x:v>109.82</x:v>
      </x:c>
      <x:c r="F146" s="44" t="n">
        <x:v>120.77</x:v>
      </x:c>
      <x:c r="G146" s="32" t="str">
        <x:v>Anthropic</x:v>
      </x:c>
      <x:c r="H146" s="32" t="str">
        <x:v>United States of America</x:v>
      </x:c>
      <x:c r="I146" s="32" t="str">
        <x:v>API access</x:v>
      </x:c>
      <x:c r="J146" s="32" t="str">
        <x:v>Closed weights</x:v>
      </x:c>
      <x:c r="K146" s="32" t="str"/>
    </x:row>
    <x:row r="147">
      <x:c r="A147" s="32" t="str">
        <x:v>GPT-3.5 Turbo (Nov 2023)</x:v>
      </x:c>
      <x:c r="B147" s="32" t="str">
        <x:v>GPT-3.5 Turbo (Nov 2023)</x:v>
      </x:c>
      <x:c r="C147" s="34" t="n">
        <x:v>45090</x:v>
      </x:c>
      <x:c r="D147" s="44" t="n">
        <x:v>118.28</x:v>
      </x:c>
      <x:c r="E147" s="44" t="n">
        <x:v>108.74</x:v>
      </x:c>
      <x:c r="F147" s="44" t="n">
        <x:v>121.51</x:v>
      </x:c>
      <x:c r="G147" s="32" t="str">
        <x:v>OpenAI</x:v>
      </x:c>
      <x:c r="H147" s="32" t="str">
        <x:v>United States of America</x:v>
      </x:c>
      <x:c r="I147" s="32" t="str">
        <x:v>API access</x:v>
      </x:c>
      <x:c r="J147" s="32" t="str">
        <x:v>Closed weights</x:v>
      </x:c>
      <x:c r="K147" s="32" t="str"/>
    </x:row>
    <x:row r="148">
      <x:c r="A148" s="32" t="str">
        <x:v>Mixtral 8x7B</x:v>
      </x:c>
      <x:c r="B148" s="32" t="str">
        <x:v>Mixtral 8x7B</x:v>
      </x:c>
      <x:c r="C148" s="34" t="n">
        <x:v>45271</x:v>
      </x:c>
      <x:c r="D148" s="44" t="n">
        <x:v>118.13</x:v>
      </x:c>
      <x:c r="E148" s="44" t="n">
        <x:v>109.36</x:v>
      </x:c>
      <x:c r="F148" s="44" t="n">
        <x:v>120.78</x:v>
      </x:c>
      <x:c r="G148" s="32" t="str">
        <x:v>Mistral AI</x:v>
      </x:c>
      <x:c r="H148" s="32" t="str">
        <x:v>France</x:v>
      </x:c>
      <x:c r="I148" s="32" t="str">
        <x:v>Open weights (unrestricted)</x:v>
      </x:c>
      <x:c r="J148" s="32" t="str">
        <x:v>Open weights</x:v>
      </x:c>
      <x:c r="K148" s="32" t="str"/>
    </x:row>
    <x:row r="149">
      <x:c r="A149" s="32" t="str">
        <x:v>Claude 3 Haiku</x:v>
      </x:c>
      <x:c r="B149" s="32" t="str">
        <x:v>Claude 3 Haiku</x:v>
      </x:c>
      <x:c r="C149" s="34" t="n">
        <x:v>45355</x:v>
      </x:c>
      <x:c r="D149" s="44" t="n">
        <x:v>117.64</x:v>
      </x:c>
      <x:c r="E149" s="44" t="n">
        <x:v>108.61</x:v>
      </x:c>
      <x:c r="F149" s="44" t="n">
        <x:v>121.01</x:v>
      </x:c>
      <x:c r="G149" s="32" t="str">
        <x:v>Anthropic</x:v>
      </x:c>
      <x:c r="H149" s="32" t="str">
        <x:v>United States of America</x:v>
      </x:c>
      <x:c r="I149" s="32" t="str">
        <x:v>API access</x:v>
      </x:c>
      <x:c r="J149" s="32" t="str">
        <x:v>Closed weights</x:v>
      </x:c>
      <x:c r="K149" s="32" t="str"/>
    </x:row>
    <x:row r="150">
      <x:c r="A150" s="32" t="str">
        <x:v>Yi-34B</x:v>
      </x:c>
      <x:c r="B150" s="32" t="str">
        <x:v>Yi-34B</x:v>
      </x:c>
      <x:c r="C150" s="34" t="n">
        <x:v>45232</x:v>
      </x:c>
      <x:c r="D150" s="44" t="n">
        <x:v>117.14</x:v>
      </x:c>
      <x:c r="E150" s="44" t="n">
        <x:v>109.02</x:v>
      </x:c>
      <x:c r="F150" s="44" t="n">
        <x:v>120.55</x:v>
      </x:c>
      <x:c r="G150" s="32" t="str">
        <x:v>01.AI</x:v>
      </x:c>
      <x:c r="H150" s="32" t="str">
        <x:v>China</x:v>
      </x:c>
      <x:c r="I150" s="32" t="str">
        <x:v>Open weights (restricted use)</x:v>
      </x:c>
      <x:c r="J150" s="32" t="str">
        <x:v>Open weights</x:v>
      </x:c>
      <x:c r="K150" s="32" t="str"/>
    </x:row>
    <x:row r="151">
      <x:c r="A151" s="32" t="str">
        <x:v>phi-3-mini 3.8B</x:v>
      </x:c>
      <x:c r="B151" s="32" t="str">
        <x:v>phi-3-mini 3.8B</x:v>
      </x:c>
      <x:c r="C151" s="34" t="n">
        <x:v>45405</x:v>
      </x:c>
      <x:c r="D151" s="44" t="n">
        <x:v>117.14</x:v>
      </x:c>
      <x:c r="E151" s="44" t="n">
        <x:v>107.43</x:v>
      </x:c>
      <x:c r="F151" s="44" t="n">
        <x:v>120.17</x:v>
      </x:c>
      <x:c r="G151" s="32" t="str">
        <x:v>Microsoft</x:v>
      </x:c>
      <x:c r="H151" s="32" t="str">
        <x:v>United States of America</x:v>
      </x:c>
      <x:c r="I151" s="32" t="str">
        <x:v>Open weights (unrestricted)</x:v>
      </x:c>
      <x:c r="J151" s="32" t="str">
        <x:v>Open weights</x:v>
      </x:c>
      <x:c r="K151" s="32" t="str"/>
    </x:row>
    <x:row r="152">
      <x:c r="A152" s="32" t="str">
        <x:v>Gemini 1.0 Pro</x:v>
      </x:c>
      <x:c r="B152" s="32" t="str">
        <x:v>Gemini 1.0 Pro</x:v>
      </x:c>
      <x:c r="C152" s="34" t="n">
        <x:v>45266</x:v>
      </x:c>
      <x:c r="D152" s="44" t="n">
        <x:v>117</x:v>
      </x:c>
      <x:c r="E152" s="44" t="n">
        <x:v>108.79</x:v>
      </x:c>
      <x:c r="F152" s="44" t="n">
        <x:v>119.86</x:v>
      </x:c>
      <x:c r="G152" s="32" t="str">
        <x:v>Google DeepMind</x:v>
      </x:c>
      <x:c r="H152" s="32" t="str">
        <x:v>United States of America</x:v>
      </x:c>
      <x:c r="I152" s="32" t="str">
        <x:v>API access</x:v>
      </x:c>
      <x:c r="J152" s="32" t="str">
        <x:v>Closed weights</x:v>
      </x:c>
      <x:c r="K152" s="32" t="str"/>
    </x:row>
    <x:row r="153">
      <x:c r="A153" s="32" t="str">
        <x:v>Stable Beluga 2</x:v>
      </x:c>
      <x:c r="B153" s="32" t="str">
        <x:v>Stable Beluga 2</x:v>
      </x:c>
      <x:c r="C153" s="34" t="n">
        <x:v>45127</x:v>
      </x:c>
      <x:c r="D153" s="44" t="n">
        <x:v>116.91</x:v>
      </x:c>
      <x:c r="E153" s="44" t="n">
        <x:v>107.97</x:v>
      </x:c>
      <x:c r="F153" s="44" t="n">
        <x:v>120.27</x:v>
      </x:c>
      <x:c r="G153" s="32" t="str">
        <x:v>Stability AI</x:v>
      </x:c>
      <x:c r="H153" s="32" t="str">
        <x:v>United Kingdom of Great Britain and Northern Ireland</x:v>
      </x:c>
      <x:c r="I153" s="32" t="str">
        <x:v>Open weights (non-commercial)</x:v>
      </x:c>
      <x:c r="J153" s="32" t="str">
        <x:v>Open weights</x:v>
      </x:c>
      <x:c r="K153" s="32" t="str"/>
    </x:row>
    <x:row r="154">
      <x:c r="A154" s="32" t="str">
        <x:v>Llama 3-8B</x:v>
      </x:c>
      <x:c r="B154" s="32" t="str">
        <x:v>Llama 3-8B</x:v>
      </x:c>
      <x:c r="C154" s="34" t="n">
        <x:v>45400</x:v>
      </x:c>
      <x:c r="D154" s="44" t="n">
        <x:v>116.43</x:v>
      </x:c>
      <x:c r="E154" s="44" t="n">
        <x:v>107.42</x:v>
      </x:c>
      <x:c r="F154" s="44" t="n">
        <x:v>119.25</x:v>
      </x:c>
      <x:c r="G154" s="32" t="str">
        <x:v>Meta AI</x:v>
      </x:c>
      <x:c r="H154" s="32" t="str">
        <x:v>United States of America</x:v>
      </x:c>
      <x:c r="I154" s="32" t="str">
        <x:v>Open weights (restricted use)</x:v>
      </x:c>
      <x:c r="J154" s="32" t="str">
        <x:v>Open weights</x:v>
      </x:c>
      <x:c r="K154" s="32" t="str"/>
    </x:row>
    <x:row r="155">
      <x:c r="A155" s="32" t="str">
        <x:v>Qwen2.5-Coder-14B</x:v>
      </x:c>
      <x:c r="B155" s="32" t="str">
        <x:v>Qwen2.5-Coder-14B</x:v>
      </x:c>
      <x:c r="C155" s="34" t="n">
        <x:v>45553</x:v>
      </x:c>
      <x:c r="D155" s="44" t="n">
        <x:v>116.18</x:v>
      </x:c>
      <x:c r="E155" s="44" t="n">
        <x:v>106.11</x:v>
      </x:c>
      <x:c r="F155" s="44" t="n">
        <x:v>122.03</x:v>
      </x:c>
      <x:c r="G155" s="32" t="str"/>
      <x:c r="H155" s="32" t="str"/>
      <x:c r="I155" s="32" t="str">
        <x:v>Unknown</x:v>
      </x:c>
      <x:c r="J155" s="32" t="str">
        <x:v>Other</x:v>
      </x:c>
      <x:c r="K155" s="32" t="str"/>
    </x:row>
    <x:row r="156">
      <x:c r="A156" s="32" t="str">
        <x:v>Llama 3.1-8B</x:v>
      </x:c>
      <x:c r="B156" s="32" t="str">
        <x:v>Llama 3.1-8B</x:v>
      </x:c>
      <x:c r="C156" s="34" t="n">
        <x:v>45496</x:v>
      </x:c>
      <x:c r="D156" s="44" t="n">
        <x:v>115.45</x:v>
      </x:c>
      <x:c r="E156" s="44" t="n">
        <x:v>103.85</x:v>
      </x:c>
      <x:c r="F156" s="44" t="n">
        <x:v>121.29</x:v>
      </x:c>
      <x:c r="G156" s="32" t="str">
        <x:v>Meta AI</x:v>
      </x:c>
      <x:c r="H156" s="32" t="str">
        <x:v>United States of America</x:v>
      </x:c>
      <x:c r="I156" s="32" t="str">
        <x:v>Open weights (restricted use)</x:v>
      </x:c>
      <x:c r="J156" s="32" t="str">
        <x:v>Open weights</x:v>
      </x:c>
      <x:c r="K156" s="32" t="str"/>
    </x:row>
    <x:row r="157">
      <x:c r="A157" s="32" t="str">
        <x:v>PaLM 2-L</x:v>
      </x:c>
      <x:c r="B157" s="32" t="str">
        <x:v>PaLM 2-L</x:v>
      </x:c>
      <x:c r="C157" s="34" t="n">
        <x:v>45063</x:v>
      </x:c>
      <x:c r="D157" s="44" t="n">
        <x:v>114.86</x:v>
      </x:c>
      <x:c r="E157" s="44" t="n">
        <x:v>107.01</x:v>
      </x:c>
      <x:c r="F157" s="44" t="n">
        <x:v>128.51</x:v>
      </x:c>
      <x:c r="G157" s="32" t="str"/>
      <x:c r="H157" s="32" t="str"/>
      <x:c r="I157" s="32" t="str">
        <x:v>Unknown</x:v>
      </x:c>
      <x:c r="J157" s="32" t="str">
        <x:v>Other</x:v>
      </x:c>
      <x:c r="K157" s="32" t="str"/>
    </x:row>
    <x:row r="158">
      <x:c r="A158" s="32" t="str">
        <x:v>GPT-3.5 Turbo (Jan 2024)</x:v>
      </x:c>
      <x:c r="B158" s="32" t="str">
        <x:v>GPT-3.5 Turbo (Jan 2024)</x:v>
      </x:c>
      <x:c r="C158" s="34" t="n">
        <x:v>45090</x:v>
      </x:c>
      <x:c r="D158" s="44" t="n">
        <x:v>114.42</x:v>
      </x:c>
      <x:c r="E158" s="44" t="n">
        <x:v>104.52</x:v>
      </x:c>
      <x:c r="F158" s="44" t="n">
        <x:v>117.76</x:v>
      </x:c>
      <x:c r="G158" s="32" t="str">
        <x:v>OpenAI</x:v>
      </x:c>
      <x:c r="H158" s="32" t="str">
        <x:v>United States of America</x:v>
      </x:c>
      <x:c r="I158" s="32" t="str">
        <x:v>API access</x:v>
      </x:c>
      <x:c r="J158" s="32" t="str">
        <x:v>Closed weights</x:v>
      </x:c>
      <x:c r="K158" s="32" t="str"/>
    </x:row>
    <x:row r="159">
      <x:c r="A159" s="32" t="str">
        <x:v>Llama 2-70B</x:v>
      </x:c>
      <x:c r="B159" s="32" t="str">
        <x:v>Llama 2-70B</x:v>
      </x:c>
      <x:c r="C159" s="34" t="n">
        <x:v>45125</x:v>
      </x:c>
      <x:c r="D159" s="44" t="n">
        <x:v>113.72</x:v>
      </x:c>
      <x:c r="E159" s="44" t="n">
        <x:v>104.07</x:v>
      </x:c>
      <x:c r="F159" s="44" t="n">
        <x:v>117.82</x:v>
      </x:c>
      <x:c r="G159" s="32" t="str">
        <x:v>Meta AI</x:v>
      </x:c>
      <x:c r="H159" s="32" t="str">
        <x:v>United States of America</x:v>
      </x:c>
      <x:c r="I159" s="32" t="str">
        <x:v>Open weights (restricted use)</x:v>
      </x:c>
      <x:c r="J159" s="32" t="str">
        <x:v>Open weights</x:v>
      </x:c>
      <x:c r="K159" s="32" t="str"/>
    </x:row>
    <x:row r="160">
      <x:c r="A160" s="32" t="str">
        <x:v>GPT-3.5 Turbo (Jun 2023)</x:v>
      </x:c>
      <x:c r="B160" s="32" t="str">
        <x:v>GPT-3.5 Turbo (Jun 2023)</x:v>
      </x:c>
      <x:c r="C160" s="34" t="n">
        <x:v>45090</x:v>
      </x:c>
      <x:c r="D160" s="44" t="n">
        <x:v>113.13</x:v>
      </x:c>
      <x:c r="E160" s="44" t="n">
        <x:v>104.69</x:v>
      </x:c>
      <x:c r="F160" s="44" t="n">
        <x:v>118.18</x:v>
      </x:c>
      <x:c r="G160" s="32" t="str">
        <x:v>OpenAI</x:v>
      </x:c>
      <x:c r="H160" s="32" t="str">
        <x:v>United States of America</x:v>
      </x:c>
      <x:c r="I160" s="32" t="str">
        <x:v>API access</x:v>
      </x:c>
      <x:c r="J160" s="32" t="str">
        <x:v>Closed weights</x:v>
      </x:c>
      <x:c r="K160" s="32" t="str"/>
    </x:row>
    <x:row r="161">
      <x:c r="A161" s="32" t="str">
        <x:v>Qwen2.5-Coder (7B)</x:v>
      </x:c>
      <x:c r="B161" s="32" t="str">
        <x:v>Qwen2.5-Coder (7B)</x:v>
      </x:c>
      <x:c r="C161" s="34" t="n">
        <x:v>45553</x:v>
      </x:c>
      <x:c r="D161" s="44" t="n">
        <x:v>112.91</x:v>
      </x:c>
      <x:c r="E161" s="44" t="n">
        <x:v>102.1</x:v>
      </x:c>
      <x:c r="F161" s="44" t="n">
        <x:v>118.64</x:v>
      </x:c>
      <x:c r="G161" s="32" t="str">
        <x:v>Alibaba</x:v>
      </x:c>
      <x:c r="H161" s="32" t="str">
        <x:v>China</x:v>
      </x:c>
      <x:c r="I161" s="32" t="str">
        <x:v>Open weights (unrestricted)</x:v>
      </x:c>
      <x:c r="J161" s="32" t="str">
        <x:v>Open weights</x:v>
      </x:c>
      <x:c r="K161" s="32" t="str"/>
    </x:row>
    <x:row r="162">
      <x:c r="A162" s="32" t="str">
        <x:v>Qwen-14B</x:v>
      </x:c>
      <x:c r="B162" s="32" t="str">
        <x:v>Qwen-14B</x:v>
      </x:c>
      <x:c r="C162" s="34" t="n">
        <x:v>45193</x:v>
      </x:c>
      <x:c r="D162" s="44" t="n">
        <x:v>112.8</x:v>
      </x:c>
      <x:c r="E162" s="44" t="n">
        <x:v>103.39</x:v>
      </x:c>
      <x:c r="F162" s="44" t="n">
        <x:v>117.54</x:v>
      </x:c>
      <x:c r="G162" s="32" t="str">
        <x:v>Alibaba</x:v>
      </x:c>
      <x:c r="H162" s="32" t="str">
        <x:v>China</x:v>
      </x:c>
      <x:c r="I162" s="32" t="str">
        <x:v>Open weights (restricted use)</x:v>
      </x:c>
      <x:c r="J162" s="32" t="str">
        <x:v>Open weights</x:v>
      </x:c>
      <x:c r="K162" s="32" t="str"/>
    </x:row>
    <x:row r="163">
      <x:c r="A163" s="32" t="str">
        <x:v>Mistral 7B v0.1</x:v>
      </x:c>
      <x:c r="B163" s="32" t="str">
        <x:v>Mistral 7B v0.1</x:v>
      </x:c>
      <x:c r="C163" s="34" t="n">
        <x:v>45209</x:v>
      </x:c>
      <x:c r="D163" s="44" t="n">
        <x:v>111.98</x:v>
      </x:c>
      <x:c r="E163" s="44" t="n">
        <x:v>102.38</x:v>
      </x:c>
      <x:c r="F163" s="44" t="n">
        <x:v>115.99</x:v>
      </x:c>
      <x:c r="G163" s="32" t="str">
        <x:v>Mistral AI</x:v>
      </x:c>
      <x:c r="H163" s="32" t="str">
        <x:v>France</x:v>
      </x:c>
      <x:c r="I163" s="32" t="str">
        <x:v>Open weights (unrestricted)</x:v>
      </x:c>
      <x:c r="J163" s="32" t="str">
        <x:v>Open weights</x:v>
      </x:c>
      <x:c r="K163" s="32" t="str"/>
    </x:row>
    <x:row r="164">
      <x:c r="A164" s="32" t="str">
        <x:v>Falcon-180B</x:v>
      </x:c>
      <x:c r="B164" s="32" t="str">
        <x:v>Falcon-180B</x:v>
      </x:c>
      <x:c r="C164" s="34" t="n">
        <x:v>45175</x:v>
      </x:c>
      <x:c r="D164" s="44" t="n">
        <x:v>111.92</x:v>
      </x:c>
      <x:c r="E164" s="44" t="n">
        <x:v>102.04</x:v>
      </x:c>
      <x:c r="F164" s="44" t="n">
        <x:v>119.45</x:v>
      </x:c>
      <x:c r="G164" s="32" t="str">
        <x:v>Technology Innovation Institute</x:v>
      </x:c>
      <x:c r="H164" s="32" t="str">
        <x:v>United Arab Emirates</x:v>
      </x:c>
      <x:c r="I164" s="32" t="str">
        <x:v>Open weights (restricted use)</x:v>
      </x:c>
      <x:c r="J164" s="32" t="str">
        <x:v>Open weights</x:v>
      </x:c>
      <x:c r="K164" s="32" t="str"/>
    </x:row>
    <x:row r="165">
      <x:c r="A165" s="32" t="str">
        <x:v>internlm-20b</x:v>
      </x:c>
      <x:c r="B165" s="32" t="str">
        <x:v>internlm-20b</x:v>
      </x:c>
      <x:c r="C165" s="34" t="n">
        <x:v>45187</x:v>
      </x:c>
      <x:c r="D165" s="44" t="n">
        <x:v>111.86</x:v>
      </x:c>
      <x:c r="E165" s="44" t="n">
        <x:v>101.31</x:v>
      </x:c>
      <x:c r="F165" s="44" t="n">
        <x:v>116.95</x:v>
      </x:c>
      <x:c r="G165" s="32" t="str"/>
      <x:c r="H165" s="32" t="str"/>
      <x:c r="I165" s="32" t="str">
        <x:v>Unknown</x:v>
      </x:c>
      <x:c r="J165" s="32" t="str">
        <x:v>Other</x:v>
      </x:c>
      <x:c r="K165" s="32" t="str"/>
    </x:row>
    <x:row r="166">
      <x:c r="A166" s="32" t="str">
        <x:v>Gemma 7B</x:v>
      </x:c>
      <x:c r="B166" s="32" t="str">
        <x:v>Gemma 7B</x:v>
      </x:c>
      <x:c r="C166" s="34" t="n">
        <x:v>45343</x:v>
      </x:c>
      <x:c r="D166" s="44" t="n">
        <x:v>111.76</x:v>
      </x:c>
      <x:c r="E166" s="44" t="n">
        <x:v>103.06</x:v>
      </x:c>
      <x:c r="F166" s="44" t="n">
        <x:v>116.41</x:v>
      </x:c>
      <x:c r="G166" s="32" t="str">
        <x:v>Google DeepMind</x:v>
      </x:c>
      <x:c r="H166" s="32" t="str">
        <x:v>United States of America</x:v>
      </x:c>
      <x:c r="I166" s="32" t="str">
        <x:v>Open weights (restricted use)</x:v>
      </x:c>
      <x:c r="J166" s="32" t="str">
        <x:v>Open weights</x:v>
      </x:c>
      <x:c r="K166" s="32" t="str"/>
    </x:row>
    <x:row r="167">
      <x:c r="A167" s="32" t="str">
        <x:v>LLaMA-65B</x:v>
      </x:c>
      <x:c r="B167" s="32" t="str">
        <x:v>LLaMA-65B</x:v>
      </x:c>
      <x:c r="C167" s="34" t="n">
        <x:v>44981</x:v>
      </x:c>
      <x:c r="D167" s="44" t="n">
        <x:v>109.93</x:v>
      </x:c>
      <x:c r="E167" s="44" t="n">
        <x:v>100.46</x:v>
      </x:c>
      <x:c r="F167" s="44" t="n">
        <x:v>114.37</x:v>
      </x:c>
      <x:c r="G167" s="32" t="str">
        <x:v>Meta AI</x:v>
      </x:c>
      <x:c r="H167" s="32" t="str">
        <x:v>United States of America</x:v>
      </x:c>
      <x:c r="I167" s="32" t="str">
        <x:v>Open weights (non-commercial)</x:v>
      </x:c>
      <x:c r="J167" s="32" t="str">
        <x:v>Open weights</x:v>
      </x:c>
      <x:c r="K167" s="32" t="str"/>
    </x:row>
    <x:row r="168">
      <x:c r="A168" s="32" t="str">
        <x:v>Falcon 2 11B</x:v>
      </x:c>
      <x:c r="B168" s="32" t="str">
        <x:v>Falcon 2 11B</x:v>
      </x:c>
      <x:c r="C168" s="34" t="n">
        <x:v>45421</x:v>
      </x:c>
      <x:c r="D168" s="44" t="n">
        <x:v>109.3</x:v>
      </x:c>
      <x:c r="E168" s="44" t="n">
        <x:v>99.71</x:v>
      </x:c>
      <x:c r="F168" s="44" t="n">
        <x:v>115.81</x:v>
      </x:c>
      <x:c r="G168" s="32" t="str">
        <x:v>Technology Innovation Institute</x:v>
      </x:c>
      <x:c r="H168" s="32" t="str">
        <x:v>United Arab Emirates</x:v>
      </x:c>
      <x:c r="I168" s="32" t="str">
        <x:v>Open weights (restricted use)</x:v>
      </x:c>
      <x:c r="J168" s="32" t="str">
        <x:v>Open weights</x:v>
      </x:c>
      <x:c r="K168" s="32" t="str"/>
    </x:row>
    <x:row r="169">
      <x:c r="A169" s="32" t="str">
        <x:v>DeepSeek-Coder-V2-Lite-Base</x:v>
      </x:c>
      <x:c r="B169" s="32" t="str">
        <x:v>DeepSeek-Coder-V2-Lite-Base</x:v>
      </x:c>
      <x:c r="C169" s="34" t="n">
        <x:v>45456</x:v>
      </x:c>
      <x:c r="D169" s="44" t="n">
        <x:v>108.64</x:v>
      </x:c>
      <x:c r="E169" s="44" t="n">
        <x:v>98.31</x:v>
      </x:c>
      <x:c r="F169" s="44" t="n">
        <x:v>113.9</x:v>
      </x:c>
      <x:c r="G169" s="32" t="str"/>
      <x:c r="H169" s="32" t="str"/>
      <x:c r="I169" s="32" t="str">
        <x:v>Unknown</x:v>
      </x:c>
      <x:c r="J169" s="32" t="str">
        <x:v>Other</x:v>
      </x:c>
      <x:c r="K169" s="32" t="str"/>
    </x:row>
    <x:row r="170">
      <x:c r="A170" s="32" t="str">
        <x:v>PaLM 2-M</x:v>
      </x:c>
      <x:c r="B170" s="32" t="str">
        <x:v>PaLM 2-M</x:v>
      </x:c>
      <x:c r="C170" s="34" t="n">
        <x:v>45063</x:v>
      </x:c>
      <x:c r="D170" s="44" t="n">
        <x:v>108.09</x:v>
      </x:c>
      <x:c r="E170" s="44" t="n">
        <x:v>99.04</x:v>
      </x:c>
      <x:c r="F170" s="44" t="n">
        <x:v>119.05</x:v>
      </x:c>
      <x:c r="G170" s="32" t="str"/>
      <x:c r="H170" s="32" t="str"/>
      <x:c r="I170" s="32" t="str">
        <x:v>Unknown</x:v>
      </x:c>
      <x:c r="J170" s="32" t="str">
        <x:v>Other</x:v>
      </x:c>
      <x:c r="K170" s="32" t="str"/>
    </x:row>
    <x:row r="171">
      <x:c r="A171" s="32" t="str">
        <x:v>Phi-2</x:v>
      </x:c>
      <x:c r="B171" s="32" t="str">
        <x:v>Phi-2</x:v>
      </x:c>
      <x:c r="C171" s="34" t="n">
        <x:v>45272</x:v>
      </x:c>
      <x:c r="D171" s="44" t="n">
        <x:v>107.66</x:v>
      </x:c>
      <x:c r="E171" s="44" t="n">
        <x:v>85.19</x:v>
      </x:c>
      <x:c r="F171" s="44" t="n">
        <x:v>113.86</x:v>
      </x:c>
      <x:c r="G171" s="32" t="str">
        <x:v>Microsoft</x:v>
      </x:c>
      <x:c r="H171" s="32" t="str">
        <x:v>United States of America</x:v>
      </x:c>
      <x:c r="I171" s="32" t="str">
        <x:v>Open weights (unrestricted)</x:v>
      </x:c>
      <x:c r="J171" s="32" t="str">
        <x:v>Open weights</x:v>
      </x:c>
      <x:c r="K171" s="32" t="str"/>
    </x:row>
    <x:row r="172">
      <x:c r="A172" s="32" t="str">
        <x:v>Qwen2.5-Coder-3B</x:v>
      </x:c>
      <x:c r="B172" s="32" t="str">
        <x:v>Qwen2.5-Coder-3B</x:v>
      </x:c>
      <x:c r="C172" s="34" t="n">
        <x:v>45553</x:v>
      </x:c>
      <x:c r="D172" s="44" t="n">
        <x:v>107.5</x:v>
      </x:c>
      <x:c r="E172" s="44" t="n">
        <x:v>94.63</x:v>
      </x:c>
      <x:c r="F172" s="44" t="n">
        <x:v>115.24</x:v>
      </x:c>
      <x:c r="G172" s="32" t="str"/>
      <x:c r="H172" s="32" t="str"/>
      <x:c r="I172" s="32" t="str">
        <x:v>Unknown</x:v>
      </x:c>
      <x:c r="J172" s="32" t="str">
        <x:v>Other</x:v>
      </x:c>
      <x:c r="K172" s="32" t="str"/>
    </x:row>
    <x:row r="173">
      <x:c r="A173" s="32" t="str">
        <x:v>Nemotron-4 15B</x:v>
      </x:c>
      <x:c r="B173" s="32" t="str">
        <x:v>Nemotron-4 15B</x:v>
      </x:c>
      <x:c r="C173" s="34" t="n">
        <x:v>45349</x:v>
      </x:c>
      <x:c r="D173" s="44" t="n">
        <x:v>107.48</x:v>
      </x:c>
      <x:c r="E173" s="44" t="n">
        <x:v>96.93</x:v>
      </x:c>
      <x:c r="F173" s="44" t="n">
        <x:v>113.63</x:v>
      </x:c>
      <x:c r="G173" s="32" t="str">
        <x:v>NVIDIA</x:v>
      </x:c>
      <x:c r="H173" s="32" t="str">
        <x:v>United States of America</x:v>
      </x:c>
      <x:c r="I173" s="32" t="str">
        <x:v>Unreleased</x:v>
      </x:c>
      <x:c r="J173" s="32" t="str">
        <x:v>Closed weights</x:v>
      </x:c>
      <x:c r="K173" s="32" t="str"/>
    </x:row>
    <x:row r="174">
      <x:c r="A174" s="32" t="str">
        <x:v>Yi-9B</x:v>
      </x:c>
      <x:c r="B174" s="32" t="str">
        <x:v>Yi-9B</x:v>
      </x:c>
      <x:c r="C174" s="34" t="n">
        <x:v>45352</x:v>
      </x:c>
      <x:c r="D174" s="44" t="n">
        <x:v>107.38</x:v>
      </x:c>
      <x:c r="E174" s="44" t="n">
        <x:v>96.48</x:v>
      </x:c>
      <x:c r="F174" s="44" t="n">
        <x:v>115.19</x:v>
      </x:c>
      <x:c r="G174" s="32" t="str"/>
      <x:c r="H174" s="32" t="str"/>
      <x:c r="I174" s="32" t="str">
        <x:v>Unknown</x:v>
      </x:c>
      <x:c r="J174" s="32" t="str">
        <x:v>Other</x:v>
      </x:c>
      <x:c r="K174" s="32" t="str"/>
    </x:row>
    <x:row r="175">
      <x:c r="A175" s="32" t="str">
        <x:v>LLaMA-33B</x:v>
      </x:c>
      <x:c r="B175" s="32" t="str">
        <x:v>LLaMA-33B</x:v>
      </x:c>
      <x:c r="C175" s="34" t="n">
        <x:v>44984</x:v>
      </x:c>
      <x:c r="D175" s="44" t="n">
        <x:v>107.16</x:v>
      </x:c>
      <x:c r="E175" s="44" t="n">
        <x:v>96.33</x:v>
      </x:c>
      <x:c r="F175" s="44" t="n">
        <x:v>112.28</x:v>
      </x:c>
      <x:c r="G175" s="32" t="str">
        <x:v>Meta AI</x:v>
      </x:c>
      <x:c r="H175" s="32" t="str">
        <x:v>United States of America</x:v>
      </x:c>
      <x:c r="I175" s="32" t="str">
        <x:v>Open weights (non-commercial)</x:v>
      </x:c>
      <x:c r="J175" s="32" t="str">
        <x:v>Open weights</x:v>
      </x:c>
      <x:c r="K175" s="32" t="str"/>
    </x:row>
    <x:row r="176">
      <x:c r="A176" s="32" t="str">
        <x:v>Qwen-7B</x:v>
      </x:c>
      <x:c r="B176" s="32" t="str">
        <x:v>Qwen-7B</x:v>
      </x:c>
      <x:c r="C176" s="34" t="n">
        <x:v>45197</x:v>
      </x:c>
      <x:c r="D176" s="44" t="n">
        <x:v>106.56</x:v>
      </x:c>
      <x:c r="E176" s="44" t="n">
        <x:v>93.93</x:v>
      </x:c>
      <x:c r="F176" s="44" t="n">
        <x:v>112.46</x:v>
      </x:c>
      <x:c r="G176" s="32" t="str">
        <x:v>Alibaba</x:v>
      </x:c>
      <x:c r="H176" s="32" t="str">
        <x:v>China</x:v>
      </x:c>
      <x:c r="I176" s="32" t="str">
        <x:v>Open weights (restricted use)</x:v>
      </x:c>
      <x:c r="J176" s="32" t="str">
        <x:v>Open weights</x:v>
      </x:c>
      <x:c r="K176" s="32" t="str"/>
    </x:row>
    <x:row r="177">
      <x:c r="A177" s="32" t="str">
        <x:v>PaLM 2-S</x:v>
      </x:c>
      <x:c r="B177" s="32" t="str">
        <x:v>PaLM 2-S</x:v>
      </x:c>
      <x:c r="C177" s="34" t="n">
        <x:v>45063</x:v>
      </x:c>
      <x:c r="D177" s="44" t="n">
        <x:v>105.96</x:v>
      </x:c>
      <x:c r="E177" s="44" t="n">
        <x:v>96.19</x:v>
      </x:c>
      <x:c r="F177" s="44" t="n">
        <x:v>113.44</x:v>
      </x:c>
      <x:c r="G177" s="32" t="str"/>
      <x:c r="H177" s="32" t="str"/>
      <x:c r="I177" s="32" t="str">
        <x:v>Unknown</x:v>
      </x:c>
      <x:c r="J177" s="32" t="str">
        <x:v>Other</x:v>
      </x:c>
      <x:c r="K177" s="32" t="str"/>
    </x:row>
    <x:row r="178">
      <x:c r="A178" s="32" t="str">
        <x:v>Llama 2-13B</x:v>
      </x:c>
      <x:c r="B178" s="32" t="str">
        <x:v>Llama 2-13B</x:v>
      </x:c>
      <x:c r="C178" s="34" t="n">
        <x:v>45125</x:v>
      </x:c>
      <x:c r="D178" s="44" t="n">
        <x:v>105.91</x:v>
      </x:c>
      <x:c r="E178" s="44" t="n">
        <x:v>95.41</x:v>
      </x:c>
      <x:c r="F178" s="44" t="n">
        <x:v>111.37</x:v>
      </x:c>
      <x:c r="G178" s="32" t="str">
        <x:v>Meta AI</x:v>
      </x:c>
      <x:c r="H178" s="32" t="str">
        <x:v>United States of America</x:v>
      </x:c>
      <x:c r="I178" s="32" t="str">
        <x:v>Open weights (restricted use)</x:v>
      </x:c>
      <x:c r="J178" s="32" t="str">
        <x:v>Open weights</x:v>
      </x:c>
      <x:c r="K178" s="32" t="str"/>
    </x:row>
    <x:row r="179">
      <x:c r="A179" s="32" t="str">
        <x:v>Llama 2-34B</x:v>
      </x:c>
      <x:c r="B179" s="32" t="str">
        <x:v>Llama 2-34B</x:v>
      </x:c>
      <x:c r="C179" s="34" t="n">
        <x:v>45125</x:v>
      </x:c>
      <x:c r="D179" s="44" t="n">
        <x:v>104.95</x:v>
      </x:c>
      <x:c r="E179" s="44" t="n">
        <x:v>94.08</x:v>
      </x:c>
      <x:c r="F179" s="44" t="n">
        <x:v>110.71</x:v>
      </x:c>
      <x:c r="G179" s="32" t="str">
        <x:v>Meta AI</x:v>
      </x:c>
      <x:c r="H179" s="32" t="str">
        <x:v>United States of America</x:v>
      </x:c>
      <x:c r="I179" s="32" t="str">
        <x:v>Unreleased</x:v>
      </x:c>
      <x:c r="J179" s="32" t="str">
        <x:v>Closed weights</x:v>
      </x:c>
      <x:c r="K179" s="32" t="str"/>
    </x:row>
    <x:row r="180">
      <x:c r="A180" s="32" t="str">
        <x:v>StarCoder 2 15B</x:v>
      </x:c>
      <x:c r="B180" s="32" t="str">
        <x:v>StarCoder 2 15B</x:v>
      </x:c>
      <x:c r="C180" s="34" t="n">
        <x:v>45351</x:v>
      </x:c>
      <x:c r="D180" s="44" t="n">
        <x:v>104.74</x:v>
      </x:c>
      <x:c r="E180" s="44" t="n">
        <x:v>92.4</x:v>
      </x:c>
      <x:c r="F180" s="44" t="n">
        <x:v>112.13</x:v>
      </x:c>
      <x:c r="G180" s="32" t="str">
        <x:v>Hugging Face,ServiceNow,NVIDIA,BigCode</x:v>
      </x:c>
      <x:c r="H180" s="32" t="str">
        <x:v>United States of America</x:v>
      </x:c>
      <x:c r="I180" s="32" t="str">
        <x:v>Open weights (restricted use)</x:v>
      </x:c>
      <x:c r="J180" s="32" t="str">
        <x:v>Open weights</x:v>
      </x:c>
      <x:c r="K180" s="32" t="str"/>
    </x:row>
    <x:row r="181">
      <x:c r="A181" s="32" t="str">
        <x:v>Yi 6B</x:v>
      </x:c>
      <x:c r="B181" s="32" t="str">
        <x:v>Yi 6B</x:v>
      </x:c>
      <x:c r="C181" s="34" t="n">
        <x:v>45232</x:v>
      </x:c>
      <x:c r="D181" s="44" t="n">
        <x:v>104.51</x:v>
      </x:c>
      <x:c r="E181" s="44" t="n">
        <x:v>93.1</x:v>
      </x:c>
      <x:c r="F181" s="44" t="n">
        <x:v>110.55</x:v>
      </x:c>
      <x:c r="G181" s="32" t="str">
        <x:v>01.AI</x:v>
      </x:c>
      <x:c r="H181" s="32" t="str">
        <x:v>China</x:v>
      </x:c>
      <x:c r="I181" s="32" t="str">
        <x:v>Open weights (restricted use)</x:v>
      </x:c>
      <x:c r="J181" s="32" t="str">
        <x:v>Open weights</x:v>
      </x:c>
      <x:c r="K181" s="32" t="str"/>
    </x:row>
    <x:row r="182">
      <x:c r="A182" s="32" t="str">
        <x:v>Falcon-40B</x:v>
      </x:c>
      <x:c r="B182" s="32" t="str">
        <x:v>Falcon-40B</x:v>
      </x:c>
      <x:c r="C182" s="34" t="n">
        <x:v>45000</x:v>
      </x:c>
      <x:c r="D182" s="44" t="n">
        <x:v>104.19</x:v>
      </x:c>
      <x:c r="E182" s="44" t="n">
        <x:v>94.99</x:v>
      </x:c>
      <x:c r="F182" s="44" t="n">
        <x:v>110.58</x:v>
      </x:c>
      <x:c r="G182" s="32" t="str">
        <x:v>Technology Innovation Institute</x:v>
      </x:c>
      <x:c r="H182" s="32" t="str">
        <x:v>United Arab Emirates</x:v>
      </x:c>
      <x:c r="I182" s="32" t="str">
        <x:v>Open weights (unrestricted)</x:v>
      </x:c>
      <x:c r="J182" s="32" t="str">
        <x:v>Open weights</x:v>
      </x:c>
      <x:c r="K182" s="32" t="str"/>
    </x:row>
    <x:row r="183">
      <x:c r="A183" s="32" t="str">
        <x:v>Baichuan2-13B</x:v>
      </x:c>
      <x:c r="B183" s="32" t="str">
        <x:v>Baichuan2-13B</x:v>
      </x:c>
      <x:c r="C183" s="34" t="n">
        <x:v>45175</x:v>
      </x:c>
      <x:c r="D183" s="44" t="n">
        <x:v>102.93</x:v>
      </x:c>
      <x:c r="E183" s="44" t="n">
        <x:v>89.49</x:v>
      </x:c>
      <x:c r="F183" s="44" t="n">
        <x:v>110.46</x:v>
      </x:c>
      <x:c r="G183" s="32" t="str">
        <x:v>Baichuan</x:v>
      </x:c>
      <x:c r="H183" s="32" t="str">
        <x:v>China</x:v>
      </x:c>
      <x:c r="I183" s="32" t="str">
        <x:v>Open weights (restricted use)</x:v>
      </x:c>
      <x:c r="J183" s="32" t="str">
        <x:v>Open weights</x:v>
      </x:c>
      <x:c r="K183" s="32" t="str"/>
    </x:row>
    <x:row r="184">
      <x:c r="A184" s="32" t="str">
        <x:v>Qwen2.5-Coder (1.5B)</x:v>
      </x:c>
      <x:c r="B184" s="32" t="str">
        <x:v>Qwen2.5-Coder (1.5B)</x:v>
      </x:c>
      <x:c r="C184" s="34" t="n">
        <x:v>45553</x:v>
      </x:c>
      <x:c r="D184" s="44" t="n">
        <x:v>102.72</x:v>
      </x:c>
      <x:c r="E184" s="44" t="n">
        <x:v>86.18</x:v>
      </x:c>
      <x:c r="F184" s="44" t="n">
        <x:v>110.55</x:v>
      </x:c>
      <x:c r="G184" s="32" t="str">
        <x:v>Alibaba</x:v>
      </x:c>
      <x:c r="H184" s="32" t="str">
        <x:v>China</x:v>
      </x:c>
      <x:c r="I184" s="32" t="str">
        <x:v>Open weights (unrestricted)</x:v>
      </x:c>
      <x:c r="J184" s="32" t="str">
        <x:v>Open weights</x:v>
      </x:c>
      <x:c r="K184" s="32" t="str"/>
    </x:row>
    <x:row r="185">
      <x:c r="A185" s="32" t="str">
        <x:v>internlm-7b</x:v>
      </x:c>
      <x:c r="B185" s="32" t="str">
        <x:v>internlm-7b</x:v>
      </x:c>
      <x:c r="C185" s="34" t="n">
        <x:v>45112</x:v>
      </x:c>
      <x:c r="D185" s="44" t="n">
        <x:v>102.58</x:v>
      </x:c>
      <x:c r="E185" s="44" t="n">
        <x:v>89.7</x:v>
      </x:c>
      <x:c r="F185" s="44" t="n">
        <x:v>109.22</x:v>
      </x:c>
      <x:c r="G185" s="32" t="str"/>
      <x:c r="H185" s="32" t="str"/>
      <x:c r="I185" s="32" t="str">
        <x:v>Unknown</x:v>
      </x:c>
      <x:c r="J185" s="32" t="str">
        <x:v>Other</x:v>
      </x:c>
      <x:c r="K185" s="32" t="str"/>
    </x:row>
    <x:row r="186">
      <x:c r="A186" s="32" t="str">
        <x:v>INTELLECT-1</x:v>
      </x:c>
      <x:c r="B186" s="32" t="str">
        <x:v>INTELLECT-1</x:v>
      </x:c>
      <x:c r="C186" s="34" t="n">
        <x:v>45625</x:v>
      </x:c>
      <x:c r="D186" s="44" t="n">
        <x:v>100.58</x:v>
      </x:c>
      <x:c r="E186" s="44" t="n">
        <x:v>88.56</x:v>
      </x:c>
      <x:c r="F186" s="44" t="n">
        <x:v>107.05</x:v>
      </x:c>
      <x:c r="G186" s="32" t="str">
        <x:v>Prime Intellect,Hugging Face,Arcee AI</x:v>
      </x:c>
      <x:c r="H186" s="32" t="str">
        <x:v>United States of America</x:v>
      </x:c>
      <x:c r="I186" s="32" t="str">
        <x:v>Unknown</x:v>
      </x:c>
      <x:c r="J186" s="32" t="str">
        <x:v>Other</x:v>
      </x:c>
      <x:c r="K186" s="32" t="str"/>
    </x:row>
    <x:row r="187">
      <x:c r="A187" s="32" t="str">
        <x:v>MPT-30B</x:v>
      </x:c>
      <x:c r="B187" s="32" t="str">
        <x:v>MPT-30B</x:v>
      </x:c>
      <x:c r="C187" s="34" t="n">
        <x:v>45099</x:v>
      </x:c>
      <x:c r="D187" s="44" t="n">
        <x:v>100.38</x:v>
      </x:c>
      <x:c r="E187" s="44" t="n">
        <x:v>89.25</x:v>
      </x:c>
      <x:c r="F187" s="44" t="n">
        <x:v>106.66</x:v>
      </x:c>
      <x:c r="G187" s="32" t="str">
        <x:v>MosaicML</x:v>
      </x:c>
      <x:c r="H187" s="32" t="str">
        <x:v>United States of America</x:v>
      </x:c>
      <x:c r="I187" s="32" t="str">
        <x:v>Open weights (unrestricted)</x:v>
      </x:c>
      <x:c r="J187" s="32" t="str">
        <x:v>Open weights</x:v>
      </x:c>
      <x:c r="K187" s="32" t="str"/>
    </x:row>
    <x:row r="188">
      <x:c r="A188" s="32" t="str">
        <x:v>LLaMA-13B</x:v>
      </x:c>
      <x:c r="B188" s="32" t="str">
        <x:v>LLaMA-13B</x:v>
      </x:c>
      <x:c r="C188" s="34" t="n">
        <x:v>44984</x:v>
      </x:c>
      <x:c r="D188" s="44" t="n">
        <x:v>100.3</x:v>
      </x:c>
      <x:c r="E188" s="44" t="n">
        <x:v>89.58</x:v>
      </x:c>
      <x:c r="F188" s="44" t="n">
        <x:v>106.66</x:v>
      </x:c>
      <x:c r="G188" s="32" t="str">
        <x:v>Meta AI</x:v>
      </x:c>
      <x:c r="H188" s="32" t="str">
        <x:v>United States of America</x:v>
      </x:c>
      <x:c r="I188" s="32" t="str">
        <x:v>Open weights (non-commercial)</x:v>
      </x:c>
      <x:c r="J188" s="32" t="str">
        <x:v>Open weights</x:v>
      </x:c>
      <x:c r="K188" s="32" t="str"/>
    </x:row>
    <x:row r="189">
      <x:c r="A189" s="32" t="str">
        <x:v>Llama 2-7B</x:v>
      </x:c>
      <x:c r="B189" s="32" t="str">
        <x:v>Llama 2-7B</x:v>
      </x:c>
      <x:c r="C189" s="34" t="n">
        <x:v>45125</x:v>
      </x:c>
      <x:c r="D189" s="44" t="n">
        <x:v>98.78</x:v>
      </x:c>
      <x:c r="E189" s="44" t="n">
        <x:v>87.09</x:v>
      </x:c>
      <x:c r="F189" s="44" t="n">
        <x:v>105.57</x:v>
      </x:c>
      <x:c r="G189" s="32" t="str">
        <x:v>Meta AI</x:v>
      </x:c>
      <x:c r="H189" s="32" t="str">
        <x:v>United States of America</x:v>
      </x:c>
      <x:c r="I189" s="32" t="str">
        <x:v>Open weights (restricted use)</x:v>
      </x:c>
      <x:c r="J189" s="32" t="str">
        <x:v>Open weights</x:v>
      </x:c>
      <x:c r="K189" s="32" t="str"/>
    </x:row>
    <x:row r="190">
      <x:c r="A190" s="32" t="str">
        <x:v>chatglm2-6b</x:v>
      </x:c>
      <x:c r="B190" s="32" t="str">
        <x:v>chatglm2-6b</x:v>
      </x:c>
      <x:c r="C190" s="34" t="n">
        <x:v>45101</x:v>
      </x:c>
      <x:c r="D190" s="44" t="n">
        <x:v>98.63</x:v>
      </x:c>
      <x:c r="E190" s="44" t="n">
        <x:v>76.75</x:v>
      </x:c>
      <x:c r="F190" s="44" t="n">
        <x:v>105.82</x:v>
      </x:c>
      <x:c r="G190" s="32" t="str"/>
      <x:c r="H190" s="32" t="str"/>
      <x:c r="I190" s="32" t="str">
        <x:v>Unknown</x:v>
      </x:c>
      <x:c r="J190" s="32" t="str">
        <x:v>Other</x:v>
      </x:c>
      <x:c r="K190" s="32" t="str"/>
    </x:row>
    <x:row r="191">
      <x:c r="A191" s="32" t="str">
        <x:v>LLaMA-7B</x:v>
      </x:c>
      <x:c r="B191" s="32" t="str">
        <x:v>LLaMA-7B</x:v>
      </x:c>
      <x:c r="C191" s="34" t="n">
        <x:v>44981</x:v>
      </x:c>
      <x:c r="D191" s="44" t="n">
        <x:v>96.41</x:v>
      </x:c>
      <x:c r="E191" s="44" t="n">
        <x:v>83.74</x:v>
      </x:c>
      <x:c r="F191" s="44" t="n">
        <x:v>104.14</x:v>
      </x:c>
      <x:c r="G191" s="32" t="str">
        <x:v>Meta AI</x:v>
      </x:c>
      <x:c r="H191" s="32" t="str">
        <x:v>United States of America</x:v>
      </x:c>
      <x:c r="I191" s="32" t="str">
        <x:v>Open weights (non-commercial)</x:v>
      </x:c>
      <x:c r="J191" s="32" t="str">
        <x:v>Open weights</x:v>
      </x:c>
      <x:c r="K191" s="32" t="str"/>
    </x:row>
    <x:row r="192">
      <x:c r="A192" s="32" t="str">
        <x:v>Baichuan 2-7B</x:v>
      </x:c>
      <x:c r="B192" s="32" t="str">
        <x:v>Baichuan 2-7B</x:v>
      </x:c>
      <x:c r="C192" s="34" t="n">
        <x:v>45189</x:v>
      </x:c>
      <x:c r="D192" s="44" t="n">
        <x:v>96.04</x:v>
      </x:c>
      <x:c r="E192" s="44" t="n">
        <x:v>84.33</x:v>
      </x:c>
      <x:c r="F192" s="44" t="n">
        <x:v>104.53</x:v>
      </x:c>
      <x:c r="G192" s="32" t="str">
        <x:v>Baichuan</x:v>
      </x:c>
      <x:c r="H192" s="32" t="str">
        <x:v>China</x:v>
      </x:c>
      <x:c r="I192" s="32" t="str">
        <x:v>Open weights (restricted use)</x:v>
      </x:c>
      <x:c r="J192" s="32" t="str">
        <x:v>Open weights</x:v>
      </x:c>
      <x:c r="K192" s="32" t="str"/>
    </x:row>
    <x:row r="193">
      <x:c r="A193" s="32" t="str">
        <x:v>DeepSeek Coder 33B</x:v>
      </x:c>
      <x:c r="B193" s="32" t="str">
        <x:v>DeepSeek Coder 33B</x:v>
      </x:c>
      <x:c r="C193" s="34" t="n">
        <x:v>45316</x:v>
      </x:c>
      <x:c r="D193" s="44" t="n">
        <x:v>96.02</x:v>
      </x:c>
      <x:c r="E193" s="44" t="n">
        <x:v>82.39</x:v>
      </x:c>
      <x:c r="F193" s="44" t="n">
        <x:v>103.58</x:v>
      </x:c>
      <x:c r="G193" s="32" t="str">
        <x:v>DeepSeek,Peking University</x:v>
      </x:c>
      <x:c r="H193" s="32" t="str">
        <x:v>China</x:v>
      </x:c>
      <x:c r="I193" s="32" t="str">
        <x:v>Open weights (restricted use)</x:v>
      </x:c>
      <x:c r="J193" s="32" t="str">
        <x:v>Open weights</x:v>
      </x:c>
      <x:c r="K193" s="32" t="str"/>
    </x:row>
    <x:row r="194">
      <x:c r="A194" s="32" t="str">
        <x:v>Falcon-7B</x:v>
      </x:c>
      <x:c r="B194" s="32" t="str">
        <x:v>Falcon-7B</x:v>
      </x:c>
      <x:c r="C194" s="34" t="n">
        <x:v>45040</x:v>
      </x:c>
      <x:c r="D194" s="44" t="n">
        <x:v>94.81</x:v>
      </x:c>
      <x:c r="E194" s="44" t="n">
        <x:v>81.69</x:v>
      </x:c>
      <x:c r="F194" s="44" t="n">
        <x:v>102.89</x:v>
      </x:c>
      <x:c r="G194" s="32" t="str">
        <x:v>Technology Innovation Institute</x:v>
      </x:c>
      <x:c r="H194" s="32" t="str">
        <x:v>United Arab Emirates</x:v>
      </x:c>
      <x:c r="I194" s="32" t="str">
        <x:v>Open weights (unrestricted)</x:v>
      </x:c>
      <x:c r="J194" s="32" t="str">
        <x:v>Open weights</x:v>
      </x:c>
      <x:c r="K194" s="32" t="str"/>
    </x:row>
    <x:row r="195">
      <x:c r="A195" s="32" t="str">
        <x:v>CodeQwen1.5-7B</x:v>
      </x:c>
      <x:c r="B195" s="32" t="str">
        <x:v>CodeQwen1.5-7B</x:v>
      </x:c>
      <x:c r="C195" s="34" t="n">
        <x:v>45397</x:v>
      </x:c>
      <x:c r="D195" s="44" t="n">
        <x:v>94.56</x:v>
      </x:c>
      <x:c r="E195" s="44" t="n">
        <x:v>81.18</x:v>
      </x:c>
      <x:c r="F195" s="44" t="n">
        <x:v>102.94</x:v>
      </x:c>
      <x:c r="G195" s="32" t="str"/>
      <x:c r="H195" s="32" t="str"/>
      <x:c r="I195" s="32" t="str">
        <x:v>Unknown</x:v>
      </x:c>
      <x:c r="J195" s="32" t="str">
        <x:v>Other</x:v>
      </x:c>
      <x:c r="K195" s="32" t="str"/>
    </x:row>
    <x:row r="196">
      <x:c r="A196" s="32" t="str">
        <x:v>vicuna-13b-v1.1</x:v>
      </x:c>
      <x:c r="B196" s="32" t="str">
        <x:v>vicuna-13b-v1.1</x:v>
      </x:c>
      <x:c r="C196" s="34" t="n">
        <x:v>45028</x:v>
      </x:c>
      <x:c r="D196" s="44" t="n">
        <x:v>94.4</x:v>
      </x:c>
      <x:c r="E196" s="44" t="n">
        <x:v>81.38</x:v>
      </x:c>
      <x:c r="F196" s="44" t="n">
        <x:v>103.21</x:v>
      </x:c>
      <x:c r="G196" s="32" t="str"/>
      <x:c r="H196" s="32" t="str"/>
      <x:c r="I196" s="32" t="str">
        <x:v>Unknown</x:v>
      </x:c>
      <x:c r="J196" s="32" t="str">
        <x:v>Other</x:v>
      </x:c>
      <x:c r="K196" s="32" t="str"/>
    </x:row>
    <x:row r="197">
      <x:c r="A197" s="32" t="str">
        <x:v>MPT-7B</x:v>
      </x:c>
      <x:c r="B197" s="32" t="str">
        <x:v>MPT-7B</x:v>
      </x:c>
      <x:c r="C197" s="34" t="n">
        <x:v>45051</x:v>
      </x:c>
      <x:c r="D197" s="44" t="n">
        <x:v>94.3</x:v>
      </x:c>
      <x:c r="E197" s="44" t="n">
        <x:v>81.04</x:v>
      </x:c>
      <x:c r="F197" s="44" t="n">
        <x:v>102.67</x:v>
      </x:c>
      <x:c r="G197" s="32" t="str">
        <x:v>MosaicML</x:v>
      </x:c>
      <x:c r="H197" s="32" t="str">
        <x:v>United States of America</x:v>
      </x:c>
      <x:c r="I197" s="32" t="str">
        <x:v>Open weights (unrestricted)</x:v>
      </x:c>
      <x:c r="J197" s="32" t="str">
        <x:v>Open weights</x:v>
      </x:c>
      <x:c r="K197" s="32" t="str"/>
    </x:row>
    <x:row r="198">
      <x:c r="A198" s="32" t="str">
        <x:v>Gemma 2B</x:v>
      </x:c>
      <x:c r="B198" s="32" t="str">
        <x:v>Gemma 2B</x:v>
      </x:c>
      <x:c r="C198" s="34" t="n">
        <x:v>45343</x:v>
      </x:c>
      <x:c r="D198" s="44" t="n">
        <x:v>93.91</x:v>
      </x:c>
      <x:c r="E198" s="44" t="n">
        <x:v>81</x:v>
      </x:c>
      <x:c r="F198" s="44" t="n">
        <x:v>101.27</x:v>
      </x:c>
      <x:c r="G198" s="32" t="str">
        <x:v>Google DeepMind</x:v>
      </x:c>
      <x:c r="H198" s="32" t="str">
        <x:v>United States of America</x:v>
      </x:c>
      <x:c r="I198" s="32" t="str">
        <x:v>Open weights (restricted use)</x:v>
      </x:c>
      <x:c r="J198" s="32" t="str">
        <x:v>Open weights</x:v>
      </x:c>
      <x:c r="K198" s="32" t="str"/>
    </x:row>
    <x:row r="199">
      <x:c r="A199" s="32" t="str">
        <x:v>StarCoder 2 7B</x:v>
      </x:c>
      <x:c r="B199" s="32" t="str">
        <x:v>StarCoder 2 7B</x:v>
      </x:c>
      <x:c r="C199" s="34" t="n">
        <x:v>45351</x:v>
      </x:c>
      <x:c r="D199" s="44" t="n">
        <x:v>93.25</x:v>
      </x:c>
      <x:c r="E199" s="44" t="n">
        <x:v>76.05</x:v>
      </x:c>
      <x:c r="F199" s="44" t="n">
        <x:v>102.02</x:v>
      </x:c>
      <x:c r="G199" s="32" t="str">
        <x:v>Hugging Face,ServiceNow,NVIDIA,BigCode</x:v>
      </x:c>
      <x:c r="H199" s="32" t="str">
        <x:v>United States of America</x:v>
      </x:c>
      <x:c r="I199" s="32" t="str">
        <x:v>Open weights (restricted use)</x:v>
      </x:c>
      <x:c r="J199" s="32" t="str">
        <x:v>Open weights</x:v>
      </x:c>
      <x:c r="K199" s="32" t="str"/>
    </x:row>
    <x:row r="200">
      <x:c r="A200" s="32" t="str">
        <x:v>XGen-7B</x:v>
      </x:c>
      <x:c r="B200" s="32" t="str">
        <x:v>XGen-7B</x:v>
      </x:c>
      <x:c r="C200" s="34" t="n">
        <x:v>45176</x:v>
      </x:c>
      <x:c r="D200" s="44" t="n">
        <x:v>93.11</x:v>
      </x:c>
      <x:c r="E200" s="44" t="n">
        <x:v>79.82</x:v>
      </x:c>
      <x:c r="F200" s="44" t="n">
        <x:v>101.25</x:v>
      </x:c>
      <x:c r="G200" s="32" t="str">
        <x:v>Salesforce</x:v>
      </x:c>
      <x:c r="H200" s="32" t="str">
        <x:v>United States of America</x:v>
      </x:c>
      <x:c r="I200" s="32" t="str">
        <x:v>Open weights (unrestricted)</x:v>
      </x:c>
      <x:c r="J200" s="32" t="str">
        <x:v>Open weights</x:v>
      </x:c>
      <x:c r="K200" s="32" t="str"/>
    </x:row>
    <x:row r="201">
      <x:c r="A201" s="32" t="str">
        <x:v>Qwen-1_8B</x:v>
      </x:c>
      <x:c r="B201" s="32" t="str">
        <x:v>Qwen-1_8B</x:v>
      </x:c>
      <x:c r="C201" s="34" t="n">
        <x:v>45260</x:v>
      </x:c>
      <x:c r="D201" s="44" t="n">
        <x:v>92.58</x:v>
      </x:c>
      <x:c r="E201" s="44" t="n">
        <x:v>72.62</x:v>
      </x:c>
      <x:c r="F201" s="44" t="n">
        <x:v>102.47</x:v>
      </x:c>
      <x:c r="G201" s="32" t="str"/>
      <x:c r="H201" s="32" t="str"/>
      <x:c r="I201" s="32" t="str">
        <x:v>Unknown</x:v>
      </x:c>
      <x:c r="J201" s="32" t="str">
        <x:v>Other</x:v>
      </x:c>
      <x:c r="K201" s="32" t="str"/>
    </x:row>
    <x:row r="202">
      <x:c r="A202" s="32" t="str">
        <x:v>open_llama_7b</x:v>
      </x:c>
      <x:c r="B202" s="32" t="str">
        <x:v>open_llama_7b</x:v>
      </x:c>
      <x:c r="C202" s="34" t="n">
        <x:v>45084</x:v>
      </x:c>
      <x:c r="D202" s="44" t="n">
        <x:v>91.36</x:v>
      </x:c>
      <x:c r="E202" s="44" t="n">
        <x:v>76.58</x:v>
      </x:c>
      <x:c r="F202" s="44" t="n">
        <x:v>100.39</x:v>
      </x:c>
      <x:c r="G202" s="32" t="str"/>
      <x:c r="H202" s="32" t="str"/>
      <x:c r="I202" s="32" t="str">
        <x:v>Unknown</x:v>
      </x:c>
      <x:c r="J202" s="32" t="str">
        <x:v>Other</x:v>
      </x:c>
      <x:c r="K202" s="32" t="str"/>
    </x:row>
    <x:row r="203">
      <x:c r="A203" s="32" t="str">
        <x:v>Phi-1.5</x:v>
      </x:c>
      <x:c r="B203" s="32" t="str">
        <x:v>Phi-1.5</x:v>
      </x:c>
      <x:c r="C203" s="34" t="n">
        <x:v>45180</x:v>
      </x:c>
      <x:c r="D203" s="44" t="n">
        <x:v>91.26</x:v>
      </x:c>
      <x:c r="E203" s="44" t="n">
        <x:v>72.29</x:v>
      </x:c>
      <x:c r="F203" s="44" t="n">
        <x:v>101.39</x:v>
      </x:c>
      <x:c r="G203" s="32" t="str">
        <x:v>Microsoft</x:v>
      </x:c>
      <x:c r="H203" s="32" t="str">
        <x:v>United States of America</x:v>
      </x:c>
      <x:c r="I203" s="32" t="str">
        <x:v>Open weights (unrestricted)</x:v>
      </x:c>
      <x:c r="J203" s="32" t="str">
        <x:v>Open weights</x:v>
      </x:c>
      <x:c r="K203" s="32" t="str"/>
    </x:row>
    <x:row r="204">
      <x:c r="A204" s="32" t="str">
        <x:v>Baichuan1-7B</x:v>
      </x:c>
      <x:c r="B204" s="32" t="str">
        <x:v>Baichuan1-7B</x:v>
      </x:c>
      <x:c r="C204" s="34" t="n">
        <x:v>45078</x:v>
      </x:c>
      <x:c r="D204" s="44" t="n">
        <x:v>90.14</x:v>
      </x:c>
      <x:c r="E204" s="44" t="n">
        <x:v>75.09</x:v>
      </x:c>
      <x:c r="F204" s="44" t="n">
        <x:v>99.78</x:v>
      </x:c>
      <x:c r="G204" s="32" t="str">
        <x:v>Baichuan</x:v>
      </x:c>
      <x:c r="H204" s="32" t="str">
        <x:v>China</x:v>
      </x:c>
      <x:c r="I204" s="32" t="str">
        <x:v>Open weights (non-commercial)</x:v>
      </x:c>
      <x:c r="J204" s="32" t="str">
        <x:v>Open weights</x:v>
      </x:c>
      <x:c r="K204" s="32" t="str"/>
    </x:row>
    <x:row r="205">
      <x:c r="A205" s="32" t="str">
        <x:v>RedPajama-INCITE-7B-Base</x:v>
      </x:c>
      <x:c r="B205" s="32" t="str">
        <x:v>RedPajama-INCITE-7B-Base</x:v>
      </x:c>
      <x:c r="C205" s="34" t="n">
        <x:v>45050</x:v>
      </x:c>
      <x:c r="D205" s="44" t="n">
        <x:v>90.12</x:v>
      </x:c>
      <x:c r="E205" s="44" t="n">
        <x:v>74.73</x:v>
      </x:c>
      <x:c r="F205" s="44" t="n">
        <x:v>99.34</x:v>
      </x:c>
      <x:c r="G205" s="32" t="str"/>
      <x:c r="H205" s="32" t="str"/>
      <x:c r="I205" s="32" t="str">
        <x:v>Unknown</x:v>
      </x:c>
      <x:c r="J205" s="32" t="str">
        <x:v>Other</x:v>
      </x:c>
      <x:c r="K205" s="32" t="str"/>
    </x:row>
    <x:row r="206">
      <x:c r="A206" s="32" t="str">
        <x:v>Dolly 2.0-12b</x:v>
      </x:c>
      <x:c r="B206" s="32" t="str">
        <x:v>Dolly 2.0-12b</x:v>
      </x:c>
      <x:c r="C206" s="34" t="n">
        <x:v>45028</x:v>
      </x:c>
      <x:c r="D206" s="44" t="n">
        <x:v>89.37</x:v>
      </x:c>
      <x:c r="E206" s="44" t="n">
        <x:v>74.42</x:v>
      </x:c>
      <x:c r="F206" s="44" t="n">
        <x:v>98.45</x:v>
      </x:c>
      <x:c r="G206" s="32" t="str">
        <x:v>Databricks</x:v>
      </x:c>
      <x:c r="H206" s="32" t="str">
        <x:v>United States of America</x:v>
      </x:c>
      <x:c r="I206" s="32" t="str">
        <x:v>Open weights (unrestricted)</x:v>
      </x:c>
      <x:c r="J206" s="32" t="str">
        <x:v>Open weights</x:v>
      </x:c>
      <x:c r="K206" s="32" t="str"/>
    </x:row>
    <x:row r="207">
      <x:c r="A207" s="32" t="str">
        <x:v>DeepSeek Coder 6.7B</x:v>
      </x:c>
      <x:c r="B207" s="32" t="str">
        <x:v>DeepSeek Coder 6.7B</x:v>
      </x:c>
      <x:c r="C207" s="34" t="n">
        <x:v>45316</x:v>
      </x:c>
      <x:c r="D207" s="44" t="n">
        <x:v>89.32</x:v>
      </x:c>
      <x:c r="E207" s="44" t="n">
        <x:v>72.08</x:v>
      </x:c>
      <x:c r="F207" s="44" t="n">
        <x:v>98.6</x:v>
      </x:c>
      <x:c r="G207" s="32" t="str">
        <x:v>DeepSeek,Peking University</x:v>
      </x:c>
      <x:c r="H207" s="32" t="str">
        <x:v>China</x:v>
      </x:c>
      <x:c r="I207" s="32" t="str">
        <x:v>Open weights (restricted use)</x:v>
      </x:c>
      <x:c r="J207" s="32" t="str">
        <x:v>Open weights</x:v>
      </x:c>
      <x:c r="K207" s="32" t="str"/>
    </x:row>
    <x:row r="208">
      <x:c r="A208" s="32" t="str">
        <x:v>StarCoder 2 3B</x:v>
      </x:c>
      <x:c r="B208" s="32" t="str">
        <x:v>StarCoder 2 3B</x:v>
      </x:c>
      <x:c r="C208" s="34" t="n">
        <x:v>45351</x:v>
      </x:c>
      <x:c r="D208" s="44" t="n">
        <x:v>88.47</x:v>
      </x:c>
      <x:c r="E208" s="44" t="n">
        <x:v>73.81</x:v>
      </x:c>
      <x:c r="F208" s="44" t="n">
        <x:v>98.03</x:v>
      </x:c>
      <x:c r="G208" s="32" t="str">
        <x:v>Hugging Face,ServiceNow,NVIDIA,BigCode</x:v>
      </x:c>
      <x:c r="H208" s="32" t="str">
        <x:v>United States of America</x:v>
      </x:c>
      <x:c r="I208" s="32" t="str">
        <x:v>Open weights (restricted use)</x:v>
      </x:c>
      <x:c r="J208" s="32" t="str">
        <x:v>Open weights</x:v>
      </x:c>
      <x:c r="K208" s="32" t="str"/>
    </x:row>
    <x:row r="209">
      <x:c r="A209" s="32" t="str">
        <x:v>Qwen2.5-Coder-0.5B</x:v>
      </x:c>
      <x:c r="B209" s="32" t="str">
        <x:v>Qwen2.5-Coder-0.5B</x:v>
      </x:c>
      <x:c r="C209" s="34" t="n">
        <x:v>45553</x:v>
      </x:c>
      <x:c r="D209" s="44" t="n">
        <x:v>87.88</x:v>
      </x:c>
      <x:c r="E209" s="44" t="n">
        <x:v>63.22</x:v>
      </x:c>
      <x:c r="F209" s="44" t="n">
        <x:v>100.04</x:v>
      </x:c>
      <x:c r="G209" s="32" t="str"/>
      <x:c r="H209" s="32" t="str"/>
      <x:c r="I209" s="32" t="str">
        <x:v>Unknown</x:v>
      </x:c>
      <x:c r="J209" s="32" t="str">
        <x:v>Other</x:v>
      </x:c>
      <x:c r="K209" s="32" t="str"/>
    </x:row>
    <x:row r="210">
      <x:c r="A210" s="32" t="str">
        <x:v>Cerebras-GPT-13B</x:v>
      </x:c>
      <x:c r="B210" s="32" t="str">
        <x:v>Cerebras-GPT-13B</x:v>
      </x:c>
      <x:c r="C210" s="34" t="n">
        <x:v>45022</x:v>
      </x:c>
      <x:c r="D210" s="44" t="n">
        <x:v>82.95</x:v>
      </x:c>
      <x:c r="E210" s="44" t="n">
        <x:v>67.22</x:v>
      </x:c>
      <x:c r="F210" s="44" t="n">
        <x:v>92.99</x:v>
      </x:c>
      <x:c r="G210" s="32" t="str">
        <x:v>Cerebras Systems</x:v>
      </x:c>
      <x:c r="H210" s="32" t="str">
        <x:v>United States of America</x:v>
      </x:c>
      <x:c r="I210" s="32" t="str">
        <x:v>Open weights (unrestricted)</x:v>
      </x:c>
      <x:c r="J210" s="32" t="str">
        <x:v>Open weights</x:v>
      </x:c>
      <x:c r="K210" s="32" t="str"/>
    </x:row>
    <x:row r="211">
      <x:c r="A211" s="32" t="str">
        <x:v>DeepSeek Coder 1.3B</x:v>
      </x:c>
      <x:c r="B211" s="32" t="str">
        <x:v>DeepSeek Coder 1.3B</x:v>
      </x:c>
      <x:c r="C211" s="34" t="n">
        <x:v>45316</x:v>
      </x:c>
      <x:c r="D211" s="44" t="n">
        <x:v>64.01</x:v>
      </x:c>
      <x:c r="E211" s="44" t="n">
        <x:v>44.11</x:v>
      </x:c>
      <x:c r="F211" s="44" t="n">
        <x:v>79.87</x:v>
      </x:c>
      <x:c r="G211" s="32" t="str">
        <x:v>DeepSeek,Peking University</x:v>
      </x:c>
      <x:c r="H211" s="32" t="str">
        <x:v>China</x:v>
      </x:c>
      <x:c r="I211" s="32" t="str">
        <x:v>Open weights (restricted use)</x:v>
      </x:c>
      <x:c r="J211" s="32" t="str">
        <x:v>Open weights</x:v>
      </x:c>
      <x:c r="K211" s="32" t="str"/>
    </x:row>
    <x:row r="212">
      <x:c r="A212" s="32" t="str">
        <x:v>stablelm-tuned-alpha-7b</x:v>
      </x:c>
      <x:c r="B212" s="32" t="str">
        <x:v>stablelm-tuned-alpha-7b</x:v>
      </x:c>
      <x:c r="C212" s="34" t="n">
        <x:v>45035</x:v>
      </x:c>
      <x:c r="D212" s="44" t="n">
        <x:v>55.51</x:v>
      </x:c>
      <x:c r="E212" s="44" t="n">
        <x:v>31.98</x:v>
      </x:c>
      <x:c r="F212" s="44" t="n">
        <x:v>74.21</x:v>
      </x:c>
      <x:c r="G212" s="32" t="str"/>
      <x:c r="H212" s="32" t="str"/>
      <x:c r="I212" s="32" t="str">
        <x:v>Unknown</x:v>
      </x:c>
      <x:c r="J212" s="32" t="str">
        <x:v>Other</x:v>
      </x:c>
      <x:c r="K212" s="32" t="str"/>
    </x:row>
  </x:sheetData>
  <x:pageMargins left="0.7" right="0.7" top="0.75" bottom="0.75" header="0.3" footer="0.3"/>
  <x:drawing xmlns:r="http://schemas.openxmlformats.org/officeDocument/2006/relationships" r:id="R78bfd59fc18d4ae3"/>
  <x:tableParts count="1">
    <x:tablePart xmlns:r="http://schemas.openxmlformats.org/officeDocument/2006/relationships" r:id="R549120caf11c44ce"/>
  </x:tableParts>
</x:worksheet>
</file>

<file path=xl/worksheets/sheet7.xml><?xml version="1.0" encoding="utf-8"?>
<x:worksheet xmlns:x="http://schemas.openxmlformats.org/spreadsheetml/2006/main">
  <x:sheetFormatPr defaultRowHeight="15"/>
  <x:cols>
    <x:col min="1" max="1" width="24" hidden="0" customWidth="1"/>
    <x:col min="2" max="2" width="28" hidden="0" customWidth="1"/>
    <x:col min="3" max="3" width="14" hidden="0" customWidth="1"/>
    <x:col min="4" max="4" width="24" hidden="0" customWidth="1"/>
    <x:col min="5" max="5" width="24" hidden="0" customWidth="1"/>
    <x:col min="6" max="6" width="13" hidden="0" customWidth="1"/>
    <x:col min="7" max="7" width="24" hidden="0" customWidth="1"/>
    <x:col min="8" max="8" width="13" hidden="0" customWidth="1"/>
    <x:col min="9" max="9" width="14" hidden="0" customWidth="1"/>
    <x:col min="10" max="10" width="14" hidden="0" customWidth="1"/>
    <x:col min="11" max="11" width="48" hidden="0" customWidth="1"/>
    <x:col min="12" max="12" width="28" hidden="0" customWidth="1"/>
    <x:col min="13" max="13" width="24" hidden="0" customWidth="1"/>
    <x:col min="14" max="14" width="24" hidden="0" customWidth="1"/>
    <x:col min="15" max="15" width="28" hidden="0" customWidth="1"/>
    <x:col min="16" max="16" width="14" hidden="0" customWidth="1"/>
    <x:col min="17" max="17" width="14" hidden="0" customWidth="1"/>
    <x:col min="18" max="18" width="14" hidden="0" customWidth="1"/>
  </x:cols>
  <x:sheetData>
    <x:row r="1" ht="24" customHeight="1">
      <x:c r="A1" s="68" t="str">
        <x:v>Model</x:v>
      </x:c>
      <x:c r="B1" s="68" t="str">
        <x:v>id_model_version</x:v>
      </x:c>
      <x:c r="C1" s="68" t="str">
        <x:v>Display name</x:v>
      </x:c>
      <x:c r="D1" s="68" t="str">
        <x:v>Organization</x:v>
      </x:c>
      <x:c r="E1" s="68" t="str">
        <x:v>Country (of organization)</x:v>
      </x:c>
      <x:c r="F1" s="68" t="str">
        <x:v>Version release date</x:v>
      </x:c>
      <x:c r="G1" s="68" t="str">
        <x:v>Model accessibility</x:v>
      </x:c>
      <x:c r="H1" s="68" t="str">
        <x:v>Publication date</x:v>
      </x:c>
      <x:c r="I1" s="68" t="str">
        <x:v>Training compute (FLOP)</x:v>
      </x:c>
      <x:c r="J1" s="68" t="str">
        <x:v>Confidence</x:v>
      </x:c>
      <x:c r="K1" s="68" t="str">
        <x:v>Description</x:v>
      </x:c>
      <x:c r="L1" s="68" t="str">
        <x:v>Unique display name</x:v>
      </x:c>
      <x:c r="M1" s="68" t="str">
        <x:v>Model aggregation</x:v>
      </x:c>
      <x:c r="N1" s="68" t="str">
        <x:v>model_group</x:v>
      </x:c>
      <x:c r="O1" s="68" t="str">
        <x:v>slug</x:v>
      </x:c>
      <x:c r="P1" s="68" t="str">
        <x:v>eci</x:v>
      </x:c>
      <x:c r="Q1" s="68" t="str">
        <x:v>eci_ci_low</x:v>
      </x:c>
      <x:c r="R1" s="68" t="str">
        <x:v>eci_ci_high</x:v>
      </x:c>
      <x:c r="S1" s="47"/>
      <x:c r="T1" s="47"/>
      <x:c r="U1" s="47"/>
      <x:c r="V1" s="47"/>
      <x:c r="W1" s="47"/>
      <x:c r="X1" s="47"/>
      <x:c r="Y1" s="47"/>
      <x:c r="Z1" s="47"/>
    </x:row>
    <x:row r="2">
      <x:c r="A2" s="32" t="str">
        <x:v>Grok 4.20</x:v>
      </x:c>
      <x:c r="B2" s="32" t="str">
        <x:v>grok-4.20-0309-reasoning</x:v>
      </x:c>
      <x:c r="C2" s="32" t="str"/>
      <x:c r="D2" s="32" t="str">
        <x:v>xAI</x:v>
      </x:c>
      <x:c r="E2" s="32" t="str">
        <x:v>United States of America</x:v>
      </x:c>
      <x:c r="F2" s="34" t="n">
        <x:v>46070</x:v>
      </x:c>
      <x:c r="G2" s="32" t="str">
        <x:v>API access</x:v>
      </x:c>
      <x:c r="H2" s="34" t="n">
        <x:v>46070</x:v>
      </x:c>
      <x:c r="I2" s="52" t="str"/>
      <x:c r="J2" s="32" t="str">
        <x:v>Likely</x:v>
      </x:c>
      <x:c r="K2" s="32" t="str"/>
      <x:c r="L2" s="32" t="str"/>
      <x:c r="M2" s="32" t="str"/>
      <x:c r="N2" s="32" t="str">
        <x:v>Grok 4.20</x:v>
      </x:c>
      <x:c r="O2" s="32" t="str">
        <x:v>grok-4-20</x:v>
      </x:c>
      <x:c r="P2" s="44" t="n">
        <x:v>152.56</x:v>
      </x:c>
      <x:c r="Q2" s="44" t="n">
        <x:v>149.24</x:v>
      </x:c>
      <x:c r="R2" s="44" t="n">
        <x:v>154.54</x:v>
      </x:c>
    </x:row>
    <x:row r="3">
      <x:c r="A3" s="32" t="str">
        <x:v>GPT-5.6 Sol</x:v>
      </x:c>
      <x:c r="B3" s="32" t="str">
        <x:v>gpt-5.6-sol_promax</x:v>
      </x:c>
      <x:c r="C3" s="32" t="str">
        <x:v>GPT-5.6 Sol (pro, max)</x:v>
      </x:c>
      <x:c r="D3" s="32" t="str">
        <x:v>OpenAI</x:v>
      </x:c>
      <x:c r="E3" s="32" t="str">
        <x:v>United States of America</x:v>
      </x:c>
      <x:c r="F3" s="34" t="n">
        <x:v>46212</x:v>
      </x:c>
      <x:c r="G3" s="32" t="str">
        <x:v>API access</x:v>
      </x:c>
      <x:c r="H3" s="34" t="n">
        <x:v>46212</x:v>
      </x:c>
      <x:c r="I3" s="52" t="str"/>
      <x:c r="J3" s="32" t="str">
        <x:v>Unverified</x:v>
      </x:c>
      <x:c r="K3" s="32" t="str"/>
      <x:c r="L3" s="32" t="str">
        <x:v>GPT-5.6 Sol (pro, max)</x:v>
      </x:c>
      <x:c r="M3" s="32" t="str"/>
      <x:c r="N3" s="32" t="str">
        <x:v>GPT-5.6 Sol</x:v>
      </x:c>
      <x:c r="O3" s="32" t="str">
        <x:v>gpt-5-6-sol</x:v>
      </x:c>
      <x:c r="P3" s="44" t="n">
        <x:v>161.77</x:v>
      </x:c>
      <x:c r="Q3" s="44" t="n">
        <x:v>159.26</x:v>
      </x:c>
      <x:c r="R3" s="44" t="n">
        <x:v>166.01</x:v>
      </x:c>
    </x:row>
    <x:row r="4">
      <x:c r="A4" s="32" t="str">
        <x:v>GPT-5.6 Terra</x:v>
      </x:c>
      <x:c r="B4" s="32" t="str">
        <x:v>gpt-5.6-terra_max</x:v>
      </x:c>
      <x:c r="C4" s="32" t="str">
        <x:v>GPT-5.6 Terra (max)</x:v>
      </x:c>
      <x:c r="D4" s="32" t="str">
        <x:v>OpenAI</x:v>
      </x:c>
      <x:c r="E4" s="32" t="str">
        <x:v>United States of America</x:v>
      </x:c>
      <x:c r="F4" s="34" t="n">
        <x:v>46212</x:v>
      </x:c>
      <x:c r="G4" s="32" t="str">
        <x:v>API access</x:v>
      </x:c>
      <x:c r="H4" s="34" t="n">
        <x:v>46212</x:v>
      </x:c>
      <x:c r="I4" s="52" t="str"/>
      <x:c r="J4" s="32" t="str">
        <x:v>Unverified</x:v>
      </x:c>
      <x:c r="K4" s="32" t="str"/>
      <x:c r="L4" s="32" t="str">
        <x:v>GPT-5.6 Terra (max)</x:v>
      </x:c>
      <x:c r="M4" s="32" t="str"/>
      <x:c r="N4" s="32" t="str">
        <x:v>GPT-5.6 Terra</x:v>
      </x:c>
      <x:c r="O4" s="32" t="str">
        <x:v>gpt-5-6-terra</x:v>
      </x:c>
      <x:c r="P4" s="44" t="n">
        <x:v>158.25</x:v>
      </x:c>
      <x:c r="Q4" s="44" t="n">
        <x:v>155.39</x:v>
      </x:c>
      <x:c r="R4" s="44" t="n">
        <x:v>161.26</x:v>
      </x:c>
    </x:row>
    <x:row r="5">
      <x:c r="A5" s="32" t="str">
        <x:v>GPT-5.6 Luna</x:v>
      </x:c>
      <x:c r="B5" s="32" t="str">
        <x:v>gpt-5.6-luna_max</x:v>
      </x:c>
      <x:c r="C5" s="32" t="str">
        <x:v>GPT-5.6 Luna (max)</x:v>
      </x:c>
      <x:c r="D5" s="32" t="str">
        <x:v>OpenAI</x:v>
      </x:c>
      <x:c r="E5" s="32" t="str">
        <x:v>United States of America</x:v>
      </x:c>
      <x:c r="F5" s="34" t="n">
        <x:v>46212</x:v>
      </x:c>
      <x:c r="G5" s="32" t="str">
        <x:v>API access</x:v>
      </x:c>
      <x:c r="H5" s="34" t="n">
        <x:v>46212</x:v>
      </x:c>
      <x:c r="I5" s="52" t="str"/>
      <x:c r="J5" s="32" t="str">
        <x:v>Unverified</x:v>
      </x:c>
      <x:c r="K5" s="32" t="str"/>
      <x:c r="L5" s="32" t="str">
        <x:v>GPT-5.6 Luna (max)</x:v>
      </x:c>
      <x:c r="M5" s="32" t="str"/>
      <x:c r="N5" s="32" t="str">
        <x:v>GPT-5.6 Luna</x:v>
      </x:c>
      <x:c r="O5" s="32" t="str">
        <x:v>gpt-5-6-luna</x:v>
      </x:c>
      <x:c r="P5" s="44" t="n">
        <x:v>155.62</x:v>
      </x:c>
      <x:c r="Q5" s="44" t="n">
        <x:v>152.89</x:v>
      </x:c>
      <x:c r="R5" s="44" t="n">
        <x:v>158.51</x:v>
      </x:c>
    </x:row>
    <x:row r="6">
      <x:c r="A6" s="32" t="str">
        <x:v>GPT-5.6 Sol</x:v>
      </x:c>
      <x:c r="B6" s="32" t="str">
        <x:v>gpt-5.6-sol_max</x:v>
      </x:c>
      <x:c r="C6" s="32" t="str">
        <x:v>GPT-5.6 Sol (max)</x:v>
      </x:c>
      <x:c r="D6" s="32" t="str">
        <x:v>OpenAI</x:v>
      </x:c>
      <x:c r="E6" s="32" t="str">
        <x:v>United States of America</x:v>
      </x:c>
      <x:c r="F6" s="34" t="n">
        <x:v>46212</x:v>
      </x:c>
      <x:c r="G6" s="32" t="str">
        <x:v>API access</x:v>
      </x:c>
      <x:c r="H6" s="34" t="n">
        <x:v>46212</x:v>
      </x:c>
      <x:c r="I6" s="52" t="str"/>
      <x:c r="J6" s="32" t="str">
        <x:v>Unverified</x:v>
      </x:c>
      <x:c r="K6" s="32" t="str"/>
      <x:c r="L6" s="32" t="str">
        <x:v>GPT-5.6 Sol (max)</x:v>
      </x:c>
      <x:c r="M6" s="32" t="str"/>
      <x:c r="N6" s="32" t="str">
        <x:v>GPT-5.6 Sol</x:v>
      </x:c>
      <x:c r="O6" s="32" t="str">
        <x:v>gpt-5-6-sol</x:v>
      </x:c>
      <x:c r="P6" s="44" t="n">
        <x:v>161.77</x:v>
      </x:c>
      <x:c r="Q6" s="44" t="n">
        <x:v>159.26</x:v>
      </x:c>
      <x:c r="R6" s="44" t="n">
        <x:v>166.01</x:v>
      </x:c>
    </x:row>
    <x:row r="7">
      <x:c r="A7" s="32" t="str">
        <x:v>Grok 4.5</x:v>
      </x:c>
      <x:c r="B7" s="32" t="str">
        <x:v>grok-4.5_high</x:v>
      </x:c>
      <x:c r="C7" s="32" t="str">
        <x:v>Grok 4.5 (high)</x:v>
      </x:c>
      <x:c r="D7" s="32" t="str">
        <x:v>xAI</x:v>
      </x:c>
      <x:c r="E7" s="32" t="str">
        <x:v>United States of America</x:v>
      </x:c>
      <x:c r="F7" s="34" t="n">
        <x:v>46211</x:v>
      </x:c>
      <x:c r="G7" s="32" t="str">
        <x:v>API access</x:v>
      </x:c>
      <x:c r="H7" s="34" t="n">
        <x:v>46211</x:v>
      </x:c>
      <x:c r="I7" s="52" t="str"/>
      <x:c r="J7" s="32" t="str">
        <x:v>Unverified</x:v>
      </x:c>
      <x:c r="K7" s="32" t="str"/>
      <x:c r="L7" s="32" t="str">
        <x:v>Grok 4.5 (high)</x:v>
      </x:c>
      <x:c r="M7" s="32" t="str"/>
      <x:c r="N7" s="32" t="str">
        <x:v>Grok 4.5</x:v>
      </x:c>
      <x:c r="O7" s="32" t="str">
        <x:v>grok-4-5</x:v>
      </x:c>
      <x:c r="P7" s="44" t="n">
        <x:v>153.17</x:v>
      </x:c>
      <x:c r="Q7" s="44" t="n">
        <x:v>151.65</x:v>
      </x:c>
      <x:c r="R7" s="44" t="n">
        <x:v>156.15</x:v>
      </x:c>
    </x:row>
    <x:row r="8">
      <x:c r="A8" s="32" t="str">
        <x:v>Claude Fable 5</x:v>
      </x:c>
      <x:c r="B8" s="32" t="str">
        <x:v>claude-fable-5_max</x:v>
      </x:c>
      <x:c r="C8" s="32" t="str">
        <x:v>Claude Fable 5 (max)</x:v>
      </x:c>
      <x:c r="D8" s="32" t="str">
        <x:v>Anthropic</x:v>
      </x:c>
      <x:c r="E8" s="32" t="str">
        <x:v>United States of America</x:v>
      </x:c>
      <x:c r="F8" s="34" t="n">
        <x:v>46182</x:v>
      </x:c>
      <x:c r="G8" s="32" t="str">
        <x:v>API access</x:v>
      </x:c>
      <x:c r="H8" s="34" t="n">
        <x:v>46182</x:v>
      </x:c>
      <x:c r="I8" s="52" t="str"/>
      <x:c r="J8" s="32" t="str">
        <x:v>Confident</x:v>
      </x:c>
      <x:c r="K8" s="32" t="str"/>
      <x:c r="L8" s="32" t="str">
        <x:v>Claude Fable 5 (max)</x:v>
      </x:c>
      <x:c r="M8" s="32" t="str"/>
      <x:c r="N8" s="32" t="str">
        <x:v>Claude Fable 5</x:v>
      </x:c>
      <x:c r="O8" s="32" t="str">
        <x:v>claude-fable-5</x:v>
      </x:c>
      <x:c r="P8" s="44" t="n">
        <x:v>160.44</x:v>
      </x:c>
      <x:c r="Q8" s="44" t="n">
        <x:v>158.05</x:v>
      </x:c>
      <x:c r="R8" s="44" t="n">
        <x:v>164.61</x:v>
      </x:c>
    </x:row>
    <x:row r="9">
      <x:c r="A9" s="32" t="str">
        <x:v>Claude Sonnet 5</x:v>
      </x:c>
      <x:c r="B9" s="32" t="str">
        <x:v>claude-sonnet-5_xhigh</x:v>
      </x:c>
      <x:c r="C9" s="32" t="str">
        <x:v>Claude Sonnet 5 (xhigh)</x:v>
      </x:c>
      <x:c r="D9" s="32" t="str">
        <x:v>Anthropic</x:v>
      </x:c>
      <x:c r="E9" s="32" t="str">
        <x:v>United States of America</x:v>
      </x:c>
      <x:c r="F9" s="34" t="n">
        <x:v>46203</x:v>
      </x:c>
      <x:c r="G9" s="32" t="str">
        <x:v>API access</x:v>
      </x:c>
      <x:c r="H9" s="34" t="n">
        <x:v>46203</x:v>
      </x:c>
      <x:c r="I9" s="52" t="str"/>
      <x:c r="J9" s="32" t="str">
        <x:v>Confident</x:v>
      </x:c>
      <x:c r="K9" s="32" t="str"/>
      <x:c r="L9" s="32" t="str">
        <x:v>Claude Sonnet 5 (xhigh)</x:v>
      </x:c>
      <x:c r="M9" s="32" t="str"/>
      <x:c r="N9" s="32" t="str">
        <x:v>Claude Sonnet 5</x:v>
      </x:c>
      <x:c r="O9" s="32" t="str">
        <x:v>claude-sonnet-5</x:v>
      </x:c>
      <x:c r="P9" s="44" t="n">
        <x:v>153.2</x:v>
      </x:c>
      <x:c r="Q9" s="44" t="n">
        <x:v>150.47</x:v>
      </x:c>
      <x:c r="R9" s="44" t="n">
        <x:v>155.24</x:v>
      </x:c>
    </x:row>
    <x:row r="10">
      <x:c r="A10" s="32" t="str">
        <x:v>Claude Sonnet 5</x:v>
      </x:c>
      <x:c r="B10" s="32" t="str">
        <x:v>claude-sonnet-5_max</x:v>
      </x:c>
      <x:c r="C10" s="32" t="str">
        <x:v>Claude Sonnet 5 (max)</x:v>
      </x:c>
      <x:c r="D10" s="32" t="str">
        <x:v>Anthropic</x:v>
      </x:c>
      <x:c r="E10" s="32" t="str">
        <x:v>United States of America</x:v>
      </x:c>
      <x:c r="F10" s="34" t="n">
        <x:v>46203</x:v>
      </x:c>
      <x:c r="G10" s="32" t="str">
        <x:v>API access</x:v>
      </x:c>
      <x:c r="H10" s="34" t="n">
        <x:v>46203</x:v>
      </x:c>
      <x:c r="I10" s="52" t="str"/>
      <x:c r="J10" s="32" t="str">
        <x:v>Confident</x:v>
      </x:c>
      <x:c r="K10" s="32" t="str"/>
      <x:c r="L10" s="32" t="str">
        <x:v>Claude Sonnet 5 (max)</x:v>
      </x:c>
      <x:c r="M10" s="32" t="str"/>
      <x:c r="N10" s="32" t="str">
        <x:v>Claude Sonnet 5</x:v>
      </x:c>
      <x:c r="O10" s="32" t="str">
        <x:v>claude-sonnet-5</x:v>
      </x:c>
      <x:c r="P10" s="44" t="n">
        <x:v>153.2</x:v>
      </x:c>
      <x:c r="Q10" s="44" t="n">
        <x:v>150.47</x:v>
      </x:c>
      <x:c r="R10" s="44" t="n">
        <x:v>155.24</x:v>
      </x:c>
    </x:row>
    <x:row r="11">
      <x:c r="A11" s="32" t="str">
        <x:v>Claude Opus 4.8</x:v>
      </x:c>
      <x:c r="B11" s="32" t="str">
        <x:v>claude-opus-4-8_max</x:v>
      </x:c>
      <x:c r="C11" s="32" t="str">
        <x:v>Claude Opus 4.8</x:v>
      </x:c>
      <x:c r="D11" s="32" t="str">
        <x:v>Anthropic</x:v>
      </x:c>
      <x:c r="E11" s="32" t="str">
        <x:v>United States of America</x:v>
      </x:c>
      <x:c r="F11" s="34" t="n">
        <x:v>46170</x:v>
      </x:c>
      <x:c r="G11" s="32" t="str">
        <x:v>API access</x:v>
      </x:c>
      <x:c r="H11" s="34" t="n">
        <x:v>46170</x:v>
      </x:c>
      <x:c r="I11" s="52" t="str"/>
      <x:c r="J11" s="32" t="str">
        <x:v>Unverified</x:v>
      </x:c>
      <x:c r="K11" s="32" t="str"/>
      <x:c r="L11" s="32" t="str">
        <x:v>Claude Opus 4.8 (max)</x:v>
      </x:c>
      <x:c r="M11" s="32" t="str"/>
      <x:c r="N11" s="32" t="str">
        <x:v>Claude Opus 4.8</x:v>
      </x:c>
      <x:c r="O11" s="32" t="str">
        <x:v>claude-opus-4-8</x:v>
      </x:c>
      <x:c r="P11" s="44" t="n">
        <x:v>157.85</x:v>
      </x:c>
      <x:c r="Q11" s="44" t="n">
        <x:v>155.12</x:v>
      </x:c>
      <x:c r="R11" s="44" t="n">
        <x:v>160.58</x:v>
      </x:c>
    </x:row>
    <x:row r="12">
      <x:c r="A12" s="32" t="str">
        <x:v>Claude Opus 4.7</x:v>
      </x:c>
      <x:c r="B12" s="32" t="str">
        <x:v>claude-opus-4-7_max</x:v>
      </x:c>
      <x:c r="C12" s="32" t="str">
        <x:v>Claude Opus 4.7 (max)</x:v>
      </x:c>
      <x:c r="D12" s="32" t="str">
        <x:v>Anthropic</x:v>
      </x:c>
      <x:c r="E12" s="32" t="str">
        <x:v>United States of America</x:v>
      </x:c>
      <x:c r="F12" s="34" t="n">
        <x:v>46128</x:v>
      </x:c>
      <x:c r="G12" s="32" t="str">
        <x:v>API access</x:v>
      </x:c>
      <x:c r="H12" s="34" t="n">
        <x:v>46128</x:v>
      </x:c>
      <x:c r="I12" s="52" t="str"/>
      <x:c r="J12" s="32" t="str">
        <x:v>Likely</x:v>
      </x:c>
      <x:c r="K12" s="32" t="str"/>
      <x:c r="L12" s="32" t="str">
        <x:v>Claude Opus 4.7 (max)</x:v>
      </x:c>
      <x:c r="M12" s="32" t="str"/>
      <x:c r="N12" s="32" t="str">
        <x:v>Claude Opus 4.7</x:v>
      </x:c>
      <x:c r="O12" s="32" t="str">
        <x:v>claude-opus-4-7</x:v>
      </x:c>
      <x:c r="P12" s="44" t="n">
        <x:v>156.01</x:v>
      </x:c>
      <x:c r="Q12" s="44" t="n">
        <x:v>154.07</x:v>
      </x:c>
      <x:c r="R12" s="44" t="n">
        <x:v>158.4</x:v>
      </x:c>
    </x:row>
    <x:row r="13">
      <x:c r="A13" s="32" t="str">
        <x:v>GPT-5.5</x:v>
      </x:c>
      <x:c r="B13" s="32" t="str">
        <x:v>gpt-5.5_xhigh</x:v>
      </x:c>
      <x:c r="C13" s="32" t="str">
        <x:v>GPT-5.5 (xhigh)</x:v>
      </x:c>
      <x:c r="D13" s="32" t="str">
        <x:v>OpenAI</x:v>
      </x:c>
      <x:c r="E13" s="32" t="str">
        <x:v>United States of America</x:v>
      </x:c>
      <x:c r="F13" s="34" t="n">
        <x:v>46135</x:v>
      </x:c>
      <x:c r="G13" s="32" t="str">
        <x:v>API access</x:v>
      </x:c>
      <x:c r="H13" s="34" t="n">
        <x:v>46135</x:v>
      </x:c>
      <x:c r="I13" s="52" t="str"/>
      <x:c r="J13" s="32" t="str">
        <x:v>Likely</x:v>
      </x:c>
      <x:c r="K13" s="32" t="str"/>
      <x:c r="L13" s="32" t="str"/>
      <x:c r="M13" s="32" t="str"/>
      <x:c r="N13" s="32" t="str">
        <x:v>GPT-5.5</x:v>
      </x:c>
      <x:c r="O13" s="32" t="str">
        <x:v>gpt-5-5</x:v>
      </x:c>
      <x:c r="P13" s="44" t="n">
        <x:v>158.33</x:v>
      </x:c>
      <x:c r="Q13" s="44" t="n">
        <x:v>156.44</x:v>
      </x:c>
      <x:c r="R13" s="44" t="n">
        <x:v>161.43</x:v>
      </x:c>
    </x:row>
    <x:row r="14">
      <x:c r="A14" s="32" t="str">
        <x:v>Claude Opus 4.6</x:v>
      </x:c>
      <x:c r="B14" s="32" t="str">
        <x:v>claude-opus-4-6_max</x:v>
      </x:c>
      <x:c r="C14" s="32" t="str">
        <x:v>Claude Opus 4.6 (max)</x:v>
      </x:c>
      <x:c r="D14" s="32" t="str">
        <x:v>Anthropic</x:v>
      </x:c>
      <x:c r="E14" s="32" t="str">
        <x:v>United States of America</x:v>
      </x:c>
      <x:c r="F14" s="34" t="n">
        <x:v>46058</x:v>
      </x:c>
      <x:c r="G14" s="32" t="str">
        <x:v>API access</x:v>
      </x:c>
      <x:c r="H14" s="34" t="n">
        <x:v>46058</x:v>
      </x:c>
      <x:c r="I14" s="52" t="str"/>
      <x:c r="J14" s="32" t="str">
        <x:v>Likely</x:v>
      </x:c>
      <x:c r="K14" s="32" t="str"/>
      <x:c r="L14" s="32" t="str">
        <x:v>Claude Opus 4.6 (max)</x:v>
      </x:c>
      <x:c r="M14" s="32" t="str"/>
      <x:c r="N14" s="32" t="str">
        <x:v>Claude Opus 4.6</x:v>
      </x:c>
      <x:c r="O14" s="32" t="str">
        <x:v>claude-opus-4-6</x:v>
      </x:c>
      <x:c r="P14" s="44" t="n">
        <x:v>155.31</x:v>
      </x:c>
      <x:c r="Q14" s="44" t="n">
        <x:v>153.34</x:v>
      </x:c>
      <x:c r="R14" s="44" t="n">
        <x:v>157.92</x:v>
      </x:c>
    </x:row>
    <x:row r="15">
      <x:c r="A15" s="32" t="str">
        <x:v>GPT-5</x:v>
      </x:c>
      <x:c r="B15" s="32" t="str">
        <x:v>gpt-5-2025-08-07_high</x:v>
      </x:c>
      <x:c r="C15" s="32" t="str">
        <x:v>GPT-5 (high)</x:v>
      </x:c>
      <x:c r="D15" s="32" t="str">
        <x:v>OpenAI</x:v>
      </x:c>
      <x:c r="E15" s="32" t="str">
        <x:v>United States of America</x:v>
      </x:c>
      <x:c r="F15" s="34" t="n">
        <x:v>45876</x:v>
      </x:c>
      <x:c r="G15" s="32" t="str">
        <x:v>API access</x:v>
      </x:c>
      <x:c r="H15" s="34" t="n">
        <x:v>45876</x:v>
      </x:c>
      <x:c r="I15" s="52" t="n">
        <x:v>6.6e+25</x:v>
      </x:c>
      <x:c r="J15" s="32" t="str">
        <x:v>Speculative</x:v>
      </x:c>
      <x:c r="K15" s="32" t="str">
        <x:v>OpenAI's latest flagship frontier model, benchmarked using high reasoning effort.</x:v>
      </x:c>
      <x:c r="L15" s="32" t="str">
        <x:v>GPT-5 (high)</x:v>
      </x:c>
      <x:c r="M15" s="32" t="str"/>
      <x:c r="N15" s="32" t="str">
        <x:v>GPT-5</x:v>
      </x:c>
      <x:c r="O15" s="32" t="str">
        <x:v>gpt-5</x:v>
      </x:c>
      <x:c r="P15" s="44" t="n">
        <x:v>150</x:v>
      </x:c>
      <x:c r="Q15" s="44" t="str"/>
      <x:c r="R15" s="44" t="str"/>
    </x:row>
    <x:row r="16">
      <x:c r="A16" s="32" t="str">
        <x:v>GLM-5.2</x:v>
      </x:c>
      <x:c r="B16" s="32" t="str">
        <x:v>glm-5.2_max</x:v>
      </x:c>
      <x:c r="C16" s="32" t="str">
        <x:v>GLM-5.2</x:v>
      </x:c>
      <x:c r="D16" s="32" t="str">
        <x:v>Z.ai (Zhipu AI)</x:v>
      </x:c>
      <x:c r="E16" s="32" t="str">
        <x:v>China</x:v>
      </x:c>
      <x:c r="F16" s="34" t="n">
        <x:v>46189</x:v>
      </x:c>
      <x:c r="G16" s="32" t="str">
        <x:v>Open weights (unrestricted)</x:v>
      </x:c>
      <x:c r="H16" s="34" t="n">
        <x:v>46189</x:v>
      </x:c>
      <x:c r="I16" s="52" t="str"/>
      <x:c r="J16" s="32" t="str">
        <x:v>Confident</x:v>
      </x:c>
      <x:c r="K16" s="32" t="str"/>
      <x:c r="L16" s="32" t="str">
        <x:v>GLM-5.2 (max)</x:v>
      </x:c>
      <x:c r="M16" s="32" t="str"/>
      <x:c r="N16" s="32" t="str">
        <x:v>GLM-5.2</x:v>
      </x:c>
      <x:c r="O16" s="32" t="str">
        <x:v>glm-5-2</x:v>
      </x:c>
      <x:c r="P16" s="44" t="n">
        <x:v>151.6</x:v>
      </x:c>
      <x:c r="Q16" s="44" t="n">
        <x:v>149.97</x:v>
      </x:c>
      <x:c r="R16" s="44" t="n">
        <x:v>153.86</x:v>
      </x:c>
    </x:row>
    <x:row r="17">
      <x:c r="A17" s="32" t="str">
        <x:v>GPT-5.2</x:v>
      </x:c>
      <x:c r="B17" s="32" t="str">
        <x:v>gpt-5.2-2025-12-11_xhigh</x:v>
      </x:c>
      <x:c r="C17" s="32" t="str">
        <x:v>GPT-5.2 (xhigh)</x:v>
      </x:c>
      <x:c r="D17" s="32" t="str">
        <x:v>OpenAI</x:v>
      </x:c>
      <x:c r="E17" s="32" t="str">
        <x:v>United States of America</x:v>
      </x:c>
      <x:c r="F17" s="34" t="n">
        <x:v>46002</x:v>
      </x:c>
      <x:c r="G17" s="32" t="str">
        <x:v>API access</x:v>
      </x:c>
      <x:c r="H17" s="34" t="n">
        <x:v>46002</x:v>
      </x:c>
      <x:c r="I17" s="52" t="str"/>
      <x:c r="J17" s="32" t="str">
        <x:v>Unknown</x:v>
      </x:c>
      <x:c r="K17" s="32" t="str"/>
      <x:c r="L17" s="32" t="str">
        <x:v>GPT-5.2 (xhigh)</x:v>
      </x:c>
      <x:c r="M17" s="32" t="str"/>
      <x:c r="N17" s="32" t="str">
        <x:v>GPT-5.2</x:v>
      </x:c>
      <x:c r="O17" s="32" t="str">
        <x:v>gpt-5-2</x:v>
      </x:c>
      <x:c r="P17" s="44" t="n">
        <x:v>153.7</x:v>
      </x:c>
      <x:c r="Q17" s="44" t="n">
        <x:v>152.26</x:v>
      </x:c>
      <x:c r="R17" s="44" t="n">
        <x:v>155.46</x:v>
      </x:c>
    </x:row>
    <x:row r="18">
      <x:c r="A18" s="32" t="str">
        <x:v>Qwen3.7-Max</x:v>
      </x:c>
      <x:c r="B18" s="32" t="str">
        <x:v>qwen3.7-max</x:v>
      </x:c>
      <x:c r="C18" s="32" t="str"/>
      <x:c r="D18" s="32" t="str">
        <x:v>Alibaba</x:v>
      </x:c>
      <x:c r="E18" s="32" t="str">
        <x:v>China</x:v>
      </x:c>
      <x:c r="F18" s="34" t="n">
        <x:v>46161</x:v>
      </x:c>
      <x:c r="G18" s="32" t="str">
        <x:v>API access</x:v>
      </x:c>
      <x:c r="H18" s="34" t="n">
        <x:v>46161</x:v>
      </x:c>
      <x:c r="I18" s="52" t="str"/>
      <x:c r="J18" s="32" t="str">
        <x:v>Unverified</x:v>
      </x:c>
      <x:c r="K18" s="32" t="str"/>
      <x:c r="L18" s="32" t="str"/>
      <x:c r="M18" s="32" t="str"/>
      <x:c r="N18" s="32" t="str">
        <x:v>Qwen3.7-Max</x:v>
      </x:c>
      <x:c r="O18" s="32" t="str">
        <x:v>qwen3-7-max</x:v>
      </x:c>
      <x:c r="P18" s="44" t="n">
        <x:v>153.05</x:v>
      </x:c>
      <x:c r="Q18" s="44" t="n">
        <x:v>151.09</x:v>
      </x:c>
      <x:c r="R18" s="44" t="n">
        <x:v>155.37</x:v>
      </x:c>
    </x:row>
    <x:row r="19">
      <x:c r="A19" s="32" t="str">
        <x:v>GPT-5.4</x:v>
      </x:c>
      <x:c r="B19" s="32" t="str">
        <x:v>gpt-5.4-2026-03-05_xhigh</x:v>
      </x:c>
      <x:c r="C19" s="32" t="str">
        <x:v>GPT-5.4 (xhigh)</x:v>
      </x:c>
      <x:c r="D19" s="32" t="str">
        <x:v>OpenAI</x:v>
      </x:c>
      <x:c r="E19" s="32" t="str">
        <x:v>United States of America</x:v>
      </x:c>
      <x:c r="F19" s="34" t="n">
        <x:v>46086</x:v>
      </x:c>
      <x:c r="G19" s="32" t="str">
        <x:v>API access</x:v>
      </x:c>
      <x:c r="H19" s="34" t="n">
        <x:v>46086</x:v>
      </x:c>
      <x:c r="I19" s="52" t="str"/>
      <x:c r="J19" s="32" t="str">
        <x:v>Likely</x:v>
      </x:c>
      <x:c r="K19" s="32" t="str"/>
      <x:c r="L19" s="32" t="str">
        <x:v>GPT-5.4 (xhigh)</x:v>
      </x:c>
      <x:c r="M19" s="32" t="str"/>
      <x:c r="N19" s="32" t="str">
        <x:v>GPT-5.4</x:v>
      </x:c>
      <x:c r="O19" s="32" t="str">
        <x:v>gpt-5-4</x:v>
      </x:c>
      <x:c r="P19" s="44" t="n">
        <x:v>156.03</x:v>
      </x:c>
      <x:c r="Q19" s="44" t="n">
        <x:v>154.45</x:v>
      </x:c>
      <x:c r="R19" s="44" t="n">
        <x:v>158.37</x:v>
      </x:c>
    </x:row>
    <x:row r="20">
      <x:c r="A20" s="32" t="str">
        <x:v>Gemini 3.5 Flash</x:v>
      </x:c>
      <x:c r="B20" s="32" t="str">
        <x:v>gemini-3.5-flash_high</x:v>
      </x:c>
      <x:c r="C20" s="32" t="str">
        <x:v>Gemini 3.5 Flash (high)</x:v>
      </x:c>
      <x:c r="D20" s="32" t="str">
        <x:v>Google</x:v>
      </x:c>
      <x:c r="E20" s="32" t="str">
        <x:v>United States of America</x:v>
      </x:c>
      <x:c r="F20" s="34" t="n">
        <x:v>46161</x:v>
      </x:c>
      <x:c r="G20" s="32" t="str">
        <x:v>API access</x:v>
      </x:c>
      <x:c r="H20" s="34"/>
      <x:c r="I20" s="52" t="str"/>
      <x:c r="J20" s="32" t="str">
        <x:v>Confident</x:v>
      </x:c>
      <x:c r="K20" s="32" t="str"/>
      <x:c r="L20" s="32" t="str"/>
      <x:c r="M20" s="32" t="str"/>
      <x:c r="N20" s="32" t="str">
        <x:v>Gemini 3.5 Flash</x:v>
      </x:c>
      <x:c r="O20" s="32" t="str">
        <x:v>gemini-3-5-flash</x:v>
      </x:c>
      <x:c r="P20" s="44" t="n">
        <x:v>154.58</x:v>
      </x:c>
      <x:c r="Q20" s="44" t="n">
        <x:v>152.84</x:v>
      </x:c>
      <x:c r="R20" s="44" t="n">
        <x:v>157.2</x:v>
      </x:c>
    </x:row>
    <x:row r="21">
      <x:c r="A21" s="32" t="str">
        <x:v>Claude Opus 4.5</x:v>
      </x:c>
      <x:c r="B21" s="32" t="str">
        <x:v>claude-opus-4-5-20251101_128K</x:v>
      </x:c>
      <x:c r="C21" s="32" t="str">
        <x:v>Claude Opus 4.5 (128k thinking)</x:v>
      </x:c>
      <x:c r="D21" s="32" t="str">
        <x:v>Anthropic</x:v>
      </x:c>
      <x:c r="E21" s="32" t="str">
        <x:v>United States of America</x:v>
      </x:c>
      <x:c r="F21" s="34" t="n">
        <x:v>45985</x:v>
      </x:c>
      <x:c r="G21" s="32" t="str">
        <x:v>API access</x:v>
      </x:c>
      <x:c r="H21" s="34" t="n">
        <x:v>45985</x:v>
      </x:c>
      <x:c r="I21" s="52" t="str"/>
      <x:c r="J21" s="32" t="str">
        <x:v>Unknown</x:v>
      </x:c>
      <x:c r="K21" s="32" t="str"/>
      <x:c r="L21" s="32" t="str">
        <x:v>Claude Opus 4.5 (128k thinking)</x:v>
      </x:c>
      <x:c r="M21" s="32" t="str"/>
      <x:c r="N21" s="32" t="str">
        <x:v>Claude Opus 4.5</x:v>
      </x:c>
      <x:c r="O21" s="32" t="str">
        <x:v>claude-opus-4-5</x:v>
      </x:c>
      <x:c r="P21" s="44" t="n">
        <x:v>149.53</x:v>
      </x:c>
      <x:c r="Q21" s="44" t="n">
        <x:v>147.66</x:v>
      </x:c>
      <x:c r="R21" s="44" t="n">
        <x:v>151.99</x:v>
      </x:c>
    </x:row>
    <x:row r="22">
      <x:c r="A22" s="32" t="str">
        <x:v>Kimi K2.6</x:v>
      </x:c>
      <x:c r="B22" s="32" t="str">
        <x:v>kimi-k2.6</x:v>
      </x:c>
      <x:c r="C22" s="32" t="str">
        <x:v>Kimi K2.6</x:v>
      </x:c>
      <x:c r="D22" s="32" t="str">
        <x:v>Moonshot</x:v>
      </x:c>
      <x:c r="E22" s="32" t="str">
        <x:v>China</x:v>
      </x:c>
      <x:c r="F22" s="34" t="n">
        <x:v>46132</x:v>
      </x:c>
      <x:c r="G22" s="32" t="str">
        <x:v>Open weights (unrestricted)</x:v>
      </x:c>
      <x:c r="H22" s="34" t="n">
        <x:v>46132</x:v>
      </x:c>
      <x:c r="I22" s="52" t="str"/>
      <x:c r="J22" s="32" t="str">
        <x:v>Confident</x:v>
      </x:c>
      <x:c r="K22" s="32" t="str"/>
      <x:c r="L22" s="32" t="str"/>
      <x:c r="M22" s="32" t="str"/>
      <x:c r="N22" s="32" t="str">
        <x:v>Kimi K2.6</x:v>
      </x:c>
      <x:c r="O22" s="32" t="str">
        <x:v>kimi-k2-6</x:v>
      </x:c>
      <x:c r="P22" s="44" t="n">
        <x:v>151.02</x:v>
      </x:c>
      <x:c r="Q22" s="44" t="n">
        <x:v>149.18</x:v>
      </x:c>
      <x:c r="R22" s="44" t="n">
        <x:v>152.53</x:v>
      </x:c>
    </x:row>
    <x:row r="23">
      <x:c r="A23" s="32" t="str">
        <x:v>Claude Sonnet 4.5</x:v>
      </x:c>
      <x:c r="B23" s="32" t="str">
        <x:v>claude-sonnet-4-5-20250929</x:v>
      </x:c>
      <x:c r="C23" s="32" t="str">
        <x:v>Claude Sonnet 4.5 (no thinking)</x:v>
      </x:c>
      <x:c r="D23" s="32" t="str">
        <x:v>Anthropic</x:v>
      </x:c>
      <x:c r="E23" s="32" t="str">
        <x:v>United States of America</x:v>
      </x:c>
      <x:c r="F23" s="34" t="n">
        <x:v>45929</x:v>
      </x:c>
      <x:c r="G23" s="32" t="str">
        <x:v>API access</x:v>
      </x:c>
      <x:c r="H23" s="34" t="n">
        <x:v>45929</x:v>
      </x:c>
      <x:c r="I23" s="52" t="str"/>
      <x:c r="J23" s="32" t="str">
        <x:v>Unknown</x:v>
      </x:c>
      <x:c r="K23" s="32" t="str">
        <x:v>Anthropic's latest mid-size model, part of the Claude 4.5 series.</x:v>
      </x:c>
      <x:c r="L23" s="32" t="str">
        <x:v>Claude Sonnet 4.5 (no thinking)</x:v>
      </x:c>
      <x:c r="M23" s="32" t="str"/>
      <x:c r="N23" s="32" t="str">
        <x:v>Claude Sonnet 4.5</x:v>
      </x:c>
      <x:c r="O23" s="32" t="str">
        <x:v>claude-sonnet-4-5</x:v>
      </x:c>
      <x:c r="P23" s="44" t="n">
        <x:v>146.75</x:v>
      </x:c>
      <x:c r="Q23" s="44" t="n">
        <x:v>144.71</x:v>
      </x:c>
      <x:c r="R23" s="44" t="n">
        <x:v>148.07</x:v>
      </x:c>
    </x:row>
    <x:row r="24">
      <x:c r="A24" s="32" t="str">
        <x:v>Claude Opus 4.1</x:v>
      </x:c>
      <x:c r="B24" s="32" t="str">
        <x:v>claude-opus-4-1-20250805</x:v>
      </x:c>
      <x:c r="C24" s="32" t="str"/>
      <x:c r="D24" s="32" t="str">
        <x:v>Anthropic</x:v>
      </x:c>
      <x:c r="E24" s="32" t="str">
        <x:v>United States of America</x:v>
      </x:c>
      <x:c r="F24" s="34" t="n">
        <x:v>45874</x:v>
      </x:c>
      <x:c r="G24" s="32" t="str">
        <x:v>API access</x:v>
      </x:c>
      <x:c r="H24" s="34" t="n">
        <x:v>45874</x:v>
      </x:c>
      <x:c r="I24" s="52" t="str"/>
      <x:c r="J24" s="32" t="str">
        <x:v>Unknown</x:v>
      </x:c>
      <x:c r="K24" s="32" t="str">
        <x:v>Anthropic’s largest flagship model.</x:v>
      </x:c>
      <x:c r="L24" s="32" t="str">
        <x:v>Claude Opus 4.1</x:v>
      </x:c>
      <x:c r="M24" s="32" t="str"/>
      <x:c r="N24" s="32" t="str">
        <x:v>Claude Opus 4.1</x:v>
      </x:c>
      <x:c r="O24" s="32" t="str">
        <x:v>claude-opus-4-1</x:v>
      </x:c>
      <x:c r="P24" s="44" t="n">
        <x:v>144.21</x:v>
      </x:c>
      <x:c r="Q24" s="44" t="n">
        <x:v>141.74</x:v>
      </x:c>
      <x:c r="R24" s="44" t="n">
        <x:v>146.36</x:v>
      </x:c>
    </x:row>
    <x:row r="25">
      <x:c r="A25" s="32" t="str">
        <x:v>Gemini 3.1 Pro</x:v>
      </x:c>
      <x:c r="B25" s="32" t="str">
        <x:v>gemini-3.1-pro-preview</x:v>
      </x:c>
      <x:c r="C25" s="32" t="str">
        <x:v>Gemini 3.1 Pro Preview</x:v>
      </x:c>
      <x:c r="D25" s="32" t="str">
        <x:v>Google DeepMind</x:v>
      </x:c>
      <x:c r="E25" s="32" t="str">
        <x:v>United States of America</x:v>
      </x:c>
      <x:c r="F25" s="34" t="n">
        <x:v>46072</x:v>
      </x:c>
      <x:c r="G25" s="32" t="str">
        <x:v>API access</x:v>
      </x:c>
      <x:c r="H25" s="34" t="n">
        <x:v>46072</x:v>
      </x:c>
      <x:c r="I25" s="52" t="str"/>
      <x:c r="J25" s="32" t="str">
        <x:v>Likely</x:v>
      </x:c>
      <x:c r="K25" s="32" t="str"/>
      <x:c r="L25" s="32" t="str"/>
      <x:c r="M25" s="32" t="str"/>
      <x:c r="N25" s="32" t="str">
        <x:v>Gemini 3.1 Pro</x:v>
      </x:c>
      <x:c r="O25" s="32" t="str">
        <x:v>gemini-3-1-pro</x:v>
      </x:c>
      <x:c r="P25" s="44" t="n">
        <x:v>154.84</x:v>
      </x:c>
      <x:c r="Q25" s="44" t="n">
        <x:v>152.95</x:v>
      </x:c>
      <x:c r="R25" s="44" t="n">
        <x:v>157.9</x:v>
      </x:c>
    </x:row>
    <x:row r="26">
      <x:c r="A26" s="32" t="str">
        <x:v>DeepSeek-V4-Pro</x:v>
      </x:c>
      <x:c r="B26" s="32" t="str">
        <x:v>deepseek-v4-pro_max</x:v>
      </x:c>
      <x:c r="C26" s="32" t="str">
        <x:v>DeepSeek v4 Pro (max)</x:v>
      </x:c>
      <x:c r="D26" s="32" t="str">
        <x:v>DeepSeek</x:v>
      </x:c>
      <x:c r="E26" s="32" t="str">
        <x:v>China</x:v>
      </x:c>
      <x:c r="F26" s="34" t="n">
        <x:v>46136</x:v>
      </x:c>
      <x:c r="G26" s="32" t="str">
        <x:v>Open weights (unrestricted)</x:v>
      </x:c>
      <x:c r="H26" s="34" t="n">
        <x:v>46136</x:v>
      </x:c>
      <x:c r="I26" s="52" t="n">
        <x:v>9.702e+24</x:v>
      </x:c>
      <x:c r="J26" s="32" t="str">
        <x:v>Likely</x:v>
      </x:c>
      <x:c r="K26" s="32" t="str"/>
      <x:c r="L26" s="32" t="str">
        <x:v>DeepSeek v4 (max)</x:v>
      </x:c>
      <x:c r="M26" s="32" t="str"/>
      <x:c r="N26" s="32" t="str">
        <x:v>DeepSeek-V4-Pro</x:v>
      </x:c>
      <x:c r="O26" s="32" t="str">
        <x:v>deepseek-v4-pro</x:v>
      </x:c>
      <x:c r="P26" s="44" t="n">
        <x:v>149.74</x:v>
      </x:c>
      <x:c r="Q26" s="44" t="n">
        <x:v>147.87</x:v>
      </x:c>
      <x:c r="R26" s="44" t="n">
        <x:v>152.06</x:v>
      </x:c>
    </x:row>
    <x:row r="27">
      <x:c r="A27" s="32" t="str">
        <x:v>Grok 4.3 Beta</x:v>
      </x:c>
      <x:c r="B27" s="32" t="str">
        <x:v>grok-4.3_high</x:v>
      </x:c>
      <x:c r="C27" s="32" t="str"/>
      <x:c r="D27" s="32" t="str">
        <x:v>xAI</x:v>
      </x:c>
      <x:c r="E27" s="32" t="str">
        <x:v>United States of America</x:v>
      </x:c>
      <x:c r="F27" s="34" t="n">
        <x:v>46129</x:v>
      </x:c>
      <x:c r="G27" s="32" t="str">
        <x:v>Hosted access (no API)</x:v>
      </x:c>
      <x:c r="H27" s="34" t="n">
        <x:v>46129</x:v>
      </x:c>
      <x:c r="I27" s="52" t="str"/>
      <x:c r="J27" s="32" t="str">
        <x:v>Likely</x:v>
      </x:c>
      <x:c r="K27" s="32" t="str"/>
      <x:c r="L27" s="32" t="str"/>
      <x:c r="M27" s="32" t="str"/>
      <x:c r="N27" s="32" t="str">
        <x:v>Grok 4.3 Beta</x:v>
      </x:c>
      <x:c r="O27" s="32" t="str">
        <x:v>grok-4-3-beta</x:v>
      </x:c>
      <x:c r="P27" s="44" t="n">
        <x:v>148.98</x:v>
      </x:c>
      <x:c r="Q27" s="44" t="n">
        <x:v>147.37</x:v>
      </x:c>
      <x:c r="R27" s="44" t="n">
        <x:v>150.53</x:v>
      </x:c>
    </x:row>
    <x:row r="28">
      <x:c r="A28" s="32" t="str">
        <x:v>GPT-5.4 Pro</x:v>
      </x:c>
      <x:c r="B28" s="32" t="str">
        <x:v>gpt-5.4-pro-2026-03-05_xhigh</x:v>
      </x:c>
      <x:c r="C28" s="32" t="str">
        <x:v>GPT-5.4 Pro (xhigh)</x:v>
      </x:c>
      <x:c r="D28" s="32" t="str">
        <x:v>OpenAI</x:v>
      </x:c>
      <x:c r="E28" s="32" t="str">
        <x:v>United States of America</x:v>
      </x:c>
      <x:c r="F28" s="34" t="n">
        <x:v>46086</x:v>
      </x:c>
      <x:c r="G28" s="32" t="str">
        <x:v>API access</x:v>
      </x:c>
      <x:c r="H28" s="34" t="n">
        <x:v>46086</x:v>
      </x:c>
      <x:c r="I28" s="52" t="str"/>
      <x:c r="J28" s="32" t="str">
        <x:v>Likely</x:v>
      </x:c>
      <x:c r="K28" s="32" t="str"/>
      <x:c r="L28" s="32" t="str">
        <x:v>GPT-5.4 Pro (xhigh)</x:v>
      </x:c>
      <x:c r="M28" s="32" t="str"/>
      <x:c r="N28" s="32" t="str">
        <x:v>GPT-5.4 Pro</x:v>
      </x:c>
      <x:c r="O28" s="32" t="str">
        <x:v>gpt-5-4-pro</x:v>
      </x:c>
      <x:c r="P28" s="44" t="n">
        <x:v>157.83</x:v>
      </x:c>
      <x:c r="Q28" s="44" t="n">
        <x:v>155.96</x:v>
      </x:c>
      <x:c r="R28" s="44" t="n">
        <x:v>160.88</x:v>
      </x:c>
    </x:row>
    <x:row r="29">
      <x:c r="A29" s="32" t="str">
        <x:v>GPT-5.2 Pro</x:v>
      </x:c>
      <x:c r="B29" s="32" t="str">
        <x:v>gpt-5.2-pro-2025-12-11_xhigh</x:v>
      </x:c>
      <x:c r="C29" s="32" t="str">
        <x:v>GPT-5.2 Pro</x:v>
      </x:c>
      <x:c r="D29" s="32" t="str">
        <x:v>OpenAI</x:v>
      </x:c>
      <x:c r="E29" s="32" t="str">
        <x:v>United States of America</x:v>
      </x:c>
      <x:c r="F29" s="34" t="n">
        <x:v>46002</x:v>
      </x:c>
      <x:c r="G29" s="32" t="str">
        <x:v>API access</x:v>
      </x:c>
      <x:c r="H29" s="34" t="n">
        <x:v>46002</x:v>
      </x:c>
      <x:c r="I29" s="52" t="str"/>
      <x:c r="J29" s="32" t="str">
        <x:v>Likely</x:v>
      </x:c>
      <x:c r="K29" s="32" t="str"/>
      <x:c r="L29" s="32" t="str">
        <x:v>GPT-5.2 Pro (xhigh)</x:v>
      </x:c>
      <x:c r="M29" s="32" t="str"/>
      <x:c r="N29" s="32" t="str">
        <x:v>GPT-5.2 Pro</x:v>
      </x:c>
      <x:c r="O29" s="32" t="str">
        <x:v>gpt-5-2-pro</x:v>
      </x:c>
      <x:c r="P29" s="44" t="n">
        <x:v>154.65</x:v>
      </x:c>
      <x:c r="Q29" s="44" t="n">
        <x:v>152.88</x:v>
      </x:c>
      <x:c r="R29" s="44" t="n">
        <x:v>157.03</x:v>
      </x:c>
    </x:row>
    <x:row r="30">
      <x:c r="A30" s="32" t="str">
        <x:v>Kimi K2.7 Code</x:v>
      </x:c>
      <x:c r="B30" s="32" t="str">
        <x:v>kimi-k2.7-code</x:v>
      </x:c>
      <x:c r="C30" s="32" t="str">
        <x:v>Kimi K2.7 Code</x:v>
      </x:c>
      <x:c r="D30" s="32" t="str">
        <x:v>Moonshot</x:v>
      </x:c>
      <x:c r="E30" s="32" t="str">
        <x:v>China</x:v>
      </x:c>
      <x:c r="F30" s="34" t="n">
        <x:v>46185</x:v>
      </x:c>
      <x:c r="G30" s="32" t="str">
        <x:v>Open weights (unrestricted)</x:v>
      </x:c>
      <x:c r="H30" s="34" t="n">
        <x:v>46185</x:v>
      </x:c>
      <x:c r="I30" s="52" t="str"/>
      <x:c r="J30" s="32" t="str">
        <x:v>Confident</x:v>
      </x:c>
      <x:c r="K30" s="32" t="str"/>
      <x:c r="L30" s="32" t="str"/>
      <x:c r="M30" s="32" t="str"/>
      <x:c r="N30" s="32" t="str">
        <x:v>Kimi K2.7 Code</x:v>
      </x:c>
      <x:c r="O30" s="32" t="str">
        <x:v>kimi-k2-7-code</x:v>
      </x:c>
      <x:c r="P30" s="44" t="n">
        <x:v>150.07</x:v>
      </x:c>
      <x:c r="Q30" s="44" t="n">
        <x:v>148.48</x:v>
      </x:c>
      <x:c r="R30" s="44" t="n">
        <x:v>151.25</x:v>
      </x:c>
    </x:row>
    <x:row r="31">
      <x:c r="A31" s="32" t="str">
        <x:v>GPT-5.5 Pro</x:v>
      </x:c>
      <x:c r="B31" s="32" t="str">
        <x:v>gpt-5.5-pro_xhigh</x:v>
      </x:c>
      <x:c r="C31" s="32" t="str">
        <x:v>GPT-5.5 Pro (xhigh)</x:v>
      </x:c>
      <x:c r="D31" s="32" t="str">
        <x:v>OpenAI</x:v>
      </x:c>
      <x:c r="E31" s="32" t="str">
        <x:v>United States of America</x:v>
      </x:c>
      <x:c r="F31" s="34" t="n">
        <x:v>46135</x:v>
      </x:c>
      <x:c r="G31" s="32" t="str">
        <x:v>API access</x:v>
      </x:c>
      <x:c r="H31" s="34" t="n">
        <x:v>46135</x:v>
      </x:c>
      <x:c r="I31" s="52" t="str"/>
      <x:c r="J31" s="32" t="str">
        <x:v>Likely</x:v>
      </x:c>
      <x:c r="K31" s="32" t="str"/>
      <x:c r="L31" s="32" t="str"/>
      <x:c r="M31" s="32" t="str"/>
      <x:c r="N31" s="32" t="str">
        <x:v>GPT-5.5 Pro</x:v>
      </x:c>
      <x:c r="O31" s="32" t="str">
        <x:v>gpt-5-5-pro</x:v>
      </x:c>
      <x:c r="P31" s="44" t="n">
        <x:v>160.73</x:v>
      </x:c>
      <x:c r="Q31" s="44" t="n">
        <x:v>158.24</x:v>
      </x:c>
      <x:c r="R31" s="44" t="n">
        <x:v>164.36</x:v>
      </x:c>
    </x:row>
    <x:row r="32">
      <x:c r="A32" s="32" t="str">
        <x:v>GPT-5 Pro</x:v>
      </x:c>
      <x:c r="B32" s="32" t="str">
        <x:v>gpt-5-pro-2025-10-06_high</x:v>
      </x:c>
      <x:c r="C32" s="32" t="str">
        <x:v>GPT-5 Pro</x:v>
      </x:c>
      <x:c r="D32" s="32" t="str">
        <x:v>OpenAI</x:v>
      </x:c>
      <x:c r="E32" s="32" t="str">
        <x:v>United States of America</x:v>
      </x:c>
      <x:c r="F32" s="34" t="n">
        <x:v>45937</x:v>
      </x:c>
      <x:c r="G32" s="32" t="str">
        <x:v>API access</x:v>
      </x:c>
      <x:c r="H32" s="34" t="n">
        <x:v>45937</x:v>
      </x:c>
      <x:c r="I32" s="52" t="str"/>
      <x:c r="J32" s="32" t="str">
        <x:v>Unknown</x:v>
      </x:c>
      <x:c r="K32" s="32" t="str"/>
      <x:c r="L32" s="32" t="str">
        <x:v>GPT-5 Pro (high)</x:v>
      </x:c>
      <x:c r="M32" s="32" t="str"/>
      <x:c r="N32" s="32" t="str">
        <x:v>GPT-5 Pro</x:v>
      </x:c>
      <x:c r="O32" s="32" t="str">
        <x:v>gpt-5-pro</x:v>
      </x:c>
      <x:c r="P32" s="44" t="n">
        <x:v>150.43</x:v>
      </x:c>
      <x:c r="Q32" s="44" t="n">
        <x:v>148.94</x:v>
      </x:c>
      <x:c r="R32" s="44" t="n">
        <x:v>152.05</x:v>
      </x:c>
    </x:row>
    <x:row r="33">
      <x:c r="A33" s="32" t="str">
        <x:v>GPT-5 mini</x:v>
      </x:c>
      <x:c r="B33" s="32" t="str">
        <x:v>gpt-5-mini-2025-08-07_high</x:v>
      </x:c>
      <x:c r="C33" s="32" t="str">
        <x:v>GPT-5 mini (high)</x:v>
      </x:c>
      <x:c r="D33" s="32" t="str">
        <x:v>OpenAI</x:v>
      </x:c>
      <x:c r="E33" s="32" t="str">
        <x:v>United States of America</x:v>
      </x:c>
      <x:c r="F33" s="34" t="n">
        <x:v>45876</x:v>
      </x:c>
      <x:c r="G33" s="32" t="str">
        <x:v>API access</x:v>
      </x:c>
      <x:c r="H33" s="34" t="n">
        <x:v>45876</x:v>
      </x:c>
      <x:c r="I33" s="52" t="str"/>
      <x:c r="J33" s="32" t="str">
        <x:v>Unknown</x:v>
      </x:c>
      <x:c r="K33" s="32" t="str">
        <x:v>A smaller version of OpenAI's latest flagship frontier model, benchmarked using high reasoning effort.</x:v>
      </x:c>
      <x:c r="L33" s="32" t="str">
        <x:v>GPT-5 mini (high)</x:v>
      </x:c>
      <x:c r="M33" s="32" t="str"/>
      <x:c r="N33" s="32" t="str">
        <x:v>GPT-5 mini</x:v>
      </x:c>
      <x:c r="O33" s="32" t="str">
        <x:v>gpt-5-mini</x:v>
      </x:c>
      <x:c r="P33" s="44" t="n">
        <x:v>145.79</x:v>
      </x:c>
      <x:c r="Q33" s="44" t="n">
        <x:v>143.69</x:v>
      </x:c>
      <x:c r="R33" s="44" t="n">
        <x:v>147.21</x:v>
      </x:c>
    </x:row>
    <x:row r="34">
      <x:c r="A34" s="32" t="str">
        <x:v>GPT-5.4 Nano</x:v>
      </x:c>
      <x:c r="B34" s="32" t="str">
        <x:v>gpt-5.4-nano-2026-03-17_high</x:v>
      </x:c>
      <x:c r="C34" s="32" t="str">
        <x:v>GPT-5.4 nano (high)</x:v>
      </x:c>
      <x:c r="D34" s="32" t="str">
        <x:v>OpenAI</x:v>
      </x:c>
      <x:c r="E34" s="32" t="str">
        <x:v>United States of America</x:v>
      </x:c>
      <x:c r="F34" s="34" t="n">
        <x:v>46098</x:v>
      </x:c>
      <x:c r="G34" s="32" t="str">
        <x:v>API access</x:v>
      </x:c>
      <x:c r="H34" s="34" t="n">
        <x:v>46098</x:v>
      </x:c>
      <x:c r="I34" s="52" t="str"/>
      <x:c r="J34" s="32" t="str">
        <x:v>Likely</x:v>
      </x:c>
      <x:c r="K34" s="32" t="str"/>
      <x:c r="L34" s="32" t="str">
        <x:v>GPT-5.4 nano (high)</x:v>
      </x:c>
      <x:c r="M34" s="32" t="str"/>
      <x:c r="N34" s="32" t="str">
        <x:v>GPT-5.4 Nano</x:v>
      </x:c>
      <x:c r="O34" s="32" t="str">
        <x:v>gpt-5-4-nano</x:v>
      </x:c>
      <x:c r="P34" s="44" t="n">
        <x:v>146.64</x:v>
      </x:c>
      <x:c r="Q34" s="44" t="n">
        <x:v>144.07</x:v>
      </x:c>
      <x:c r="R34" s="44" t="n">
        <x:v>148.4</x:v>
      </x:c>
    </x:row>
    <x:row r="35">
      <x:c r="A35" s="32" t="str">
        <x:v>GPT-5 nano</x:v>
      </x:c>
      <x:c r="B35" s="32" t="str">
        <x:v>gpt-5-nano-2025-08-07_high</x:v>
      </x:c>
      <x:c r="C35" s="32" t="str">
        <x:v>GPT-5 nano (high)</x:v>
      </x:c>
      <x:c r="D35" s="32" t="str">
        <x:v>OpenAI</x:v>
      </x:c>
      <x:c r="E35" s="32" t="str">
        <x:v>United States of America</x:v>
      </x:c>
      <x:c r="F35" s="34" t="n">
        <x:v>45876</x:v>
      </x:c>
      <x:c r="G35" s="32" t="str">
        <x:v>API access</x:v>
      </x:c>
      <x:c r="H35" s="34" t="n">
        <x:v>45876</x:v>
      </x:c>
      <x:c r="I35" s="52" t="str"/>
      <x:c r="J35" s="32" t="str">
        <x:v>Unknown</x:v>
      </x:c>
      <x:c r="K35" s="32" t="str">
        <x:v>The smallest version of OpenAI's latest flagship frontier model, benchmarked using high reasoning effort.</x:v>
      </x:c>
      <x:c r="L35" s="32" t="str">
        <x:v>GPT-5 nano (high)</x:v>
      </x:c>
      <x:c r="M35" s="32" t="str"/>
      <x:c r="N35" s="32" t="str">
        <x:v>GPT-5 nano</x:v>
      </x:c>
      <x:c r="O35" s="32" t="str">
        <x:v>gpt-5-nano</x:v>
      </x:c>
      <x:c r="P35" s="44" t="n">
        <x:v>140.85</x:v>
      </x:c>
      <x:c r="Q35" s="44" t="n">
        <x:v>136.43</x:v>
      </x:c>
      <x:c r="R35" s="44" t="n">
        <x:v>142.54</x:v>
      </x:c>
    </x:row>
    <x:row r="36">
      <x:c r="A36" s="32" t="str">
        <x:v>GPT-5.4 Mini</x:v>
      </x:c>
      <x:c r="B36" s="32" t="str">
        <x:v>gpt-5.4-mini-2026-03-17_xhigh</x:v>
      </x:c>
      <x:c r="C36" s="32" t="str">
        <x:v>GPT-5.4 mini (xhigh)</x:v>
      </x:c>
      <x:c r="D36" s="32" t="str">
        <x:v>OpenAI</x:v>
      </x:c>
      <x:c r="E36" s="32" t="str">
        <x:v>United States of America</x:v>
      </x:c>
      <x:c r="F36" s="34" t="n">
        <x:v>46098</x:v>
      </x:c>
      <x:c r="G36" s="32" t="str">
        <x:v>API access</x:v>
      </x:c>
      <x:c r="H36" s="34" t="n">
        <x:v>46098</x:v>
      </x:c>
      <x:c r="I36" s="52" t="str"/>
      <x:c r="J36" s="32" t="str">
        <x:v>Likely</x:v>
      </x:c>
      <x:c r="K36" s="32" t="str"/>
      <x:c r="L36" s="32" t="str">
        <x:v>GPT-5.4 mini (xhigh)</x:v>
      </x:c>
      <x:c r="M36" s="32" t="str"/>
      <x:c r="N36" s="32" t="str">
        <x:v>GPT-5.4 Mini</x:v>
      </x:c>
      <x:c r="O36" s="32" t="str">
        <x:v>gpt-5-4-mini</x:v>
      </x:c>
      <x:c r="P36" s="44" t="n">
        <x:v>148.9</x:v>
      </x:c>
      <x:c r="Q36" s="44" t="n">
        <x:v>147.11</x:v>
      </x:c>
      <x:c r="R36" s="44" t="n">
        <x:v>150.06</x:v>
      </x:c>
    </x:row>
    <x:row r="37">
      <x:c r="A37" s="32" t="str">
        <x:v>AI Co-Mathematician</x:v>
      </x:c>
      <x:c r="B37" s="32" t="str">
        <x:v>gdm-ai-co-mathematician</x:v>
      </x:c>
      <x:c r="C37" s="32" t="str">
        <x:v>AI co-mathematician</x:v>
      </x:c>
      <x:c r="D37" s="32" t="str">
        <x:v>Google DeepMind</x:v>
      </x:c>
      <x:c r="E37" s="32" t="str">
        <x:v>United States of America</x:v>
      </x:c>
      <x:c r="F37" s="34" t="n">
        <x:v>46150</x:v>
      </x:c>
      <x:c r="G37" s="32" t="str">
        <x:v>Unreleased</x:v>
      </x:c>
      <x:c r="H37" s="34" t="n">
        <x:v>46150</x:v>
      </x:c>
      <x:c r="I37" s="52" t="str"/>
      <x:c r="J37" s="32" t="str">
        <x:v>Unverified</x:v>
      </x:c>
      <x:c r="K37" s="32" t="str"/>
      <x:c r="L37" s="32" t="str"/>
      <x:c r="M37" s="32" t="str"/>
      <x:c r="N37" s="32" t="str">
        <x:v>AI Co-Mathematician</x:v>
      </x:c>
      <x:c r="O37" s="32" t="str">
        <x:v>ai-co-mathematician</x:v>
      </x:c>
      <x:c r="P37" s="44" t="str"/>
      <x:c r="Q37" s="44" t="str"/>
      <x:c r="R37" s="44" t="str"/>
    </x:row>
    <x:row r="38">
      <x:c r="A38" s="32" t="str">
        <x:v>Gemini 2.5 Pro (Jun 2025)</x:v>
      </x:c>
      <x:c r="B38" s="32" t="str">
        <x:v>gemini-2.5-pro</x:v>
      </x:c>
      <x:c r="C38" s="32" t="str"/>
      <x:c r="D38" s="32" t="str">
        <x:v>Google DeepMind</x:v>
      </x:c>
      <x:c r="E38" s="32" t="str">
        <x:v>United States of America</x:v>
      </x:c>
      <x:c r="F38" s="34" t="n">
        <x:v>45825</x:v>
      </x:c>
      <x:c r="G38" s="32" t="str">
        <x:v>API access</x:v>
      </x:c>
      <x:c r="H38" s="34" t="n">
        <x:v>45813</x:v>
      </x:c>
      <x:c r="I38" s="52" t="str"/>
      <x:c r="J38" s="32" t="str">
        <x:v>Unknown</x:v>
      </x:c>
      <x:c r="K38" s="32" t="str">
        <x:v>Google’s general-purpose frontier reasoning model.</x:v>
      </x:c>
      <x:c r="L38" s="32" t="str">
        <x:v>Gemini 2.5 Pro</x:v>
      </x:c>
      <x:c r="M38" s="32" t="str">
        <x:v>Gemini 2.5 Pro (Jun 2025)</x:v>
      </x:c>
      <x:c r="N38" s="32" t="str">
        <x:v>Gemini 2.5 Pro (Jun 2025)</x:v>
      </x:c>
      <x:c r="O38" s="32" t="str">
        <x:v>gemini-2-5-pro-jun-2025</x:v>
      </x:c>
      <x:c r="P38" s="44" t="n">
        <x:v>146.08</x:v>
      </x:c>
      <x:c r="Q38" s="44" t="n">
        <x:v>144.33</x:v>
      </x:c>
      <x:c r="R38" s="44" t="n">
        <x:v>147.72</x:v>
      </x:c>
    </x:row>
    <x:row r="39">
      <x:c r="A39" s="32" t="str">
        <x:v>Gemini 3 Flash</x:v>
      </x:c>
      <x:c r="B39" s="32" t="str">
        <x:v>gemini-3-flash-preview</x:v>
      </x:c>
      <x:c r="C39" s="32" t="str"/>
      <x:c r="D39" s="32" t="str">
        <x:v>Google DeepMind</x:v>
      </x:c>
      <x:c r="E39" s="32" t="str">
        <x:v>United States of America</x:v>
      </x:c>
      <x:c r="F39" s="34" t="n">
        <x:v>46008</x:v>
      </x:c>
      <x:c r="G39" s="32" t="str">
        <x:v>API access</x:v>
      </x:c>
      <x:c r="H39" s="34" t="n">
        <x:v>46008</x:v>
      </x:c>
      <x:c r="I39" s="52" t="str"/>
      <x:c r="J39" s="32" t="str">
        <x:v>Unknown</x:v>
      </x:c>
      <x:c r="K39" s="32" t="str"/>
      <x:c r="L39" s="32" t="str"/>
      <x:c r="M39" s="32" t="str"/>
      <x:c r="N39" s="32" t="str">
        <x:v>Gemini 3 Flash</x:v>
      </x:c>
      <x:c r="O39" s="32" t="str">
        <x:v>gemini-3-flash</x:v>
      </x:c>
      <x:c r="P39" s="44" t="n">
        <x:v>150.62</x:v>
      </x:c>
      <x:c r="Q39" s="44" t="n">
        <x:v>146.15</x:v>
      </x:c>
      <x:c r="R39" s="44" t="n">
        <x:v>152.88</x:v>
      </x:c>
    </x:row>
    <x:row r="40">
      <x:c r="A40" s="32" t="str">
        <x:v>Claude Opus 4.1</x:v>
      </x:c>
      <x:c r="B40" s="32" t="str">
        <x:v>claude-opus-4-1-20250805_32K</x:v>
      </x:c>
      <x:c r="C40" s="32" t="str"/>
      <x:c r="D40" s="32" t="str">
        <x:v>Anthropic</x:v>
      </x:c>
      <x:c r="E40" s="32" t="str">
        <x:v>United States of America</x:v>
      </x:c>
      <x:c r="F40" s="34" t="n">
        <x:v>45874</x:v>
      </x:c>
      <x:c r="G40" s="32" t="str">
        <x:v>API access</x:v>
      </x:c>
      <x:c r="H40" s="34" t="n">
        <x:v>45874</x:v>
      </x:c>
      <x:c r="I40" s="52" t="str"/>
      <x:c r="J40" s="32" t="str">
        <x:v>Unknown</x:v>
      </x:c>
      <x:c r="K40" s="32" t="str">
        <x:v>Anthropic’s largest flagship model, benchmarked with up to 32,000 reasoning tokens.</x:v>
      </x:c>
      <x:c r="L40" s="32" t="str">
        <x:v>Claude Opus 4.1 (32k thinking)</x:v>
      </x:c>
      <x:c r="M40" s="32" t="str"/>
      <x:c r="N40" s="32" t="str">
        <x:v>Claude Opus 4.1</x:v>
      </x:c>
      <x:c r="O40" s="32" t="str">
        <x:v>claude-opus-4-1</x:v>
      </x:c>
      <x:c r="P40" s="44" t="n">
        <x:v>144.21</x:v>
      </x:c>
      <x:c r="Q40" s="44" t="n">
        <x:v>141.74</x:v>
      </x:c>
      <x:c r="R40" s="44" t="n">
        <x:v>146.36</x:v>
      </x:c>
    </x:row>
    <x:row r="41">
      <x:c r="A41" s="32" t="str">
        <x:v>Claude Sonnet 4.5</x:v>
      </x:c>
      <x:c r="B41" s="32" t="str">
        <x:v>claude-sonnet-4-5-20250929_32K</x:v>
      </x:c>
      <x:c r="C41" s="32" t="str">
        <x:v>Claude Sonnet 4.5 (32k thinking)</x:v>
      </x:c>
      <x:c r="D41" s="32" t="str">
        <x:v>Anthropic</x:v>
      </x:c>
      <x:c r="E41" s="32" t="str">
        <x:v>United States of America</x:v>
      </x:c>
      <x:c r="F41" s="34" t="n">
        <x:v>45929</x:v>
      </x:c>
      <x:c r="G41" s="32" t="str">
        <x:v>API access</x:v>
      </x:c>
      <x:c r="H41" s="34" t="n">
        <x:v>45929</x:v>
      </x:c>
      <x:c r="I41" s="52" t="str"/>
      <x:c r="J41" s="32" t="str">
        <x:v>Unknown</x:v>
      </x:c>
      <x:c r="K41" s="32" t="str">
        <x:v>Anthropic's latest mid-size model, part of the Claude 4.5 series, evaluated with up to 32,000 reasoning tokens.</x:v>
      </x:c>
      <x:c r="L41" s="32" t="str">
        <x:v>Claude Sonnet 4.5 (32k thinking)</x:v>
      </x:c>
      <x:c r="M41" s="32" t="str"/>
      <x:c r="N41" s="32" t="str">
        <x:v>Claude Sonnet 4.5</x:v>
      </x:c>
      <x:c r="O41" s="32" t="str">
        <x:v>claude-sonnet-4-5</x:v>
      </x:c>
      <x:c r="P41" s="44" t="n">
        <x:v>146.75</x:v>
      </x:c>
      <x:c r="Q41" s="44" t="n">
        <x:v>144.71</x:v>
      </x:c>
      <x:c r="R41" s="44" t="n">
        <x:v>148.07</x:v>
      </x:c>
    </x:row>
    <x:row r="42">
      <x:c r="A42" s="32" t="str">
        <x:v>o4-mini</x:v>
      </x:c>
      <x:c r="B42" s="32" t="str">
        <x:v>o4-mini-2025-04-16_high</x:v>
      </x:c>
      <x:c r="C42" s="32" t="str">
        <x:v>o4-mini (high)</x:v>
      </x:c>
      <x:c r="D42" s="32" t="str">
        <x:v>OpenAI</x:v>
      </x:c>
      <x:c r="E42" s="32" t="str">
        <x:v>United States of America</x:v>
      </x:c>
      <x:c r="F42" s="34" t="n">
        <x:v>45763</x:v>
      </x:c>
      <x:c r="G42" s="32" t="str">
        <x:v>API access</x:v>
      </x:c>
      <x:c r="H42" s="34" t="n">
        <x:v>45763</x:v>
      </x:c>
      <x:c r="I42" s="52" t="str"/>
      <x:c r="J42" s="32" t="str">
        <x:v>Unknown</x:v>
      </x:c>
      <x:c r="K42" s="32" t="str">
        <x:v>The latest smaller size o-series reasoning model from OpenAI, evaluated with high reasoning effort.</x:v>
      </x:c>
      <x:c r="L42" s="32" t="str"/>
      <x:c r="M42" s="32" t="str"/>
      <x:c r="N42" s="32" t="str">
        <x:v>o4-mini</x:v>
      </x:c>
      <x:c r="O42" s="32" t="str">
        <x:v>o4-mini</x:v>
      </x:c>
      <x:c r="P42" s="44" t="n">
        <x:v>146.54</x:v>
      </x:c>
      <x:c r="Q42" s="44" t="n">
        <x:v>144.05</x:v>
      </x:c>
      <x:c r="R42" s="44" t="n">
        <x:v>147.85</x:v>
      </x:c>
    </x:row>
    <x:row r="43">
      <x:c r="A43" s="32" t="str">
        <x:v>o3-mini</x:v>
      </x:c>
      <x:c r="B43" s="32" t="str">
        <x:v>o3-mini-2025-01-31_high</x:v>
      </x:c>
      <x:c r="C43" s="32" t="str">
        <x:v>o3-mini (high)</x:v>
      </x:c>
      <x:c r="D43" s="32" t="str">
        <x:v>OpenAI</x:v>
      </x:c>
      <x:c r="E43" s="32" t="str">
        <x:v>United States of America</x:v>
      </x:c>
      <x:c r="F43" s="34" t="n">
        <x:v>45688</x:v>
      </x:c>
      <x:c r="G43" s="32" t="str">
        <x:v>API access</x:v>
      </x:c>
      <x:c r="H43" s="34" t="n">
        <x:v>45688</x:v>
      </x:c>
      <x:c r="I43" s="52" t="str"/>
      <x:c r="J43" s="32" t="str">
        <x:v>Unknown</x:v>
      </x:c>
      <x:c r="K43" s="32" t="str">
        <x:v>A smaller version of OpenAI's o3 reasoning model, evaluated with high reasoning effort.</x:v>
      </x:c>
      <x:c r="L43" s="32" t="str"/>
      <x:c r="M43" s="32" t="str"/>
      <x:c r="N43" s="32" t="str">
        <x:v>o3-mini</x:v>
      </x:c>
      <x:c r="O43" s="32" t="str">
        <x:v>o3-mini</x:v>
      </x:c>
      <x:c r="P43" s="44" t="n">
        <x:v>141.41</x:v>
      </x:c>
      <x:c r="Q43" s="44" t="n">
        <x:v>137.82</x:v>
      </x:c>
      <x:c r="R43" s="44" t="n">
        <x:v>142.81</x:v>
      </x:c>
    </x:row>
    <x:row r="44">
      <x:c r="A44" s="32" t="str">
        <x:v>Claude Opus 4.5</x:v>
      </x:c>
      <x:c r="B44" s="32" t="str">
        <x:v>claude-opus-4-5-20251101_32K</x:v>
      </x:c>
      <x:c r="C44" s="32" t="str">
        <x:v>Claude Opus 4.5 (32k thinking)</x:v>
      </x:c>
      <x:c r="D44" s="32" t="str">
        <x:v>Anthropic</x:v>
      </x:c>
      <x:c r="E44" s="32" t="str">
        <x:v>United States of America</x:v>
      </x:c>
      <x:c r="F44" s="34" t="n">
        <x:v>45985</x:v>
      </x:c>
      <x:c r="G44" s="32" t="str">
        <x:v>API access</x:v>
      </x:c>
      <x:c r="H44" s="34" t="n">
        <x:v>45985</x:v>
      </x:c>
      <x:c r="I44" s="52" t="str"/>
      <x:c r="J44" s="32" t="str">
        <x:v>Unknown</x:v>
      </x:c>
      <x:c r="K44" s="32" t="str"/>
      <x:c r="L44" s="32" t="str">
        <x:v>Claude Opus 4.5 (32k thinking)</x:v>
      </x:c>
      <x:c r="M44" s="32" t="str"/>
      <x:c r="N44" s="32" t="str">
        <x:v>Claude Opus 4.5</x:v>
      </x:c>
      <x:c r="O44" s="32" t="str">
        <x:v>claude-opus-4-5</x:v>
      </x:c>
      <x:c r="P44" s="44" t="n">
        <x:v>149.53</x:v>
      </x:c>
      <x:c r="Q44" s="44" t="n">
        <x:v>147.66</x:v>
      </x:c>
      <x:c r="R44" s="44" t="n">
        <x:v>151.99</x:v>
      </x:c>
    </x:row>
    <x:row r="45">
      <x:c r="A45" s="32" t="str">
        <x:v>Claude Fable 5</x:v>
      </x:c>
      <x:c r="B45" s="32" t="str">
        <x:v>claude-fable-5_xhigh</x:v>
      </x:c>
      <x:c r="C45" s="32" t="str">
        <x:v>Claude Fable 5 (xhigh)</x:v>
      </x:c>
      <x:c r="D45" s="32" t="str">
        <x:v>Anthropic</x:v>
      </x:c>
      <x:c r="E45" s="32" t="str">
        <x:v>United States of America</x:v>
      </x:c>
      <x:c r="F45" s="34" t="n">
        <x:v>46182</x:v>
      </x:c>
      <x:c r="G45" s="32" t="str">
        <x:v>API access</x:v>
      </x:c>
      <x:c r="H45" s="34" t="n">
        <x:v>46182</x:v>
      </x:c>
      <x:c r="I45" s="52" t="str"/>
      <x:c r="J45" s="32" t="str">
        <x:v>Confident</x:v>
      </x:c>
      <x:c r="K45" s="32" t="str"/>
      <x:c r="L45" s="32" t="str">
        <x:v>Claude Fable 5 (xhigh)</x:v>
      </x:c>
      <x:c r="M45" s="32" t="str"/>
      <x:c r="N45" s="32" t="str">
        <x:v>Claude Fable 5</x:v>
      </x:c>
      <x:c r="O45" s="32" t="str">
        <x:v>claude-fable-5</x:v>
      </x:c>
      <x:c r="P45" s="44" t="n">
        <x:v>160.44</x:v>
      </x:c>
      <x:c r="Q45" s="44" t="n">
        <x:v>158.05</x:v>
      </x:c>
      <x:c r="R45" s="44" t="n">
        <x:v>164.61</x:v>
      </x:c>
    </x:row>
    <x:row r="46">
      <x:c r="A46" s="32" t="str">
        <x:v>Qwen 3.6 Max (Preview)</x:v>
      </x:c>
      <x:c r="B46" s="32" t="str">
        <x:v>qwen3.6-max-preview</x:v>
      </x:c>
      <x:c r="C46" s="32" t="str">
        <x:v>Qwen 3.6 Max (Preview)</x:v>
      </x:c>
      <x:c r="D46" s="32" t="str">
        <x:v>Alibaba</x:v>
      </x:c>
      <x:c r="E46" s="32" t="str">
        <x:v>China</x:v>
      </x:c>
      <x:c r="F46" s="34" t="n">
        <x:v>46132</x:v>
      </x:c>
      <x:c r="G46" s="32" t="str"/>
      <x:c r="H46" s="34"/>
      <x:c r="I46" s="52" t="str"/>
      <x:c r="J46" s="32" t="str">
        <x:v>Unverified</x:v>
      </x:c>
      <x:c r="K46" s="32" t="str"/>
      <x:c r="L46" s="32" t="str"/>
      <x:c r="M46" s="32" t="str"/>
      <x:c r="N46" s="32" t="str">
        <x:v>Qwen 3.6 Max (Preview)</x:v>
      </x:c>
      <x:c r="O46" s="32" t="str">
        <x:v>qwen-3-6-max-preview</x:v>
      </x:c>
      <x:c r="P46" s="44" t="n">
        <x:v>149.61</x:v>
      </x:c>
      <x:c r="Q46" s="44" t="n">
        <x:v>147.62</x:v>
      </x:c>
      <x:c r="R46" s="44" t="n">
        <x:v>153.07</x:v>
      </x:c>
    </x:row>
    <x:row r="47">
      <x:c r="A47" s="32" t="str">
        <x:v>GLM-5.1</x:v>
      </x:c>
      <x:c r="B47" s="32" t="str">
        <x:v>glm-5.1</x:v>
      </x:c>
      <x:c r="C47" s="32" t="str">
        <x:v>GLM-5.1</x:v>
      </x:c>
      <x:c r="D47" s="32" t="str">
        <x:v>Z.ai (Zhipu AI)</x:v>
      </x:c>
      <x:c r="E47" s="32" t="str">
        <x:v>China</x:v>
      </x:c>
      <x:c r="F47" s="34" t="n">
        <x:v>46119</x:v>
      </x:c>
      <x:c r="G47" s="32" t="str"/>
      <x:c r="H47" s="34" t="n">
        <x:v>46119</x:v>
      </x:c>
      <x:c r="I47" s="52" t="str"/>
      <x:c r="J47" s="32" t="str">
        <x:v>Confident</x:v>
      </x:c>
      <x:c r="K47" s="32" t="str"/>
      <x:c r="L47" s="32" t="str"/>
      <x:c r="M47" s="32" t="str"/>
      <x:c r="N47" s="32" t="str">
        <x:v>GLM-5.1</x:v>
      </x:c>
      <x:c r="O47" s="32" t="str">
        <x:v>glm-5-1</x:v>
      </x:c>
      <x:c r="P47" s="44" t="n">
        <x:v>150.39</x:v>
      </x:c>
      <x:c r="Q47" s="44" t="n">
        <x:v>148.1</x:v>
      </x:c>
      <x:c r="R47" s="44" t="n">
        <x:v>151.89</x:v>
      </x:c>
    </x:row>
    <x:row r="48">
      <x:c r="A48" s="32" t="str">
        <x:v>Qwen 3.5 Plus (hosted 397B-A17B)</x:v>
      </x:c>
      <x:c r="B48" s="32" t="str">
        <x:v>qwen3.5-plus</x:v>
      </x:c>
      <x:c r="C48" s="32" t="str"/>
      <x:c r="D48" s="32" t="str">
        <x:v>Alibaba</x:v>
      </x:c>
      <x:c r="E48" s="32" t="str">
        <x:v>China</x:v>
      </x:c>
      <x:c r="F48" s="34" t="n">
        <x:v>46069</x:v>
      </x:c>
      <x:c r="G48" s="32" t="str"/>
      <x:c r="H48" s="34" t="n">
        <x:v>46069</x:v>
      </x:c>
      <x:c r="I48" s="52" t="str"/>
      <x:c r="J48" s="32" t="str">
        <x:v>Likely</x:v>
      </x:c>
      <x:c r="K48" s="32" t="str"/>
      <x:c r="L48" s="32" t="str"/>
      <x:c r="M48" s="32" t="str"/>
      <x:c r="N48" s="32" t="str">
        <x:v>Qwen 3.5 Plus (hosted 397B-A17B)</x:v>
      </x:c>
      <x:c r="O48" s="32" t="str">
        <x:v>qwen-3-5-plus-hosted-397b-a17b</x:v>
      </x:c>
      <x:c r="P48" s="44" t="n">
        <x:v>146.95</x:v>
      </x:c>
      <x:c r="Q48" s="44" t="n">
        <x:v>144.65</x:v>
      </x:c>
      <x:c r="R48" s="44" t="n">
        <x:v>148.03</x:v>
      </x:c>
    </x:row>
    <x:row r="49">
      <x:c r="A49" s="32" t="str">
        <x:v>Qwen 3.6 Plus</x:v>
      </x:c>
      <x:c r="B49" s="32" t="str">
        <x:v>qwen3.6-plus</x:v>
      </x:c>
      <x:c r="C49" s="32" t="str">
        <x:v>Qwen 3.6 Plus (2026-04-02)</x:v>
      </x:c>
      <x:c r="D49" s="32" t="str">
        <x:v>Alibaba</x:v>
      </x:c>
      <x:c r="E49" s="32" t="str">
        <x:v>China</x:v>
      </x:c>
      <x:c r="F49" s="34" t="n">
        <x:v>46112</x:v>
      </x:c>
      <x:c r="G49" s="32" t="str">
        <x:v>API access</x:v>
      </x:c>
      <x:c r="H49" s="34" t="n">
        <x:v>46113</x:v>
      </x:c>
      <x:c r="I49" s="52" t="str"/>
      <x:c r="J49" s="32" t="str">
        <x:v>Confident</x:v>
      </x:c>
      <x:c r="K49" s="32" t="str"/>
      <x:c r="L49" s="32" t="str"/>
      <x:c r="M49" s="32" t="str"/>
      <x:c r="N49" s="32" t="str">
        <x:v>Qwen 3.6 Plus</x:v>
      </x:c>
      <x:c r="O49" s="32" t="str">
        <x:v>qwen-3-6-plus</x:v>
      </x:c>
      <x:c r="P49" s="44" t="n">
        <x:v>149.13</x:v>
      </x:c>
      <x:c r="Q49" s="44" t="n">
        <x:v>146.49</x:v>
      </x:c>
      <x:c r="R49" s="44" t="n">
        <x:v>150.98</x:v>
      </x:c>
    </x:row>
    <x:row r="50">
      <x:c r="A50" s="32" t="str">
        <x:v>Qwen 3.6 Flash</x:v>
      </x:c>
      <x:c r="B50" s="32" t="str">
        <x:v>qwen3.6-flash</x:v>
      </x:c>
      <x:c r="C50" s="32" t="str">
        <x:v>Qwen 3.6 Flash (2026-04-16)</x:v>
      </x:c>
      <x:c r="D50" s="32" t="str">
        <x:v>Alibaba</x:v>
      </x:c>
      <x:c r="E50" s="32" t="str">
        <x:v>China</x:v>
      </x:c>
      <x:c r="F50" s="34" t="n">
        <x:v>46139</x:v>
      </x:c>
      <x:c r="G50" s="32" t="str"/>
      <x:c r="H50" s="34" t="n">
        <x:v>46138</x:v>
      </x:c>
      <x:c r="I50" s="52" t="str"/>
      <x:c r="J50" s="32" t="str">
        <x:v>Unverified</x:v>
      </x:c>
      <x:c r="K50" s="32" t="str"/>
      <x:c r="L50" s="32" t="str"/>
      <x:c r="M50" s="32" t="str"/>
      <x:c r="N50" s="32" t="str">
        <x:v>Qwen 3.6 Flash</x:v>
      </x:c>
      <x:c r="O50" s="32" t="str">
        <x:v>qwen-3-6-flash</x:v>
      </x:c>
      <x:c r="P50" s="44" t="n">
        <x:v>144.17</x:v>
      </x:c>
      <x:c r="Q50" s="44" t="n">
        <x:v>141.12</x:v>
      </x:c>
      <x:c r="R50" s="44" t="n">
        <x:v>145.65</x:v>
      </x:c>
    </x:row>
    <x:row r="51">
      <x:c r="A51" s="32" t="str">
        <x:v>Qwen 3.5 Flash (hosted 35B-A3B)</x:v>
      </x:c>
      <x:c r="B51" s="32" t="str">
        <x:v>qwen3.5-flash</x:v>
      </x:c>
      <x:c r="C51" s="32" t="str"/>
      <x:c r="D51" s="32" t="str">
        <x:v>Alibaba</x:v>
      </x:c>
      <x:c r="E51" s="32" t="str">
        <x:v>China</x:v>
      </x:c>
      <x:c r="F51" s="34" t="n">
        <x:v>46078</x:v>
      </x:c>
      <x:c r="G51" s="32" t="str"/>
      <x:c r="H51" s="34" t="n">
        <x:v>46078</x:v>
      </x:c>
      <x:c r="I51" s="52" t="str"/>
      <x:c r="J51" s="32" t="str">
        <x:v>Likely</x:v>
      </x:c>
      <x:c r="K51" s="32" t="str"/>
      <x:c r="L51" s="32" t="str"/>
      <x:c r="M51" s="32" t="str"/>
      <x:c r="N51" s="32" t="str">
        <x:v>Qwen 3.5 Flash (hosted 35B-A3B)</x:v>
      </x:c>
      <x:c r="O51" s="32" t="str">
        <x:v>qwen-3-5-flash-hosted-35b-a3b</x:v>
      </x:c>
      <x:c r="P51" s="44" t="n">
        <x:v>144.07</x:v>
      </x:c>
      <x:c r="Q51" s="44" t="n">
        <x:v>140.99</x:v>
      </x:c>
      <x:c r="R51" s="44" t="n">
        <x:v>146.42</x:v>
      </x:c>
    </x:row>
    <x:row r="52">
      <x:c r="A52" s="32" t="str">
        <x:v>GPT-5.5</x:v>
      </x:c>
      <x:c r="B52" s="32" t="str">
        <x:v>gpt-5.5_low</x:v>
      </x:c>
      <x:c r="C52" s="32" t="str">
        <x:v>GPT-5.5 (low)</x:v>
      </x:c>
      <x:c r="D52" s="32" t="str">
        <x:v>OpenAI</x:v>
      </x:c>
      <x:c r="E52" s="32" t="str">
        <x:v>United States of America</x:v>
      </x:c>
      <x:c r="F52" s="34" t="n">
        <x:v>46135</x:v>
      </x:c>
      <x:c r="G52" s="32" t="str">
        <x:v>API access</x:v>
      </x:c>
      <x:c r="H52" s="34" t="n">
        <x:v>46135</x:v>
      </x:c>
      <x:c r="I52" s="52" t="str"/>
      <x:c r="J52" s="32" t="str">
        <x:v>Likely</x:v>
      </x:c>
      <x:c r="K52" s="32" t="str"/>
      <x:c r="L52" s="32" t="str"/>
      <x:c r="M52" s="32" t="str"/>
      <x:c r="N52" s="32" t="str">
        <x:v>GPT-5.5</x:v>
      </x:c>
      <x:c r="O52" s="32" t="str">
        <x:v>gpt-5-5</x:v>
      </x:c>
      <x:c r="P52" s="44" t="n">
        <x:v>158.33</x:v>
      </x:c>
      <x:c r="Q52" s="44" t="n">
        <x:v>156.44</x:v>
      </x:c>
      <x:c r="R52" s="44" t="n">
        <x:v>161.43</x:v>
      </x:c>
    </x:row>
    <x:row r="53">
      <x:c r="A53" s="32" t="str">
        <x:v>GPT-5.5 Pro</x:v>
      </x:c>
      <x:c r="B53" s="32" t="str">
        <x:v>gpt-5.5-pro-pre-release_xhigh</x:v>
      </x:c>
      <x:c r="C53" s="32" t="str">
        <x:v>GPT-5.5 Pro (xhigh)</x:v>
      </x:c>
      <x:c r="D53" s="32" t="str">
        <x:v>OpenAI</x:v>
      </x:c>
      <x:c r="E53" s="32" t="str">
        <x:v>United States of America</x:v>
      </x:c>
      <x:c r="F53" s="34" t="n">
        <x:v>46135</x:v>
      </x:c>
      <x:c r="G53" s="32" t="str">
        <x:v>API access</x:v>
      </x:c>
      <x:c r="H53" s="34" t="n">
        <x:v>46135</x:v>
      </x:c>
      <x:c r="I53" s="52" t="str"/>
      <x:c r="J53" s="32" t="str">
        <x:v>Likely</x:v>
      </x:c>
      <x:c r="K53" s="32" t="str"/>
      <x:c r="L53" s="32" t="str"/>
      <x:c r="M53" s="32" t="str"/>
      <x:c r="N53" s="32" t="str">
        <x:v>GPT-5.5 Pro</x:v>
      </x:c>
      <x:c r="O53" s="32" t="str">
        <x:v>gpt-5-5-pro</x:v>
      </x:c>
      <x:c r="P53" s="44" t="n">
        <x:v>160.73</x:v>
      </x:c>
      <x:c r="Q53" s="44" t="n">
        <x:v>158.24</x:v>
      </x:c>
      <x:c r="R53" s="44" t="n">
        <x:v>164.36</x:v>
      </x:c>
    </x:row>
    <x:row r="54">
      <x:c r="A54" s="32" t="str">
        <x:v>GPT-5.5</x:v>
      </x:c>
      <x:c r="B54" s="32" t="str">
        <x:v>gpt-5.5-pre-release_xhigh</x:v>
      </x:c>
      <x:c r="C54" s="32" t="str">
        <x:v>GPT-5.5 (xhigh)</x:v>
      </x:c>
      <x:c r="D54" s="32" t="str">
        <x:v>OpenAI</x:v>
      </x:c>
      <x:c r="E54" s="32" t="str">
        <x:v>United States of America</x:v>
      </x:c>
      <x:c r="F54" s="34" t="n">
        <x:v>46135</x:v>
      </x:c>
      <x:c r="G54" s="32" t="str">
        <x:v>API access</x:v>
      </x:c>
      <x:c r="H54" s="34" t="n">
        <x:v>46135</x:v>
      </x:c>
      <x:c r="I54" s="52" t="str"/>
      <x:c r="J54" s="32" t="str">
        <x:v>Likely</x:v>
      </x:c>
      <x:c r="K54" s="32" t="str"/>
      <x:c r="L54" s="32" t="str"/>
      <x:c r="M54" s="32" t="str"/>
      <x:c r="N54" s="32" t="str">
        <x:v>GPT-5.5</x:v>
      </x:c>
      <x:c r="O54" s="32" t="str">
        <x:v>gpt-5-5</x:v>
      </x:c>
      <x:c r="P54" s="44" t="n">
        <x:v>158.33</x:v>
      </x:c>
      <x:c r="Q54" s="44" t="n">
        <x:v>156.44</x:v>
      </x:c>
      <x:c r="R54" s="44" t="n">
        <x:v>161.43</x:v>
      </x:c>
    </x:row>
    <x:row r="55">
      <x:c r="A55" s="32" t="str">
        <x:v>GPT-5.5 Pro</x:v>
      </x:c>
      <x:c r="B55" s="32" t="str">
        <x:v>gpt-5.5-pro-pre-release_high</x:v>
      </x:c>
      <x:c r="C55" s="32" t="str">
        <x:v>GPT-5.5 Pro (high)</x:v>
      </x:c>
      <x:c r="D55" s="32" t="str">
        <x:v>OpenAI</x:v>
      </x:c>
      <x:c r="E55" s="32" t="str">
        <x:v>United States of America</x:v>
      </x:c>
      <x:c r="F55" s="34" t="n">
        <x:v>46135</x:v>
      </x:c>
      <x:c r="G55" s="32" t="str">
        <x:v>API access</x:v>
      </x:c>
      <x:c r="H55" s="34" t="n">
        <x:v>46135</x:v>
      </x:c>
      <x:c r="I55" s="52" t="str"/>
      <x:c r="J55" s="32" t="str">
        <x:v>Likely</x:v>
      </x:c>
      <x:c r="K55" s="32" t="str"/>
      <x:c r="L55" s="32" t="str"/>
      <x:c r="M55" s="32" t="str"/>
      <x:c r="N55" s="32" t="str">
        <x:v>GPT-5.5 Pro</x:v>
      </x:c>
      <x:c r="O55" s="32" t="str">
        <x:v>gpt-5-5-pro</x:v>
      </x:c>
      <x:c r="P55" s="44" t="n">
        <x:v>160.73</x:v>
      </x:c>
      <x:c r="Q55" s="44" t="n">
        <x:v>158.24</x:v>
      </x:c>
      <x:c r="R55" s="44" t="n">
        <x:v>164.36</x:v>
      </x:c>
    </x:row>
    <x:row r="56">
      <x:c r="A56" s="32" t="str">
        <x:v>Claude Opus 4.7</x:v>
      </x:c>
      <x:c r="B56" s="32" t="str">
        <x:v>claude-opus-4-7_xhigh</x:v>
      </x:c>
      <x:c r="C56" s="32" t="str">
        <x:v>Claude Opus 4.7 (xhigh)</x:v>
      </x:c>
      <x:c r="D56" s="32" t="str">
        <x:v>Anthropic</x:v>
      </x:c>
      <x:c r="E56" s="32" t="str">
        <x:v>United States of America</x:v>
      </x:c>
      <x:c r="F56" s="34" t="n">
        <x:v>46128</x:v>
      </x:c>
      <x:c r="G56" s="32" t="str">
        <x:v>API access</x:v>
      </x:c>
      <x:c r="H56" s="34" t="n">
        <x:v>46128</x:v>
      </x:c>
      <x:c r="I56" s="52" t="str"/>
      <x:c r="J56" s="32" t="str">
        <x:v>Likely</x:v>
      </x:c>
      <x:c r="K56" s="32" t="str"/>
      <x:c r="L56" s="32" t="str">
        <x:v>Claude Opus 4.7 (xhigh)</x:v>
      </x:c>
      <x:c r="M56" s="32" t="str"/>
      <x:c r="N56" s="32" t="str">
        <x:v>Claude Opus 4.7</x:v>
      </x:c>
      <x:c r="O56" s="32" t="str">
        <x:v>claude-opus-4-7</x:v>
      </x:c>
      <x:c r="P56" s="44" t="n">
        <x:v>156.01</x:v>
      </x:c>
      <x:c r="Q56" s="44" t="n">
        <x:v>154.07</x:v>
      </x:c>
      <x:c r="R56" s="44" t="n">
        <x:v>158.4</x:v>
      </x:c>
    </x:row>
    <x:row r="57">
      <x:c r="A57" s="32" t="str">
        <x:v>GPT-5.4 Mini</x:v>
      </x:c>
      <x:c r="B57" s="32" t="str">
        <x:v>gpt-5.4-mini-2026-03-17_high</x:v>
      </x:c>
      <x:c r="C57" s="32" t="str">
        <x:v>GPT-5.4 mini (high)</x:v>
      </x:c>
      <x:c r="D57" s="32" t="str">
        <x:v>OpenAI</x:v>
      </x:c>
      <x:c r="E57" s="32" t="str">
        <x:v>United States of America</x:v>
      </x:c>
      <x:c r="F57" s="34" t="n">
        <x:v>46098</x:v>
      </x:c>
      <x:c r="G57" s="32" t="str">
        <x:v>API access</x:v>
      </x:c>
      <x:c r="H57" s="34" t="n">
        <x:v>46098</x:v>
      </x:c>
      <x:c r="I57" s="52" t="str"/>
      <x:c r="J57" s="32" t="str">
        <x:v>Likely</x:v>
      </x:c>
      <x:c r="K57" s="32" t="str"/>
      <x:c r="L57" s="32" t="str">
        <x:v>GPT-5.4 mini (high)</x:v>
      </x:c>
      <x:c r="M57" s="32" t="str"/>
      <x:c r="N57" s="32" t="str">
        <x:v>GPT-5.4 Mini</x:v>
      </x:c>
      <x:c r="O57" s="32" t="str">
        <x:v>gpt-5-4-mini</x:v>
      </x:c>
      <x:c r="P57" s="44" t="n">
        <x:v>148.9</x:v>
      </x:c>
      <x:c r="Q57" s="44" t="n">
        <x:v>147.11</x:v>
      </x:c>
      <x:c r="R57" s="44" t="n">
        <x:v>150.06</x:v>
      </x:c>
    </x:row>
    <x:row r="58">
      <x:c r="A58" s="32" t="str">
        <x:v>Muse Spark</x:v>
      </x:c>
      <x:c r="B58" s="32" t="str">
        <x:v>muse-spark</x:v>
      </x:c>
      <x:c r="C58" s="32" t="str">
        <x:v>Muse Spark</x:v>
      </x:c>
      <x:c r="D58" s="32" t="str">
        <x:v>Meta AI</x:v>
      </x:c>
      <x:c r="E58" s="32" t="str">
        <x:v>United States of America</x:v>
      </x:c>
      <x:c r="F58" s="34" t="n">
        <x:v>46120</x:v>
      </x:c>
      <x:c r="G58" s="32" t="str">
        <x:v>API access</x:v>
      </x:c>
      <x:c r="H58" s="34" t="n">
        <x:v>46120</x:v>
      </x:c>
      <x:c r="I58" s="52" t="str"/>
      <x:c r="J58" s="32" t="str">
        <x:v>Confident</x:v>
      </x:c>
      <x:c r="K58" s="32" t="str"/>
      <x:c r="L58" s="32" t="str">
        <x:v>Muse Spark</x:v>
      </x:c>
      <x:c r="M58" s="32" t="str"/>
      <x:c r="N58" s="32" t="str">
        <x:v>Muse Spark</x:v>
      </x:c>
      <x:c r="O58" s="32" t="str">
        <x:v>muse-spark</x:v>
      </x:c>
      <x:c r="P58" s="44" t="n">
        <x:v>154.27</x:v>
      </x:c>
      <x:c r="Q58" s="44" t="n">
        <x:v>151.76</x:v>
      </x:c>
      <x:c r="R58" s="44" t="n">
        <x:v>158.17</x:v>
      </x:c>
    </x:row>
    <x:row r="59">
      <x:c r="A59" s="32" t="str">
        <x:v>Gemma 4 31B IT</x:v>
      </x:c>
      <x:c r="B59" s="32" t="str">
        <x:v>gemma-4-31b-it</x:v>
      </x:c>
      <x:c r="C59" s="32" t="str">
        <x:v>Gemma 4 31B IT</x:v>
      </x:c>
      <x:c r="D59" s="32" t="str">
        <x:v>Google DeepMind</x:v>
      </x:c>
      <x:c r="E59" s="32" t="str">
        <x:v>United States of America</x:v>
      </x:c>
      <x:c r="F59" s="34" t="n">
        <x:v>46114</x:v>
      </x:c>
      <x:c r="G59" s="32" t="str">
        <x:v>Open weights (restricted use)</x:v>
      </x:c>
      <x:c r="H59" s="34" t="n">
        <x:v>46114</x:v>
      </x:c>
      <x:c r="I59" s="52" t="str"/>
      <x:c r="J59" s="32" t="str">
        <x:v>Likely</x:v>
      </x:c>
      <x:c r="K59" s="32" t="str"/>
      <x:c r="L59" s="32" t="str">
        <x:v>Gemma 4 31B IT</x:v>
      </x:c>
      <x:c r="M59" s="32" t="str"/>
      <x:c r="N59" s="32" t="str">
        <x:v>Gemma 4 31B IT</x:v>
      </x:c>
      <x:c r="O59" s="32" t="str">
        <x:v>gemma-4-31b-it</x:v>
      </x:c>
      <x:c r="P59" s="44" t="str"/>
      <x:c r="Q59" s="44" t="str"/>
      <x:c r="R59" s="44" t="str"/>
    </x:row>
    <x:row r="60">
      <x:c r="A60" s="32" t="str">
        <x:v>GPT-5.4</x:v>
      </x:c>
      <x:c r="B60" s="32" t="str">
        <x:v>gpt-5.4-2026-03-05_high</x:v>
      </x:c>
      <x:c r="C60" s="32" t="str">
        <x:v>GPT-5.4 (high)</x:v>
      </x:c>
      <x:c r="D60" s="32" t="str">
        <x:v>OpenAI</x:v>
      </x:c>
      <x:c r="E60" s="32" t="str">
        <x:v>United States of America</x:v>
      </x:c>
      <x:c r="F60" s="34" t="n">
        <x:v>46086</x:v>
      </x:c>
      <x:c r="G60" s="32" t="str">
        <x:v>API access</x:v>
      </x:c>
      <x:c r="H60" s="34" t="n">
        <x:v>46086</x:v>
      </x:c>
      <x:c r="I60" s="52" t="str"/>
      <x:c r="J60" s="32" t="str">
        <x:v>Likely</x:v>
      </x:c>
      <x:c r="K60" s="32" t="str"/>
      <x:c r="L60" s="32" t="str">
        <x:v>GPT-5.4 (high)</x:v>
      </x:c>
      <x:c r="M60" s="32" t="str"/>
      <x:c r="N60" s="32" t="str">
        <x:v>GPT-5.4</x:v>
      </x:c>
      <x:c r="O60" s="32" t="str">
        <x:v>gpt-5-4</x:v>
      </x:c>
      <x:c r="P60" s="44" t="n">
        <x:v>156.03</x:v>
      </x:c>
      <x:c r="Q60" s="44" t="n">
        <x:v>154.45</x:v>
      </x:c>
      <x:c r="R60" s="44" t="n">
        <x:v>158.37</x:v>
      </x:c>
    </x:row>
    <x:row r="61">
      <x:c r="A61" s="32" t="str">
        <x:v>GPT-5.4 Pro</x:v>
      </x:c>
      <x:c r="B61" s="32" t="str">
        <x:v>gpt-5.4-pro-2026-03-05-web-app</x:v>
      </x:c>
      <x:c r="C61" s="32" t="str">
        <x:v>GPT-5.4 Pro (web)</x:v>
      </x:c>
      <x:c r="D61" s="32" t="str">
        <x:v>OpenAI</x:v>
      </x:c>
      <x:c r="E61" s="32" t="str">
        <x:v>United States of America</x:v>
      </x:c>
      <x:c r="F61" s="34" t="n">
        <x:v>46086</x:v>
      </x:c>
      <x:c r="G61" s="32" t="str">
        <x:v>API access</x:v>
      </x:c>
      <x:c r="H61" s="34" t="n">
        <x:v>46086</x:v>
      </x:c>
      <x:c r="I61" s="52" t="str"/>
      <x:c r="J61" s="32" t="str">
        <x:v>Likely</x:v>
      </x:c>
      <x:c r="K61" s="32" t="str"/>
      <x:c r="L61" s="32" t="str">
        <x:v>GPT-5.4 Pro (Web App)</x:v>
      </x:c>
      <x:c r="M61" s="32" t="str"/>
      <x:c r="N61" s="32" t="str">
        <x:v>GPT-5.4 Pro</x:v>
      </x:c>
      <x:c r="O61" s="32" t="str">
        <x:v>gpt-5-4-pro</x:v>
      </x:c>
      <x:c r="P61" s="44" t="n">
        <x:v>157.83</x:v>
      </x:c>
      <x:c r="Q61" s="44" t="n">
        <x:v>155.96</x:v>
      </x:c>
      <x:c r="R61" s="44" t="n">
        <x:v>160.88</x:v>
      </x:c>
    </x:row>
    <x:row r="62">
      <x:c r="A62" s="32" t="str">
        <x:v>GPT-5.3 Codex</x:v>
      </x:c>
      <x:c r="B62" s="32" t="str">
        <x:v>gpt-5.3-codex_high</x:v>
      </x:c>
      <x:c r="C62" s="32" t="str">
        <x:v>GPT-5.3 Codex (high)</x:v>
      </x:c>
      <x:c r="D62" s="32" t="str">
        <x:v>OpenAI</x:v>
      </x:c>
      <x:c r="E62" s="32" t="str">
        <x:v>United States of America</x:v>
      </x:c>
      <x:c r="F62" s="34" t="n">
        <x:v>46058</x:v>
      </x:c>
      <x:c r="G62" s="32" t="str">
        <x:v>API access</x:v>
      </x:c>
      <x:c r="H62" s="34" t="n">
        <x:v>46058</x:v>
      </x:c>
      <x:c r="I62" s="52" t="str"/>
      <x:c r="J62" s="32" t="str">
        <x:v>Likely</x:v>
      </x:c>
      <x:c r="K62" s="32" t="str"/>
      <x:c r="L62" s="32" t="str"/>
      <x:c r="M62" s="32" t="str"/>
      <x:c r="N62" s="32" t="str">
        <x:v>GPT-5.3 Codex</x:v>
      </x:c>
      <x:c r="O62" s="32" t="str">
        <x:v>gpt-5-3-codex</x:v>
      </x:c>
      <x:c r="P62" s="44" t="n">
        <x:v>155.49</x:v>
      </x:c>
      <x:c r="Q62" s="44" t="n">
        <x:v>153.29</x:v>
      </x:c>
      <x:c r="R62" s="44" t="n">
        <x:v>158.84</x:v>
      </x:c>
    </x:row>
    <x:row r="63">
      <x:c r="A63" s="32" t="str">
        <x:v>Gemini 3.1 Pro</x:v>
      </x:c>
      <x:c r="B63" s="32" t="str">
        <x:v>gemini-3.1-pro-preview-customtools</x:v>
      </x:c>
      <x:c r="C63" s="32" t="str">
        <x:v>Gemini 3.1 Pro Preview</x:v>
      </x:c>
      <x:c r="D63" s="32" t="str">
        <x:v>Google DeepMind</x:v>
      </x:c>
      <x:c r="E63" s="32" t="str">
        <x:v>United States of America</x:v>
      </x:c>
      <x:c r="F63" s="34" t="n">
        <x:v>46072</x:v>
      </x:c>
      <x:c r="G63" s="32" t="str">
        <x:v>API access</x:v>
      </x:c>
      <x:c r="H63" s="34" t="n">
        <x:v>46072</x:v>
      </x:c>
      <x:c r="I63" s="52" t="str"/>
      <x:c r="J63" s="32" t="str">
        <x:v>Likely</x:v>
      </x:c>
      <x:c r="K63" s="32" t="str"/>
      <x:c r="L63" s="32" t="str"/>
      <x:c r="M63" s="32" t="str"/>
      <x:c r="N63" s="32" t="str">
        <x:v>Gemini 3.1 Pro</x:v>
      </x:c>
      <x:c r="O63" s="32" t="str">
        <x:v>gemini-3-1-pro</x:v>
      </x:c>
      <x:c r="P63" s="44" t="n">
        <x:v>154.84</x:v>
      </x:c>
      <x:c r="Q63" s="44" t="n">
        <x:v>152.95</x:v>
      </x:c>
      <x:c r="R63" s="44" t="n">
        <x:v>157.9</x:v>
      </x:c>
    </x:row>
    <x:row r="64">
      <x:c r="A64" s="32" t="str">
        <x:v>Claude Sonnet 4.6</x:v>
      </x:c>
      <x:c r="B64" s="32" t="str">
        <x:v>claude-sonnet-4-6_16K</x:v>
      </x:c>
      <x:c r="C64" s="32" t="str">
        <x:v>Claude Sonnet 4.6 (16k thinking)</x:v>
      </x:c>
      <x:c r="D64" s="32" t="str">
        <x:v>Anthropic</x:v>
      </x:c>
      <x:c r="E64" s="32" t="str">
        <x:v>United States of America</x:v>
      </x:c>
      <x:c r="F64" s="34" t="n">
        <x:v>46070</x:v>
      </x:c>
      <x:c r="G64" s="32" t="str">
        <x:v>API access</x:v>
      </x:c>
      <x:c r="H64" s="34" t="n">
        <x:v>46070</x:v>
      </x:c>
      <x:c r="I64" s="52" t="str"/>
      <x:c r="J64" s="32" t="str">
        <x:v>Likely</x:v>
      </x:c>
      <x:c r="K64" s="32" t="str"/>
      <x:c r="L64" s="32" t="str"/>
      <x:c r="M64" s="32" t="str"/>
      <x:c r="N64" s="32" t="str">
        <x:v>Claude Sonnet 4.6</x:v>
      </x:c>
      <x:c r="O64" s="32" t="str">
        <x:v>claude-sonnet-4-6</x:v>
      </x:c>
      <x:c r="P64" s="44" t="n">
        <x:v>153.18</x:v>
      </x:c>
      <x:c r="Q64" s="44" t="n">
        <x:v>149.67</x:v>
      </x:c>
      <x:c r="R64" s="44" t="n">
        <x:v>156.08</x:v>
      </x:c>
    </x:row>
    <x:row r="65">
      <x:c r="A65" s="32" t="str">
        <x:v>Claude Sonnet 4.6</x:v>
      </x:c>
      <x:c r="B65" s="32" t="str">
        <x:v>claude-sonnet-4-6</x:v>
      </x:c>
      <x:c r="C65" s="32" t="str">
        <x:v>Claude Sonnet 4.6</x:v>
      </x:c>
      <x:c r="D65" s="32" t="str">
        <x:v>Anthropic</x:v>
      </x:c>
      <x:c r="E65" s="32" t="str">
        <x:v>United States of America</x:v>
      </x:c>
      <x:c r="F65" s="34" t="n">
        <x:v>46070</x:v>
      </x:c>
      <x:c r="G65" s="32" t="str">
        <x:v>API access</x:v>
      </x:c>
      <x:c r="H65" s="34" t="n">
        <x:v>46070</x:v>
      </x:c>
      <x:c r="I65" s="52" t="str"/>
      <x:c r="J65" s="32" t="str">
        <x:v>Likely</x:v>
      </x:c>
      <x:c r="K65" s="32" t="str"/>
      <x:c r="L65" s="32" t="str"/>
      <x:c r="M65" s="32" t="str"/>
      <x:c r="N65" s="32" t="str">
        <x:v>Claude Sonnet 4.6</x:v>
      </x:c>
      <x:c r="O65" s="32" t="str">
        <x:v>claude-sonnet-4-6</x:v>
      </x:c>
      <x:c r="P65" s="44" t="n">
        <x:v>153.18</x:v>
      </x:c>
      <x:c r="Q65" s="44" t="n">
        <x:v>149.67</x:v>
      </x:c>
      <x:c r="R65" s="44" t="n">
        <x:v>156.08</x:v>
      </x:c>
    </x:row>
    <x:row r="66">
      <x:c r="A66" s="32" t="str">
        <x:v>Claude Sonnet 4.6</x:v>
      </x:c>
      <x:c r="B66" s="32" t="str">
        <x:v>claude-sonnet-4-6_32K</x:v>
      </x:c>
      <x:c r="C66" s="32" t="str">
        <x:v>Claude Sonnet 4.6 (32k thinking)</x:v>
      </x:c>
      <x:c r="D66" s="32" t="str">
        <x:v>Anthropic</x:v>
      </x:c>
      <x:c r="E66" s="32" t="str">
        <x:v>United States of America</x:v>
      </x:c>
      <x:c r="F66" s="34" t="n">
        <x:v>46070</x:v>
      </x:c>
      <x:c r="G66" s="32" t="str">
        <x:v>API access</x:v>
      </x:c>
      <x:c r="H66" s="34" t="n">
        <x:v>46070</x:v>
      </x:c>
      <x:c r="I66" s="52" t="str"/>
      <x:c r="J66" s="32" t="str">
        <x:v>Likely</x:v>
      </x:c>
      <x:c r="K66" s="32" t="str"/>
      <x:c r="L66" s="32" t="str"/>
      <x:c r="M66" s="32" t="str"/>
      <x:c r="N66" s="32" t="str">
        <x:v>Claude Sonnet 4.6</x:v>
      </x:c>
      <x:c r="O66" s="32" t="str">
        <x:v>claude-sonnet-4-6</x:v>
      </x:c>
      <x:c r="P66" s="44" t="n">
        <x:v>153.18</x:v>
      </x:c>
      <x:c r="Q66" s="44" t="n">
        <x:v>149.67</x:v>
      </x:c>
      <x:c r="R66" s="44" t="n">
        <x:v>156.08</x:v>
      </x:c>
    </x:row>
    <x:row r="67">
      <x:c r="A67" s="32" t="str">
        <x:v>Claude Opus 4.6</x:v>
      </x:c>
      <x:c r="B67" s="32" t="str">
        <x:v>claude-opus-4-6_120K</x:v>
      </x:c>
      <x:c r="C67" s="32" t="str">
        <x:v>Claude Opus 4.6 (120k thinking)</x:v>
      </x:c>
      <x:c r="D67" s="32" t="str">
        <x:v>Anthropic</x:v>
      </x:c>
      <x:c r="E67" s="32" t="str">
        <x:v>United States of America</x:v>
      </x:c>
      <x:c r="F67" s="34" t="n">
        <x:v>46058</x:v>
      </x:c>
      <x:c r="G67" s="32" t="str">
        <x:v>API access</x:v>
      </x:c>
      <x:c r="H67" s="34" t="n">
        <x:v>46058</x:v>
      </x:c>
      <x:c r="I67" s="52" t="str"/>
      <x:c r="J67" s="32" t="str">
        <x:v>Likely</x:v>
      </x:c>
      <x:c r="K67" s="32" t="str"/>
      <x:c r="L67" s="32" t="str">
        <x:v>Claude Opus 4.6 (120k thinking)</x:v>
      </x:c>
      <x:c r="M67" s="32" t="str"/>
      <x:c r="N67" s="32" t="str">
        <x:v>Claude Opus 4.6</x:v>
      </x:c>
      <x:c r="O67" s="32" t="str">
        <x:v>claude-opus-4-6</x:v>
      </x:c>
      <x:c r="P67" s="44" t="n">
        <x:v>155.31</x:v>
      </x:c>
      <x:c r="Q67" s="44" t="n">
        <x:v>153.34</x:v>
      </x:c>
      <x:c r="R67" s="44" t="n">
        <x:v>157.92</x:v>
      </x:c>
    </x:row>
    <x:row r="68">
      <x:c r="A68" s="32" t="str">
        <x:v>GLM-5</x:v>
      </x:c>
      <x:c r="B68" s="32" t="str">
        <x:v>glm-5</x:v>
      </x:c>
      <x:c r="C68" s="32" t="str">
        <x:v>GLM-5</x:v>
      </x:c>
      <x:c r="D68" s="32" t="str">
        <x:v>Z.ai (Zhipu AI)</x:v>
      </x:c>
      <x:c r="E68" s="32" t="str">
        <x:v>China</x:v>
      </x:c>
      <x:c r="F68" s="34" t="n">
        <x:v>46064</x:v>
      </x:c>
      <x:c r="G68" s="32" t="str">
        <x:v>Open weights (unrestricted)</x:v>
      </x:c>
      <x:c r="H68" s="34" t="n">
        <x:v>46064</x:v>
      </x:c>
      <x:c r="I68" s="52" t="str"/>
      <x:c r="J68" s="32" t="str">
        <x:v>Likely</x:v>
      </x:c>
      <x:c r="K68" s="32" t="str"/>
      <x:c r="L68" s="32" t="str"/>
      <x:c r="M68" s="32" t="str"/>
      <x:c r="N68" s="32" t="str">
        <x:v>GLM-5</x:v>
      </x:c>
      <x:c r="O68" s="32" t="str">
        <x:v>glm-5</x:v>
      </x:c>
      <x:c r="P68" s="44" t="n">
        <x:v>146.39</x:v>
      </x:c>
      <x:c r="Q68" s="44" t="n">
        <x:v>144.52</x:v>
      </x:c>
      <x:c r="R68" s="44" t="n">
        <x:v>147.86</x:v>
      </x:c>
    </x:row>
    <x:row r="69">
      <x:c r="A69" s="32" t="str">
        <x:v>Claude Opus 4.6</x:v>
      </x:c>
      <x:c r="B69" s="32" t="str">
        <x:v>claude-opus-4-6</x:v>
      </x:c>
      <x:c r="C69" s="32" t="str">
        <x:v>Claude Opus 4.6 (no thinking)</x:v>
      </x:c>
      <x:c r="D69" s="32" t="str">
        <x:v>Anthropic</x:v>
      </x:c>
      <x:c r="E69" s="32" t="str">
        <x:v>United States of America</x:v>
      </x:c>
      <x:c r="F69" s="34" t="n">
        <x:v>46058</x:v>
      </x:c>
      <x:c r="G69" s="32" t="str">
        <x:v>API access</x:v>
      </x:c>
      <x:c r="H69" s="34" t="n">
        <x:v>46058</x:v>
      </x:c>
      <x:c r="I69" s="52" t="str"/>
      <x:c r="J69" s="32" t="str">
        <x:v>Likely</x:v>
      </x:c>
      <x:c r="K69" s="32" t="str"/>
      <x:c r="L69" s="32" t="str">
        <x:v>Claude Opus 4.6 (no thinking)</x:v>
      </x:c>
      <x:c r="M69" s="32" t="str"/>
      <x:c r="N69" s="32" t="str">
        <x:v>Claude Opus 4.6</x:v>
      </x:c>
      <x:c r="O69" s="32" t="str">
        <x:v>claude-opus-4-6</x:v>
      </x:c>
      <x:c r="P69" s="44" t="n">
        <x:v>155.31</x:v>
      </x:c>
      <x:c r="Q69" s="44" t="n">
        <x:v>153.34</x:v>
      </x:c>
      <x:c r="R69" s="44" t="n">
        <x:v>157.92</x:v>
      </x:c>
    </x:row>
    <x:row r="70">
      <x:c r="A70" s="32" t="str">
        <x:v>GPT-5.1</x:v>
      </x:c>
      <x:c r="B70" s="32" t="str">
        <x:v>gpt-5.1-2025-11-13_high</x:v>
      </x:c>
      <x:c r="C70" s="32" t="str">
        <x:v>GPT-5.1 (high)</x:v>
      </x:c>
      <x:c r="D70" s="32" t="str">
        <x:v>OpenAI</x:v>
      </x:c>
      <x:c r="E70" s="32" t="str">
        <x:v>United States of America</x:v>
      </x:c>
      <x:c r="F70" s="34" t="n">
        <x:v>45974</x:v>
      </x:c>
      <x:c r="G70" s="32" t="str">
        <x:v>API access</x:v>
      </x:c>
      <x:c r="H70" s="34" t="n">
        <x:v>45974</x:v>
      </x:c>
      <x:c r="I70" s="52" t="str"/>
      <x:c r="J70" s="32" t="str">
        <x:v>Unknown</x:v>
      </x:c>
      <x:c r="K70" s="32" t="str"/>
      <x:c r="L70" s="32" t="str">
        <x:v>GPT-5.1 (high)</x:v>
      </x:c>
      <x:c r="M70" s="32" t="str"/>
      <x:c r="N70" s="32" t="str">
        <x:v>GPT-5.1</x:v>
      </x:c>
      <x:c r="O70" s="32" t="str">
        <x:v>gpt-5-1</x:v>
      </x:c>
      <x:c r="P70" s="44" t="n">
        <x:v>149.72</x:v>
      </x:c>
      <x:c r="Q70" s="44" t="n">
        <x:v>148.31</x:v>
      </x:c>
      <x:c r="R70" s="44" t="n">
        <x:v>151.01</x:v>
      </x:c>
    </x:row>
    <x:row r="71">
      <x:c r="A71" s="32" t="str">
        <x:v>Kimi K2.5</x:v>
      </x:c>
      <x:c r="B71" s="32" t="str">
        <x:v>kimi-k2.5</x:v>
      </x:c>
      <x:c r="C71" s="32" t="str">
        <x:v>Kimi K2.5</x:v>
      </x:c>
      <x:c r="D71" s="32" t="str">
        <x:v>Moonshot</x:v>
      </x:c>
      <x:c r="E71" s="32" t="str">
        <x:v>China</x:v>
      </x:c>
      <x:c r="F71" s="34" t="n">
        <x:v>46049</x:v>
      </x:c>
      <x:c r="G71" s="32" t="str">
        <x:v>Open weights (unrestricted)</x:v>
      </x:c>
      <x:c r="H71" s="34" t="n">
        <x:v>46055</x:v>
      </x:c>
      <x:c r="I71" s="52" t="n">
        <x:v>5.8e+24</x:v>
      </x:c>
      <x:c r="J71" s="32" t="str">
        <x:v>Likely</x:v>
      </x:c>
      <x:c r="K71" s="32" t="str"/>
      <x:c r="L71" s="32" t="str"/>
      <x:c r="M71" s="32" t="str"/>
      <x:c r="N71" s="32" t="str">
        <x:v>Kimi K2.5</x:v>
      </x:c>
      <x:c r="O71" s="32" t="str">
        <x:v>kimi-k2-5</x:v>
      </x:c>
      <x:c r="P71" s="44" t="n">
        <x:v>148.24</x:v>
      </x:c>
      <x:c r="Q71" s="44" t="n">
        <x:v>146.58</x:v>
      </x:c>
      <x:c r="R71" s="44" t="n">
        <x:v>149.36</x:v>
      </x:c>
    </x:row>
    <x:row r="72">
      <x:c r="A72" s="32" t="str">
        <x:v>Gemini 3 Pro</x:v>
      </x:c>
      <x:c r="B72" s="32" t="str">
        <x:v>gemini-3-pro-preview</x:v>
      </x:c>
      <x:c r="C72" s="32" t="str">
        <x:v>Gemini 3 Pro Preview</x:v>
      </x:c>
      <x:c r="D72" s="32" t="str">
        <x:v>Google DeepMind</x:v>
      </x:c>
      <x:c r="E72" s="32" t="str">
        <x:v>United States of America</x:v>
      </x:c>
      <x:c r="F72" s="34" t="n">
        <x:v>45979</x:v>
      </x:c>
      <x:c r="G72" s="32" t="str">
        <x:v>API access</x:v>
      </x:c>
      <x:c r="H72" s="34" t="n">
        <x:v>45979</x:v>
      </x:c>
      <x:c r="I72" s="52" t="str"/>
      <x:c r="J72" s="32" t="str">
        <x:v>Unknown</x:v>
      </x:c>
      <x:c r="K72" s="32" t="str"/>
      <x:c r="L72" s="32" t="str">
        <x:v>Gemini 3 Pro Preview</x:v>
      </x:c>
      <x:c r="M72" s="32" t="str"/>
      <x:c r="N72" s="32" t="str">
        <x:v>Gemini 3 Pro</x:v>
      </x:c>
      <x:c r="O72" s="32" t="str">
        <x:v>gemini-3-pro</x:v>
      </x:c>
      <x:c r="P72" s="44" t="n">
        <x:v>153.24</x:v>
      </x:c>
      <x:c r="Q72" s="44" t="n">
        <x:v>151.34</x:v>
      </x:c>
      <x:c r="R72" s="44" t="n">
        <x:v>155.77</x:v>
      </x:c>
    </x:row>
    <x:row r="73">
      <x:c r="A73" s="32" t="str">
        <x:v>GPT-5.2</x:v>
      </x:c>
      <x:c r="B73" s="32" t="str">
        <x:v>gpt-5.2-2025-12-11_high</x:v>
      </x:c>
      <x:c r="C73" s="32" t="str">
        <x:v>GPT-5.2 (high)</x:v>
      </x:c>
      <x:c r="D73" s="32" t="str">
        <x:v>OpenAI</x:v>
      </x:c>
      <x:c r="E73" s="32" t="str">
        <x:v>United States of America</x:v>
      </x:c>
      <x:c r="F73" s="34" t="n">
        <x:v>46002</x:v>
      </x:c>
      <x:c r="G73" s="32" t="str">
        <x:v>API access</x:v>
      </x:c>
      <x:c r="H73" s="34" t="n">
        <x:v>46002</x:v>
      </x:c>
      <x:c r="I73" s="52" t="str"/>
      <x:c r="J73" s="32" t="str">
        <x:v>Unknown</x:v>
      </x:c>
      <x:c r="K73" s="32" t="str"/>
      <x:c r="L73" s="32" t="str">
        <x:v>GPT-5.2 (high)</x:v>
      </x:c>
      <x:c r="M73" s="32" t="str"/>
      <x:c r="N73" s="32" t="str">
        <x:v>GPT-5.2</x:v>
      </x:c>
      <x:c r="O73" s="32" t="str">
        <x:v>gpt-5-2</x:v>
      </x:c>
      <x:c r="P73" s="44" t="n">
        <x:v>153.7</x:v>
      </x:c>
      <x:c r="Q73" s="44" t="n">
        <x:v>152.26</x:v>
      </x:c>
      <x:c r="R73" s="44" t="n">
        <x:v>155.46</x:v>
      </x:c>
    </x:row>
    <x:row r="74">
      <x:c r="A74" s="32" t="str">
        <x:v>o3</x:v>
      </x:c>
      <x:c r="B74" s="32" t="str">
        <x:v>o3-2025-04-16_medium</x:v>
      </x:c>
      <x:c r="C74" s="32" t="str">
        <x:v>o3 (medium)</x:v>
      </x:c>
      <x:c r="D74" s="32" t="str">
        <x:v>OpenAI</x:v>
      </x:c>
      <x:c r="E74" s="32" t="str">
        <x:v>United States of America</x:v>
      </x:c>
      <x:c r="F74" s="34" t="n">
        <x:v>45763</x:v>
      </x:c>
      <x:c r="G74" s="32" t="str">
        <x:v>API access</x:v>
      </x:c>
      <x:c r="H74" s="34" t="n">
        <x:v>45646</x:v>
      </x:c>
      <x:c r="I74" s="52" t="str"/>
      <x:c r="J74" s="32" t="str">
        <x:v>Unknown</x:v>
      </x:c>
      <x:c r="K74" s="32" t="str">
        <x:v>OpenAI's second generation o-series reasoning model, evaluated with medium reasoning effort.</x:v>
      </x:c>
      <x:c r="L74" s="32" t="str"/>
      <x:c r="M74" s="32" t="str"/>
      <x:c r="N74" s="32" t="str">
        <x:v>o3</x:v>
      </x:c>
      <x:c r="O74" s="32" t="str">
        <x:v>o3</x:v>
      </x:c>
      <x:c r="P74" s="44" t="n">
        <x:v>147.05</x:v>
      </x:c>
      <x:c r="Q74" s="44" t="n">
        <x:v>145.11</x:v>
      </x:c>
      <x:c r="R74" s="44" t="n">
        <x:v>148.38</x:v>
      </x:c>
    </x:row>
    <x:row r="75">
      <x:c r="A75" s="32" t="str">
        <x:v>GPT-4o</x:v>
      </x:c>
      <x:c r="B75" s="32" t="str">
        <x:v>gpt-4o-2024-11-20</x:v>
      </x:c>
      <x:c r="C75" s="32" t="str">
        <x:v>GPT-4o (Nov 2024)</x:v>
      </x:c>
      <x:c r="D75" s="32" t="str">
        <x:v>OpenAI</x:v>
      </x:c>
      <x:c r="E75" s="32" t="str">
        <x:v>United States of America</x:v>
      </x:c>
      <x:c r="F75" s="34" t="n">
        <x:v>45616</x:v>
      </x:c>
      <x:c r="G75" s="32" t="str">
        <x:v>API access</x:v>
      </x:c>
      <x:c r="H75" s="34" t="n">
        <x:v>45425</x:v>
      </x:c>
      <x:c r="I75" s="52" t="str"/>
      <x:c r="J75" s="32" t="str">
        <x:v>Speculative</x:v>
      </x:c>
      <x:c r="K75" s="32" t="str">
        <x:v>The November 2024 version of GPT-4o, OpenAI's then-flagship multimodal language model.</x:v>
      </x:c>
      <x:c r="L75" s="32" t="str"/>
      <x:c r="M75" s="32" t="str">
        <x:v>GPT-4o (Nov 2024)</x:v>
      </x:c>
      <x:c r="N75" s="32" t="str">
        <x:v>GPT-4o (Nov 2024)</x:v>
      </x:c>
      <x:c r="O75" s="32" t="str">
        <x:v>gpt-4o-nov-2024</x:v>
      </x:c>
      <x:c r="P75" s="44" t="n">
        <x:v>129.31</x:v>
      </x:c>
      <x:c r="Q75" s="44" t="n">
        <x:v>124.23</x:v>
      </x:c>
      <x:c r="R75" s="44" t="n">
        <x:v>131.64</x:v>
      </x:c>
    </x:row>
    <x:row r="76">
      <x:c r="A76" s="32" t="str">
        <x:v>GPT-4.1</x:v>
      </x:c>
      <x:c r="B76" s="32" t="str">
        <x:v>gpt-4.1-2025-04-14</x:v>
      </x:c>
      <x:c r="C76" s="32" t="str">
        <x:v>GPT-4.1</x:v>
      </x:c>
      <x:c r="D76" s="32" t="str">
        <x:v>OpenAI</x:v>
      </x:c>
      <x:c r="E76" s="32" t="str">
        <x:v>United States of America</x:v>
      </x:c>
      <x:c r="F76" s="34" t="n">
        <x:v>45761</x:v>
      </x:c>
      <x:c r="G76" s="32" t="str">
        <x:v>API access</x:v>
      </x:c>
      <x:c r="H76" s="34" t="n">
        <x:v>45761</x:v>
      </x:c>
      <x:c r="I76" s="52" t="str"/>
      <x:c r="J76" s="32" t="str">
        <x:v>Unknown</x:v>
      </x:c>
      <x:c r="K76" s="32" t="str">
        <x:v>A coding-optimized GPT-4 series model from OpenAI.</x:v>
      </x:c>
      <x:c r="L76" s="32" t="str"/>
      <x:c r="M76" s="32" t="str"/>
      <x:c r="N76" s="32" t="str">
        <x:v>GPT-4.1</x:v>
      </x:c>
      <x:c r="O76" s="32" t="str">
        <x:v>gpt-4-1</x:v>
      </x:c>
      <x:c r="P76" s="44" t="n">
        <x:v>137.46</x:v>
      </x:c>
      <x:c r="Q76" s="44" t="n">
        <x:v>134.54</x:v>
      </x:c>
      <x:c r="R76" s="44" t="n">
        <x:v>139.14</x:v>
      </x:c>
    </x:row>
    <x:row r="77">
      <x:c r="A77" s="32" t="str">
        <x:v>Claude Opus 4.6</x:v>
      </x:c>
      <x:c r="B77" s="32" t="str">
        <x:v>claude-opus-4-6_64K</x:v>
      </x:c>
      <x:c r="C77" s="32" t="str">
        <x:v>Claude Opus 4.6 (64k thinking)</x:v>
      </x:c>
      <x:c r="D77" s="32" t="str">
        <x:v>Anthropic</x:v>
      </x:c>
      <x:c r="E77" s="32" t="str">
        <x:v>United States of America</x:v>
      </x:c>
      <x:c r="F77" s="34" t="n">
        <x:v>46058</x:v>
      </x:c>
      <x:c r="G77" s="32" t="str">
        <x:v>API access</x:v>
      </x:c>
      <x:c r="H77" s="34" t="n">
        <x:v>46058</x:v>
      </x:c>
      <x:c r="I77" s="52" t="str"/>
      <x:c r="J77" s="32" t="str">
        <x:v>Likely</x:v>
      </x:c>
      <x:c r="K77" s="32" t="str"/>
      <x:c r="L77" s="32" t="str">
        <x:v>Claude Opus 4.6 (64k thinking)</x:v>
      </x:c>
      <x:c r="M77" s="32" t="str"/>
      <x:c r="N77" s="32" t="str">
        <x:v>Claude Opus 4.6</x:v>
      </x:c>
      <x:c r="O77" s="32" t="str">
        <x:v>claude-opus-4-6</x:v>
      </x:c>
      <x:c r="P77" s="44" t="n">
        <x:v>155.31</x:v>
      </x:c>
      <x:c r="Q77" s="44" t="n">
        <x:v>153.34</x:v>
      </x:c>
      <x:c r="R77" s="44" t="n">
        <x:v>157.92</x:v>
      </x:c>
    </x:row>
    <x:row r="78">
      <x:c r="A78" s="32" t="str">
        <x:v>Claude Opus 4.6</x:v>
      </x:c>
      <x:c r="B78" s="32" t="str">
        <x:v>claude-opus-4-6_32K</x:v>
      </x:c>
      <x:c r="C78" s="32" t="str">
        <x:v>Claude Opus 4.6 (32k thinking)</x:v>
      </x:c>
      <x:c r="D78" s="32" t="str">
        <x:v>Anthropic</x:v>
      </x:c>
      <x:c r="E78" s="32" t="str">
        <x:v>United States of America</x:v>
      </x:c>
      <x:c r="F78" s="34" t="n">
        <x:v>46058</x:v>
      </x:c>
      <x:c r="G78" s="32" t="str">
        <x:v>API access</x:v>
      </x:c>
      <x:c r="H78" s="34" t="n">
        <x:v>46058</x:v>
      </x:c>
      <x:c r="I78" s="52" t="str"/>
      <x:c r="J78" s="32" t="str">
        <x:v>Likely</x:v>
      </x:c>
      <x:c r="K78" s="32" t="str"/>
      <x:c r="L78" s="32" t="str">
        <x:v>Claude Opus 4.6 (32k thinking)</x:v>
      </x:c>
      <x:c r="M78" s="32" t="str"/>
      <x:c r="N78" s="32" t="str">
        <x:v>Claude Opus 4.6</x:v>
      </x:c>
      <x:c r="O78" s="32" t="str">
        <x:v>claude-opus-4-6</x:v>
      </x:c>
      <x:c r="P78" s="44" t="n">
        <x:v>155.31</x:v>
      </x:c>
      <x:c r="Q78" s="44" t="n">
        <x:v>153.34</x:v>
      </x:c>
      <x:c r="R78" s="44" t="n">
        <x:v>157.92</x:v>
      </x:c>
    </x:row>
    <x:row r="79">
      <x:c r="A79" s="32" t="str">
        <x:v>Claude Opus 4</x:v>
      </x:c>
      <x:c r="B79" s="32" t="str">
        <x:v>claude-opus-4-20250514</x:v>
      </x:c>
      <x:c r="C79" s="32" t="str">
        <x:v>Claude Opus 4</x:v>
      </x:c>
      <x:c r="D79" s="32" t="str">
        <x:v>Anthropic</x:v>
      </x:c>
      <x:c r="E79" s="32" t="str">
        <x:v>United States of America</x:v>
      </x:c>
      <x:c r="F79" s="34" t="n">
        <x:v>45799</x:v>
      </x:c>
      <x:c r="G79" s="32" t="str">
        <x:v>API access</x:v>
      </x:c>
      <x:c r="H79" s="34" t="n">
        <x:v>45799</x:v>
      </x:c>
      <x:c r="I79" s="52" t="str"/>
      <x:c r="J79" s="32" t="str">
        <x:v>Unknown</x:v>
      </x:c>
      <x:c r="K79" s="32" t="str">
        <x:v>Anthropic's largest model in the Claude 4 series (superseded by Claude Opus 4.1).</x:v>
      </x:c>
      <x:c r="L79" s="32" t="str">
        <x:v>Claude Opus 4</x:v>
      </x:c>
      <x:c r="M79" s="32" t="str"/>
      <x:c r="N79" s="32" t="str">
        <x:v>Claude Opus 4</x:v>
      </x:c>
      <x:c r="O79" s="32" t="str">
        <x:v>claude-opus-4</x:v>
      </x:c>
      <x:c r="P79" s="44" t="n">
        <x:v>142.89</x:v>
      </x:c>
      <x:c r="Q79" s="44" t="n">
        <x:v>140.36</x:v>
      </x:c>
      <x:c r="R79" s="44" t="n">
        <x:v>144.3</x:v>
      </x:c>
    </x:row>
    <x:row r="80">
      <x:c r="A80" s="32" t="str">
        <x:v>Claude Opus 4.5</x:v>
      </x:c>
      <x:c r="B80" s="32" t="str">
        <x:v>claude-opus-4-5-20251101</x:v>
      </x:c>
      <x:c r="C80" s="32" t="str">
        <x:v>Claude Opus 4.5 (no thinking)</x:v>
      </x:c>
      <x:c r="D80" s="32" t="str">
        <x:v>Anthropic</x:v>
      </x:c>
      <x:c r="E80" s="32" t="str">
        <x:v>United States of America</x:v>
      </x:c>
      <x:c r="F80" s="34" t="n">
        <x:v>45985</x:v>
      </x:c>
      <x:c r="G80" s="32" t="str">
        <x:v>API access</x:v>
      </x:c>
      <x:c r="H80" s="34" t="n">
        <x:v>45985</x:v>
      </x:c>
      <x:c r="I80" s="52" t="str"/>
      <x:c r="J80" s="32" t="str">
        <x:v>Unknown</x:v>
      </x:c>
      <x:c r="K80" s="32" t="str"/>
      <x:c r="L80" s="32" t="str">
        <x:v>Claude Opus 4.5 (no thinking)</x:v>
      </x:c>
      <x:c r="M80" s="32" t="str"/>
      <x:c r="N80" s="32" t="str">
        <x:v>Claude Opus 4.5</x:v>
      </x:c>
      <x:c r="O80" s="32" t="str">
        <x:v>claude-opus-4-5</x:v>
      </x:c>
      <x:c r="P80" s="44" t="n">
        <x:v>149.53</x:v>
      </x:c>
      <x:c r="Q80" s="44" t="n">
        <x:v>147.66</x:v>
      </x:c>
      <x:c r="R80" s="44" t="n">
        <x:v>151.99</x:v>
      </x:c>
    </x:row>
    <x:row r="81">
      <x:c r="A81" s="32" t="str">
        <x:v>GPT-5</x:v>
      </x:c>
      <x:c r="B81" s="32" t="str">
        <x:v>gpt-5-2025-08-07_medium</x:v>
      </x:c>
      <x:c r="C81" s="32" t="str">
        <x:v>GPT-5 (medium)</x:v>
      </x:c>
      <x:c r="D81" s="32" t="str">
        <x:v>OpenAI</x:v>
      </x:c>
      <x:c r="E81" s="32" t="str">
        <x:v>United States of America</x:v>
      </x:c>
      <x:c r="F81" s="34" t="n">
        <x:v>45876</x:v>
      </x:c>
      <x:c r="G81" s="32" t="str">
        <x:v>API access</x:v>
      </x:c>
      <x:c r="H81" s="34" t="n">
        <x:v>45876</x:v>
      </x:c>
      <x:c r="I81" s="52" t="n">
        <x:v>6.6e+25</x:v>
      </x:c>
      <x:c r="J81" s="32" t="str">
        <x:v>Speculative</x:v>
      </x:c>
      <x:c r="K81" s="32" t="str">
        <x:v>OpenAI's latest flagship frontier model, benchmarked using medium reasoning effort.</x:v>
      </x:c>
      <x:c r="L81" s="32" t="str">
        <x:v>GPT-5 (medium)</x:v>
      </x:c>
      <x:c r="M81" s="32" t="str"/>
      <x:c r="N81" s="32" t="str">
        <x:v>GPT-5</x:v>
      </x:c>
      <x:c r="O81" s="32" t="str">
        <x:v>gpt-5</x:v>
      </x:c>
      <x:c r="P81" s="44" t="n">
        <x:v>150</x:v>
      </x:c>
      <x:c r="Q81" s="44" t="str"/>
      <x:c r="R81" s="44" t="str"/>
    </x:row>
    <x:row r="82">
      <x:c r="A82" s="32" t="str">
        <x:v>Claude 3.7 Sonnet</x:v>
      </x:c>
      <x:c r="B82" s="32" t="str">
        <x:v>claude-3-7-sonnet-20250219</x:v>
      </x:c>
      <x:c r="C82" s="32" t="str"/>
      <x:c r="D82" s="32" t="str">
        <x:v>Anthropic</x:v>
      </x:c>
      <x:c r="E82" s="32" t="str">
        <x:v>United States of America</x:v>
      </x:c>
      <x:c r="F82" s="34" t="n">
        <x:v>45712</x:v>
      </x:c>
      <x:c r="G82" s="32" t="str">
        <x:v>API access</x:v>
      </x:c>
      <x:c r="H82" s="34" t="n">
        <x:v>45712</x:v>
      </x:c>
      <x:c r="I82" s="52" t="n">
        <x:v>3.3499999999999998e+25</x:v>
      </x:c>
      <x:c r="J82" s="32" t="str">
        <x:v>Likely</x:v>
      </x:c>
      <x:c r="K82" s="32" t="str">
        <x:v>A previous flagship reasoning model from Anthropic.</x:v>
      </x:c>
      <x:c r="L82" s="32" t="str">
        <x:v>Claude 3.7 Sonnet</x:v>
      </x:c>
      <x:c r="M82" s="32" t="str"/>
      <x:c r="N82" s="32" t="str">
        <x:v>Claude 3.7 Sonnet</x:v>
      </x:c>
      <x:c r="O82" s="32" t="str">
        <x:v>claude-3-7-sonnet</x:v>
      </x:c>
      <x:c r="P82" s="44" t="n">
        <x:v>141.7</x:v>
      </x:c>
      <x:c r="Q82" s="44" t="n">
        <x:v>139.28</x:v>
      </x:c>
      <x:c r="R82" s="44" t="n">
        <x:v>143.27</x:v>
      </x:c>
    </x:row>
    <x:row r="83">
      <x:c r="A83" s="32" t="str">
        <x:v>Kimi K2.5</x:v>
      </x:c>
      <x:c r="B83" s="32" t="str">
        <x:v>fireworks/kimi-k2p5</x:v>
      </x:c>
      <x:c r="C83" s="32" t="str">
        <x:v>Kimi K2.5 (Fireworks)</x:v>
      </x:c>
      <x:c r="D83" s="32" t="str">
        <x:v>Moonshot</x:v>
      </x:c>
      <x:c r="E83" s="32" t="str">
        <x:v>China</x:v>
      </x:c>
      <x:c r="F83" s="34" t="n">
        <x:v>46049</x:v>
      </x:c>
      <x:c r="G83" s="32" t="str">
        <x:v>Open weights (unrestricted)</x:v>
      </x:c>
      <x:c r="H83" s="34" t="n">
        <x:v>46055</x:v>
      </x:c>
      <x:c r="I83" s="52" t="n">
        <x:v>5.8e+24</x:v>
      </x:c>
      <x:c r="J83" s="32" t="str">
        <x:v>Likely</x:v>
      </x:c>
      <x:c r="K83" s="32" t="str"/>
      <x:c r="L83" s="32" t="str"/>
      <x:c r="M83" s="32" t="str"/>
      <x:c r="N83" s="32" t="str">
        <x:v>Kimi K2.5</x:v>
      </x:c>
      <x:c r="O83" s="32" t="str">
        <x:v>kimi-k2-5</x:v>
      </x:c>
      <x:c r="P83" s="44" t="n">
        <x:v>148.24</x:v>
      </x:c>
      <x:c r="Q83" s="44" t="n">
        <x:v>146.58</x:v>
      </x:c>
      <x:c r="R83" s="44" t="n">
        <x:v>149.36</x:v>
      </x:c>
    </x:row>
    <x:row r="84">
      <x:c r="A84" s="32" t="str">
        <x:v>GPT-5 mini</x:v>
      </x:c>
      <x:c r="B84" s="32" t="str">
        <x:v>gpt-5-mini-2025-08-07_medium</x:v>
      </x:c>
      <x:c r="C84" s="32" t="str">
        <x:v>GPT-5 mini (medium)</x:v>
      </x:c>
      <x:c r="D84" s="32" t="str">
        <x:v>OpenAI</x:v>
      </x:c>
      <x:c r="E84" s="32" t="str">
        <x:v>United States of America</x:v>
      </x:c>
      <x:c r="F84" s="34" t="n">
        <x:v>45876</x:v>
      </x:c>
      <x:c r="G84" s="32" t="str">
        <x:v>API access</x:v>
      </x:c>
      <x:c r="H84" s="34" t="n">
        <x:v>45876</x:v>
      </x:c>
      <x:c r="I84" s="52" t="str"/>
      <x:c r="J84" s="32" t="str">
        <x:v>Unknown</x:v>
      </x:c>
      <x:c r="K84" s="32" t="str">
        <x:v>A smaller version of OpenAI's latest flagship frontier model, benchmarked using medium reasoning effort.</x:v>
      </x:c>
      <x:c r="L84" s="32" t="str">
        <x:v>GPT-5 mini (medium)</x:v>
      </x:c>
      <x:c r="M84" s="32" t="str"/>
      <x:c r="N84" s="32" t="str">
        <x:v>GPT-5 mini</x:v>
      </x:c>
      <x:c r="O84" s="32" t="str">
        <x:v>gpt-5-mini</x:v>
      </x:c>
      <x:c r="P84" s="44" t="n">
        <x:v>145.79</x:v>
      </x:c>
      <x:c r="Q84" s="44" t="n">
        <x:v>143.69</x:v>
      </x:c>
      <x:c r="R84" s="44" t="n">
        <x:v>147.21</x:v>
      </x:c>
    </x:row>
    <x:row r="85">
      <x:c r="A85" s="32" t="str">
        <x:v>Grok 4</x:v>
      </x:c>
      <x:c r="B85" s="32" t="str">
        <x:v>grok-4-0709</x:v>
      </x:c>
      <x:c r="C85" s="32" t="str"/>
      <x:c r="D85" s="32" t="str">
        <x:v>xAI</x:v>
      </x:c>
      <x:c r="E85" s="32" t="str">
        <x:v>United States of America</x:v>
      </x:c>
      <x:c r="F85" s="34" t="n">
        <x:v>45847</x:v>
      </x:c>
      <x:c r="G85" s="32" t="str">
        <x:v>API access</x:v>
      </x:c>
      <x:c r="H85" s="34" t="n">
        <x:v>45847</x:v>
      </x:c>
      <x:c r="I85" s="52" t="n">
        <x:v>5.0000000000001e+26</x:v>
      </x:c>
      <x:c r="J85" s="32" t="str">
        <x:v>Speculative</x:v>
      </x:c>
      <x:c r="K85" s="32" t="str"/>
      <x:c r="L85" s="32" t="str">
        <x:v>Grok 4</x:v>
      </x:c>
      <x:c r="M85" s="32" t="str"/>
      <x:c r="N85" s="32" t="str">
        <x:v>Grok 4</x:v>
      </x:c>
      <x:c r="O85" s="32" t="str">
        <x:v>grok-4</x:v>
      </x:c>
      <x:c r="P85" s="44" t="n">
        <x:v>147.04</x:v>
      </x:c>
      <x:c r="Q85" s="44" t="n">
        <x:v>144.92</x:v>
      </x:c>
      <x:c r="R85" s="44" t="n">
        <x:v>148.75</x:v>
      </x:c>
    </x:row>
    <x:row r="86">
      <x:c r="A86" s="32" t="str">
        <x:v>GLM-4.7</x:v>
      </x:c>
      <x:c r="B86" s="32" t="str">
        <x:v>zai-org/GLM-4.7</x:v>
      </x:c>
      <x:c r="C86" s="32" t="str">
        <x:v>GLM-4.7 (Together)</x:v>
      </x:c>
      <x:c r="D86" s="32" t="str">
        <x:v>Z.ai (Zhipu AI)</x:v>
      </x:c>
      <x:c r="E86" s="32" t="str">
        <x:v>China</x:v>
      </x:c>
      <x:c r="F86" s="34" t="n">
        <x:v>46013</x:v>
      </x:c>
      <x:c r="G86" s="32" t="str">
        <x:v>Open weights (unrestricted)</x:v>
      </x:c>
      <x:c r="H86" s="34" t="n">
        <x:v>46013</x:v>
      </x:c>
      <x:c r="I86" s="52" t="n">
        <x:v>4.42e+24</x:v>
      </x:c>
      <x:c r="J86" s="32" t="str">
        <x:v>Likely</x:v>
      </x:c>
      <x:c r="K86" s="32" t="str"/>
      <x:c r="L86" s="32" t="str"/>
      <x:c r="M86" s="32" t="str"/>
      <x:c r="N86" s="32" t="str">
        <x:v>GLM-4.7</x:v>
      </x:c>
      <x:c r="O86" s="32" t="str">
        <x:v>glm-4-7</x:v>
      </x:c>
      <x:c r="P86" s="44" t="n">
        <x:v>143.73</x:v>
      </x:c>
      <x:c r="Q86" s="44" t="n">
        <x:v>141.11</x:v>
      </x:c>
      <x:c r="R86" s="44" t="n">
        <x:v>145.38</x:v>
      </x:c>
    </x:row>
    <x:row r="87">
      <x:c r="A87" s="32" t="str">
        <x:v>GLM-4.7</x:v>
      </x:c>
      <x:c r="B87" s="32" t="str">
        <x:v>glm-4.7</x:v>
      </x:c>
      <x:c r="C87" s="32" t="str">
        <x:v>GLM-4.7</x:v>
      </x:c>
      <x:c r="D87" s="32" t="str">
        <x:v>Z.ai (Zhipu AI)</x:v>
      </x:c>
      <x:c r="E87" s="32" t="str">
        <x:v>China</x:v>
      </x:c>
      <x:c r="F87" s="34" t="n">
        <x:v>46013</x:v>
      </x:c>
      <x:c r="G87" s="32" t="str">
        <x:v>Open weights (unrestricted)</x:v>
      </x:c>
      <x:c r="H87" s="34" t="n">
        <x:v>46013</x:v>
      </x:c>
      <x:c r="I87" s="52" t="n">
        <x:v>4.42e+24</x:v>
      </x:c>
      <x:c r="J87" s="32" t="str">
        <x:v>Likely</x:v>
      </x:c>
      <x:c r="K87" s="32" t="str"/>
      <x:c r="L87" s="32" t="str">
        <x:v>GLM-4.7</x:v>
      </x:c>
      <x:c r="M87" s="32" t="str"/>
      <x:c r="N87" s="32" t="str">
        <x:v>GLM-4.7</x:v>
      </x:c>
      <x:c r="O87" s="32" t="str">
        <x:v>glm-4-7</x:v>
      </x:c>
      <x:c r="P87" s="44" t="n">
        <x:v>143.73</x:v>
      </x:c>
      <x:c r="Q87" s="44" t="n">
        <x:v>141.11</x:v>
      </x:c>
      <x:c r="R87" s="44" t="n">
        <x:v>145.38</x:v>
      </x:c>
    </x:row>
    <x:row r="88">
      <x:c r="A88" s="32" t="str">
        <x:v>GPT-5.2 Pro</x:v>
      </x:c>
      <x:c r="B88" s="32" t="str">
        <x:v>gpt-5.2-pro-2025-12-11-webapp</x:v>
      </x:c>
      <x:c r="C88" s="32" t="str">
        <x:v>GPT-5.2 Pro (web)</x:v>
      </x:c>
      <x:c r="D88" s="32" t="str">
        <x:v>OpenAI</x:v>
      </x:c>
      <x:c r="E88" s="32" t="str">
        <x:v>United States of America</x:v>
      </x:c>
      <x:c r="F88" s="34" t="n">
        <x:v>46002</x:v>
      </x:c>
      <x:c r="G88" s="32" t="str">
        <x:v>API access</x:v>
      </x:c>
      <x:c r="H88" s="34" t="n">
        <x:v>46002</x:v>
      </x:c>
      <x:c r="I88" s="52" t="str"/>
      <x:c r="J88" s="32" t="str">
        <x:v>Likely</x:v>
      </x:c>
      <x:c r="K88" s="32" t="str"/>
      <x:c r="L88" s="32" t="str">
        <x:v>GPT-5.2 Pro (Web App)</x:v>
      </x:c>
      <x:c r="M88" s="32" t="str"/>
      <x:c r="N88" s="32" t="str">
        <x:v>GPT-5.2 Pro</x:v>
      </x:c>
      <x:c r="O88" s="32" t="str">
        <x:v>gpt-5-2-pro</x:v>
      </x:c>
      <x:c r="P88" s="44" t="n">
        <x:v>154.65</x:v>
      </x:c>
      <x:c r="Q88" s="44" t="n">
        <x:v>152.88</x:v>
      </x:c>
      <x:c r="R88" s="44" t="n">
        <x:v>157.03</x:v>
      </x:c>
    </x:row>
    <x:row r="89">
      <x:c r="A89" s="32" t="str">
        <x:v>DeepSeek-V3.2</x:v>
      </x:c>
      <x:c r="B89" s="32" t="str">
        <x:v>fireworks/deepseek-v3p2</x:v>
      </x:c>
      <x:c r="C89" s="32" t="str">
        <x:v>DeepSeek-V3.2 (Thinking; Fireworks)</x:v>
      </x:c>
      <x:c r="D89" s="32" t="str">
        <x:v>DeepSeek</x:v>
      </x:c>
      <x:c r="E89" s="32" t="str">
        <x:v>China</x:v>
      </x:c>
      <x:c r="F89" s="34" t="n">
        <x:v>45992</x:v>
      </x:c>
      <x:c r="G89" s="32" t="str">
        <x:v>Open weights (unrestricted)</x:v>
      </x:c>
      <x:c r="H89" s="34" t="n">
        <x:v>45992</x:v>
      </x:c>
      <x:c r="I89" s="52" t="n">
        <x:v>4.1999999999999997e+24</x:v>
      </x:c>
      <x:c r="J89" s="32" t="str">
        <x:v>Likely</x:v>
      </x:c>
      <x:c r="K89" s="32" t="str"/>
      <x:c r="L89" s="32" t="str"/>
      <x:c r="M89" s="32" t="str"/>
      <x:c r="N89" s="32" t="str">
        <x:v>DeepSeek-V3.2</x:v>
      </x:c>
      <x:c r="O89" s="32" t="str">
        <x:v>deepseek-v3-2</x:v>
      </x:c>
      <x:c r="P89" s="44" t="n">
        <x:v>146.56</x:v>
      </x:c>
      <x:c r="Q89" s="44" t="n">
        <x:v>144.63</x:v>
      </x:c>
      <x:c r="R89" s="44" t="n">
        <x:v>147.62</x:v>
      </x:c>
    </x:row>
    <x:row r="90">
      <x:c r="A90" s="32" t="str">
        <x:v>Gemini 2.5 Flash</x:v>
      </x:c>
      <x:c r="B90" s="32" t="str">
        <x:v>gemini-2.5-flash</x:v>
      </x:c>
      <x:c r="C90" s="32" t="str"/>
      <x:c r="D90" s="32" t="str">
        <x:v>Google DeepMind</x:v>
      </x:c>
      <x:c r="E90" s="32" t="str">
        <x:v>United States of America</x:v>
      </x:c>
      <x:c r="F90" s="34" t="n">
        <x:v>45825</x:v>
      </x:c>
      <x:c r="G90" s="32" t="str">
        <x:v>API access</x:v>
      </x:c>
      <x:c r="H90" s="34" t="n">
        <x:v>45764</x:v>
      </x:c>
      <x:c r="I90" s="52" t="str"/>
      <x:c r="J90" s="32" t="str">
        <x:v>Unknown</x:v>
      </x:c>
      <x:c r="K90" s="32" t="str">
        <x:v>A small model from Google DeepMind's Gemini 2.5 series.</x:v>
      </x:c>
      <x:c r="L90" s="32" t="str">
        <x:v>Gemini 2.5 Flash (Jun 2025)</x:v>
      </x:c>
      <x:c r="M90" s="32" t="str">
        <x:v>Gemini 2.5 Flash (Jun 2025)</x:v>
      </x:c>
      <x:c r="N90" s="32" t="str">
        <x:v>Gemini 2.5 Flash (Jun 2025)</x:v>
      </x:c>
      <x:c r="O90" s="32" t="str">
        <x:v>gemini-2-5-flash-jun-2025</x:v>
      </x:c>
      <x:c r="P90" s="44" t="n">
        <x:v>140.26</x:v>
      </x:c>
      <x:c r="Q90" s="44" t="n">
        <x:v>136.94</x:v>
      </x:c>
      <x:c r="R90" s="44" t="n">
        <x:v>142</x:v>
      </x:c>
    </x:row>
    <x:row r="91">
      <x:c r="A91" s="32" t="str">
        <x:v>DeepSeek-V3.2</x:v>
      </x:c>
      <x:c r="B91" s="32" t="str">
        <x:v>deepseek-reasoner</x:v>
      </x:c>
      <x:c r="C91" s="32" t="str">
        <x:v>DeepSeek-V3.2 (Thinking)</x:v>
      </x:c>
      <x:c r="D91" s="32" t="str">
        <x:v>DeepSeek</x:v>
      </x:c>
      <x:c r="E91" s="32" t="str">
        <x:v>China</x:v>
      </x:c>
      <x:c r="F91" s="34" t="n">
        <x:v>45992</x:v>
      </x:c>
      <x:c r="G91" s="32" t="str">
        <x:v>Open weights (unrestricted)</x:v>
      </x:c>
      <x:c r="H91" s="34" t="n">
        <x:v>45992</x:v>
      </x:c>
      <x:c r="I91" s="52" t="n">
        <x:v>4.1999999999999997e+24</x:v>
      </x:c>
      <x:c r="J91" s="32" t="str">
        <x:v>Likely</x:v>
      </x:c>
      <x:c r="K91" s="32" t="str"/>
      <x:c r="L91" s="32" t="str"/>
      <x:c r="M91" s="32" t="str"/>
      <x:c r="N91" s="32" t="str">
        <x:v>DeepSeek-V3.2</x:v>
      </x:c>
      <x:c r="O91" s="32" t="str">
        <x:v>deepseek-v3-2</x:v>
      </x:c>
      <x:c r="P91" s="44" t="n">
        <x:v>146.56</x:v>
      </x:c>
      <x:c r="Q91" s="44" t="n">
        <x:v>144.63</x:v>
      </x:c>
      <x:c r="R91" s="44" t="n">
        <x:v>147.62</x:v>
      </x:c>
    </x:row>
    <x:row r="92">
      <x:c r="A92" s="32" t="str">
        <x:v>gpt-oss-120b</x:v>
      </x:c>
      <x:c r="B92" s="32" t="str">
        <x:v>openai/gpt-oss-120b_high</x:v>
      </x:c>
      <x:c r="C92" s="32" t="str"/>
      <x:c r="D92" s="32" t="str">
        <x:v>OpenAI</x:v>
      </x:c>
      <x:c r="E92" s="32" t="str">
        <x:v>United States of America</x:v>
      </x:c>
      <x:c r="F92" s="34" t="n">
        <x:v>45874</x:v>
      </x:c>
      <x:c r="G92" s="32" t="str">
        <x:v>Open weights (unrestricted)</x:v>
      </x:c>
      <x:c r="H92" s="34" t="n">
        <x:v>45874</x:v>
      </x:c>
      <x:c r="I92" s="52" t="n">
        <x:v>4.94e+24</x:v>
      </x:c>
      <x:c r="J92" s="32" t="str">
        <x:v>Confident</x:v>
      </x:c>
      <x:c r="K92" s="32" t="str"/>
      <x:c r="L92" s="32" t="str">
        <x:v>gpt-oss-120b (high)</x:v>
      </x:c>
      <x:c r="M92" s="32" t="str"/>
      <x:c r="N92" s="32" t="str">
        <x:v>gpt-oss-120b</x:v>
      </x:c>
      <x:c r="O92" s="32" t="str">
        <x:v>gpt-oss-120b</x:v>
      </x:c>
      <x:c r="P92" s="44" t="n">
        <x:v>140.57</x:v>
      </x:c>
      <x:c r="Q92" s="44" t="n">
        <x:v>136.18</x:v>
      </x:c>
      <x:c r="R92" s="44" t="n">
        <x:v>143.08</x:v>
      </x:c>
    </x:row>
    <x:row r="93">
      <x:c r="A93" s="32" t="str">
        <x:v>Qwen3-235B-A22B (Jul 2025)</x:v>
      </x:c>
      <x:c r="B93" s="32" t="str">
        <x:v>Qwen3-235B-A22B-Thinking-2507</x:v>
      </x:c>
      <x:c r="C93" s="32" t="str"/>
      <x:c r="D93" s="32" t="str">
        <x:v>Alibaba</x:v>
      </x:c>
      <x:c r="E93" s="32" t="str">
        <x:v>China</x:v>
      </x:c>
      <x:c r="F93" s="34" t="n">
        <x:v>45863</x:v>
      </x:c>
      <x:c r="G93" s="32" t="str">
        <x:v>Open weights (unrestricted)</x:v>
      </x:c>
      <x:c r="H93" s="34" t="n">
        <x:v>45863</x:v>
      </x:c>
      <x:c r="I93" s="52" t="n">
        <x:v>4.752e+24</x:v>
      </x:c>
      <x:c r="J93" s="32" t="str">
        <x:v>Likely</x:v>
      </x:c>
      <x:c r="K93" s="32" t="str">
        <x:v>A 22 billion active (235 billion total)-parameter mixture-of-experts reasoning model in the Qwen 3 series.</x:v>
      </x:c>
      <x:c r="L93" s="32" t="str"/>
      <x:c r="M93" s="32" t="str">
        <x:v>Qwen3-235B-A22B-Thinking (Jul 2025)</x:v>
      </x:c>
      <x:c r="N93" s="32" t="str">
        <x:v>Qwen3-235B-A22B-Thinking (Jul 2025)</x:v>
      </x:c>
      <x:c r="O93" s="32" t="str">
        <x:v>qwen3-235b-a22b-thinking-jul-2025</x:v>
      </x:c>
      <x:c r="P93" s="44" t="n">
        <x:v>144.78</x:v>
      </x:c>
      <x:c r="Q93" s="44" t="n">
        <x:v>142.35</x:v>
      </x:c>
      <x:c r="R93" s="44" t="n">
        <x:v>147.4</x:v>
      </x:c>
    </x:row>
    <x:row r="94">
      <x:c r="A94" s="32" t="str">
        <x:v>GPT-5.2</x:v>
      </x:c>
      <x:c r="B94" s="32" t="str">
        <x:v>gpt-5.2-2025-12-11_medium</x:v>
      </x:c>
      <x:c r="C94" s="32" t="str">
        <x:v>GPT-5.2 (medium)</x:v>
      </x:c>
      <x:c r="D94" s="32" t="str">
        <x:v>OpenAI</x:v>
      </x:c>
      <x:c r="E94" s="32" t="str">
        <x:v>United States of America</x:v>
      </x:c>
      <x:c r="F94" s="34" t="n">
        <x:v>46002</x:v>
      </x:c>
      <x:c r="G94" s="32" t="str">
        <x:v>API access</x:v>
      </x:c>
      <x:c r="H94" s="34" t="n">
        <x:v>46002</x:v>
      </x:c>
      <x:c r="I94" s="52" t="str"/>
      <x:c r="J94" s="32" t="str">
        <x:v>Unknown</x:v>
      </x:c>
      <x:c r="K94" s="32" t="str"/>
      <x:c r="L94" s="32" t="str">
        <x:v>GPT-5.2 (medium)</x:v>
      </x:c>
      <x:c r="M94" s="32" t="str"/>
      <x:c r="N94" s="32" t="str">
        <x:v>GPT-5.2</x:v>
      </x:c>
      <x:c r="O94" s="32" t="str">
        <x:v>gpt-5-2</x:v>
      </x:c>
      <x:c r="P94" s="44" t="n">
        <x:v>153.7</x:v>
      </x:c>
      <x:c r="Q94" s="44" t="n">
        <x:v>152.26</x:v>
      </x:c>
      <x:c r="R94" s="44" t="n">
        <x:v>155.46</x:v>
      </x:c>
    </x:row>
    <x:row r="95">
      <x:c r="A95" s="32" t="str">
        <x:v>GPT-5.2</x:v>
      </x:c>
      <x:c r="B95" s="32" t="str">
        <x:v>gpt-5.2-2025-12-11_low</x:v>
      </x:c>
      <x:c r="C95" s="32" t="str">
        <x:v>GPT-5.2 (low)</x:v>
      </x:c>
      <x:c r="D95" s="32" t="str">
        <x:v>OpenAI</x:v>
      </x:c>
      <x:c r="E95" s="32" t="str">
        <x:v>United States of America</x:v>
      </x:c>
      <x:c r="F95" s="34" t="n">
        <x:v>46002</x:v>
      </x:c>
      <x:c r="G95" s="32" t="str">
        <x:v>API access</x:v>
      </x:c>
      <x:c r="H95" s="34" t="n">
        <x:v>46002</x:v>
      </x:c>
      <x:c r="I95" s="52" t="str"/>
      <x:c r="J95" s="32" t="str">
        <x:v>Unknown</x:v>
      </x:c>
      <x:c r="K95" s="32" t="str"/>
      <x:c r="L95" s="32" t="str">
        <x:v>GPT-5.2 (low)</x:v>
      </x:c>
      <x:c r="M95" s="32" t="str"/>
      <x:c r="N95" s="32" t="str">
        <x:v>GPT-5.2</x:v>
      </x:c>
      <x:c r="O95" s="32" t="str">
        <x:v>gpt-5-2</x:v>
      </x:c>
      <x:c r="P95" s="44" t="n">
        <x:v>153.7</x:v>
      </x:c>
      <x:c r="Q95" s="44" t="n">
        <x:v>152.26</x:v>
      </x:c>
      <x:c r="R95" s="44" t="n">
        <x:v>155.46</x:v>
      </x:c>
    </x:row>
    <x:row r="96">
      <x:c r="A96" s="32" t="str">
        <x:v>Qwen3-235B-A22B (Jul 2025)</x:v>
      </x:c>
      <x:c r="B96" s="32" t="str">
        <x:v>Qwen/Qwen3-235B-A22B-Thinking-2507</x:v>
      </x:c>
      <x:c r="C96" s="32" t="str">
        <x:v>Qwen3-235B-A22B-Thinking-2507</x:v>
      </x:c>
      <x:c r="D96" s="32" t="str">
        <x:v>Alibaba</x:v>
      </x:c>
      <x:c r="E96" s="32" t="str">
        <x:v>China</x:v>
      </x:c>
      <x:c r="F96" s="34" t="n">
        <x:v>45863</x:v>
      </x:c>
      <x:c r="G96" s="32" t="str">
        <x:v>Open weights (unrestricted)</x:v>
      </x:c>
      <x:c r="H96" s="34" t="n">
        <x:v>45863</x:v>
      </x:c>
      <x:c r="I96" s="52" t="n">
        <x:v>4.752e+24</x:v>
      </x:c>
      <x:c r="J96" s="32" t="str">
        <x:v>Likely</x:v>
      </x:c>
      <x:c r="K96" s="32" t="str"/>
      <x:c r="L96" s="32" t="str"/>
      <x:c r="M96" s="32" t="str">
        <x:v>Qwen3-235B-A22B-Thinking (Jul 2025)</x:v>
      </x:c>
      <x:c r="N96" s="32" t="str">
        <x:v>Qwen3-235B-A22B-Thinking (Jul 2025)</x:v>
      </x:c>
      <x:c r="O96" s="32" t="str">
        <x:v>qwen3-235b-a22b-thinking-jul-2025</x:v>
      </x:c>
      <x:c r="P96" s="44" t="n">
        <x:v>144.78</x:v>
      </x:c>
      <x:c r="Q96" s="44" t="n">
        <x:v>142.35</x:v>
      </x:c>
      <x:c r="R96" s="44" t="n">
        <x:v>147.4</x:v>
      </x:c>
    </x:row>
    <x:row r="97">
      <x:c r="A97" s="32" t="str">
        <x:v>Qwen3-Max</x:v>
      </x:c>
      <x:c r="B97" s="32" t="str">
        <x:v>qwen3-max-2025-09-23</x:v>
      </x:c>
      <x:c r="C97" s="32" t="str">
        <x:v>Qwen3-Max-Instruct</x:v>
      </x:c>
      <x:c r="D97" s="32" t="str">
        <x:v>Alibaba</x:v>
      </x:c>
      <x:c r="E97" s="32" t="str">
        <x:v>China</x:v>
      </x:c>
      <x:c r="F97" s="34" t="n">
        <x:v>45924</x:v>
      </x:c>
      <x:c r="G97" s="32" t="str">
        <x:v>API access</x:v>
      </x:c>
      <x:c r="H97" s="34" t="n">
        <x:v>45905</x:v>
      </x:c>
      <x:c r="I97" s="52" t="n">
        <x:v>1.512e+25</x:v>
      </x:c>
      <x:c r="J97" s="32" t="str">
        <x:v>Speculative</x:v>
      </x:c>
      <x:c r="K97" s="32" t="str">
        <x:v>A 1-trillion total parameter scale model in the Qwen 3 series. </x:v>
      </x:c>
      <x:c r="L97" s="32" t="str">
        <x:v>Qwen3 Max</x:v>
      </x:c>
      <x:c r="M97" s="32" t="str"/>
      <x:c r="N97" s="32" t="str">
        <x:v>Qwen3-Max</x:v>
      </x:c>
      <x:c r="O97" s="32" t="str">
        <x:v>qwen3-max</x:v>
      </x:c>
      <x:c r="P97" s="44" t="n">
        <x:v>143.95</x:v>
      </x:c>
      <x:c r="Q97" s="44" t="n">
        <x:v>140.4</x:v>
      </x:c>
      <x:c r="R97" s="44" t="n">
        <x:v>155.83</x:v>
      </x:c>
    </x:row>
    <x:row r="98">
      <x:c r="A98" s="32" t="str">
        <x:v>Kimi K2 Thinking</x:v>
      </x:c>
      <x:c r="B98" s="32" t="str">
        <x:v>kimi-k2-thinking-turbo</x:v>
      </x:c>
      <x:c r="C98" s="32" t="str">
        <x:v>Kimi K2 Thinking Turbo</x:v>
      </x:c>
      <x:c r="D98" s="32" t="str">
        <x:v>Moonshot</x:v>
      </x:c>
      <x:c r="E98" s="32" t="str">
        <x:v>China</x:v>
      </x:c>
      <x:c r="F98" s="34" t="n">
        <x:v>45967</x:v>
      </x:c>
      <x:c r="G98" s="32" t="str">
        <x:v>Open weights (restricted use)</x:v>
      </x:c>
      <x:c r="H98" s="34" t="n">
        <x:v>45967</x:v>
      </x:c>
      <x:c r="I98" s="52" t="n">
        <x:v>4.1999999999999997e+24</x:v>
      </x:c>
      <x:c r="J98" s="32" t="str">
        <x:v>Likely</x:v>
      </x:c>
      <x:c r="K98" s="32" t="str"/>
      <x:c r="L98" s="32" t="str"/>
      <x:c r="M98" s="32" t="str"/>
      <x:c r="N98" s="32" t="str">
        <x:v>Kimi K2 Thinking</x:v>
      </x:c>
      <x:c r="O98" s="32" t="str">
        <x:v>kimi-k2-thinking</x:v>
      </x:c>
      <x:c r="P98" s="44" t="n">
        <x:v>146.01</x:v>
      </x:c>
      <x:c r="Q98" s="44" t="n">
        <x:v>143.68</x:v>
      </x:c>
      <x:c r="R98" s="44" t="n">
        <x:v>147.44</x:v>
      </x:c>
    </x:row>
    <x:row r="99">
      <x:c r="A99" s="32" t="str">
        <x:v>Claude Sonnet 4.5</x:v>
      </x:c>
      <x:c r="B99" s="32" t="str">
        <x:v>claude-sonnet-4-5-20250929_59K</x:v>
      </x:c>
      <x:c r="C99" s="32" t="str">
        <x:v>Claude Sonnet 4.5 (59k thinking)</x:v>
      </x:c>
      <x:c r="D99" s="32" t="str">
        <x:v>Anthropic</x:v>
      </x:c>
      <x:c r="E99" s="32" t="str">
        <x:v>United States of America</x:v>
      </x:c>
      <x:c r="F99" s="34" t="n">
        <x:v>45929</x:v>
      </x:c>
      <x:c r="G99" s="32" t="str">
        <x:v>API access</x:v>
      </x:c>
      <x:c r="H99" s="34" t="n">
        <x:v>45929</x:v>
      </x:c>
      <x:c r="I99" s="52" t="str"/>
      <x:c r="J99" s="32" t="str">
        <x:v>Unknown</x:v>
      </x:c>
      <x:c r="K99" s="32" t="str"/>
      <x:c r="L99" s="32" t="str">
        <x:v>Claude Sonnet 4.5 (59k thinking)</x:v>
      </x:c>
      <x:c r="M99" s="32" t="str"/>
      <x:c r="N99" s="32" t="str">
        <x:v>Claude Sonnet 4.5</x:v>
      </x:c>
      <x:c r="O99" s="32" t="str">
        <x:v>claude-sonnet-4-5</x:v>
      </x:c>
      <x:c r="P99" s="44" t="n">
        <x:v>146.75</x:v>
      </x:c>
      <x:c r="Q99" s="44" t="n">
        <x:v>144.71</x:v>
      </x:c>
      <x:c r="R99" s="44" t="n">
        <x:v>148.07</x:v>
      </x:c>
    </x:row>
    <x:row r="100">
      <x:c r="A100" s="32" t="str">
        <x:v>Claude Opus 4.1</x:v>
      </x:c>
      <x:c r="B100" s="32" t="str">
        <x:v>claude-opus-4-1-20250805_27K</x:v>
      </x:c>
      <x:c r="C100" s="32" t="str"/>
      <x:c r="D100" s="32" t="str">
        <x:v>Anthropic</x:v>
      </x:c>
      <x:c r="E100" s="32" t="str">
        <x:v>United States of America</x:v>
      </x:c>
      <x:c r="F100" s="34" t="n">
        <x:v>45874</x:v>
      </x:c>
      <x:c r="G100" s="32" t="str">
        <x:v>API access</x:v>
      </x:c>
      <x:c r="H100" s="34" t="n">
        <x:v>45874</x:v>
      </x:c>
      <x:c r="I100" s="52" t="str"/>
      <x:c r="J100" s="32" t="str">
        <x:v>Unknown</x:v>
      </x:c>
      <x:c r="K100" s="32" t="str">
        <x:v>Anthropic’s largest flagship model, benchmarked with up to 27,000 reasoning tokens.</x:v>
      </x:c>
      <x:c r="L100" s="32" t="str">
        <x:v>Claude Opus 4.1 (27k thinking)</x:v>
      </x:c>
      <x:c r="M100" s="32" t="str"/>
      <x:c r="N100" s="32" t="str">
        <x:v>Claude Opus 4.1</x:v>
      </x:c>
      <x:c r="O100" s="32" t="str">
        <x:v>claude-opus-4-1</x:v>
      </x:c>
      <x:c r="P100" s="44" t="n">
        <x:v>144.21</x:v>
      </x:c>
      <x:c r="Q100" s="44" t="n">
        <x:v>141.74</x:v>
      </x:c>
      <x:c r="R100" s="44" t="n">
        <x:v>146.36</x:v>
      </x:c>
    </x:row>
    <x:row r="101">
      <x:c r="A101" s="32" t="str">
        <x:v>Claude Haiku 4.5</x:v>
      </x:c>
      <x:c r="B101" s="32" t="str">
        <x:v>claude-haiku-4-5-20251001_32K</x:v>
      </x:c>
      <x:c r="C101" s="32" t="str"/>
      <x:c r="D101" s="32" t="str">
        <x:v>Anthropic</x:v>
      </x:c>
      <x:c r="E101" s="32" t="str">
        <x:v>United States of America</x:v>
      </x:c>
      <x:c r="F101" s="34" t="n">
        <x:v>45945</x:v>
      </x:c>
      <x:c r="G101" s="32" t="str">
        <x:v>API access</x:v>
      </x:c>
      <x:c r="H101" s="34" t="n">
        <x:v>45945</x:v>
      </x:c>
      <x:c r="I101" s="52" t="str"/>
      <x:c r="J101" s="32" t="str">
        <x:v>Unknown</x:v>
      </x:c>
      <x:c r="K101" s="32" t="str"/>
      <x:c r="L101" s="32" t="str">
        <x:v>Claude Haiku 4.5 (32k thinking)</x:v>
      </x:c>
      <x:c r="M101" s="32" t="str"/>
      <x:c r="N101" s="32" t="str">
        <x:v>Claude Haiku 4.5</x:v>
      </x:c>
      <x:c r="O101" s="32" t="str">
        <x:v>claude-haiku-4-5</x:v>
      </x:c>
      <x:c r="P101" s="44" t="n">
        <x:v>142.86</x:v>
      </x:c>
      <x:c r="Q101" s="44" t="n">
        <x:v>139.6</x:v>
      </x:c>
      <x:c r="R101" s="44" t="n">
        <x:v>144.62</x:v>
      </x:c>
    </x:row>
    <x:row r="102">
      <x:c r="A102" s="32" t="str">
        <x:v>o3</x:v>
      </x:c>
      <x:c r="B102" s="32" t="str">
        <x:v>o3-2025-04-16_high</x:v>
      </x:c>
      <x:c r="C102" s="32" t="str">
        <x:v>o3 (high)</x:v>
      </x:c>
      <x:c r="D102" s="32" t="str">
        <x:v>OpenAI</x:v>
      </x:c>
      <x:c r="E102" s="32" t="str">
        <x:v>United States of America</x:v>
      </x:c>
      <x:c r="F102" s="34" t="n">
        <x:v>45763</x:v>
      </x:c>
      <x:c r="G102" s="32" t="str">
        <x:v>API access</x:v>
      </x:c>
      <x:c r="H102" s="34" t="n">
        <x:v>45646</x:v>
      </x:c>
      <x:c r="I102" s="52" t="str"/>
      <x:c r="J102" s="32" t="str">
        <x:v>Unknown</x:v>
      </x:c>
      <x:c r="K102" s="32" t="str">
        <x:v>OpenAI's second generation o-series reasoning model, evaluated with high reasoning effort.</x:v>
      </x:c>
      <x:c r="L102" s="32" t="str"/>
      <x:c r="M102" s="32" t="str"/>
      <x:c r="N102" s="32" t="str">
        <x:v>o3</x:v>
      </x:c>
      <x:c r="O102" s="32" t="str">
        <x:v>o3</x:v>
      </x:c>
      <x:c r="P102" s="44" t="n">
        <x:v>147.05</x:v>
      </x:c>
      <x:c r="Q102" s="44" t="n">
        <x:v>145.11</x:v>
      </x:c>
      <x:c r="R102" s="44" t="n">
        <x:v>148.38</x:v>
      </x:c>
    </x:row>
    <x:row r="103">
      <x:c r="A103" s="32" t="str">
        <x:v>Grok-3 mini</x:v>
      </x:c>
      <x:c r="B103" s="32" t="str">
        <x:v>grok-3-mini-beta_high</x:v>
      </x:c>
      <x:c r="C103" s="32" t="str"/>
      <x:c r="D103" s="32" t="str">
        <x:v>xAI</x:v>
      </x:c>
      <x:c r="E103" s="32" t="str">
        <x:v>United States of America</x:v>
      </x:c>
      <x:c r="F103" s="34" t="n">
        <x:v>45756</x:v>
      </x:c>
      <x:c r="G103" s="32" t="str">
        <x:v>API access</x:v>
      </x:c>
      <x:c r="H103" s="34" t="n">
        <x:v>45707</x:v>
      </x:c>
      <x:c r="I103" s="52" t="str"/>
      <x:c r="J103" s="32" t="str">
        <x:v>Unknown</x:v>
      </x:c>
      <x:c r="K103" s="32" t="str">
        <x:v>A beta release of a smaller version of XAI's third generation Grok model, evaluated with high reasoning effort.</x:v>
      </x:c>
      <x:c r="L103" s="32" t="str"/>
      <x:c r="M103" s="32" t="str"/>
      <x:c r="N103" s="32" t="str">
        <x:v>Grok-3 mini</x:v>
      </x:c>
      <x:c r="O103" s="32" t="str">
        <x:v>grok-3-mini</x:v>
      </x:c>
      <x:c r="P103" s="44" t="n">
        <x:v>141.01</x:v>
      </x:c>
      <x:c r="Q103" s="44" t="n">
        <x:v>137.89</x:v>
      </x:c>
      <x:c r="R103" s="44" t="n">
        <x:v>142.63</x:v>
      </x:c>
    </x:row>
    <x:row r="104">
      <x:c r="A104" s="32" t="str">
        <x:v>Kimi K2 Thinking</x:v>
      </x:c>
      <x:c r="B104" s="32" t="str">
        <x:v>moonshotai/Kimi-K2-Thinking</x:v>
      </x:c>
      <x:c r="C104" s="32" t="str">
        <x:v>Kimi K2 Thinking (Together)</x:v>
      </x:c>
      <x:c r="D104" s="32" t="str">
        <x:v>Moonshot</x:v>
      </x:c>
      <x:c r="E104" s="32" t="str">
        <x:v>China</x:v>
      </x:c>
      <x:c r="F104" s="34" t="n">
        <x:v>45967</x:v>
      </x:c>
      <x:c r="G104" s="32" t="str">
        <x:v>Open weights (restricted use)</x:v>
      </x:c>
      <x:c r="H104" s="34" t="n">
        <x:v>45967</x:v>
      </x:c>
      <x:c r="I104" s="52" t="n">
        <x:v>4.1999999999999997e+24</x:v>
      </x:c>
      <x:c r="J104" s="32" t="str">
        <x:v>Likely</x:v>
      </x:c>
      <x:c r="K104" s="32" t="str"/>
      <x:c r="L104" s="32" t="str"/>
      <x:c r="M104" s="32" t="str"/>
      <x:c r="N104" s="32" t="str">
        <x:v>Kimi K2 Thinking</x:v>
      </x:c>
      <x:c r="O104" s="32" t="str">
        <x:v>kimi-k2-thinking</x:v>
      </x:c>
      <x:c r="P104" s="44" t="n">
        <x:v>146.01</x:v>
      </x:c>
      <x:c r="Q104" s="44" t="n">
        <x:v>143.68</x:v>
      </x:c>
      <x:c r="R104" s="44" t="n">
        <x:v>147.44</x:v>
      </x:c>
    </x:row>
    <x:row r="105">
      <x:c r="A105" s="32" t="str">
        <x:v>GLM-4.6</x:v>
      </x:c>
      <x:c r="B105" s="32" t="str">
        <x:v>zai-org/GLM-4.6</x:v>
      </x:c>
      <x:c r="C105" s="32" t="str">
        <x:v>GLM-4.6 (Together)</x:v>
      </x:c>
      <x:c r="D105" s="32" t="str">
        <x:v>Z.ai (Zhipu AI),Tsinghua University</x:v>
      </x:c>
      <x:c r="E105" s="32" t="str">
        <x:v>China</x:v>
      </x:c>
      <x:c r="F105" s="34" t="n">
        <x:v>45930</x:v>
      </x:c>
      <x:c r="G105" s="32" t="str">
        <x:v>Open weights (unrestricted)</x:v>
      </x:c>
      <x:c r="H105" s="34" t="n">
        <x:v>45930</x:v>
      </x:c>
      <x:c r="I105" s="52" t="n">
        <x:v>4.42e+24</x:v>
      </x:c>
      <x:c r="J105" s="32" t="str">
        <x:v>Likely</x:v>
      </x:c>
      <x:c r="K105" s="32" t="str"/>
      <x:c r="L105" s="32" t="str"/>
      <x:c r="M105" s="32" t="str"/>
      <x:c r="N105" s="32" t="str">
        <x:v>GLM-4.6</x:v>
      </x:c>
      <x:c r="O105" s="32" t="str">
        <x:v>glm-4-6</x:v>
      </x:c>
      <x:c r="P105" s="44" t="n">
        <x:v>140.95</x:v>
      </x:c>
      <x:c r="Q105" s="44" t="n">
        <x:v>136.28</x:v>
      </x:c>
      <x:c r="R105" s="44" t="n">
        <x:v>142.51</x:v>
      </x:c>
    </x:row>
    <x:row r="106">
      <x:c r="A106" s="32" t="str">
        <x:v>DeepSeek-R1 (May 2025)</x:v>
      </x:c>
      <x:c r="B106" s="32" t="str">
        <x:v>DeepSeek-R1-0528</x:v>
      </x:c>
      <x:c r="C106" s="32" t="str">
        <x:v>DeepSeek-R1 (May 2025)</x:v>
      </x:c>
      <x:c r="D106" s="32" t="str">
        <x:v>DeepSeek</x:v>
      </x:c>
      <x:c r="E106" s="32" t="str">
        <x:v>China</x:v>
      </x:c>
      <x:c r="F106" s="34" t="n">
        <x:v>45805</x:v>
      </x:c>
      <x:c r="G106" s="32" t="str">
        <x:v>Open weights (unrestricted)</x:v>
      </x:c>
      <x:c r="H106" s="34" t="n">
        <x:v>45805</x:v>
      </x:c>
      <x:c r="I106" s="52" t="n">
        <x:v>4.020010000000001e+24</x:v>
      </x:c>
      <x:c r="J106" s="32" t="str">
        <x:v>Confident</x:v>
      </x:c>
      <x:c r="K106" s="32" t="str">
        <x:v>An updated May 2025 version of DeepSeek's reasoning model, R1.</x:v>
      </x:c>
      <x:c r="L106" s="32" t="str">
        <x:v>DeepSeek-R1 (May 2025)</x:v>
      </x:c>
      <x:c r="M106" s="32" t="str"/>
      <x:c r="N106" s="32" t="str">
        <x:v>DeepSeek-R1 (May 2025)</x:v>
      </x:c>
      <x:c r="O106" s="32" t="str">
        <x:v>deepseek-r1-may-2025</x:v>
      </x:c>
      <x:c r="P106" s="44" t="n">
        <x:v>142</x:v>
      </x:c>
      <x:c r="Q106" s="44" t="n">
        <x:v>139.66</x:v>
      </x:c>
      <x:c r="R106" s="44" t="n">
        <x:v>143.43</x:v>
      </x:c>
    </x:row>
    <x:row r="107">
      <x:c r="A107" s="32" t="str">
        <x:v>Claude 3.5 Haiku</x:v>
      </x:c>
      <x:c r="B107" s="32" t="str">
        <x:v>claude-3-5-haiku-20241022</x:v>
      </x:c>
      <x:c r="C107" s="32" t="str">
        <x:v>Claude 3.5 Haiku (Oct 2024)</x:v>
      </x:c>
      <x:c r="D107" s="32" t="str">
        <x:v>Anthropic</x:v>
      </x:c>
      <x:c r="E107" s="32" t="str">
        <x:v>United States of America</x:v>
      </x:c>
      <x:c r="F107" s="34" t="n">
        <x:v>45587</x:v>
      </x:c>
      <x:c r="G107" s="32" t="str">
        <x:v>API access</x:v>
      </x:c>
      <x:c r="H107" s="34" t="n">
        <x:v>45587</x:v>
      </x:c>
      <x:c r="I107" s="52" t="str"/>
      <x:c r="J107" s="32" t="str">
        <x:v>Unknown</x:v>
      </x:c>
      <x:c r="K107" s="32" t="str">
        <x:v>The smallest model in Anthropic’s Claude 3.5 Series. </x:v>
      </x:c>
      <x:c r="L107" s="32" t="str">
        <x:v>Claude 3.5 Haiku (Oct 2024)</x:v>
      </x:c>
      <x:c r="M107" s="32" t="str"/>
      <x:c r="N107" s="32" t="str">
        <x:v>Claude 3.5 Haiku</x:v>
      </x:c>
      <x:c r="O107" s="32" t="str">
        <x:v>claude-3-5-haiku</x:v>
      </x:c>
      <x:c r="P107" s="44" t="n">
        <x:v>127.5</x:v>
      </x:c>
      <x:c r="Q107" s="44" t="n">
        <x:v>119.27</x:v>
      </x:c>
      <x:c r="R107" s="44" t="n">
        <x:v>130.1</x:v>
      </x:c>
    </x:row>
    <x:row r="108">
      <x:c r="A108" s="32" t="str">
        <x:v>GPT-5.1</x:v>
      </x:c>
      <x:c r="B108" s="32" t="str">
        <x:v>gpt-5.1-2025-11-13_none</x:v>
      </x:c>
      <x:c r="C108" s="32" t="str">
        <x:v>GPT-5.1 (no thinking)</x:v>
      </x:c>
      <x:c r="D108" s="32" t="str">
        <x:v>OpenAI</x:v>
      </x:c>
      <x:c r="E108" s="32" t="str">
        <x:v>United States of America</x:v>
      </x:c>
      <x:c r="F108" s="34" t="n">
        <x:v>45974</x:v>
      </x:c>
      <x:c r="G108" s="32" t="str">
        <x:v>API access</x:v>
      </x:c>
      <x:c r="H108" s="34" t="n">
        <x:v>45974</x:v>
      </x:c>
      <x:c r="I108" s="52" t="str"/>
      <x:c r="J108" s="32" t="str">
        <x:v>Unknown</x:v>
      </x:c>
      <x:c r="K108" s="32" t="str"/>
      <x:c r="L108" s="32" t="str">
        <x:v>GPT-5.1 (no thinking)</x:v>
      </x:c>
      <x:c r="M108" s="32" t="str"/>
      <x:c r="N108" s="32" t="str">
        <x:v>GPT-5.1</x:v>
      </x:c>
      <x:c r="O108" s="32" t="str">
        <x:v>gpt-5-1</x:v>
      </x:c>
      <x:c r="P108" s="44" t="n">
        <x:v>149.72</x:v>
      </x:c>
      <x:c r="Q108" s="44" t="n">
        <x:v>148.31</x:v>
      </x:c>
      <x:c r="R108" s="44" t="n">
        <x:v>151.01</x:v>
      </x:c>
    </x:row>
    <x:row r="109">
      <x:c r="A109" s="32" t="str">
        <x:v>GPT-5.1</x:v>
      </x:c>
      <x:c r="B109" s="32" t="str">
        <x:v>gpt-5.1-2025-11-13_low</x:v>
      </x:c>
      <x:c r="C109" s="32" t="str">
        <x:v>GPT-5.1 (low)</x:v>
      </x:c>
      <x:c r="D109" s="32" t="str">
        <x:v>OpenAI</x:v>
      </x:c>
      <x:c r="E109" s="32" t="str">
        <x:v>United States of America</x:v>
      </x:c>
      <x:c r="F109" s="34" t="n">
        <x:v>45974</x:v>
      </x:c>
      <x:c r="G109" s="32" t="str">
        <x:v>API access</x:v>
      </x:c>
      <x:c r="H109" s="34" t="n">
        <x:v>45974</x:v>
      </x:c>
      <x:c r="I109" s="52" t="str"/>
      <x:c r="J109" s="32" t="str">
        <x:v>Unknown</x:v>
      </x:c>
      <x:c r="K109" s="32" t="str"/>
      <x:c r="L109" s="32" t="str">
        <x:v>GPT-5.1 (low)</x:v>
      </x:c>
      <x:c r="M109" s="32" t="str"/>
      <x:c r="N109" s="32" t="str">
        <x:v>GPT-5.1</x:v>
      </x:c>
      <x:c r="O109" s="32" t="str">
        <x:v>gpt-5-1</x:v>
      </x:c>
      <x:c r="P109" s="44" t="n">
        <x:v>149.72</x:v>
      </x:c>
      <x:c r="Q109" s="44" t="n">
        <x:v>148.31</x:v>
      </x:c>
      <x:c r="R109" s="44" t="n">
        <x:v>151.01</x:v>
      </x:c>
    </x:row>
    <x:row r="110">
      <x:c r="A110" s="32" t="str">
        <x:v>Claude Opus 4.5</x:v>
      </x:c>
      <x:c r="B110" s="32" t="str">
        <x:v>claude-opus-4-5-20251101_16K</x:v>
      </x:c>
      <x:c r="C110" s="32" t="str">
        <x:v>Claude Opus 4.5 (16k thinking)</x:v>
      </x:c>
      <x:c r="D110" s="32" t="str">
        <x:v>Anthropic</x:v>
      </x:c>
      <x:c r="E110" s="32" t="str">
        <x:v>United States of America</x:v>
      </x:c>
      <x:c r="F110" s="34" t="n">
        <x:v>45985</x:v>
      </x:c>
      <x:c r="G110" s="32" t="str">
        <x:v>API access</x:v>
      </x:c>
      <x:c r="H110" s="34" t="n">
        <x:v>45985</x:v>
      </x:c>
      <x:c r="I110" s="52" t="str"/>
      <x:c r="J110" s="32" t="str">
        <x:v>Unknown</x:v>
      </x:c>
      <x:c r="K110" s="32" t="str"/>
      <x:c r="L110" s="32" t="str">
        <x:v>Claude Opus 4.5 (16k thinking)</x:v>
      </x:c>
      <x:c r="M110" s="32" t="str"/>
      <x:c r="N110" s="32" t="str">
        <x:v>Claude Opus 4.5</x:v>
      </x:c>
      <x:c r="O110" s="32" t="str">
        <x:v>claude-opus-4-5</x:v>
      </x:c>
      <x:c r="P110" s="44" t="n">
        <x:v>149.53</x:v>
      </x:c>
      <x:c r="Q110" s="44" t="n">
        <x:v>147.66</x:v>
      </x:c>
      <x:c r="R110" s="44" t="n">
        <x:v>151.99</x:v>
      </x:c>
    </x:row>
    <x:row r="111">
      <x:c r="A111" s="32" t="str">
        <x:v>GPT-5.1</x:v>
      </x:c>
      <x:c r="B111" s="32" t="str">
        <x:v>gpt-5.1-2025-11-13_medium</x:v>
      </x:c>
      <x:c r="C111" s="32" t="str">
        <x:v>GPT-5.1 (medium)</x:v>
      </x:c>
      <x:c r="D111" s="32" t="str">
        <x:v>OpenAI</x:v>
      </x:c>
      <x:c r="E111" s="32" t="str">
        <x:v>United States of America</x:v>
      </x:c>
      <x:c r="F111" s="34" t="n">
        <x:v>45974</x:v>
      </x:c>
      <x:c r="G111" s="32" t="str">
        <x:v>API access</x:v>
      </x:c>
      <x:c r="H111" s="34" t="n">
        <x:v>45974</x:v>
      </x:c>
      <x:c r="I111" s="52" t="str"/>
      <x:c r="J111" s="32" t="str">
        <x:v>Unknown</x:v>
      </x:c>
      <x:c r="K111" s="32" t="str"/>
      <x:c r="L111" s="32" t="str">
        <x:v>GPT-5.1 (medium)</x:v>
      </x:c>
      <x:c r="M111" s="32" t="str"/>
      <x:c r="N111" s="32" t="str">
        <x:v>GPT-5.1</x:v>
      </x:c>
      <x:c r="O111" s="32" t="str">
        <x:v>gpt-5-1</x:v>
      </x:c>
      <x:c r="P111" s="44" t="n">
        <x:v>149.72</x:v>
      </x:c>
      <x:c r="Q111" s="44" t="n">
        <x:v>148.31</x:v>
      </x:c>
      <x:c r="R111" s="44" t="n">
        <x:v>151.01</x:v>
      </x:c>
    </x:row>
    <x:row r="112">
      <x:c r="A112" s="32" t="str">
        <x:v>o3</x:v>
      </x:c>
      <x:c r="B112" s="32" t="str">
        <x:v>o3-2025-04-16_low</x:v>
      </x:c>
      <x:c r="C112" s="32" t="str">
        <x:v>o3 (low)</x:v>
      </x:c>
      <x:c r="D112" s="32" t="str">
        <x:v>OpenAI</x:v>
      </x:c>
      <x:c r="E112" s="32" t="str">
        <x:v>United States of America</x:v>
      </x:c>
      <x:c r="F112" s="34" t="n">
        <x:v>45763</x:v>
      </x:c>
      <x:c r="G112" s="32" t="str">
        <x:v>API access</x:v>
      </x:c>
      <x:c r="H112" s="34" t="n">
        <x:v>45646</x:v>
      </x:c>
      <x:c r="I112" s="52" t="str"/>
      <x:c r="J112" s="32" t="str">
        <x:v>Unknown</x:v>
      </x:c>
      <x:c r="K112" s="32" t="str">
        <x:v>OpenAI's latest full-size o-series reasoning model release, evaluated on low reasoning effort.</x:v>
      </x:c>
      <x:c r="L112" s="32" t="str"/>
      <x:c r="M112" s="32" t="str"/>
      <x:c r="N112" s="32" t="str">
        <x:v>o3</x:v>
      </x:c>
      <x:c r="O112" s="32" t="str">
        <x:v>o3</x:v>
      </x:c>
      <x:c r="P112" s="44" t="n">
        <x:v>147.05</x:v>
      </x:c>
      <x:c r="Q112" s="44" t="n">
        <x:v>145.11</x:v>
      </x:c>
      <x:c r="R112" s="44" t="n">
        <x:v>148.38</x:v>
      </x:c>
    </x:row>
    <x:row r="113">
      <x:c r="A113" s="32" t="str">
        <x:v>o4-mini</x:v>
      </x:c>
      <x:c r="B113" s="32" t="str">
        <x:v>o4-mini-2025-04-16_low</x:v>
      </x:c>
      <x:c r="C113" s="32" t="str">
        <x:v>o4-mini (low)</x:v>
      </x:c>
      <x:c r="D113" s="32" t="str">
        <x:v>OpenAI</x:v>
      </x:c>
      <x:c r="E113" s="32" t="str">
        <x:v>United States of America</x:v>
      </x:c>
      <x:c r="F113" s="34" t="n">
        <x:v>45763</x:v>
      </x:c>
      <x:c r="G113" s="32" t="str">
        <x:v>API access</x:v>
      </x:c>
      <x:c r="H113" s="34" t="n">
        <x:v>45763</x:v>
      </x:c>
      <x:c r="I113" s="52" t="str"/>
      <x:c r="J113" s="32" t="str">
        <x:v>Unknown</x:v>
      </x:c>
      <x:c r="K113" s="32" t="str">
        <x:v>The latest smaller size o-series reasoning model from OpenAI, evaluated with low reasoning effort.</x:v>
      </x:c>
      <x:c r="L113" s="32" t="str"/>
      <x:c r="M113" s="32" t="str"/>
      <x:c r="N113" s="32" t="str">
        <x:v>o4-mini</x:v>
      </x:c>
      <x:c r="O113" s="32" t="str">
        <x:v>o4-mini</x:v>
      </x:c>
      <x:c r="P113" s="44" t="n">
        <x:v>146.54</x:v>
      </x:c>
      <x:c r="Q113" s="44" t="n">
        <x:v>144.05</x:v>
      </x:c>
      <x:c r="R113" s="44" t="n">
        <x:v>147.85</x:v>
      </x:c>
    </x:row>
    <x:row r="114">
      <x:c r="A114" s="32" t="str">
        <x:v>o4-mini</x:v>
      </x:c>
      <x:c r="B114" s="32" t="str">
        <x:v>o4-mini-2025-04-16_medium</x:v>
      </x:c>
      <x:c r="C114" s="32" t="str">
        <x:v>o4-mini (medium)</x:v>
      </x:c>
      <x:c r="D114" s="32" t="str">
        <x:v>OpenAI</x:v>
      </x:c>
      <x:c r="E114" s="32" t="str">
        <x:v>United States of America</x:v>
      </x:c>
      <x:c r="F114" s="34" t="n">
        <x:v>45763</x:v>
      </x:c>
      <x:c r="G114" s="32" t="str">
        <x:v>API access</x:v>
      </x:c>
      <x:c r="H114" s="34" t="n">
        <x:v>45763</x:v>
      </x:c>
      <x:c r="I114" s="52" t="str"/>
      <x:c r="J114" s="32" t="str">
        <x:v>Unknown</x:v>
      </x:c>
      <x:c r="K114" s="32" t="str">
        <x:v>The latest smaller size o-series reasoning model from OpenAI, evaluated with medium reasoning effort.</x:v>
      </x:c>
      <x:c r="L114" s="32" t="str"/>
      <x:c r="M114" s="32" t="str"/>
      <x:c r="N114" s="32" t="str">
        <x:v>o4-mini</x:v>
      </x:c>
      <x:c r="O114" s="32" t="str">
        <x:v>o4-mini</x:v>
      </x:c>
      <x:c r="P114" s="44" t="n">
        <x:v>146.54</x:v>
      </x:c>
      <x:c r="Q114" s="44" t="n">
        <x:v>144.05</x:v>
      </x:c>
      <x:c r="R114" s="44" t="n">
        <x:v>147.85</x:v>
      </x:c>
    </x:row>
    <x:row r="115">
      <x:c r="A115" s="32" t="str">
        <x:v>Claude Sonnet 4.5</x:v>
      </x:c>
      <x:c r="B115" s="32" t="str">
        <x:v>claude-sonnet-4-5-20250929_16K</x:v>
      </x:c>
      <x:c r="C115" s="32" t="str">
        <x:v>Claude Sonnet 4.5 (16k thinking)</x:v>
      </x:c>
      <x:c r="D115" s="32" t="str">
        <x:v>Anthropic</x:v>
      </x:c>
      <x:c r="E115" s="32" t="str">
        <x:v>United States of America</x:v>
      </x:c>
      <x:c r="F115" s="34" t="n">
        <x:v>45929</x:v>
      </x:c>
      <x:c r="G115" s="32" t="str">
        <x:v>API access</x:v>
      </x:c>
      <x:c r="H115" s="34" t="n">
        <x:v>45929</x:v>
      </x:c>
      <x:c r="I115" s="52" t="str"/>
      <x:c r="J115" s="32" t="str">
        <x:v>Unknown</x:v>
      </x:c>
      <x:c r="K115" s="32" t="str">
        <x:v>Anthropic's latest mid-size model, part of the Claude 4.5 series, evaluated with up to 16,000 reasoning tokens.</x:v>
      </x:c>
      <x:c r="L115" s="32" t="str">
        <x:v>Claude Sonnet 4.5 (16k thinking)</x:v>
      </x:c>
      <x:c r="M115" s="32" t="str"/>
      <x:c r="N115" s="32" t="str">
        <x:v>Claude Sonnet 4.5</x:v>
      </x:c>
      <x:c r="O115" s="32" t="str">
        <x:v>claude-sonnet-4-5</x:v>
      </x:c>
      <x:c r="P115" s="44" t="n">
        <x:v>146.75</x:v>
      </x:c>
      <x:c r="Q115" s="44" t="n">
        <x:v>144.71</x:v>
      </x:c>
      <x:c r="R115" s="44" t="n">
        <x:v>148.07</x:v>
      </x:c>
    </x:row>
    <x:row r="116">
      <x:c r="A116" s="32" t="str">
        <x:v>GPT-4 (Jun 2023)</x:v>
      </x:c>
      <x:c r="B116" s="32" t="str">
        <x:v>gpt-4-0613</x:v>
      </x:c>
      <x:c r="C116" s="32" t="str">
        <x:v>GPT-4 (Jun 2023)</x:v>
      </x:c>
      <x:c r="D116" s="32" t="str">
        <x:v>OpenAI</x:v>
      </x:c>
      <x:c r="E116" s="32" t="str">
        <x:v>United States of America</x:v>
      </x:c>
      <x:c r="F116" s="34" t="n">
        <x:v>45090</x:v>
      </x:c>
      <x:c r="G116" s="32" t="str">
        <x:v>API access</x:v>
      </x:c>
      <x:c r="H116" s="34" t="n">
        <x:v>45090</x:v>
      </x:c>
      <x:c r="I116" s="52" t="n">
        <x:v>2.1e+25</x:v>
      </x:c>
      <x:c r="J116" s="32" t="str">
        <x:v>Likely</x:v>
      </x:c>
      <x:c r="K116" s="32" t="str">
        <x:v>The June 2023 version of GPT-4, OpenAI's 2023 multimodal flagship model.</x:v>
      </x:c>
      <x:c r="L116" s="32" t="str"/>
      <x:c r="M116" s="32" t="str"/>
      <x:c r="N116" s="32" t="str">
        <x:v>GPT-4 (Jun 2023)</x:v>
      </x:c>
      <x:c r="O116" s="32" t="str">
        <x:v>gpt-4-jun-2023</x:v>
      </x:c>
      <x:c r="P116" s="44" t="n">
        <x:v>121.91</x:v>
      </x:c>
      <x:c r="Q116" s="44" t="n">
        <x:v>114.46</x:v>
      </x:c>
      <x:c r="R116" s="44" t="n">
        <x:v>124.8</x:v>
      </x:c>
    </x:row>
    <x:row r="117">
      <x:c r="A117" s="32" t="str">
        <x:v>GPT-4 (Mar 2023)</x:v>
      </x:c>
      <x:c r="B117" s="32" t="str">
        <x:v>gpt-4-0314</x:v>
      </x:c>
      <x:c r="C117" s="32" t="str">
        <x:v>GPT-4 (Mar 2023)</x:v>
      </x:c>
      <x:c r="D117" s="32" t="str">
        <x:v>OpenAI</x:v>
      </x:c>
      <x:c r="E117" s="32" t="str">
        <x:v>United States of America</x:v>
      </x:c>
      <x:c r="F117" s="34" t="n">
        <x:v>44999</x:v>
      </x:c>
      <x:c r="G117" s="32" t="str">
        <x:v>API access</x:v>
      </x:c>
      <x:c r="H117" s="34" t="n">
        <x:v>45000</x:v>
      </x:c>
      <x:c r="I117" s="52" t="n">
        <x:v>2.1e+25</x:v>
      </x:c>
      <x:c r="J117" s="32" t="str">
        <x:v>Likely</x:v>
      </x:c>
      <x:c r="K117" s="32" t="str">
        <x:v>The March 2023 version of GPT-4, OpenAI's 2023 multimodal flagship model.</x:v>
      </x:c>
      <x:c r="L117" s="32" t="str"/>
      <x:c r="M117" s="32" t="str"/>
      <x:c r="N117" s="32" t="str">
        <x:v>GPT-4 (Mar 2023)</x:v>
      </x:c>
      <x:c r="O117" s="32" t="str">
        <x:v>gpt-4-mar-2023</x:v>
      </x:c>
      <x:c r="P117" s="44" t="n">
        <x:v>125.93</x:v>
      </x:c>
      <x:c r="Q117" s="44" t="n">
        <x:v>119.58</x:v>
      </x:c>
      <x:c r="R117" s="44" t="n">
        <x:v>132.2</x:v>
      </x:c>
    </x:row>
    <x:row r="118">
      <x:c r="A118" s="32" t="str">
        <x:v>Claude Haiku 4.5</x:v>
      </x:c>
      <x:c r="B118" s="32" t="str">
        <x:v>claude-haiku-4-5-20251001</x:v>
      </x:c>
      <x:c r="C118" s="32" t="str"/>
      <x:c r="D118" s="32" t="str">
        <x:v>Anthropic</x:v>
      </x:c>
      <x:c r="E118" s="32" t="str">
        <x:v>United States of America</x:v>
      </x:c>
      <x:c r="F118" s="34" t="n">
        <x:v>45945</x:v>
      </x:c>
      <x:c r="G118" s="32" t="str">
        <x:v>API access</x:v>
      </x:c>
      <x:c r="H118" s="34" t="n">
        <x:v>45945</x:v>
      </x:c>
      <x:c r="I118" s="52" t="str"/>
      <x:c r="J118" s="32" t="str">
        <x:v>Unknown</x:v>
      </x:c>
      <x:c r="K118" s="32" t="str"/>
      <x:c r="L118" s="32" t="str"/>
      <x:c r="M118" s="32" t="str"/>
      <x:c r="N118" s="32" t="str">
        <x:v>Claude Haiku 4.5</x:v>
      </x:c>
      <x:c r="O118" s="32" t="str">
        <x:v>claude-haiku-4-5</x:v>
      </x:c>
      <x:c r="P118" s="44" t="n">
        <x:v>142.86</x:v>
      </x:c>
      <x:c r="Q118" s="44" t="n">
        <x:v>139.6</x:v>
      </x:c>
      <x:c r="R118" s="44" t="n">
        <x:v>144.62</x:v>
      </x:c>
    </x:row>
    <x:row r="119">
      <x:c r="A119" s="32" t="str">
        <x:v>Grok 4 Heavy</x:v>
      </x:c>
      <x:c r="B119" s="32" t="str">
        <x:v>grok-4-heavy-web-app</x:v>
      </x:c>
      <x:c r="C119" s="32" t="str">
        <x:v>Grok 4 Heavy (web app)</x:v>
      </x:c>
      <x:c r="D119" s="32" t="str">
        <x:v>xAI</x:v>
      </x:c>
      <x:c r="E119" s="32" t="str">
        <x:v>United States of America</x:v>
      </x:c>
      <x:c r="F119" s="34" t="n">
        <x:v>45848</x:v>
      </x:c>
      <x:c r="G119" s="32" t="str">
        <x:v>Unreleased</x:v>
      </x:c>
      <x:c r="H119" s="34" t="n">
        <x:v>45848</x:v>
      </x:c>
      <x:c r="I119" s="52" t="str"/>
      <x:c r="J119" s="32" t="str">
        <x:v>Unknown</x:v>
      </x:c>
      <x:c r="K119" s="32" t="str"/>
      <x:c r="L119" s="32" t="str"/>
      <x:c r="M119" s="32" t="str"/>
      <x:c r="N119" s="32" t="str">
        <x:v>Grok 4 Heavy</x:v>
      </x:c>
      <x:c r="O119" s="32" t="str">
        <x:v>grok-4-heavy</x:v>
      </x:c>
      <x:c r="P119" s="44" t="str"/>
      <x:c r="Q119" s="44" t="str"/>
      <x:c r="R119" s="44" t="str"/>
    </x:row>
    <x:row r="120">
      <x:c r="A120" s="32" t="str">
        <x:v>GLM-4.5</x:v>
      </x:c>
      <x:c r="B120" s="32" t="str">
        <x:v>glm-4.5</x:v>
      </x:c>
      <x:c r="C120" s="32" t="str"/>
      <x:c r="D120" s="32" t="str">
        <x:v>Z.ai (Zhipu AI),Tsinghua University</x:v>
      </x:c>
      <x:c r="E120" s="32" t="str">
        <x:v>China</x:v>
      </x:c>
      <x:c r="F120" s="34" t="n">
        <x:v>45872</x:v>
      </x:c>
      <x:c r="G120" s="32" t="str">
        <x:v>Open weights (unrestricted)</x:v>
      </x:c>
      <x:c r="H120" s="34" t="n">
        <x:v>45874</x:v>
      </x:c>
      <x:c r="I120" s="52" t="n">
        <x:v>4.42e+24</x:v>
      </x:c>
      <x:c r="J120" s="32" t="str">
        <x:v>Confident</x:v>
      </x:c>
      <x:c r="K120" s="32" t="str">
        <x:v>Zhipu AI &amp; Tsinghua University’s large open source model.</x:v>
      </x:c>
      <x:c r="L120" s="32" t="str"/>
      <x:c r="M120" s="32" t="str"/>
      <x:c r="N120" s="32" t="str">
        <x:v>GLM-4.5</x:v>
      </x:c>
      <x:c r="O120" s="32" t="str">
        <x:v>glm-4-5</x:v>
      </x:c>
      <x:c r="P120" s="44" t="str"/>
      <x:c r="Q120" s="44" t="str"/>
      <x:c r="R120" s="44" t="str"/>
    </x:row>
    <x:row r="121">
      <x:c r="A121" s="32" t="str">
        <x:v>GPT-5 nano</x:v>
      </x:c>
      <x:c r="B121" s="32" t="str">
        <x:v>gpt-5-nano-2025-08-07_medium</x:v>
      </x:c>
      <x:c r="C121" s="32" t="str">
        <x:v>GPT-5 nano (medium)</x:v>
      </x:c>
      <x:c r="D121" s="32" t="str">
        <x:v>OpenAI</x:v>
      </x:c>
      <x:c r="E121" s="32" t="str">
        <x:v>United States of America</x:v>
      </x:c>
      <x:c r="F121" s="34" t="n">
        <x:v>45876</x:v>
      </x:c>
      <x:c r="G121" s="32" t="str">
        <x:v>API access</x:v>
      </x:c>
      <x:c r="H121" s="34" t="n">
        <x:v>45876</x:v>
      </x:c>
      <x:c r="I121" s="52" t="str"/>
      <x:c r="J121" s="32" t="str">
        <x:v>Unknown</x:v>
      </x:c>
      <x:c r="K121" s="32" t="str">
        <x:v>The smallest version of OpenAI's latest flagship frontier model, benchmarked using medium reasoning effort.</x:v>
      </x:c>
      <x:c r="L121" s="32" t="str">
        <x:v>GPT-5 nano (medium)</x:v>
      </x:c>
      <x:c r="M121" s="32" t="str"/>
      <x:c r="N121" s="32" t="str">
        <x:v>GPT-5 nano</x:v>
      </x:c>
      <x:c r="O121" s="32" t="str">
        <x:v>gpt-5-nano</x:v>
      </x:c>
      <x:c r="P121" s="44" t="n">
        <x:v>140.85</x:v>
      </x:c>
      <x:c r="Q121" s="44" t="n">
        <x:v>136.43</x:v>
      </x:c>
      <x:c r="R121" s="44" t="n">
        <x:v>142.54</x:v>
      </x:c>
    </x:row>
    <x:row r="122">
      <x:c r="A122" s="32" t="str">
        <x:v>Claude Opus 4</x:v>
      </x:c>
      <x:c r="B122" s="32" t="str">
        <x:v>claude-opus-4-20250514_27K</x:v>
      </x:c>
      <x:c r="C122" s="32" t="str">
        <x:v>Claude Opus 4</x:v>
      </x:c>
      <x:c r="D122" s="32" t="str">
        <x:v>Anthropic</x:v>
      </x:c>
      <x:c r="E122" s="32" t="str">
        <x:v>United States of America</x:v>
      </x:c>
      <x:c r="F122" s="34" t="n">
        <x:v>45799</x:v>
      </x:c>
      <x:c r="G122" s="32" t="str">
        <x:v>API access</x:v>
      </x:c>
      <x:c r="H122" s="34" t="n">
        <x:v>45799</x:v>
      </x:c>
      <x:c r="I122" s="52" t="str"/>
      <x:c r="J122" s="32" t="str">
        <x:v>Unknown</x:v>
      </x:c>
      <x:c r="K122" s="32" t="str">
        <x:v>Anthropic's largest model in the Claude 4 series (superseded by Claude Opus 4.1), benchmarked with up to 27,000 reasoning tokens.</x:v>
      </x:c>
      <x:c r="L122" s="32" t="str">
        <x:v>Claude Opus 4 (27k thinking)</x:v>
      </x:c>
      <x:c r="M122" s="32" t="str"/>
      <x:c r="N122" s="32" t="str">
        <x:v>Claude Opus 4</x:v>
      </x:c>
      <x:c r="O122" s="32" t="str">
        <x:v>claude-opus-4</x:v>
      </x:c>
      <x:c r="P122" s="44" t="n">
        <x:v>142.89</x:v>
      </x:c>
      <x:c r="Q122" s="44" t="n">
        <x:v>140.36</x:v>
      </x:c>
      <x:c r="R122" s="44" t="n">
        <x:v>144.3</x:v>
      </x:c>
    </x:row>
    <x:row r="123">
      <x:c r="A123" s="32" t="str">
        <x:v>Claude Opus 4.1</x:v>
      </x:c>
      <x:c r="B123" s="32" t="str">
        <x:v>claude-opus-4-1-20250805_16K</x:v>
      </x:c>
      <x:c r="C123" s="32" t="str"/>
      <x:c r="D123" s="32" t="str">
        <x:v>Anthropic</x:v>
      </x:c>
      <x:c r="E123" s="32" t="str">
        <x:v>United States of America</x:v>
      </x:c>
      <x:c r="F123" s="34" t="n">
        <x:v>45874</x:v>
      </x:c>
      <x:c r="G123" s="32" t="str">
        <x:v>API access</x:v>
      </x:c>
      <x:c r="H123" s="34" t="n">
        <x:v>45874</x:v>
      </x:c>
      <x:c r="I123" s="52" t="str"/>
      <x:c r="J123" s="32" t="str">
        <x:v>Unknown</x:v>
      </x:c>
      <x:c r="K123" s="32" t="str">
        <x:v>Anthropic’s largest flagship model, benchmarked with up to 16,000 reasoning tokens.</x:v>
      </x:c>
      <x:c r="L123" s="32" t="str">
        <x:v>Claude Opus 4.1 (16k thinking)</x:v>
      </x:c>
      <x:c r="M123" s="32" t="str"/>
      <x:c r="N123" s="32" t="str">
        <x:v>Claude Opus 4.1</x:v>
      </x:c>
      <x:c r="O123" s="32" t="str">
        <x:v>claude-opus-4-1</x:v>
      </x:c>
      <x:c r="P123" s="44" t="n">
        <x:v>144.21</x:v>
      </x:c>
      <x:c r="Q123" s="44" t="n">
        <x:v>141.74</x:v>
      </x:c>
      <x:c r="R123" s="44" t="n">
        <x:v>146.36</x:v>
      </x:c>
    </x:row>
    <x:row r="124">
      <x:c r="A124" s="32" t="str">
        <x:v>GPT-4o mini</x:v>
      </x:c>
      <x:c r="B124" s="32" t="str">
        <x:v>gpt-4o-mini-2024-07-18</x:v>
      </x:c>
      <x:c r="C124" s="32" t="str"/>
      <x:c r="D124" s="32" t="str">
        <x:v>OpenAI</x:v>
      </x:c>
      <x:c r="E124" s="32" t="str">
        <x:v>United States of America</x:v>
      </x:c>
      <x:c r="F124" s="34" t="n">
        <x:v>45491</x:v>
      </x:c>
      <x:c r="G124" s="32" t="str">
        <x:v>API access</x:v>
      </x:c>
      <x:c r="H124" s="34" t="n">
        <x:v>45491</x:v>
      </x:c>
      <x:c r="I124" s="52" t="str"/>
      <x:c r="J124" s="32" t="str">
        <x:v>Speculative</x:v>
      </x:c>
      <x:c r="K124" s="32" t="str">
        <x:v>A smaller version of OpenAI's GPT-4o.</x:v>
      </x:c>
      <x:c r="L124" s="32" t="str"/>
      <x:c r="M124" s="32" t="str"/>
      <x:c r="N124" s="32" t="str">
        <x:v>GPT-4o mini</x:v>
      </x:c>
      <x:c r="O124" s="32" t="str">
        <x:v>gpt-4o-mini</x:v>
      </x:c>
      <x:c r="P124" s="44" t="n">
        <x:v>126.94</x:v>
      </x:c>
      <x:c r="Q124" s="44" t="n">
        <x:v>120.2</x:v>
      </x:c>
      <x:c r="R124" s="44" t="n">
        <x:v>129.11</x:v>
      </x:c>
    </x:row>
    <x:row r="125">
      <x:c r="A125" s="32" t="str">
        <x:v>Claude Sonnet 4</x:v>
      </x:c>
      <x:c r="B125" s="32" t="str">
        <x:v>claude-sonnet-4-20250514</x:v>
      </x:c>
      <x:c r="C125" s="32" t="str"/>
      <x:c r="D125" s="32" t="str">
        <x:v>Anthropic</x:v>
      </x:c>
      <x:c r="E125" s="32" t="str">
        <x:v>United States of America</x:v>
      </x:c>
      <x:c r="F125" s="34" t="n">
        <x:v>45799</x:v>
      </x:c>
      <x:c r="G125" s="32" t="str">
        <x:v>API access</x:v>
      </x:c>
      <x:c r="H125" s="34" t="n">
        <x:v>45799</x:v>
      </x:c>
      <x:c r="I125" s="52" t="str"/>
      <x:c r="J125" s="32" t="str">
        <x:v>Unknown</x:v>
      </x:c>
      <x:c r="K125" s="32" t="str">
        <x:v>Anthropic's mid-sized version of Claude 4 series of reasoning models.</x:v>
      </x:c>
      <x:c r="L125" s="32" t="str">
        <x:v>Claude Sonnet 4</x:v>
      </x:c>
      <x:c r="M125" s="32" t="str"/>
      <x:c r="N125" s="32" t="str">
        <x:v>Claude Sonnet 4</x:v>
      </x:c>
      <x:c r="O125" s="32" t="str">
        <x:v>claude-sonnet-4</x:v>
      </x:c>
      <x:c r="P125" s="44" t="n">
        <x:v>142.15</x:v>
      </x:c>
      <x:c r="Q125" s="44" t="n">
        <x:v>139.04</x:v>
      </x:c>
      <x:c r="R125" s="44" t="n">
        <x:v>143.61</x:v>
      </x:c>
    </x:row>
    <x:row r="126">
      <x:c r="A126" s="32" t="str">
        <x:v>Gemini 2.5 Pro (Jun 2025)</x:v>
      </x:c>
      <x:c r="B126" s="32" t="str">
        <x:v>gemini-2.5-pro-preview-06-05</x:v>
      </x:c>
      <x:c r="C126" s="32" t="str">
        <x:v>Gemini 2.5 Pro Preview (Jun 2025)</x:v>
      </x:c>
      <x:c r="D126" s="32" t="str">
        <x:v>Google DeepMind</x:v>
      </x:c>
      <x:c r="E126" s="32" t="str">
        <x:v>United States of America</x:v>
      </x:c>
      <x:c r="F126" s="34" t="n">
        <x:v>45813</x:v>
      </x:c>
      <x:c r="G126" s="32" t="str">
        <x:v>API access</x:v>
      </x:c>
      <x:c r="H126" s="34" t="n">
        <x:v>45813</x:v>
      </x:c>
      <x:c r="I126" s="52" t="str"/>
      <x:c r="J126" s="32" t="str">
        <x:v>Unknown</x:v>
      </x:c>
      <x:c r="K126" s="32" t="str">
        <x:v>A June 2025 preview version of Gemini 2.5 Pro, Google DeepMind's flagship frontier model.</x:v>
      </x:c>
      <x:c r="L126" s="32" t="str">
        <x:v>Gemini 2.5 Pro Preview (Jun 2025)</x:v>
      </x:c>
      <x:c r="M126" s="32" t="str">
        <x:v>Gemini 2.5 Pro (Jun 2025)</x:v>
      </x:c>
      <x:c r="N126" s="32" t="str">
        <x:v>Gemini 2.5 Pro (Jun 2025)</x:v>
      </x:c>
      <x:c r="O126" s="32" t="str">
        <x:v>gemini-2-5-pro-jun-2025</x:v>
      </x:c>
      <x:c r="P126" s="44" t="n">
        <x:v>146.08</x:v>
      </x:c>
      <x:c r="Q126" s="44" t="n">
        <x:v>144.33</x:v>
      </x:c>
      <x:c r="R126" s="44" t="n">
        <x:v>147.72</x:v>
      </x:c>
    </x:row>
    <x:row r="127">
      <x:c r="A127" s="32" t="str">
        <x:v>Claude 3.5 Sonnet (October 2024)</x:v>
      </x:c>
      <x:c r="B127" s="32" t="str">
        <x:v>claude-3-5-sonnet-20241022</x:v>
      </x:c>
      <x:c r="C127" s="32" t="str">
        <x:v>Claude 3.5 Sonnet (Oct 2024)</x:v>
      </x:c>
      <x:c r="D127" s="32" t="str">
        <x:v>Anthropic</x:v>
      </x:c>
      <x:c r="E127" s="32" t="str">
        <x:v>United States of America</x:v>
      </x:c>
      <x:c r="F127" s="34" t="n">
        <x:v>45587</x:v>
      </x:c>
      <x:c r="G127" s="32" t="str">
        <x:v>API access</x:v>
      </x:c>
      <x:c r="H127" s="34" t="n">
        <x:v>45587</x:v>
      </x:c>
      <x:c r="I127" s="52" t="str"/>
      <x:c r="J127" s="32" t="str">
        <x:v>Unverified</x:v>
      </x:c>
      <x:c r="K127" s="32" t="str">
        <x:v>An updated version of the top model in the Claude 3.5 series, a previous flagship model series from Anthropic.</x:v>
      </x:c>
      <x:c r="L127" s="32" t="str">
        <x:v>Claude 3.5 Sonnet (Oct 2024)</x:v>
      </x:c>
      <x:c r="M127" s="32" t="str"/>
      <x:c r="N127" s="32" t="str">
        <x:v>Claude 3.5 Sonnet (October 2024)</x:v>
      </x:c>
      <x:c r="O127" s="32" t="str">
        <x:v>claude-3-5-sonnet-october-2024</x:v>
      </x:c>
      <x:c r="P127" s="44" t="n">
        <x:v>134.28</x:v>
      </x:c>
      <x:c r="Q127" s="44" t="n">
        <x:v>129.48</x:v>
      </x:c>
      <x:c r="R127" s="44" t="n">
        <x:v>138.92</x:v>
      </x:c>
    </x:row>
    <x:row r="128">
      <x:c r="A128" s="32" t="str">
        <x:v>Claude 3.5 Sonnet</x:v>
      </x:c>
      <x:c r="B128" s="32" t="str">
        <x:v>claude-3-5-sonnet-20240620</x:v>
      </x:c>
      <x:c r="C128" s="32" t="str">
        <x:v>Claude 3.5 Sonnet (Jun 2024)</x:v>
      </x:c>
      <x:c r="D128" s="32" t="str">
        <x:v>Anthropic</x:v>
      </x:c>
      <x:c r="E128" s="32" t="str">
        <x:v>United States of America</x:v>
      </x:c>
      <x:c r="F128" s="34" t="n">
        <x:v>45463</x:v>
      </x:c>
      <x:c r="G128" s="32" t="str">
        <x:v>API access</x:v>
      </x:c>
      <x:c r="H128" s="34" t="n">
        <x:v>45463</x:v>
      </x:c>
      <x:c r="I128" s="52" t="n">
        <x:v>2.700000000000001e+25</x:v>
      </x:c>
      <x:c r="J128" s="32" t="str">
        <x:v>Speculative</x:v>
      </x:c>
      <x:c r="K128" s="32" t="str">
        <x:v>The first version of the top model in the Claude 3.5 series, a previous flagship model series from Anthropic.</x:v>
      </x:c>
      <x:c r="L128" s="32" t="str">
        <x:v>Claude 3.5 Sonnet (Jun 2024)</x:v>
      </x:c>
      <x:c r="M128" s="32" t="str"/>
      <x:c r="N128" s="32" t="str">
        <x:v>Claude 3.5 Sonnet</x:v>
      </x:c>
      <x:c r="O128" s="32" t="str">
        <x:v>claude-3-5-sonnet</x:v>
      </x:c>
      <x:c r="P128" s="44" t="n">
        <x:v>130</x:v>
      </x:c>
      <x:c r="Q128" s="44" t="str"/>
      <x:c r="R128" s="44" t="str"/>
    </x:row>
    <x:row r="129">
      <x:c r="A129" s="32" t="str">
        <x:v>Claude Sonnet 4</x:v>
      </x:c>
      <x:c r="B129" s="32" t="str">
        <x:v>claude-sonnet-4-20250514_59K</x:v>
      </x:c>
      <x:c r="C129" s="32" t="str"/>
      <x:c r="D129" s="32" t="str">
        <x:v>Anthropic</x:v>
      </x:c>
      <x:c r="E129" s="32" t="str">
        <x:v>United States of America</x:v>
      </x:c>
      <x:c r="F129" s="34" t="n">
        <x:v>45799</x:v>
      </x:c>
      <x:c r="G129" s="32" t="str">
        <x:v>API access</x:v>
      </x:c>
      <x:c r="H129" s="34" t="n">
        <x:v>45799</x:v>
      </x:c>
      <x:c r="I129" s="52" t="str"/>
      <x:c r="J129" s="32" t="str">
        <x:v>Unknown</x:v>
      </x:c>
      <x:c r="K129" s="32" t="str">
        <x:v>Anthropic's mid-sized model in the Claude 4 series, benchmarked with up to 59,000 reasoning tokens.</x:v>
      </x:c>
      <x:c r="L129" s="32" t="str">
        <x:v>Claude Sonnet 4 (59k thinking)</x:v>
      </x:c>
      <x:c r="M129" s="32" t="str"/>
      <x:c r="N129" s="32" t="str">
        <x:v>Claude Sonnet 4</x:v>
      </x:c>
      <x:c r="O129" s="32" t="str">
        <x:v>claude-sonnet-4</x:v>
      </x:c>
      <x:c r="P129" s="44" t="n">
        <x:v>142.15</x:v>
      </x:c>
      <x:c r="Q129" s="44" t="n">
        <x:v>139.04</x:v>
      </x:c>
      <x:c r="R129" s="44" t="n">
        <x:v>143.61</x:v>
      </x:c>
    </x:row>
    <x:row r="130">
      <x:c r="A130" s="32" t="str">
        <x:v>Claude 3.7 Sonnet</x:v>
      </x:c>
      <x:c r="B130" s="32" t="str">
        <x:v>claude-3-7-sonnet-20250219_64K</x:v>
      </x:c>
      <x:c r="C130" s="32" t="str">
        <x:v>Claude 3.7 Sonnet (64k thinking)</x:v>
      </x:c>
      <x:c r="D130" s="32" t="str">
        <x:v>Anthropic</x:v>
      </x:c>
      <x:c r="E130" s="32" t="str">
        <x:v>United States of America</x:v>
      </x:c>
      <x:c r="F130" s="34" t="n">
        <x:v>45712</x:v>
      </x:c>
      <x:c r="G130" s="32" t="str">
        <x:v>API access</x:v>
      </x:c>
      <x:c r="H130" s="34" t="n">
        <x:v>45712</x:v>
      </x:c>
      <x:c r="I130" s="52" t="n">
        <x:v>3.3499999999999998e+25</x:v>
      </x:c>
      <x:c r="J130" s="32" t="str">
        <x:v>Likely</x:v>
      </x:c>
      <x:c r="K130" s="32" t="str">
        <x:v>A previous flagship reasoning model from Anthropic, benchmarked with up to 64,000 reasoning tokens allowed.</x:v>
      </x:c>
      <x:c r="L130" s="32" t="str">
        <x:v>Claude 3.7 Sonnet (64k thinking)</x:v>
      </x:c>
      <x:c r="M130" s="32" t="str"/>
      <x:c r="N130" s="32" t="str">
        <x:v>Claude 3.7 Sonnet</x:v>
      </x:c>
      <x:c r="O130" s="32" t="str">
        <x:v>claude-3-7-sonnet</x:v>
      </x:c>
      <x:c r="P130" s="44" t="n">
        <x:v>141.7</x:v>
      </x:c>
      <x:c r="Q130" s="44" t="n">
        <x:v>139.28</x:v>
      </x:c>
      <x:c r="R130" s="44" t="n">
        <x:v>143.27</x:v>
      </x:c>
    </x:row>
    <x:row r="131">
      <x:c r="A131" s="32" t="str">
        <x:v>Grok 3</x:v>
      </x:c>
      <x:c r="B131" s="32" t="str">
        <x:v>grok-3-beta</x:v>
      </x:c>
      <x:c r="C131" s="32" t="str"/>
      <x:c r="D131" s="32" t="str">
        <x:v>xAI</x:v>
      </x:c>
      <x:c r="E131" s="32" t="str">
        <x:v>United States of America</x:v>
      </x:c>
      <x:c r="F131" s="34" t="n">
        <x:v>45756</x:v>
      </x:c>
      <x:c r="G131" s="32" t="str">
        <x:v>API access</x:v>
      </x:c>
      <x:c r="H131" s="34" t="n">
        <x:v>45705</x:v>
      </x:c>
      <x:c r="I131" s="52" t="n">
        <x:v>3.5000000000000006e+26</x:v>
      </x:c>
      <x:c r="J131" s="32" t="str">
        <x:v>Likely</x:v>
      </x:c>
      <x:c r="K131" s="32" t="str">
        <x:v>A beta release of XAI's third generation Grok model.</x:v>
      </x:c>
      <x:c r="L131" s="32" t="str">
        <x:v>Grok 3 (beta)</x:v>
      </x:c>
      <x:c r="M131" s="32" t="str"/>
      <x:c r="N131" s="32" t="str">
        <x:v>Grok 3</x:v>
      </x:c>
      <x:c r="O131" s="32" t="str">
        <x:v>grok-3</x:v>
      </x:c>
      <x:c r="P131" s="44" t="n">
        <x:v>139.02</x:v>
      </x:c>
      <x:c r="Q131" s="44" t="n">
        <x:v>136.17</x:v>
      </x:c>
      <x:c r="R131" s="44" t="n">
        <x:v>140.24</x:v>
      </x:c>
    </x:row>
    <x:row r="132">
      <x:c r="A132" s="32" t="str">
        <x:v>Magistral Small 1.1</x:v>
      </x:c>
      <x:c r="B132" s="32" t="str">
        <x:v>magistral-small-2506</x:v>
      </x:c>
      <x:c r="C132" s="32" t="str"/>
      <x:c r="D132" s="32" t="str">
        <x:v>Mistral AI</x:v>
      </x:c>
      <x:c r="E132" s="32" t="str">
        <x:v>France</x:v>
      </x:c>
      <x:c r="F132" s="34" t="n">
        <x:v>45818</x:v>
      </x:c>
      <x:c r="G132" s="32" t="str">
        <x:v>Open weights (unrestricted)</x:v>
      </x:c>
      <x:c r="H132" s="34" t="n">
        <x:v>45818</x:v>
      </x:c>
      <x:c r="I132" s="52" t="str"/>
      <x:c r="J132" s="32" t="str">
        <x:v>Confident</x:v>
      </x:c>
      <x:c r="K132" s="32" t="str"/>
      <x:c r="L132" s="32" t="str"/>
      <x:c r="M132" s="32" t="str"/>
      <x:c r="N132" s="32" t="str">
        <x:v>Magistral Small 1.1</x:v>
      </x:c>
      <x:c r="O132" s="32" t="str">
        <x:v>magistral-small-1-1</x:v>
      </x:c>
      <x:c r="P132" s="44" t="n">
        <x:v>133.07</x:v>
      </x:c>
      <x:c r="Q132" s="44" t="n">
        <x:v>127.02</x:v>
      </x:c>
      <x:c r="R132" s="44" t="n">
        <x:v>135.4</x:v>
      </x:c>
    </x:row>
    <x:row r="133">
      <x:c r="A133" s="32" t="str">
        <x:v>Qwen3-235B-A22B</x:v>
      </x:c>
      <x:c r="B133" s="32" t="str">
        <x:v>qwen3-235b-a22b</x:v>
      </x:c>
      <x:c r="C133" s="32" t="str"/>
      <x:c r="D133" s="32" t="str">
        <x:v>Alibaba</x:v>
      </x:c>
      <x:c r="E133" s="32" t="str">
        <x:v>China</x:v>
      </x:c>
      <x:c r="F133" s="34" t="n">
        <x:v>45776</x:v>
      </x:c>
      <x:c r="G133" s="32" t="str">
        <x:v>Open weights (unrestricted)</x:v>
      </x:c>
      <x:c r="H133" s="34" t="n">
        <x:v>45776</x:v>
      </x:c>
      <x:c r="I133" s="52" t="n">
        <x:v>4.752e+24</x:v>
      </x:c>
      <x:c r="J133" s="32" t="str">
        <x:v>Likely</x:v>
      </x:c>
      <x:c r="K133" s="32" t="str"/>
      <x:c r="L133" s="32" t="str">
        <x:v>Qwen3 (Apr 2025)</x:v>
      </x:c>
      <x:c r="M133" s="32" t="str"/>
      <x:c r="N133" s="32" t="str">
        <x:v>Qwen3-235B-A22B</x:v>
      </x:c>
      <x:c r="O133" s="32" t="str">
        <x:v>qwen3-235b-a22b</x:v>
      </x:c>
      <x:c r="P133" s="44" t="n">
        <x:v>139.58</x:v>
      </x:c>
      <x:c r="Q133" s="44" t="n">
        <x:v>134.79</x:v>
      </x:c>
      <x:c r="R133" s="44" t="n">
        <x:v>141.08</x:v>
      </x:c>
    </x:row>
    <x:row r="134">
      <x:c r="A134" s="32" t="str">
        <x:v>Gemini 2.5 Pro (May 2025)</x:v>
      </x:c>
      <x:c r="B134" s="32" t="str">
        <x:v>gemini-2.5-pro-preview-05-06</x:v>
      </x:c>
      <x:c r="C134" s="32" t="str">
        <x:v>Gemini 2.5 Pro Preview (Jun 2025)</x:v>
      </x:c>
      <x:c r="D134" s="32" t="str">
        <x:v>Google DeepMind</x:v>
      </x:c>
      <x:c r="E134" s="32" t="str">
        <x:v>United States of America</x:v>
      </x:c>
      <x:c r="F134" s="34" t="n">
        <x:v>45783</x:v>
      </x:c>
      <x:c r="G134" s="32" t="str">
        <x:v>API access</x:v>
      </x:c>
      <x:c r="H134" s="34" t="n">
        <x:v>45783</x:v>
      </x:c>
      <x:c r="I134" s="52" t="str"/>
      <x:c r="J134" s="32" t="str">
        <x:v>Unknown</x:v>
      </x:c>
      <x:c r="K134" s="32" t="str">
        <x:v>A May 2025 preview version of Gemini 2.5 Pro, a flagship reasoning model from Google DeepMind.</x:v>
      </x:c>
      <x:c r="L134" s="32" t="str">
        <x:v>Gemini 2.5 Pro Preview (Jun 2025)</x:v>
      </x:c>
      <x:c r="M134" s="32" t="str">
        <x:v>Gemini 2.5 Pro (May 2025)</x:v>
      </x:c>
      <x:c r="N134" s="32" t="str">
        <x:v>Gemini 2.5 Pro (May 2025)</x:v>
      </x:c>
      <x:c r="O134" s="32" t="str">
        <x:v>gemini-2-5-pro-may-2025</x:v>
      </x:c>
      <x:c r="P134" s="44" t="n">
        <x:v>142.83</x:v>
      </x:c>
      <x:c r="Q134" s="44" t="n">
        <x:v>139.38</x:v>
      </x:c>
      <x:c r="R134" s="44" t="n">
        <x:v>145.35</x:v>
      </x:c>
    </x:row>
    <x:row r="135">
      <x:c r="A135" s="32" t="str">
        <x:v>DeepSeek-R1</x:v>
      </x:c>
      <x:c r="B135" s="32" t="str">
        <x:v>DeepSeek-R1</x:v>
      </x:c>
      <x:c r="C135" s="32" t="str"/>
      <x:c r="D135" s="32" t="str">
        <x:v>DeepSeek</x:v>
      </x:c>
      <x:c r="E135" s="32" t="str">
        <x:v>China</x:v>
      </x:c>
      <x:c r="F135" s="34" t="n">
        <x:v>45677</x:v>
      </x:c>
      <x:c r="G135" s="32" t="str">
        <x:v>Open weights (unrestricted)</x:v>
      </x:c>
      <x:c r="H135" s="34" t="n">
        <x:v>45677</x:v>
      </x:c>
      <x:c r="I135" s="52" t="n">
        <x:v>3.4999999999999997e+24</x:v>
      </x:c>
      <x:c r="J135" s="32" t="str">
        <x:v>Confident</x:v>
      </x:c>
      <x:c r="K135" s="32" t="str"/>
      <x:c r="L135" s="32" t="str">
        <x:v>DeepSeek-R1</x:v>
      </x:c>
      <x:c r="M135" s="32" t="str"/>
      <x:c r="N135" s="32" t="str">
        <x:v>DeepSeek-R1</x:v>
      </x:c>
      <x:c r="O135" s="32" t="str">
        <x:v>deepseek-r1</x:v>
      </x:c>
      <x:c r="P135" s="44" t="n">
        <x:v>139.67</x:v>
      </x:c>
      <x:c r="Q135" s="44" t="n">
        <x:v>136.9</x:v>
      </x:c>
      <x:c r="R135" s="44" t="n">
        <x:v>140.9</x:v>
      </x:c>
    </x:row>
    <x:row r="136">
      <x:c r="A136" s="32" t="str">
        <x:v>Claude Sonnet 4</x:v>
      </x:c>
      <x:c r="B136" s="32" t="str">
        <x:v>claude-sonnet-4-20250514_32K</x:v>
      </x:c>
      <x:c r="C136" s="32" t="str"/>
      <x:c r="D136" s="32" t="str">
        <x:v>Anthropic</x:v>
      </x:c>
      <x:c r="E136" s="32" t="str">
        <x:v>United States of America</x:v>
      </x:c>
      <x:c r="F136" s="34" t="n">
        <x:v>45799</x:v>
      </x:c>
      <x:c r="G136" s="32" t="str">
        <x:v>API access</x:v>
      </x:c>
      <x:c r="H136" s="34" t="n">
        <x:v>45799</x:v>
      </x:c>
      <x:c r="I136" s="52" t="str"/>
      <x:c r="J136" s="32" t="str">
        <x:v>Unknown</x:v>
      </x:c>
      <x:c r="K136" s="32" t="str">
        <x:v>Anthropic's mid-sized model in the Claude 4 series, benchmarked with up to 32,000 reasoning tokens.</x:v>
      </x:c>
      <x:c r="L136" s="32" t="str">
        <x:v>Claude Sonnet 4 (32k thinking)</x:v>
      </x:c>
      <x:c r="M136" s="32" t="str"/>
      <x:c r="N136" s="32" t="str">
        <x:v>Claude Sonnet 4</x:v>
      </x:c>
      <x:c r="O136" s="32" t="str">
        <x:v>claude-sonnet-4</x:v>
      </x:c>
      <x:c r="P136" s="44" t="n">
        <x:v>142.15</x:v>
      </x:c>
      <x:c r="Q136" s="44" t="n">
        <x:v>139.04</x:v>
      </x:c>
      <x:c r="R136" s="44" t="n">
        <x:v>143.61</x:v>
      </x:c>
    </x:row>
    <x:row r="137">
      <x:c r="A137" s="32" t="str">
        <x:v>Claude Opus 4</x:v>
      </x:c>
      <x:c r="B137" s="32" t="str">
        <x:v>claude-opus-4-20250514_16K</x:v>
      </x:c>
      <x:c r="C137" s="32" t="str">
        <x:v>Claude Opus 4</x:v>
      </x:c>
      <x:c r="D137" s="32" t="str">
        <x:v>Anthropic</x:v>
      </x:c>
      <x:c r="E137" s="32" t="str">
        <x:v>United States of America</x:v>
      </x:c>
      <x:c r="F137" s="34" t="n">
        <x:v>45799</x:v>
      </x:c>
      <x:c r="G137" s="32" t="str">
        <x:v>API access</x:v>
      </x:c>
      <x:c r="H137" s="34" t="n">
        <x:v>45799</x:v>
      </x:c>
      <x:c r="I137" s="52" t="str"/>
      <x:c r="J137" s="32" t="str">
        <x:v>Unknown</x:v>
      </x:c>
      <x:c r="K137" s="32" t="str">
        <x:v>Anthropic's largest model in the Claude 4 series (superseded by Claude Opus 4.1), benchmarked with up to 16,000 reasoning tokens.</x:v>
      </x:c>
      <x:c r="L137" s="32" t="str">
        <x:v>Claude Opus 4 (16k thinking)</x:v>
      </x:c>
      <x:c r="M137" s="32" t="str"/>
      <x:c r="N137" s="32" t="str">
        <x:v>Claude Opus 4</x:v>
      </x:c>
      <x:c r="O137" s="32" t="str">
        <x:v>claude-opus-4</x:v>
      </x:c>
      <x:c r="P137" s="44" t="n">
        <x:v>142.89</x:v>
      </x:c>
      <x:c r="Q137" s="44" t="n">
        <x:v>140.36</x:v>
      </x:c>
      <x:c r="R137" s="44" t="n">
        <x:v>144.3</x:v>
      </x:c>
    </x:row>
    <x:row r="138">
      <x:c r="A138" s="32" t="str">
        <x:v>Claude Sonnet 4</x:v>
      </x:c>
      <x:c r="B138" s="32" t="str">
        <x:v>claude-sonnet-4-20250514_16K</x:v>
      </x:c>
      <x:c r="C138" s="32" t="str"/>
      <x:c r="D138" s="32" t="str">
        <x:v>Anthropic</x:v>
      </x:c>
      <x:c r="E138" s="32" t="str">
        <x:v>United States of America</x:v>
      </x:c>
      <x:c r="F138" s="34" t="n">
        <x:v>45799</x:v>
      </x:c>
      <x:c r="G138" s="32" t="str">
        <x:v>API access</x:v>
      </x:c>
      <x:c r="H138" s="34" t="n">
        <x:v>45799</x:v>
      </x:c>
      <x:c r="I138" s="52" t="str"/>
      <x:c r="J138" s="32" t="str">
        <x:v>Unknown</x:v>
      </x:c>
      <x:c r="K138" s="32" t="str">
        <x:v>Anthropic's mid-sized model in the Claude 4 series, benchmarked with up to 16,000 reasoning tokens.</x:v>
      </x:c>
      <x:c r="L138" s="32" t="str">
        <x:v>Claude Sonnet 4 (16k thinking)</x:v>
      </x:c>
      <x:c r="M138" s="32" t="str"/>
      <x:c r="N138" s="32" t="str">
        <x:v>Claude Sonnet 4</x:v>
      </x:c>
      <x:c r="O138" s="32" t="str">
        <x:v>claude-sonnet-4</x:v>
      </x:c>
      <x:c r="P138" s="44" t="n">
        <x:v>142.15</x:v>
      </x:c>
      <x:c r="Q138" s="44" t="n">
        <x:v>139.04</x:v>
      </x:c>
      <x:c r="R138" s="44" t="n">
        <x:v>143.61</x:v>
      </x:c>
    </x:row>
    <x:row r="139">
      <x:c r="A139" s="32" t="str">
        <x:v>Gemini 2.5 Flash</x:v>
      </x:c>
      <x:c r="B139" s="32" t="str">
        <x:v>gemini-2.5-flash-preview-05-20</x:v>
      </x:c>
      <x:c r="C139" s="32" t="str"/>
      <x:c r="D139" s="32" t="str">
        <x:v>Google DeepMind</x:v>
      </x:c>
      <x:c r="E139" s="32" t="str">
        <x:v>United States of America</x:v>
      </x:c>
      <x:c r="F139" s="34" t="n">
        <x:v>45797</x:v>
      </x:c>
      <x:c r="G139" s="32" t="str">
        <x:v>API access</x:v>
      </x:c>
      <x:c r="H139" s="34" t="n">
        <x:v>45764</x:v>
      </x:c>
      <x:c r="I139" s="52" t="str"/>
      <x:c r="J139" s="32" t="str">
        <x:v>Unknown</x:v>
      </x:c>
      <x:c r="K139" s="32" t="str">
        <x:v>The May 2025 preview version of Gemini 2.5 Flash, a small reasoning model from Google DeepMind's Gemini 2.5 series.</x:v>
      </x:c>
      <x:c r="L139" s="32" t="str"/>
      <x:c r="M139" s="32" t="str">
        <x:v>Gemini 2.5 Flash (May 2025)</x:v>
      </x:c>
      <x:c r="N139" s="32" t="str">
        <x:v>Gemini 2.5 Flash (May 2025)</x:v>
      </x:c>
      <x:c r="O139" s="32" t="str">
        <x:v>gemini-2-5-flash-may-2025</x:v>
      </x:c>
      <x:c r="P139" s="44" t="n">
        <x:v>142.24</x:v>
      </x:c>
      <x:c r="Q139" s="44" t="n">
        <x:v>139.89</x:v>
      </x:c>
      <x:c r="R139" s="44" t="n">
        <x:v>143.54</x:v>
      </x:c>
    </x:row>
    <x:row r="140">
      <x:c r="A140" s="32" t="str">
        <x:v>Qwen Plus</x:v>
      </x:c>
      <x:c r="B140" s="32" t="str">
        <x:v>qwen-plus-2025-04-28</x:v>
      </x:c>
      <x:c r="C140" s="32" t="str"/>
      <x:c r="D140" s="32" t="str">
        <x:v>Alibaba</x:v>
      </x:c>
      <x:c r="E140" s="32" t="str">
        <x:v>China</x:v>
      </x:c>
      <x:c r="F140" s="34" t="n">
        <x:v>45775</x:v>
      </x:c>
      <x:c r="G140" s="32" t="str">
        <x:v>API access</x:v>
      </x:c>
      <x:c r="H140" s="34" t="n">
        <x:v>45328</x:v>
      </x:c>
      <x:c r="I140" s="52" t="str"/>
      <x:c r="J140" s="32" t="str">
        <x:v>Unknown</x:v>
      </x:c>
      <x:c r="K140" s="32" t="str"/>
      <x:c r="L140" s="32" t="str">
        <x:v>Qwen Plus (Apr 2025)</x:v>
      </x:c>
      <x:c r="M140" s="32" t="str">
        <x:v>Qwen Plus (Apr 2025)</x:v>
      </x:c>
      <x:c r="N140" s="32" t="str">
        <x:v>Qwen Plus (Apr 2025)</x:v>
      </x:c>
      <x:c r="O140" s="32" t="str">
        <x:v>qwen-plus-apr-2025</x:v>
      </x:c>
      <x:c r="P140" s="44" t="str"/>
      <x:c r="Q140" s="44" t="str"/>
      <x:c r="R140" s="44" t="str"/>
    </x:row>
    <x:row r="141">
      <x:c r="A141" s="32" t="str">
        <x:v>DeepSeek-V3 (Mar 2025)</x:v>
      </x:c>
      <x:c r="B141" s="32" t="str">
        <x:v>DeepSeek-V3-0324</x:v>
      </x:c>
      <x:c r="C141" s="32" t="str">
        <x:v>DeepSeek-V3 (Mar 2025)</x:v>
      </x:c>
      <x:c r="D141" s="32" t="str">
        <x:v>DeepSeek</x:v>
      </x:c>
      <x:c r="E141" s="32" t="str">
        <x:v>China</x:v>
      </x:c>
      <x:c r="F141" s="34" t="n">
        <x:v>45740</x:v>
      </x:c>
      <x:c r="G141" s="32" t="str">
        <x:v>Open weights (restricted use)</x:v>
      </x:c>
      <x:c r="H141" s="34" t="n">
        <x:v>45740</x:v>
      </x:c>
      <x:c r="I141" s="52" t="n">
        <x:v>3.3e+24</x:v>
      </x:c>
      <x:c r="J141" s="32" t="str">
        <x:v>Confident</x:v>
      </x:c>
      <x:c r="K141" s="32" t="str">
        <x:v>An updated version of the DeepSeek V3 model.</x:v>
      </x:c>
      <x:c r="L141" s="32" t="str">
        <x:v>DeepSeek-V3 (Mar 2025)</x:v>
      </x:c>
      <x:c r="M141" s="32" t="str"/>
      <x:c r="N141" s="32" t="str">
        <x:v>DeepSeek-V3 (Mar 2025)</x:v>
      </x:c>
      <x:c r="O141" s="32" t="str">
        <x:v>deepseek-v3-mar-2025</x:v>
      </x:c>
      <x:c r="P141" s="44" t="n">
        <x:v>137.04</x:v>
      </x:c>
      <x:c r="Q141" s="44" t="n">
        <x:v>133.64</x:v>
      </x:c>
      <x:c r="R141" s="44" t="n">
        <x:v>138.66</x:v>
      </x:c>
    </x:row>
    <x:row r="142">
      <x:c r="A142" s="32" t="str">
        <x:v>Gemini 2.5 Pro (Mar 2025)</x:v>
      </x:c>
      <x:c r="B142" s="32" t="str">
        <x:v>gemini-2.5-pro-preview-03-25</x:v>
      </x:c>
      <x:c r="C142" s="32" t="str">
        <x:v>Gemini 2.5 Pro Preview (Mar 2025)</x:v>
      </x:c>
      <x:c r="D142" s="32" t="str">
        <x:v>Google DeepMind</x:v>
      </x:c>
      <x:c r="E142" s="32" t="str">
        <x:v>United States of America</x:v>
      </x:c>
      <x:c r="F142" s="34" t="n">
        <x:v>45747</x:v>
      </x:c>
      <x:c r="G142" s="32" t="str">
        <x:v>API access</x:v>
      </x:c>
      <x:c r="H142" s="34" t="n">
        <x:v>45741</x:v>
      </x:c>
      <x:c r="I142" s="52" t="str"/>
      <x:c r="J142" s="32" t="str">
        <x:v>Unknown</x:v>
      </x:c>
      <x:c r="K142" s="32" t="str">
        <x:v>A March 2025 preview version of Gemini 2.5 Pro, Google DeepMind's flagship model.</x:v>
      </x:c>
      <x:c r="L142" s="32" t="str">
        <x:v>Gemini 2.5 Pro Preview (Mar 2025)</x:v>
      </x:c>
      <x:c r="M142" s="32" t="str">
        <x:v>Gemini 2.5 Pro (Mar 2025)</x:v>
      </x:c>
      <x:c r="N142" s="32" t="str">
        <x:v>Gemini 2.5 Pro (Mar 2025)</x:v>
      </x:c>
      <x:c r="O142" s="32" t="str">
        <x:v>gemini-2-5-pro-mar-2025</x:v>
      </x:c>
      <x:c r="P142" s="44" t="n">
        <x:v>144.84</x:v>
      </x:c>
      <x:c r="Q142" s="44" t="n">
        <x:v>142.71</x:v>
      </x:c>
      <x:c r="R142" s="44" t="n">
        <x:v>147.18</x:v>
      </x:c>
    </x:row>
    <x:row r="143">
      <x:c r="A143" s="32" t="str">
        <x:v>Mistral Medium 3</x:v>
      </x:c>
      <x:c r="B143" s="32" t="str">
        <x:v>mistral-medium-2505</x:v>
      </x:c>
      <x:c r="C143" s="32" t="str"/>
      <x:c r="D143" s="32" t="str">
        <x:v>Mistral AI</x:v>
      </x:c>
      <x:c r="E143" s="32" t="str">
        <x:v>France</x:v>
      </x:c>
      <x:c r="F143" s="34" t="n">
        <x:v>45784</x:v>
      </x:c>
      <x:c r="G143" s="32" t="str">
        <x:v>API access</x:v>
      </x:c>
      <x:c r="H143" s="34" t="n">
        <x:v>45784</x:v>
      </x:c>
      <x:c r="I143" s="52" t="str"/>
      <x:c r="J143" s="32" t="str">
        <x:v>Unknown</x:v>
      </x:c>
      <x:c r="K143" s="32" t="str">
        <x:v>A 2025 language model from Mistral.</x:v>
      </x:c>
      <x:c r="L143" s="32" t="str"/>
      <x:c r="M143" s="32" t="str"/>
      <x:c r="N143" s="32" t="str">
        <x:v>Mistral Medium 3</x:v>
      </x:c>
      <x:c r="O143" s="32" t="str">
        <x:v>mistral-medium-3</x:v>
      </x:c>
      <x:c r="P143" s="44" t="n">
        <x:v>135.28</x:v>
      </x:c>
      <x:c r="Q143" s="44" t="n">
        <x:v>131.52</x:v>
      </x:c>
      <x:c r="R143" s="44" t="n">
        <x:v>136.44</x:v>
      </x:c>
    </x:row>
    <x:row r="144">
      <x:c r="A144" s="32" t="str">
        <x:v>Gemini 2.5 Flash</x:v>
      </x:c>
      <x:c r="B144" s="32" t="str">
        <x:v>gemini-2.5-flash-preview-04-17</x:v>
      </x:c>
      <x:c r="C144" s="32" t="str">
        <x:v>Gemini 2.5 Flash Preview (Apr 2025)</x:v>
      </x:c>
      <x:c r="D144" s="32" t="str">
        <x:v>Google DeepMind</x:v>
      </x:c>
      <x:c r="E144" s="32" t="str">
        <x:v>United States of America</x:v>
      </x:c>
      <x:c r="F144" s="34" t="n">
        <x:v>45764</x:v>
      </x:c>
      <x:c r="G144" s="32" t="str">
        <x:v>API access</x:v>
      </x:c>
      <x:c r="H144" s="34" t="n">
        <x:v>45764</x:v>
      </x:c>
      <x:c r="I144" s="52" t="str"/>
      <x:c r="J144" s="32" t="str">
        <x:v>Unknown</x:v>
      </x:c>
      <x:c r="K144" s="32" t="str">
        <x:v>An April 2025 preview of Gemini 2.5 Flash, a small model in Google DeepMind's Gemini 2.5 series.</x:v>
      </x:c>
      <x:c r="L144" s="32" t="str"/>
      <x:c r="M144" s="32" t="str">
        <x:v>Gemini 2.5 Flash (Apr 2025)</x:v>
      </x:c>
      <x:c r="N144" s="32" t="str">
        <x:v>Gemini 2.5 Flash (Apr 2025)</x:v>
      </x:c>
      <x:c r="O144" s="32" t="str">
        <x:v>gemini-2-5-flash-apr-2025</x:v>
      </x:c>
      <x:c r="P144" s="44" t="n">
        <x:v>140.61</x:v>
      </x:c>
      <x:c r="Q144" s="44" t="n">
        <x:v>135.95</x:v>
      </x:c>
      <x:c r="R144" s="44" t="n">
        <x:v>142.64</x:v>
      </x:c>
    </x:row>
    <x:row r="145">
      <x:c r="A145" s="32" t="str">
        <x:v>GPT-4.1 nano</x:v>
      </x:c>
      <x:c r="B145" s="32" t="str">
        <x:v>gpt-4.1-nano-2025-04-14</x:v>
      </x:c>
      <x:c r="C145" s="32" t="str">
        <x:v>GPT-4.1 nano</x:v>
      </x:c>
      <x:c r="D145" s="32" t="str">
        <x:v>OpenAI</x:v>
      </x:c>
      <x:c r="E145" s="32" t="str">
        <x:v>United States of America</x:v>
      </x:c>
      <x:c r="F145" s="34" t="n">
        <x:v>45761</x:v>
      </x:c>
      <x:c r="G145" s="32" t="str">
        <x:v>API access</x:v>
      </x:c>
      <x:c r="H145" s="34" t="n">
        <x:v>45761</x:v>
      </x:c>
      <x:c r="I145" s="52" t="str"/>
      <x:c r="J145" s="32" t="str">
        <x:v>Unknown</x:v>
      </x:c>
      <x:c r="K145" s="32" t="str">
        <x:v>The smallest version of OpenAI's GPT-4.1.</x:v>
      </x:c>
      <x:c r="L145" s="32" t="str"/>
      <x:c r="M145" s="32" t="str"/>
      <x:c r="N145" s="32" t="str">
        <x:v>GPT-4.1 nano</x:v>
      </x:c>
      <x:c r="O145" s="32" t="str">
        <x:v>gpt-4-1-nano</x:v>
      </x:c>
      <x:c r="P145" s="44" t="n">
        <x:v>130.88</x:v>
      </x:c>
      <x:c r="Q145" s="44" t="n">
        <x:v>125.17</x:v>
      </x:c>
      <x:c r="R145" s="44" t="n">
        <x:v>133.34</x:v>
      </x:c>
    </x:row>
    <x:row r="146">
      <x:c r="A146" s="32" t="str">
        <x:v>GPT-4.1 mini</x:v>
      </x:c>
      <x:c r="B146" s="32" t="str">
        <x:v>gpt-4.1-mini-2025-04-14</x:v>
      </x:c>
      <x:c r="C146" s="32" t="str">
        <x:v>GPT-4.1 mini</x:v>
      </x:c>
      <x:c r="D146" s="32" t="str">
        <x:v>OpenAI</x:v>
      </x:c>
      <x:c r="E146" s="32" t="str">
        <x:v>United States of America</x:v>
      </x:c>
      <x:c r="F146" s="34" t="n">
        <x:v>45761</x:v>
      </x:c>
      <x:c r="G146" s="32" t="str">
        <x:v>API access</x:v>
      </x:c>
      <x:c r="H146" s="34" t="n">
        <x:v>45761</x:v>
      </x:c>
      <x:c r="I146" s="52" t="str"/>
      <x:c r="J146" s="32" t="str">
        <x:v>Unknown</x:v>
      </x:c>
      <x:c r="K146" s="32" t="str">
        <x:v>A smaller version of OpenAI's GPT-4.1.</x:v>
      </x:c>
      <x:c r="L146" s="32" t="str"/>
      <x:c r="M146" s="32" t="str"/>
      <x:c r="N146" s="32" t="str">
        <x:v>GPT-4.1 mini</x:v>
      </x:c>
      <x:c r="O146" s="32" t="str">
        <x:v>gpt-4-1-mini</x:v>
      </x:c>
      <x:c r="P146" s="44" t="n">
        <x:v>135.79</x:v>
      </x:c>
      <x:c r="Q146" s="44" t="n">
        <x:v>131.28</x:v>
      </x:c>
      <x:c r="R146" s="44" t="n">
        <x:v>137.58</x:v>
      </x:c>
    </x:row>
    <x:row r="147">
      <x:c r="A147" s="32" t="str">
        <x:v>QWQ-Plus</x:v>
      </x:c>
      <x:c r="B147" s="32" t="str">
        <x:v>qwq-plus</x:v>
      </x:c>
      <x:c r="C147" s="32" t="str"/>
      <x:c r="D147" s="32" t="str">
        <x:v>Alibaba</x:v>
      </x:c>
      <x:c r="E147" s="32" t="str">
        <x:v>China</x:v>
      </x:c>
      <x:c r="F147" s="34" t="n">
        <x:v>45755</x:v>
      </x:c>
      <x:c r="G147" s="32" t="str">
        <x:v>API access</x:v>
      </x:c>
      <x:c r="H147" s="34" t="n">
        <x:v>45755</x:v>
      </x:c>
      <x:c r="I147" s="52" t="str"/>
      <x:c r="J147" s="32" t="str">
        <x:v>Unknown</x:v>
      </x:c>
      <x:c r="K147" s="32" t="str"/>
      <x:c r="L147" s="32" t="str">
        <x:v>QwQ-Plus</x:v>
      </x:c>
      <x:c r="M147" s="32" t="str"/>
      <x:c r="N147" s="32" t="str">
        <x:v>QWQ-Plus</x:v>
      </x:c>
      <x:c r="O147" s="32" t="str">
        <x:v>qwq-plus</x:v>
      </x:c>
      <x:c r="P147" s="44" t="str"/>
      <x:c r="Q147" s="44" t="str"/>
      <x:c r="R147" s="44" t="str"/>
    </x:row>
    <x:row r="148">
      <x:c r="A148" s="32" t="str">
        <x:v>Grok-3 mini</x:v>
      </x:c>
      <x:c r="B148" s="32" t="str">
        <x:v>grok-3-mini-beta_low</x:v>
      </x:c>
      <x:c r="C148" s="32" t="str"/>
      <x:c r="D148" s="32" t="str">
        <x:v>xAI</x:v>
      </x:c>
      <x:c r="E148" s="32" t="str">
        <x:v>United States of America</x:v>
      </x:c>
      <x:c r="F148" s="34" t="n">
        <x:v>45756</x:v>
      </x:c>
      <x:c r="G148" s="32" t="str">
        <x:v>API access</x:v>
      </x:c>
      <x:c r="H148" s="34" t="n">
        <x:v>45707</x:v>
      </x:c>
      <x:c r="I148" s="52" t="str"/>
      <x:c r="J148" s="32" t="str">
        <x:v>Unknown</x:v>
      </x:c>
      <x:c r="K148" s="32" t="str">
        <x:v>A beta release of a smaller version of XAI's third generation Grok model, evaluated with low reasoning effort.</x:v>
      </x:c>
      <x:c r="L148" s="32" t="str"/>
      <x:c r="M148" s="32" t="str"/>
      <x:c r="N148" s="32" t="str">
        <x:v>Grok-3 mini</x:v>
      </x:c>
      <x:c r="O148" s="32" t="str">
        <x:v>grok-3-mini</x:v>
      </x:c>
      <x:c r="P148" s="44" t="n">
        <x:v>141.01</x:v>
      </x:c>
      <x:c r="Q148" s="44" t="n">
        <x:v>137.89</x:v>
      </x:c>
      <x:c r="R148" s="44" t="n">
        <x:v>142.63</x:v>
      </x:c>
    </x:row>
    <x:row r="149">
      <x:c r="A149" s="32" t="str">
        <x:v>Llama 4 Maverick</x:v>
      </x:c>
      <x:c r="B149" s="32" t="str">
        <x:v>Llama-4-Maverick-17B-128E-Instruct-FP8</x:v>
      </x:c>
      <x:c r="C149" s="32" t="str">
        <x:v>Llama 4 Maverick (FP8)</x:v>
      </x:c>
      <x:c r="D149" s="32" t="str">
        <x:v>Meta AI</x:v>
      </x:c>
      <x:c r="E149" s="32" t="str">
        <x:v>United States of America</x:v>
      </x:c>
      <x:c r="F149" s="34" t="n">
        <x:v>45752</x:v>
      </x:c>
      <x:c r="G149" s="32" t="str">
        <x:v>Open weights (restricted use)</x:v>
      </x:c>
      <x:c r="H149" s="34" t="n">
        <x:v>45752</x:v>
      </x:c>
      <x:c r="I149" s="52" t="n">
        <x:v>2.244000000001e+24</x:v>
      </x:c>
      <x:c r="J149" s="32" t="str">
        <x:v>Likely</x:v>
      </x:c>
      <x:c r="K149" s="32" t="str">
        <x:v>The 17 billion active (400 billion total)-parameter model in Meta's Llama 4 series, quantized to FP8.</x:v>
      </x:c>
      <x:c r="L149" s="32" t="str"/>
      <x:c r="M149" s="32" t="str"/>
      <x:c r="N149" s="32" t="str">
        <x:v>Llama 4 Maverick</x:v>
      </x:c>
      <x:c r="O149" s="32" t="str">
        <x:v>llama-4-maverick</x:v>
      </x:c>
      <x:c r="P149" s="44" t="n">
        <x:v>133.04</x:v>
      </x:c>
      <x:c r="Q149" s="44" t="n">
        <x:v>128.11</x:v>
      </x:c>
      <x:c r="R149" s="44" t="n">
        <x:v>135.12</x:v>
      </x:c>
    </x:row>
    <x:row r="150">
      <x:c r="A150" s="32" t="str">
        <x:v>Llama 4 Scout</x:v>
      </x:c>
      <x:c r="B150" s="32" t="str">
        <x:v>Llama-4-Scout-17B-16E-Instruct</x:v>
      </x:c>
      <x:c r="C150" s="32" t="str"/>
      <x:c r="D150" s="32" t="str">
        <x:v>Meta AI</x:v>
      </x:c>
      <x:c r="E150" s="32" t="str">
        <x:v>United States of America</x:v>
      </x:c>
      <x:c r="F150" s="34" t="n">
        <x:v>45752</x:v>
      </x:c>
      <x:c r="G150" s="32" t="str">
        <x:v>Open weights (restricted use)</x:v>
      </x:c>
      <x:c r="H150" s="34" t="n">
        <x:v>45752</x:v>
      </x:c>
      <x:c r="I150" s="52" t="n">
        <x:v>4.08e+24</x:v>
      </x:c>
      <x:c r="J150" s="32" t="str">
        <x:v>Likely</x:v>
      </x:c>
      <x:c r="K150" s="32" t="str">
        <x:v>The 17 billion active (109 billion total)-parameter model in Meta's Llama 4 series.</x:v>
      </x:c>
      <x:c r="L150" s="32" t="str"/>
      <x:c r="M150" s="32" t="str"/>
      <x:c r="N150" s="32" t="str">
        <x:v>Llama 4 Scout</x:v>
      </x:c>
      <x:c r="O150" s="32" t="str">
        <x:v>llama-4-scout</x:v>
      </x:c>
      <x:c r="P150" s="44" t="n">
        <x:v>130.56</x:v>
      </x:c>
      <x:c r="Q150" s="44" t="n">
        <x:v>125.67</x:v>
      </x:c>
      <x:c r="R150" s="44" t="n">
        <x:v>132.06</x:v>
      </x:c>
    </x:row>
    <x:row r="151">
      <x:c r="A151" s="32" t="str">
        <x:v>Qwen-Turbo</x:v>
      </x:c>
      <x:c r="B151" s="32" t="str">
        <x:v>qwen-turbo-2024-11-01</x:v>
      </x:c>
      <x:c r="C151" s="32" t="str"/>
      <x:c r="D151" s="32" t="str">
        <x:v>Alibaba</x:v>
      </x:c>
      <x:c r="E151" s="32" t="str">
        <x:v>China</x:v>
      </x:c>
      <x:c r="F151" s="34" t="n">
        <x:v>45597</x:v>
      </x:c>
      <x:c r="G151" s="32" t="str">
        <x:v>API access</x:v>
      </x:c>
      <x:c r="H151" s="34" t="n">
        <x:v>45328</x:v>
      </x:c>
      <x:c r="I151" s="52" t="str"/>
      <x:c r="J151" s="32" t="str">
        <x:v>Unknown</x:v>
      </x:c>
      <x:c r="K151" s="32" t="str"/>
      <x:c r="L151" s="32" t="str">
        <x:v>Qwen Turbo</x:v>
      </x:c>
      <x:c r="M151" s="32" t="str"/>
      <x:c r="N151" s="32" t="str">
        <x:v>Qwen-Turbo</x:v>
      </x:c>
      <x:c r="O151" s="32" t="str">
        <x:v>qwen-turbo</x:v>
      </x:c>
      <x:c r="P151" s="44" t="str"/>
      <x:c r="Q151" s="44" t="str"/>
      <x:c r="R151" s="44" t="str"/>
    </x:row>
    <x:row r="152">
      <x:c r="A152" s="32" t="str">
        <x:v>Qwen Plus</x:v>
      </x:c>
      <x:c r="B152" s="32" t="str">
        <x:v>qwen-plus-2025-01-25</x:v>
      </x:c>
      <x:c r="C152" s="32" t="str"/>
      <x:c r="D152" s="32" t="str">
        <x:v>Alibaba</x:v>
      </x:c>
      <x:c r="E152" s="32" t="str">
        <x:v>China</x:v>
      </x:c>
      <x:c r="F152" s="34" t="n">
        <x:v>45682</x:v>
      </x:c>
      <x:c r="G152" s="32" t="str">
        <x:v>API access</x:v>
      </x:c>
      <x:c r="H152" s="34" t="n">
        <x:v>45328</x:v>
      </x:c>
      <x:c r="I152" s="52" t="str"/>
      <x:c r="J152" s="32" t="str">
        <x:v>Unknown</x:v>
      </x:c>
      <x:c r="K152" s="32" t="str"/>
      <x:c r="L152" s="32" t="str">
        <x:v>Qwen Plus (Jan 2025)</x:v>
      </x:c>
      <x:c r="M152" s="32" t="str">
        <x:v>Qwen Plus (Jan 2025)</x:v>
      </x:c>
      <x:c r="N152" s="32" t="str">
        <x:v>Qwen Plus (Jan 2025)</x:v>
      </x:c>
      <x:c r="O152" s="32" t="str">
        <x:v>qwen-plus-jan-2025</x:v>
      </x:c>
      <x:c r="P152" s="44" t="str"/>
      <x:c r="Q152" s="44" t="str"/>
      <x:c r="R152" s="44" t="str"/>
    </x:row>
    <x:row r="153">
      <x:c r="A153" s="32" t="str">
        <x:v>Qwen2.5-Max</x:v>
      </x:c>
      <x:c r="B153" s="32" t="str">
        <x:v>qwen-max-2025-01-25</x:v>
      </x:c>
      <x:c r="C153" s="32" t="str"/>
      <x:c r="D153" s="32" t="str">
        <x:v>Alibaba</x:v>
      </x:c>
      <x:c r="E153" s="32" t="str">
        <x:v>China</x:v>
      </x:c>
      <x:c r="F153" s="34" t="n">
        <x:v>45682</x:v>
      </x:c>
      <x:c r="G153" s="32" t="str">
        <x:v>API access</x:v>
      </x:c>
      <x:c r="H153" s="34" t="n">
        <x:v>45685</x:v>
      </x:c>
      <x:c r="I153" s="52" t="str"/>
      <x:c r="J153" s="32" t="str">
        <x:v>Unknown</x:v>
      </x:c>
      <x:c r="K153" s="32" t="str"/>
      <x:c r="L153" s="32" t="str">
        <x:v>Qwen2.5-Max</x:v>
      </x:c>
      <x:c r="M153" s="32" t="str"/>
      <x:c r="N153" s="32" t="str">
        <x:v>Qwen2.5-Max</x:v>
      </x:c>
      <x:c r="O153" s="32" t="str">
        <x:v>qwen2-5-max</x:v>
      </x:c>
      <x:c r="P153" s="44" t="n">
        <x:v>133.41</x:v>
      </x:c>
      <x:c r="Q153" s="44" t="n">
        <x:v>129.19</x:v>
      </x:c>
      <x:c r="R153" s="44" t="n">
        <x:v>136.34</x:v>
      </x:c>
    </x:row>
    <x:row r="154">
      <x:c r="A154" s="32" t="str">
        <x:v>Hermes 2 Theta Llama-3 70B</x:v>
      </x:c>
      <x:c r="B154" s="32" t="str">
        <x:v>Hermes-2-Theta-Llama-3-70B</x:v>
      </x:c>
      <x:c r="C154" s="32" t="str"/>
      <x:c r="D154" s="32" t="str">
        <x:v>Nous Research,Arcee AI</x:v>
      </x:c>
      <x:c r="E154" s="32" t="str">
        <x:v>United States of America</x:v>
      </x:c>
      <x:c r="F154" s="34" t="n">
        <x:v>45463</x:v>
      </x:c>
      <x:c r="G154" s="32" t="str">
        <x:v>Open weights (restricted use)</x:v>
      </x:c>
      <x:c r="H154" s="34" t="n">
        <x:v>45463</x:v>
      </x:c>
      <x:c r="I154" s="52" t="str"/>
      <x:c r="J154" s="32" t="str">
        <x:v>Confident</x:v>
      </x:c>
      <x:c r="K154" s="32" t="str">
        <x:v>Nous Research’s fine-tuned Llama-3 70B optimized for instruction following and chat.</x:v>
      </x:c>
      <x:c r="L154" s="32" t="str"/>
      <x:c r="M154" s="32" t="str"/>
      <x:c r="N154" s="32" t="str">
        <x:v>Hermes 2 Theta Llama-3 70B</x:v>
      </x:c>
      <x:c r="O154" s="32" t="str">
        <x:v>hermes-2-theta-llama-3-70b</x:v>
      </x:c>
      <x:c r="P154" s="44" t="str"/>
      <x:c r="Q154" s="44" t="str"/>
      <x:c r="R154" s="44" t="str"/>
    </x:row>
    <x:row r="155">
      <x:c r="A155" s="32" t="str">
        <x:v>Gemini 2.5 Pro (Mar 2025)</x:v>
      </x:c>
      <x:c r="B155" s="32" t="str">
        <x:v>gemini-2.5-pro-exp-03-25</x:v>
      </x:c>
      <x:c r="C155" s="32" t="str">
        <x:v>Gemini 2.5 Pro Exp (Mar 2025)</x:v>
      </x:c>
      <x:c r="D155" s="32" t="str">
        <x:v>Google DeepMind</x:v>
      </x:c>
      <x:c r="E155" s="32" t="str">
        <x:v>United States of America</x:v>
      </x:c>
      <x:c r="F155" s="34" t="n">
        <x:v>45741</x:v>
      </x:c>
      <x:c r="G155" s="32" t="str">
        <x:v>API access</x:v>
      </x:c>
      <x:c r="H155" s="34" t="n">
        <x:v>45741</x:v>
      </x:c>
      <x:c r="I155" s="52" t="str"/>
      <x:c r="J155" s="32" t="str">
        <x:v>Unknown</x:v>
      </x:c>
      <x:c r="K155" s="32" t="str">
        <x:v>A March 2025 preview version of Gemini 2.5 Pro.</x:v>
      </x:c>
      <x:c r="L155" s="32" t="str">
        <x:v>Gemini 2.5 Pro Exp (Mar 2025)</x:v>
      </x:c>
      <x:c r="M155" s="32" t="str">
        <x:v>Gemini 2.5 Pro (Mar 2025)</x:v>
      </x:c>
      <x:c r="N155" s="32" t="str">
        <x:v>Gemini 2.5 Pro (Mar 2025)</x:v>
      </x:c>
      <x:c r="O155" s="32" t="str">
        <x:v>gemini-2-5-pro-mar-2025</x:v>
      </x:c>
      <x:c r="P155" s="44" t="n">
        <x:v>144.84</x:v>
      </x:c>
      <x:c r="Q155" s="44" t="n">
        <x:v>142.71</x:v>
      </x:c>
      <x:c r="R155" s="44" t="n">
        <x:v>147.18</x:v>
      </x:c>
    </x:row>
    <x:row r="156">
      <x:c r="A156" s="32" t="str">
        <x:v>Mistral Small 3</x:v>
      </x:c>
      <x:c r="B156" s="32" t="str">
        <x:v>mistral-small-2501</x:v>
      </x:c>
      <x:c r="C156" s="32" t="str"/>
      <x:c r="D156" s="32" t="str">
        <x:v>Mistral AI</x:v>
      </x:c>
      <x:c r="E156" s="32" t="str">
        <x:v>France</x:v>
      </x:c>
      <x:c r="F156" s="34" t="n">
        <x:v>45682</x:v>
      </x:c>
      <x:c r="G156" s="32" t="str">
        <x:v>Open weights (unrestricted)</x:v>
      </x:c>
      <x:c r="H156" s="34" t="n">
        <x:v>45687</x:v>
      </x:c>
      <x:c r="I156" s="52" t="n">
        <x:v>1.152e+24</x:v>
      </x:c>
      <x:c r="J156" s="32" t="str">
        <x:v>Confident</x:v>
      </x:c>
      <x:c r="K156" s="32" t="str"/>
      <x:c r="L156" s="32" t="str"/>
      <x:c r="M156" s="32" t="str"/>
      <x:c r="N156" s="32" t="str">
        <x:v>Mistral Small 3</x:v>
      </x:c>
      <x:c r="O156" s="32" t="str">
        <x:v>mistral-small-3</x:v>
      </x:c>
      <x:c r="P156" s="44" t="str"/>
      <x:c r="Q156" s="44" t="str"/>
      <x:c r="R156" s="44" t="str"/>
    </x:row>
    <x:row r="157">
      <x:c r="A157" s="32" t="str">
        <x:v>Mistral Small 3.1</x:v>
      </x:c>
      <x:c r="B157" s="32" t="str">
        <x:v>mistral-small-2503</x:v>
      </x:c>
      <x:c r="C157" s="32" t="str"/>
      <x:c r="D157" s="32" t="str">
        <x:v>Mistral AI</x:v>
      </x:c>
      <x:c r="E157" s="32" t="str">
        <x:v>France</x:v>
      </x:c>
      <x:c r="F157" s="34" t="n">
        <x:v>45733</x:v>
      </x:c>
      <x:c r="G157" s="32" t="str">
        <x:v>Open weights (unrestricted)</x:v>
      </x:c>
      <x:c r="H157" s="34" t="n">
        <x:v>45733</x:v>
      </x:c>
      <x:c r="I157" s="52" t="str"/>
      <x:c r="J157" s="32" t="str">
        <x:v>Confident</x:v>
      </x:c>
      <x:c r="K157" s="32" t="str">
        <x:v>An updated version of Mistral small, a 24 billion-parameter model from Mistral.</x:v>
      </x:c>
      <x:c r="L157" s="32" t="str"/>
      <x:c r="M157" s="32" t="str"/>
      <x:c r="N157" s="32" t="str">
        <x:v>Mistral Small 3.1</x:v>
      </x:c>
      <x:c r="O157" s="32" t="str">
        <x:v>mistral-small-3-1</x:v>
      </x:c>
      <x:c r="P157" s="44" t="n">
        <x:v>127.75</x:v>
      </x:c>
      <x:c r="Q157" s="44" t="n">
        <x:v>121.89</x:v>
      </x:c>
      <x:c r="R157" s="44" t="n">
        <x:v>129.38</x:v>
      </x:c>
    </x:row>
    <x:row r="158">
      <x:c r="A158" s="32" t="str">
        <x:v>Gemma 3 27B</x:v>
      </x:c>
      <x:c r="B158" s="32" t="str">
        <x:v>gemma-3-27b-it</x:v>
      </x:c>
      <x:c r="C158" s="32" t="str"/>
      <x:c r="D158" s="32" t="str">
        <x:v>Google DeepMind</x:v>
      </x:c>
      <x:c r="E158" s="32" t="str">
        <x:v>United States of America</x:v>
      </x:c>
      <x:c r="F158" s="34" t="n">
        <x:v>45728</x:v>
      </x:c>
      <x:c r="G158" s="32" t="str">
        <x:v>Open weights (restricted use)</x:v>
      </x:c>
      <x:c r="H158" s="34" t="n">
        <x:v>45728</x:v>
      </x:c>
      <x:c r="I158" s="52" t="n">
        <x:v>2.268e+24</x:v>
      </x:c>
      <x:c r="J158" s="32" t="str">
        <x:v>Confident</x:v>
      </x:c>
      <x:c r="K158" s="32" t="str">
        <x:v>An instruction-tuned version of the 27 billion-parameter model Google DeepMind's Gemma 3 series.</x:v>
      </x:c>
      <x:c r="L158" s="32" t="str"/>
      <x:c r="M158" s="32" t="str"/>
      <x:c r="N158" s="32" t="str">
        <x:v>Gemma 3 27B</x:v>
      </x:c>
      <x:c r="O158" s="32" t="str">
        <x:v>gemma-3-27b</x:v>
      </x:c>
      <x:c r="P158" s="44" t="n">
        <x:v>131.08</x:v>
      </x:c>
      <x:c r="Q158" s="44" t="n">
        <x:v>124.84</x:v>
      </x:c>
      <x:c r="R158" s="44" t="n">
        <x:v>133.28</x:v>
      </x:c>
    </x:row>
    <x:row r="159">
      <x:c r="A159" s="32" t="str">
        <x:v>Claude 3.7 Sonnet</x:v>
      </x:c>
      <x:c r="B159" s="32" t="str">
        <x:v>claude-3-7-sonnet-20250219_32K</x:v>
      </x:c>
      <x:c r="C159" s="32" t="str">
        <x:v>Claude 3.7 Sonnet (32k thinking)</x:v>
      </x:c>
      <x:c r="D159" s="32" t="str">
        <x:v>Anthropic</x:v>
      </x:c>
      <x:c r="E159" s="32" t="str">
        <x:v>United States of America</x:v>
      </x:c>
      <x:c r="F159" s="34" t="n">
        <x:v>45712</x:v>
      </x:c>
      <x:c r="G159" s="32" t="str">
        <x:v>API access</x:v>
      </x:c>
      <x:c r="H159" s="34" t="n">
        <x:v>45712</x:v>
      </x:c>
      <x:c r="I159" s="52" t="n">
        <x:v>3.3499999999999998e+25</x:v>
      </x:c>
      <x:c r="J159" s="32" t="str">
        <x:v>Likely</x:v>
      </x:c>
      <x:c r="K159" s="32" t="str">
        <x:v>A previous flagship reasoning model from Anthropic, benchmarked with up to 32,000 reasoning tokens allowed.</x:v>
      </x:c>
      <x:c r="L159" s="32" t="str">
        <x:v>Claude 3.7 Sonnet (32k thinking)</x:v>
      </x:c>
      <x:c r="M159" s="32" t="str"/>
      <x:c r="N159" s="32" t="str">
        <x:v>Claude 3.7 Sonnet</x:v>
      </x:c>
      <x:c r="O159" s="32" t="str">
        <x:v>claude-3-7-sonnet</x:v>
      </x:c>
      <x:c r="P159" s="44" t="n">
        <x:v>141.7</x:v>
      </x:c>
      <x:c r="Q159" s="44" t="n">
        <x:v>139.28</x:v>
      </x:c>
      <x:c r="R159" s="44" t="n">
        <x:v>143.27</x:v>
      </x:c>
    </x:row>
    <x:row r="160">
      <x:c r="A160" s="32" t="str">
        <x:v>Gemini 1.5 Flash 8B</x:v>
      </x:c>
      <x:c r="B160" s="32" t="str">
        <x:v>gemini-1.5-flash-8b-001</x:v>
      </x:c>
      <x:c r="C160" s="32" t="str"/>
      <x:c r="D160" s="32" t="str">
        <x:v>Google DeepMind</x:v>
      </x:c>
      <x:c r="E160" s="32" t="str">
        <x:v>United States of America</x:v>
      </x:c>
      <x:c r="F160" s="34" t="n">
        <x:v>45568</x:v>
      </x:c>
      <x:c r="G160" s="32" t="str">
        <x:v>API access</x:v>
      </x:c>
      <x:c r="H160" s="34" t="n">
        <x:v>45422</x:v>
      </x:c>
      <x:c r="I160" s="52" t="str"/>
      <x:c r="J160" s="32" t="str">
        <x:v>Confident</x:v>
      </x:c>
      <x:c r="K160" s="32" t="str"/>
      <x:c r="L160" s="32" t="str"/>
      <x:c r="M160" s="32" t="str"/>
      <x:c r="N160" s="32" t="str">
        <x:v>Gemini 1.5 Flash 8B</x:v>
      </x:c>
      <x:c r="O160" s="32" t="str">
        <x:v>gemini-1-5-flash-8b</x:v>
      </x:c>
      <x:c r="P160" s="44" t="str"/>
      <x:c r="Q160" s="44" t="str"/>
      <x:c r="R160" s="44" t="str"/>
    </x:row>
    <x:row r="161">
      <x:c r="A161" s="32" t="str">
        <x:v>DeepSeek-R1-Distill-Qwen-14B</x:v>
      </x:c>
      <x:c r="B161" s="32" t="str">
        <x:v>DeepSeek-R1-Distill-Qwen-14B</x:v>
      </x:c>
      <x:c r="C161" s="32" t="str"/>
      <x:c r="D161" s="32" t="str">
        <x:v>DeepSeek</x:v>
      </x:c>
      <x:c r="E161" s="32" t="str">
        <x:v>China</x:v>
      </x:c>
      <x:c r="F161" s="34" t="n">
        <x:v>45677</x:v>
      </x:c>
      <x:c r="G161" s="32" t="str">
        <x:v>Open weights (unrestricted)</x:v>
      </x:c>
      <x:c r="H161" s="34" t="n">
        <x:v>45679</x:v>
      </x:c>
      <x:c r="I161" s="52" t="str"/>
      <x:c r="J161" s="32" t="str">
        <x:v>Speculative</x:v>
      </x:c>
      <x:c r="K161" s="32" t="str">
        <x:v>A model based on Qwen 14B and additionally trained on outputs from DeepSeek’s R1 model, published as part of DeepSeek R1’s release. </x:v>
      </x:c>
      <x:c r="L161" s="32" t="str"/>
      <x:c r="M161" s="32" t="str"/>
      <x:c r="N161" s="32" t="str">
        <x:v>DeepSeek-R1-Distill-Qwen-14B</x:v>
      </x:c>
      <x:c r="O161" s="32" t="str">
        <x:v>deepseek-r1-distill-qwen-14b</x:v>
      </x:c>
      <x:c r="P161" s="44" t="str"/>
      <x:c r="Q161" s="44" t="str"/>
      <x:c r="R161" s="44" t="str"/>
    </x:row>
    <x:row r="162">
      <x:c r="A162" s="32" t="str">
        <x:v>DeepSeek-R1-Distill-Llama-70B</x:v>
      </x:c>
      <x:c r="B162" s="32" t="str">
        <x:v>DeepSeek-R1-Distill-Llama-70B</x:v>
      </x:c>
      <x:c r="C162" s="32" t="str"/>
      <x:c r="D162" s="32" t="str">
        <x:v>DeepSeek</x:v>
      </x:c>
      <x:c r="E162" s="32" t="str">
        <x:v>China</x:v>
      </x:c>
      <x:c r="F162" s="34" t="n">
        <x:v>45677</x:v>
      </x:c>
      <x:c r="G162" s="32" t="str">
        <x:v>Open weights (unrestricted)</x:v>
      </x:c>
      <x:c r="H162" s="34" t="n">
        <x:v>45679</x:v>
      </x:c>
      <x:c r="I162" s="52" t="str"/>
      <x:c r="J162" s="32" t="str">
        <x:v>Speculative</x:v>
      </x:c>
      <x:c r="K162" s="32" t="str">
        <x:v>A model based on LLaMA 70B and additionally trained on outputs from DeepSeek’s R1 model, published as part of DeepSeek R1’s release. </x:v>
      </x:c>
      <x:c r="L162" s="32" t="str"/>
      <x:c r="M162" s="32" t="str"/>
      <x:c r="N162" s="32" t="str">
        <x:v>DeepSeek-R1-Distill-Llama-70B</x:v>
      </x:c>
      <x:c r="O162" s="32" t="str">
        <x:v>deepseek-r1-distill-llama-70b</x:v>
      </x:c>
      <x:c r="P162" s="44" t="str"/>
      <x:c r="Q162" s="44" t="str"/>
      <x:c r="R162" s="44" t="str"/>
    </x:row>
    <x:row r="163">
      <x:c r="A163" s="32" t="str">
        <x:v>Gemini 2.0 Flash</x:v>
      </x:c>
      <x:c r="B163" s="32" t="str">
        <x:v>gemini-2.0-flash-001</x:v>
      </x:c>
      <x:c r="C163" s="32" t="str">
        <x:v>Gemini 2.0 Flash (Feb 2025)</x:v>
      </x:c>
      <x:c r="D163" s="32" t="str">
        <x:v>Google DeepMind,Google</x:v>
      </x:c>
      <x:c r="E163" s="32" t="str">
        <x:v>United States of America</x:v>
      </x:c>
      <x:c r="F163" s="34" t="n">
        <x:v>45693</x:v>
      </x:c>
      <x:c r="G163" s="32" t="str">
        <x:v>API access</x:v>
      </x:c>
      <x:c r="H163" s="34" t="n">
        <x:v>45637</x:v>
      </x:c>
      <x:c r="I163" s="52" t="str"/>
      <x:c r="J163" s="32" t="str">
        <x:v>Unknown</x:v>
      </x:c>
      <x:c r="K163" s="32" t="str">
        <x:v>The first version of Google DeepMind's Gemini 2.0 Flash model.</x:v>
      </x:c>
      <x:c r="L163" s="32" t="str"/>
      <x:c r="M163" s="32" t="str">
        <x:v>Gemini 2.0 Flash (Feb 2025)</x:v>
      </x:c>
      <x:c r="N163" s="32" t="str">
        <x:v>Gemini 2.0 Flash (Feb 2025)</x:v>
      </x:c>
      <x:c r="O163" s="32" t="str">
        <x:v>gemini-2-0-flash-feb-2025</x:v>
      </x:c>
      <x:c r="P163" s="44" t="n">
        <x:v>135.79</x:v>
      </x:c>
      <x:c r="Q163" s="44" t="n">
        <x:v>132.35</x:v>
      </x:c>
      <x:c r="R163" s="44" t="n">
        <x:v>137.51</x:v>
      </x:c>
    </x:row>
    <x:row r="164">
      <x:c r="A164" s="32" t="str">
        <x:v>DeepSeek-V3</x:v>
      </x:c>
      <x:c r="B164" s="32" t="str">
        <x:v>DeepSeek-V3</x:v>
      </x:c>
      <x:c r="C164" s="32" t="str"/>
      <x:c r="D164" s="32" t="str">
        <x:v>DeepSeek</x:v>
      </x:c>
      <x:c r="E164" s="32" t="str">
        <x:v>China</x:v>
      </x:c>
      <x:c r="F164" s="34" t="n">
        <x:v>45652</x:v>
      </x:c>
      <x:c r="G164" s="32" t="str">
        <x:v>Open weights (restricted use)</x:v>
      </x:c>
      <x:c r="H164" s="34" t="n">
        <x:v>45650</x:v>
      </x:c>
      <x:c r="I164" s="52" t="n">
        <x:v>3.3e+24</x:v>
      </x:c>
      <x:c r="J164" s="32" t="str">
        <x:v>Confident</x:v>
      </x:c>
      <x:c r="K164" s="32" t="str">
        <x:v>DeepSeek’s 2024 mixture-of-experts model.</x:v>
      </x:c>
      <x:c r="L164" s="32" t="str">
        <x:v>DeepSeek-V3</x:v>
      </x:c>
      <x:c r="M164" s="32" t="str"/>
      <x:c r="N164" s="32" t="str">
        <x:v>DeepSeek-V3</x:v>
      </x:c>
      <x:c r="O164" s="32" t="str">
        <x:v>deepseek-v3</x:v>
      </x:c>
      <x:c r="P164" s="44" t="n">
        <x:v>132.99</x:v>
      </x:c>
      <x:c r="Q164" s="44" t="n">
        <x:v>127.9</x:v>
      </x:c>
      <x:c r="R164" s="44" t="n">
        <x:v>135.76</x:v>
      </x:c>
    </x:row>
    <x:row r="165">
      <x:c r="A165" s="32" t="str">
        <x:v>Tulu 3 (Tülu 3) 70B</x:v>
      </x:c>
      <x:c r="B165" s="32" t="str">
        <x:v>Llama-3.1-Tulu-3-70B-DPO</x:v>
      </x:c>
      <x:c r="C165" s="32" t="str"/>
      <x:c r="D165" s="32" t="str">
        <x:v>Allen Institute for AI,University of Washington</x:v>
      </x:c>
      <x:c r="E165" s="32" t="str">
        <x:v>United States of America</x:v>
      </x:c>
      <x:c r="F165" s="34" t="n">
        <x:v>45617</x:v>
      </x:c>
      <x:c r="G165" s="32" t="str">
        <x:v>Open weights (restricted use)</x:v>
      </x:c>
      <x:c r="H165" s="34" t="n">
        <x:v>45617</x:v>
      </x:c>
      <x:c r="I165" s="52" t="str"/>
      <x:c r="J165" s="32" t="str">
        <x:v>Confident</x:v>
      </x:c>
      <x:c r="K165" s="32" t="str"/>
      <x:c r="L165" s="32" t="str">
        <x:v>Tülu 3 70B</x:v>
      </x:c>
      <x:c r="M165" s="32" t="str"/>
      <x:c r="N165" s="32" t="str">
        <x:v>Tulu 3 (Tülu 3) 70B</x:v>
      </x:c>
      <x:c r="O165" s="32" t="str">
        <x:v>tulu-3-tlu-3-70b</x:v>
      </x:c>
      <x:c r="P165" s="44" t="str"/>
      <x:c r="Q165" s="44" t="str"/>
      <x:c r="R165" s="44" t="str"/>
    </x:row>
    <x:row r="166">
      <x:c r="A166" s="32" t="str">
        <x:v>Gemma 2 27B</x:v>
      </x:c>
      <x:c r="B166" s="32" t="str">
        <x:v>gemma-2-27b-it</x:v>
      </x:c>
      <x:c r="C166" s="32" t="str"/>
      <x:c r="D166" s="32" t="str">
        <x:v>Google DeepMind</x:v>
      </x:c>
      <x:c r="E166" s="32" t="str">
        <x:v>United States of America</x:v>
      </x:c>
      <x:c r="F166" s="34" t="n">
        <x:v>45467</x:v>
      </x:c>
      <x:c r="G166" s="32" t="str">
        <x:v>Open weights (restricted use)</x:v>
      </x:c>
      <x:c r="H166" s="34" t="n">
        <x:v>45467</x:v>
      </x:c>
      <x:c r="I166" s="52" t="n">
        <x:v>2.106e+24</x:v>
      </x:c>
      <x:c r="J166" s="32" t="str">
        <x:v>Confident</x:v>
      </x:c>
      <x:c r="K166" s="32" t="str">
        <x:v>An instruction-optimized version of Google DeepMind's Gemma 2 27B.</x:v>
      </x:c>
      <x:c r="L166" s="32" t="str"/>
      <x:c r="M166" s="32" t="str"/>
      <x:c r="N166" s="32" t="str">
        <x:v>Gemma 2 27B</x:v>
      </x:c>
      <x:c r="O166" s="32" t="str">
        <x:v>gemma-2-27b</x:v>
      </x:c>
      <x:c r="P166" s="44" t="n">
        <x:v>122.47</x:v>
      </x:c>
      <x:c r="Q166" s="44" t="n">
        <x:v>115.04</x:v>
      </x:c>
      <x:c r="R166" s="44" t="n">
        <x:v>124.23</x:v>
      </x:c>
    </x:row>
    <x:row r="167">
      <x:c r="A167" s="32" t="str">
        <x:v>Gemma 2 9B</x:v>
      </x:c>
      <x:c r="B167" s="32" t="str">
        <x:v>gemma-2-9b-it</x:v>
      </x:c>
      <x:c r="C167" s="32" t="str"/>
      <x:c r="D167" s="32" t="str">
        <x:v>Google DeepMind</x:v>
      </x:c>
      <x:c r="E167" s="32" t="str">
        <x:v>United States of America</x:v>
      </x:c>
      <x:c r="F167" s="34" t="n">
        <x:v>45467</x:v>
      </x:c>
      <x:c r="G167" s="32" t="str">
        <x:v>Open weights (restricted use)</x:v>
      </x:c>
      <x:c r="H167" s="34" t="n">
        <x:v>45467</x:v>
      </x:c>
      <x:c r="I167" s="52" t="n">
        <x:v>4.32e+23</x:v>
      </x:c>
      <x:c r="J167" s="32" t="str">
        <x:v>Confident</x:v>
      </x:c>
      <x:c r="K167" s="32" t="str"/>
      <x:c r="L167" s="32" t="str"/>
      <x:c r="M167" s="32" t="str"/>
      <x:c r="N167" s="32" t="str">
        <x:v>Gemma 2 9B</x:v>
      </x:c>
      <x:c r="O167" s="32" t="str">
        <x:v>gemma-2-9b</x:v>
      </x:c>
      <x:c r="P167" s="44" t="n">
        <x:v>119.58</x:v>
      </x:c>
      <x:c r="Q167" s="44" t="n">
        <x:v>111.3</x:v>
      </x:c>
      <x:c r="R167" s="44" t="n">
        <x:v>122.38</x:v>
      </x:c>
    </x:row>
    <x:row r="168">
      <x:c r="A168" s="32" t="str">
        <x:v>Claude 2.1</x:v>
      </x:c>
      <x:c r="B168" s="32" t="str">
        <x:v>claude-2.1</x:v>
      </x:c>
      <x:c r="C168" s="32" t="str"/>
      <x:c r="D168" s="32" t="str">
        <x:v>Anthropic</x:v>
      </x:c>
      <x:c r="E168" s="32" t="str">
        <x:v>United States of America</x:v>
      </x:c>
      <x:c r="F168" s="34" t="n">
        <x:v>45251</x:v>
      </x:c>
      <x:c r="G168" s="32" t="str">
        <x:v>API access</x:v>
      </x:c>
      <x:c r="H168" s="34" t="n">
        <x:v>45251</x:v>
      </x:c>
      <x:c r="I168" s="52" t="str"/>
      <x:c r="J168" s="32" t="str">
        <x:v>Unknown</x:v>
      </x:c>
      <x:c r="K168" s="32" t="str">
        <x:v>An updated version in Anthropic's Claude 2 series.</x:v>
      </x:c>
      <x:c r="L168" s="32" t="str"/>
      <x:c r="M168" s="32" t="str"/>
      <x:c r="N168" s="32" t="str">
        <x:v>Claude 2.1</x:v>
      </x:c>
      <x:c r="O168" s="32" t="str">
        <x:v>claude-2-1</x:v>
      </x:c>
      <x:c r="P168" s="44" t="n">
        <x:v>118.37</x:v>
      </x:c>
      <x:c r="Q168" s="44" t="n">
        <x:v>109.82</x:v>
      </x:c>
      <x:c r="R168" s="44" t="n">
        <x:v>120.77</x:v>
      </x:c>
    </x:row>
    <x:row r="169">
      <x:c r="A169" s="32" t="str">
        <x:v>Claude 2</x:v>
      </x:c>
      <x:c r="B169" s="32" t="str">
        <x:v>claude-2.0</x:v>
      </x:c>
      <x:c r="C169" s="32" t="str"/>
      <x:c r="D169" s="32" t="str">
        <x:v>Anthropic</x:v>
      </x:c>
      <x:c r="E169" s="32" t="str">
        <x:v>United States of America</x:v>
      </x:c>
      <x:c r="F169" s="34" t="n">
        <x:v>45118</x:v>
      </x:c>
      <x:c r="G169" s="32" t="str">
        <x:v>API access</x:v>
      </x:c>
      <x:c r="H169" s="34" t="n">
        <x:v>45118</x:v>
      </x:c>
      <x:c r="I169" s="52" t="n">
        <x:v>3.866e+24</x:v>
      </x:c>
      <x:c r="J169" s="32" t="str">
        <x:v>Speculative</x:v>
      </x:c>
      <x:c r="K169" s="32" t="str">
        <x:v>Anthropic's second generation Claude model.</x:v>
      </x:c>
      <x:c r="L169" s="32" t="str"/>
      <x:c r="M169" s="32" t="str"/>
      <x:c r="N169" s="32" t="str">
        <x:v>Claude 2</x:v>
      </x:c>
      <x:c r="O169" s="32" t="str">
        <x:v>claude-2</x:v>
      </x:c>
      <x:c r="P169" s="44" t="n">
        <x:v>119.58</x:v>
      </x:c>
      <x:c r="Q169" s="44" t="n">
        <x:v>111.5</x:v>
      </x:c>
      <x:c r="R169" s="44" t="n">
        <x:v>124.06</x:v>
      </x:c>
    </x:row>
    <x:row r="170">
      <x:c r="A170" s="32" t="str">
        <x:v>Gemini 2.0 Flash Thinking</x:v>
      </x:c>
      <x:c r="B170" s="32" t="str">
        <x:v>gemini-2.0-flash-thinking-exp-01-21</x:v>
      </x:c>
      <x:c r="C170" s="32" t="str">
        <x:v>Gemini 2.0 Flash Thinking Exp</x:v>
      </x:c>
      <x:c r="D170" s="32" t="str">
        <x:v>Google DeepMind,Google</x:v>
      </x:c>
      <x:c r="E170" s="32" t="str">
        <x:v>United States of America</x:v>
      </x:c>
      <x:c r="F170" s="34" t="n">
        <x:v>45678</x:v>
      </x:c>
      <x:c r="G170" s="32" t="str">
        <x:v>API access</x:v>
      </x:c>
      <x:c r="H170" s="34" t="n">
        <x:v>45645</x:v>
      </x:c>
      <x:c r="I170" s="52" t="str"/>
      <x:c r="J170" s="32" t="str">
        <x:v>Unknown</x:v>
      </x:c>
      <x:c r="K170" s="32" t="str">
        <x:v>A January 2025 experimental version of Gemini 2.0 Flash Thinking, a small reasoning model from Google DeepMind.</x:v>
      </x:c>
      <x:c r="L170" s="32" t="str"/>
      <x:c r="M170" s="32" t="str">
        <x:v>Gemini 2.0 Flash Thinking (Jan 2025)</x:v>
      </x:c>
      <x:c r="N170" s="32" t="str">
        <x:v>Gemini 2.0 Flash Thinking (Jan 2025)</x:v>
      </x:c>
      <x:c r="O170" s="32" t="str">
        <x:v>gemini-2-0-flash-thinking-jan-2025</x:v>
      </x:c>
      <x:c r="P170" s="44" t="n">
        <x:v>136.23</x:v>
      </x:c>
      <x:c r="Q170" s="44" t="n">
        <x:v>130.57</x:v>
      </x:c>
      <x:c r="R170" s="44" t="n">
        <x:v>139</x:v>
      </x:c>
    </x:row>
    <x:row r="171">
      <x:c r="A171" s="32" t="str">
        <x:v>o1-preview</x:v>
      </x:c>
      <x:c r="B171" s="32" t="str">
        <x:v>o1-preview-2024-09-12</x:v>
      </x:c>
      <x:c r="C171" s="32" t="str">
        <x:v>o1-preview</x:v>
      </x:c>
      <x:c r="D171" s="32" t="str">
        <x:v>OpenAI</x:v>
      </x:c>
      <x:c r="E171" s="32" t="str">
        <x:v>United States of America</x:v>
      </x:c>
      <x:c r="F171" s="34" t="n">
        <x:v>45547</x:v>
      </x:c>
      <x:c r="G171" s="32" t="str">
        <x:v>API access</x:v>
      </x:c>
      <x:c r="H171" s="34" t="n">
        <x:v>45547</x:v>
      </x:c>
      <x:c r="I171" s="52" t="str"/>
      <x:c r="J171" s="32" t="str">
        <x:v>Unknown</x:v>
      </x:c>
      <x:c r="K171" s="32" t="str">
        <x:v>The September 2024 preview version of OpenAI’s first reasoning model, o1. </x:v>
      </x:c>
      <x:c r="L171" s="32" t="str"/>
      <x:c r="M171" s="32" t="str"/>
      <x:c r="N171" s="32" t="str">
        <x:v>o1-preview</x:v>
      </x:c>
      <x:c r="O171" s="32" t="str">
        <x:v>o1-preview</x:v>
      </x:c>
      <x:c r="P171" s="44" t="n">
        <x:v>135.81</x:v>
      </x:c>
      <x:c r="Q171" s="44" t="n">
        <x:v>132.17</x:v>
      </x:c>
      <x:c r="R171" s="44" t="n">
        <x:v>139.39</x:v>
      </x:c>
    </x:row>
    <x:row r="172">
      <x:c r="A172" s="32" t="str">
        <x:v>Gemini 2.0 Pro</x:v>
      </x:c>
      <x:c r="B172" s="32" t="str">
        <x:v>gemini-2.0-pro-exp-02-05</x:v>
      </x:c>
      <x:c r="C172" s="32" t="str">
        <x:v>Gemini 2.0 Pro Exp (Feb 2025)</x:v>
      </x:c>
      <x:c r="D172" s="32" t="str">
        <x:v>Google DeepMind</x:v>
      </x:c>
      <x:c r="E172" s="32" t="str">
        <x:v>United States of America</x:v>
      </x:c>
      <x:c r="F172" s="34" t="n">
        <x:v>45693</x:v>
      </x:c>
      <x:c r="G172" s="32" t="str">
        <x:v>Hosted access (no API)</x:v>
      </x:c>
      <x:c r="H172" s="34" t="n">
        <x:v>45637</x:v>
      </x:c>
      <x:c r="I172" s="52" t="str"/>
      <x:c r="J172" s="32" t="str">
        <x:v>Unknown</x:v>
      </x:c>
      <x:c r="K172" s="32" t="str">
        <x:v>A February 2025 experimental version of Google DeepMind's previous flagship model, Gemini 2.0 Pro.</x:v>
      </x:c>
      <x:c r="L172" s="32" t="str"/>
      <x:c r="M172" s="32" t="str"/>
      <x:c r="N172" s="32" t="str">
        <x:v>Gemini 2.0 Pro</x:v>
      </x:c>
      <x:c r="O172" s="32" t="str">
        <x:v>gemini-2-0-pro</x:v>
      </x:c>
      <x:c r="P172" s="44" t="n">
        <x:v>135.62</x:v>
      </x:c>
      <x:c r="Q172" s="44" t="n">
        <x:v>131.84</x:v>
      </x:c>
      <x:c r="R172" s="44" t="n">
        <x:v>137.18</x:v>
      </x:c>
    </x:row>
    <x:row r="173">
      <x:c r="A173" s="32" t="str">
        <x:v>o1</x:v>
      </x:c>
      <x:c r="B173" s="32" t="str">
        <x:v>o1-2024-12-17_high</x:v>
      </x:c>
      <x:c r="C173" s="32" t="str">
        <x:v>o1 (high)</x:v>
      </x:c>
      <x:c r="D173" s="32" t="str">
        <x:v>OpenAI</x:v>
      </x:c>
      <x:c r="E173" s="32" t="str">
        <x:v>United States of America</x:v>
      </x:c>
      <x:c r="F173" s="34" t="n">
        <x:v>45643</x:v>
      </x:c>
      <x:c r="G173" s="32" t="str">
        <x:v>API access</x:v>
      </x:c>
      <x:c r="H173" s="34" t="n">
        <x:v>45631</x:v>
      </x:c>
      <x:c r="I173" s="52" t="str"/>
      <x:c r="J173" s="32" t="str">
        <x:v>Unknown</x:v>
      </x:c>
      <x:c r="K173" s="32" t="str">
        <x:v>OpenAI's first reasoning model, evaluated with at the high reasoning effort level.</x:v>
      </x:c>
      <x:c r="L173" s="32" t="str"/>
      <x:c r="M173" s="32" t="str"/>
      <x:c r="N173" s="32" t="str">
        <x:v>o1</x:v>
      </x:c>
      <x:c r="O173" s="32" t="str">
        <x:v>o1</x:v>
      </x:c>
      <x:c r="P173" s="44" t="n">
        <x:v>142.69</x:v>
      </x:c>
      <x:c r="Q173" s="44" t="n">
        <x:v>140.88</x:v>
      </x:c>
      <x:c r="R173" s="44" t="n">
        <x:v>143.81</x:v>
      </x:c>
    </x:row>
    <x:row r="174">
      <x:c r="A174" s="32" t="str">
        <x:v>GPT-4o</x:v>
      </x:c>
      <x:c r="B174" s="32" t="str">
        <x:v>gpt-4o-2024-08-06</x:v>
      </x:c>
      <x:c r="C174" s="32" t="str">
        <x:v>GPT-4o (Aug 2024)</x:v>
      </x:c>
      <x:c r="D174" s="32" t="str">
        <x:v>OpenAI</x:v>
      </x:c>
      <x:c r="E174" s="32" t="str">
        <x:v>United States of America</x:v>
      </x:c>
      <x:c r="F174" s="34" t="n">
        <x:v>45510</x:v>
      </x:c>
      <x:c r="G174" s="32" t="str">
        <x:v>API access</x:v>
      </x:c>
      <x:c r="H174" s="34" t="n">
        <x:v>45425</x:v>
      </x:c>
      <x:c r="I174" s="52" t="str"/>
      <x:c r="J174" s="32" t="str">
        <x:v>Speculative</x:v>
      </x:c>
      <x:c r="K174" s="32" t="str">
        <x:v>An updated version of GPT-4o, OpenAI's model that powered ChatGPT from mid-2024 to -2025.</x:v>
      </x:c>
      <x:c r="L174" s="32" t="str"/>
      <x:c r="M174" s="32" t="str">
        <x:v>GPT-4o (Aug 2024)</x:v>
      </x:c>
      <x:c r="N174" s="32" t="str">
        <x:v>GPT-4o (Aug 2024)</x:v>
      </x:c>
      <x:c r="O174" s="32" t="str">
        <x:v>gpt-4o-aug-2024</x:v>
      </x:c>
      <x:c r="P174" s="44" t="n">
        <x:v>129.16</x:v>
      </x:c>
      <x:c r="Q174" s="44" t="n">
        <x:v>123.4</x:v>
      </x:c>
      <x:c r="R174" s="44" t="n">
        <x:v>130.88</x:v>
      </x:c>
    </x:row>
    <x:row r="175">
      <x:c r="A175" s="32" t="str">
        <x:v>Gemini 1.5 Flash</x:v>
      </x:c>
      <x:c r="B175" s="32" t="str">
        <x:v>gemini-1.5-flash-002</x:v>
      </x:c>
      <x:c r="C175" s="32" t="str"/>
      <x:c r="D175" s="32" t="str">
        <x:v>Google DeepMind</x:v>
      </x:c>
      <x:c r="E175" s="32" t="str">
        <x:v>United States of America</x:v>
      </x:c>
      <x:c r="F175" s="34" t="n">
        <x:v>45559</x:v>
      </x:c>
      <x:c r="G175" s="32" t="str">
        <x:v>API access</x:v>
      </x:c>
      <x:c r="H175" s="34" t="n">
        <x:v>45422</x:v>
      </x:c>
      <x:c r="I175" s="52" t="str"/>
      <x:c r="J175" s="32" t="str">
        <x:v>Unknown</x:v>
      </x:c>
      <x:c r="K175" s="32" t="str">
        <x:v>The second version of Google DeepMind's Gemini 1.5 Flash.</x:v>
      </x:c>
      <x:c r="L175" s="32" t="str"/>
      <x:c r="M175" s="32" t="str">
        <x:v>Gemini 1.5 Flash (Sep 2024)</x:v>
      </x:c>
      <x:c r="N175" s="32" t="str">
        <x:v>Gemini 1.5 Flash (Sep 2024)</x:v>
      </x:c>
      <x:c r="O175" s="32" t="str">
        <x:v>gemini-1-5-flash-sep-2024</x:v>
      </x:c>
      <x:c r="P175" s="44" t="n">
        <x:v>130.39</x:v>
      </x:c>
      <x:c r="Q175" s="44" t="n">
        <x:v>123.54</x:v>
      </x:c>
      <x:c r="R175" s="44" t="n">
        <x:v>132.06</x:v>
      </x:c>
    </x:row>
    <x:row r="176">
      <x:c r="A176" s="32" t="str">
        <x:v>o1-mini</x:v>
      </x:c>
      <x:c r="B176" s="32" t="str">
        <x:v>o1-mini-2024-09-12_high</x:v>
      </x:c>
      <x:c r="C176" s="32" t="str">
        <x:v>o1-mini (high)</x:v>
      </x:c>
      <x:c r="D176" s="32" t="str">
        <x:v>OpenAI</x:v>
      </x:c>
      <x:c r="E176" s="32" t="str">
        <x:v>United States of America</x:v>
      </x:c>
      <x:c r="F176" s="34" t="n">
        <x:v>45547</x:v>
      </x:c>
      <x:c r="G176" s="32" t="str">
        <x:v>API access</x:v>
      </x:c>
      <x:c r="H176" s="34" t="n">
        <x:v>45547</x:v>
      </x:c>
      <x:c r="I176" s="52" t="str"/>
      <x:c r="J176" s="32" t="str">
        <x:v>Unknown</x:v>
      </x:c>
      <x:c r="K176" s="32" t="str">
        <x:v>A smaller version of OpenAI’s first reasoning model, o1, evaluated with high reasoning effort.</x:v>
      </x:c>
      <x:c r="L176" s="32" t="str"/>
      <x:c r="M176" s="32" t="str"/>
      <x:c r="N176" s="32" t="str">
        <x:v>o1-mini</x:v>
      </x:c>
      <x:c r="O176" s="32" t="str">
        <x:v>o1-mini</x:v>
      </x:c>
      <x:c r="P176" s="44" t="n">
        <x:v>136.56</x:v>
      </x:c>
      <x:c r="Q176" s="44" t="n">
        <x:v>132.78</x:v>
      </x:c>
      <x:c r="R176" s="44" t="n">
        <x:v>138</x:v>
      </x:c>
    </x:row>
    <x:row r="177">
      <x:c r="A177" s="32" t="str">
        <x:v>o1-mini</x:v>
      </x:c>
      <x:c r="B177" s="32" t="str">
        <x:v>o1-mini-2024-09-12_medium</x:v>
      </x:c>
      <x:c r="C177" s="32" t="str">
        <x:v>o1-mini (medium)</x:v>
      </x:c>
      <x:c r="D177" s="32" t="str">
        <x:v>OpenAI</x:v>
      </x:c>
      <x:c r="E177" s="32" t="str">
        <x:v>United States of America</x:v>
      </x:c>
      <x:c r="F177" s="34" t="n">
        <x:v>45547</x:v>
      </x:c>
      <x:c r="G177" s="32" t="str">
        <x:v>API access</x:v>
      </x:c>
      <x:c r="H177" s="34" t="n">
        <x:v>45547</x:v>
      </x:c>
      <x:c r="I177" s="52" t="str"/>
      <x:c r="J177" s="32" t="str">
        <x:v>Unknown</x:v>
      </x:c>
      <x:c r="K177" s="32" t="str">
        <x:v>A smaller version of OpenAI’s first reasoning model, o1, evaluated with medium reasoning effort.</x:v>
      </x:c>
      <x:c r="L177" s="32" t="str"/>
      <x:c r="M177" s="32" t="str"/>
      <x:c r="N177" s="32" t="str">
        <x:v>o1-mini</x:v>
      </x:c>
      <x:c r="O177" s="32" t="str">
        <x:v>o1-mini</x:v>
      </x:c>
      <x:c r="P177" s="44" t="n">
        <x:v>136.56</x:v>
      </x:c>
      <x:c r="Q177" s="44" t="n">
        <x:v>132.78</x:v>
      </x:c>
      <x:c r="R177" s="44" t="n">
        <x:v>138</x:v>
      </x:c>
    </x:row>
    <x:row r="178">
      <x:c r="A178" s="32" t="str">
        <x:v>Claude 3.7 Sonnet</x:v>
      </x:c>
      <x:c r="B178" s="32" t="str">
        <x:v>claude-3-7-sonnet-20250219_16K</x:v>
      </x:c>
      <x:c r="C178" s="32" t="str">
        <x:v>Claude 3.7 Sonnet (16k thinking)</x:v>
      </x:c>
      <x:c r="D178" s="32" t="str">
        <x:v>Anthropic</x:v>
      </x:c>
      <x:c r="E178" s="32" t="str">
        <x:v>United States of America</x:v>
      </x:c>
      <x:c r="F178" s="34" t="n">
        <x:v>45712</x:v>
      </x:c>
      <x:c r="G178" s="32" t="str">
        <x:v>API access</x:v>
      </x:c>
      <x:c r="H178" s="34" t="n">
        <x:v>45712</x:v>
      </x:c>
      <x:c r="I178" s="52" t="n">
        <x:v>3.3499999999999998e+25</x:v>
      </x:c>
      <x:c r="J178" s="32" t="str">
        <x:v>Likely</x:v>
      </x:c>
      <x:c r="K178" s="32" t="str">
        <x:v>A previous flagship reasoning model from Anthropic, benchmarked with up to 16,000 reasoning tokens allowed.</x:v>
      </x:c>
      <x:c r="L178" s="32" t="str">
        <x:v>Claude 3.7 Sonnet (16k thinking)</x:v>
      </x:c>
      <x:c r="M178" s="32" t="str"/>
      <x:c r="N178" s="32" t="str">
        <x:v>Claude 3.7 Sonnet</x:v>
      </x:c>
      <x:c r="O178" s="32" t="str">
        <x:v>claude-3-7-sonnet</x:v>
      </x:c>
      <x:c r="P178" s="44" t="n">
        <x:v>141.7</x:v>
      </x:c>
      <x:c r="Q178" s="44" t="n">
        <x:v>139.28</x:v>
      </x:c>
      <x:c r="R178" s="44" t="n">
        <x:v>143.27</x:v>
      </x:c>
    </x:row>
    <x:row r="179">
      <x:c r="A179" s="32" t="str">
        <x:v>o3-mini</x:v>
      </x:c>
      <x:c r="B179" s="32" t="str">
        <x:v>o3-mini-2025-01-31_medium</x:v>
      </x:c>
      <x:c r="C179" s="32" t="str">
        <x:v>o3-mini (medium)</x:v>
      </x:c>
      <x:c r="D179" s="32" t="str">
        <x:v>OpenAI</x:v>
      </x:c>
      <x:c r="E179" s="32" t="str">
        <x:v>United States of America</x:v>
      </x:c>
      <x:c r="F179" s="34" t="n">
        <x:v>45688</x:v>
      </x:c>
      <x:c r="G179" s="32" t="str">
        <x:v>API access</x:v>
      </x:c>
      <x:c r="H179" s="34" t="n">
        <x:v>45688</x:v>
      </x:c>
      <x:c r="I179" s="52" t="str"/>
      <x:c r="J179" s="32" t="str">
        <x:v>Unknown</x:v>
      </x:c>
      <x:c r="K179" s="32" t="str">
        <x:v>A smaller version of OpenAI's o3 reasoning model, evaluated with medium reasoning effort.</x:v>
      </x:c>
      <x:c r="L179" s="32" t="str"/>
      <x:c r="M179" s="32" t="str"/>
      <x:c r="N179" s="32" t="str">
        <x:v>o3-mini</x:v>
      </x:c>
      <x:c r="O179" s="32" t="str">
        <x:v>o3-mini</x:v>
      </x:c>
      <x:c r="P179" s="44" t="n">
        <x:v>141.41</x:v>
      </x:c>
      <x:c r="Q179" s="44" t="n">
        <x:v>137.82</x:v>
      </x:c>
      <x:c r="R179" s="44" t="n">
        <x:v>142.81</x:v>
      </x:c>
    </x:row>
    <x:row r="180">
      <x:c r="A180" s="32" t="str">
        <x:v>Grok-2</x:v>
      </x:c>
      <x:c r="B180" s="32" t="str">
        <x:v>grok-2-1212</x:v>
      </x:c>
      <x:c r="C180" s="32" t="str"/>
      <x:c r="D180" s="32" t="str">
        <x:v>xAI</x:v>
      </x:c>
      <x:c r="E180" s="32" t="str">
        <x:v>United States of America</x:v>
      </x:c>
      <x:c r="F180" s="34" t="n">
        <x:v>45638</x:v>
      </x:c>
      <x:c r="G180" s="32" t="str">
        <x:v>API access</x:v>
      </x:c>
      <x:c r="H180" s="34" t="n">
        <x:v>45517</x:v>
      </x:c>
      <x:c r="I180" s="52" t="n">
        <x:v>2.9599999999999996e+25</x:v>
      </x:c>
      <x:c r="J180" s="32" t="str">
        <x:v>Confident</x:v>
      </x:c>
      <x:c r="K180" s="32" t="str">
        <x:v>XAI's second generation Grok model.</x:v>
      </x:c>
      <x:c r="L180" s="32" t="str"/>
      <x:c r="M180" s="32" t="str">
        <x:v>Grok-2 (Dec 2024)</x:v>
      </x:c>
      <x:c r="N180" s="32" t="str">
        <x:v>Grok-2 (Dec 2024)</x:v>
      </x:c>
      <x:c r="O180" s="32" t="str">
        <x:v>grok-2-dec-2024</x:v>
      </x:c>
      <x:c r="P180" s="44" t="n">
        <x:v>130.78</x:v>
      </x:c>
      <x:c r="Q180" s="44" t="n">
        <x:v>124.85</x:v>
      </x:c>
      <x:c r="R180" s="44" t="n">
        <x:v>131.99</x:v>
      </x:c>
    </x:row>
    <x:row r="181">
      <x:c r="A181" s="32" t="str">
        <x:v>Mistral Large 2</x:v>
      </x:c>
      <x:c r="B181" s="32" t="str">
        <x:v>mistral-large-2411</x:v>
      </x:c>
      <x:c r="C181" s="32" t="str"/>
      <x:c r="D181" s="32" t="str">
        <x:v>Mistral AI</x:v>
      </x:c>
      <x:c r="E181" s="32" t="str">
        <x:v>France</x:v>
      </x:c>
      <x:c r="F181" s="34" t="n">
        <x:v>45614</x:v>
      </x:c>
      <x:c r="G181" s="32" t="str">
        <x:v>Open weights (non-commercial)</x:v>
      </x:c>
      <x:c r="H181" s="34" t="n">
        <x:v>45497</x:v>
      </x:c>
      <x:c r="I181" s="52" t="n">
        <x:v>2.13e+25</x:v>
      </x:c>
      <x:c r="J181" s="32" t="str">
        <x:v>Likely</x:v>
      </x:c>
      <x:c r="K181" s="32" t="str"/>
      <x:c r="L181" s="32" t="str"/>
      <x:c r="M181" s="32" t="str">
        <x:v>Mistral Large 2 (Nov 2024)</x:v>
      </x:c>
      <x:c r="N181" s="32" t="str">
        <x:v>Mistral Large 2 (Nov 2024)</x:v>
      </x:c>
      <x:c r="O181" s="32" t="str">
        <x:v>mistral-large-2-nov-2024</x:v>
      </x:c>
      <x:c r="P181" s="44" t="n">
        <x:v>128.81</x:v>
      </x:c>
      <x:c r="Q181" s="44" t="n">
        <x:v>123.59</x:v>
      </x:c>
      <x:c r="R181" s="44" t="n">
        <x:v>130.68</x:v>
      </x:c>
    </x:row>
    <x:row r="182">
      <x:c r="A182" s="32" t="str">
        <x:v>GPT-4.5</x:v>
      </x:c>
      <x:c r="B182" s="32" t="str">
        <x:v>gpt-4.5-preview-2025-02-27</x:v>
      </x:c>
      <x:c r="C182" s="32" t="str">
        <x:v>GPT-4.5 Preview (Feb 2025)</x:v>
      </x:c>
      <x:c r="D182" s="32" t="str">
        <x:v>OpenAI</x:v>
      </x:c>
      <x:c r="E182" s="32" t="str">
        <x:v>United States of America</x:v>
      </x:c>
      <x:c r="F182" s="34" t="n">
        <x:v>45715</x:v>
      </x:c>
      <x:c r="G182" s="32" t="str">
        <x:v>API access</x:v>
      </x:c>
      <x:c r="H182" s="34" t="n">
        <x:v>45715</x:v>
      </x:c>
      <x:c r="I182" s="52" t="n">
        <x:v>3.8e+26</x:v>
      </x:c>
      <x:c r="J182" s="32" t="str">
        <x:v>Likely</x:v>
      </x:c>
      <x:c r="K182" s="32" t="str">
        <x:v>The largest model in OpenAI’s GPT series.</x:v>
      </x:c>
      <x:c r="L182" s="32" t="str"/>
      <x:c r="M182" s="32" t="str"/>
      <x:c r="N182" s="32" t="str">
        <x:v>GPT-4.5</x:v>
      </x:c>
      <x:c r="O182" s="32" t="str">
        <x:v>gpt-4-5</x:v>
      </x:c>
      <x:c r="P182" s="44" t="n">
        <x:v>137.54</x:v>
      </x:c>
      <x:c r="Q182" s="44" t="n">
        <x:v>134.46</x:v>
      </x:c>
      <x:c r="R182" s="44" t="n">
        <x:v>139.14</x:v>
      </x:c>
    </x:row>
    <x:row r="183">
      <x:c r="A183" s="32" t="str">
        <x:v>GPT-4 Turbo (Apr 2024)</x:v>
      </x:c>
      <x:c r="B183" s="32" t="str">
        <x:v>gpt-4-turbo-2024-04-09</x:v>
      </x:c>
      <x:c r="C183" s="32" t="str"/>
      <x:c r="D183" s="32" t="str">
        <x:v>OpenAI</x:v>
      </x:c>
      <x:c r="E183" s="32" t="str">
        <x:v>United States of America</x:v>
      </x:c>
      <x:c r="F183" s="34" t="n">
        <x:v>45391</x:v>
      </x:c>
      <x:c r="G183" s="32" t="str">
        <x:v>API access</x:v>
      </x:c>
      <x:c r="H183" s="34" t="n">
        <x:v>45391</x:v>
      </x:c>
      <x:c r="I183" s="52" t="str"/>
      <x:c r="J183" s="32" t="str">
        <x:v>Unknown</x:v>
      </x:c>
      <x:c r="K183" s="32" t="str">
        <x:v>The April 2024 version of GPT-4 Turbo, OpenAI's then-flagship language model.</x:v>
      </x:c>
      <x:c r="L183" s="32" t="str"/>
      <x:c r="M183" s="32" t="str"/>
      <x:c r="N183" s="32" t="str">
        <x:v>GPT-4 Turbo (Apr 2024)</x:v>
      </x:c>
      <x:c r="O183" s="32" t="str">
        <x:v>gpt-4-turbo-apr-2024</x:v>
      </x:c>
      <x:c r="P183" s="44" t="n">
        <x:v>127.59</x:v>
      </x:c>
      <x:c r="Q183" s="44" t="n">
        <x:v>121.74</x:v>
      </x:c>
      <x:c r="R183" s="44" t="n">
        <x:v>129</x:v>
      </x:c>
    </x:row>
    <x:row r="184">
      <x:c r="A184" s="32" t="str">
        <x:v>o1</x:v>
      </x:c>
      <x:c r="B184" s="32" t="str">
        <x:v>o1-2024-12-17_medium</x:v>
      </x:c>
      <x:c r="C184" s="32" t="str">
        <x:v>o1 (medium)</x:v>
      </x:c>
      <x:c r="D184" s="32" t="str">
        <x:v>OpenAI</x:v>
      </x:c>
      <x:c r="E184" s="32" t="str">
        <x:v>United States of America</x:v>
      </x:c>
      <x:c r="F184" s="34" t="n">
        <x:v>45643</x:v>
      </x:c>
      <x:c r="G184" s="32" t="str">
        <x:v>API access</x:v>
      </x:c>
      <x:c r="H184" s="34" t="n">
        <x:v>45631</x:v>
      </x:c>
      <x:c r="I184" s="52" t="str"/>
      <x:c r="J184" s="32" t="str">
        <x:v>Unknown</x:v>
      </x:c>
      <x:c r="K184" s="32" t="str">
        <x:v>OpenAI's first reasoning model, evaluated with at the medium reasoning effort level.</x:v>
      </x:c>
      <x:c r="L184" s="32" t="str"/>
      <x:c r="M184" s="32" t="str"/>
      <x:c r="N184" s="32" t="str">
        <x:v>o1</x:v>
      </x:c>
      <x:c r="O184" s="32" t="str">
        <x:v>o1</x:v>
      </x:c>
      <x:c r="P184" s="44" t="n">
        <x:v>142.69</x:v>
      </x:c>
      <x:c r="Q184" s="44" t="n">
        <x:v>140.88</x:v>
      </x:c>
      <x:c r="R184" s="44" t="n">
        <x:v>143.81</x:v>
      </x:c>
    </x:row>
    <x:row r="185">
      <x:c r="A185" s="32" t="str">
        <x:v>Llama 3-70B</x:v>
      </x:c>
      <x:c r="B185" s="32" t="str">
        <x:v>Meta-Llama-3-70B-Instruct</x:v>
      </x:c>
      <x:c r="C185" s="32" t="str"/>
      <x:c r="D185" s="32" t="str">
        <x:v>Meta AI</x:v>
      </x:c>
      <x:c r="E185" s="32" t="str">
        <x:v>United States of America</x:v>
      </x:c>
      <x:c r="F185" s="34" t="n">
        <x:v>45400</x:v>
      </x:c>
      <x:c r="G185" s="32" t="str">
        <x:v>Open weights (restricted use)</x:v>
      </x:c>
      <x:c r="H185" s="34" t="n">
        <x:v>45400</x:v>
      </x:c>
      <x:c r="I185" s="52" t="n">
        <x:v>7.861e+24</x:v>
      </x:c>
      <x:c r="J185" s="32" t="str">
        <x:v>Confident</x:v>
      </x:c>
      <x:c r="K185" s="32" t="str">
        <x:v>An instruction-tuned version of the 70 billion-parameter model in Meta’s LLaMA 3 series.</x:v>
      </x:c>
      <x:c r="L185" s="32" t="str"/>
      <x:c r="M185" s="32" t="str"/>
      <x:c r="N185" s="32" t="str">
        <x:v>Llama 3-70B</x:v>
      </x:c>
      <x:c r="O185" s="32" t="str">
        <x:v>llama-3-70b</x:v>
      </x:c>
      <x:c r="P185" s="44" t="n">
        <x:v>122.61</x:v>
      </x:c>
      <x:c r="Q185" s="44" t="n">
        <x:v>115.79</x:v>
      </x:c>
      <x:c r="R185" s="44" t="n">
        <x:v>125.52</x:v>
      </x:c>
    </x:row>
    <x:row r="186">
      <x:c r="A186" s="32" t="str">
        <x:v>Gemini 1.5 Pro</x:v>
      </x:c>
      <x:c r="B186" s="32" t="str">
        <x:v>gemini-1.5-pro-001</x:v>
      </x:c>
      <x:c r="C186" s="32" t="str"/>
      <x:c r="D186" s="32" t="str">
        <x:v>Google DeepMind</x:v>
      </x:c>
      <x:c r="E186" s="32" t="str">
        <x:v>United States of America</x:v>
      </x:c>
      <x:c r="F186" s="34" t="n">
        <x:v>45426</x:v>
      </x:c>
      <x:c r="G186" s="32" t="str">
        <x:v>API access</x:v>
      </x:c>
      <x:c r="H186" s="34" t="n">
        <x:v>45337</x:v>
      </x:c>
      <x:c r="I186" s="52" t="str"/>
      <x:c r="J186" s="32" t="str">
        <x:v>Speculative</x:v>
      </x:c>
      <x:c r="K186" s="32" t="str">
        <x:v>The first of two versions of a previous flagship model from Google DeepMind, Gemini 1.5 Pro.</x:v>
      </x:c>
      <x:c r="L186" s="32" t="str"/>
      <x:c r="M186" s="32" t="str">
        <x:v>Gemini 1.5 Pro (May 2024)</x:v>
      </x:c>
      <x:c r="N186" s="32" t="str">
        <x:v>Gemini 1.5 Pro (May 2024)</x:v>
      </x:c>
      <x:c r="O186" s="32" t="str">
        <x:v>gemini-1-5-pro-may-2024</x:v>
      </x:c>
      <x:c r="P186" s="44" t="n">
        <x:v>127.2</x:v>
      </x:c>
      <x:c r="Q186" s="44" t="n">
        <x:v>121.34</x:v>
      </x:c>
      <x:c r="R186" s="44" t="n">
        <x:v>129.39</x:v>
      </x:c>
    </x:row>
    <x:row r="187">
      <x:c r="A187" s="32" t="str">
        <x:v>Llama 3.3 70B</x:v>
      </x:c>
      <x:c r="B187" s="32" t="str">
        <x:v>Llama-3.3-70B-Instruct</x:v>
      </x:c>
      <x:c r="C187" s="32" t="str"/>
      <x:c r="D187" s="32" t="str">
        <x:v>Meta AI</x:v>
      </x:c>
      <x:c r="E187" s="32" t="str">
        <x:v>United States of America</x:v>
      </x:c>
      <x:c r="F187" s="34" t="n">
        <x:v>45632</x:v>
      </x:c>
      <x:c r="G187" s="32" t="str">
        <x:v>Open weights (restricted use)</x:v>
      </x:c>
      <x:c r="H187" s="34" t="n">
        <x:v>45632</x:v>
      </x:c>
      <x:c r="I187" s="52" t="n">
        <x:v>6.8649768e+24</x:v>
      </x:c>
      <x:c r="J187" s="32" t="str">
        <x:v>Confident</x:v>
      </x:c>
      <x:c r="K187" s="32" t="str">
        <x:v>An instruction-tuned version of the 70 billion-parameter model in Meta's Llama 3.3 series.</x:v>
      </x:c>
      <x:c r="L187" s="32" t="str"/>
      <x:c r="M187" s="32" t="str"/>
      <x:c r="N187" s="32" t="str">
        <x:v>Llama 3.3 70B</x:v>
      </x:c>
      <x:c r="O187" s="32" t="str">
        <x:v>llama-3-3-70b</x:v>
      </x:c>
      <x:c r="P187" s="44" t="n">
        <x:v>127.5</x:v>
      </x:c>
      <x:c r="Q187" s="44" t="n">
        <x:v>122.01</x:v>
      </x:c>
      <x:c r="R187" s="44" t="n">
        <x:v>129.87</x:v>
      </x:c>
    </x:row>
    <x:row r="188">
      <x:c r="A188" s="32" t="str">
        <x:v>Llama 3.2 90B</x:v>
      </x:c>
      <x:c r="B188" s="32" t="str">
        <x:v>Llama-3.2-90B-Vision-Instruct</x:v>
      </x:c>
      <x:c r="C188" s="32" t="str"/>
      <x:c r="D188" s="32" t="str">
        <x:v>Meta AI</x:v>
      </x:c>
      <x:c r="E188" s="32" t="str">
        <x:v>United States of America</x:v>
      </x:c>
      <x:c r="F188" s="34" t="n">
        <x:v>45559</x:v>
      </x:c>
      <x:c r="G188" s="32" t="str">
        <x:v>Open weights (restricted use)</x:v>
      </x:c>
      <x:c r="H188" s="34" t="n">
        <x:v>45559</x:v>
      </x:c>
      <x:c r="I188" s="52" t="str"/>
      <x:c r="J188" s="32" t="str">
        <x:v>Confident</x:v>
      </x:c>
      <x:c r="K188" s="32" t="str">
        <x:v>An instruction-tuned version of the 90 billion-parameter vision model in Meta's Llama 3.3 series.</x:v>
      </x:c>
      <x:c r="L188" s="32" t="str"/>
      <x:c r="M188" s="32" t="str"/>
      <x:c r="N188" s="32" t="str">
        <x:v>Llama 3.2 90B</x:v>
      </x:c>
      <x:c r="O188" s="32" t="str">
        <x:v>llama-3-2-90b</x:v>
      </x:c>
      <x:c r="P188" s="44" t="n">
        <x:v>125.71</x:v>
      </x:c>
      <x:c r="Q188" s="44" t="n">
        <x:v>119.36</x:v>
      </x:c>
      <x:c r="R188" s="44" t="n">
        <x:v>127.43</x:v>
      </x:c>
    </x:row>
    <x:row r="189">
      <x:c r="A189" s="32" t="str">
        <x:v>Llama 2-70B</x:v>
      </x:c>
      <x:c r="B189" s="32" t="str">
        <x:v>Llama-2-70b-chat-hf</x:v>
      </x:c>
      <x:c r="C189" s="32" t="str"/>
      <x:c r="D189" s="32" t="str">
        <x:v>Meta AI</x:v>
      </x:c>
      <x:c r="E189" s="32" t="str">
        <x:v>United States of America</x:v>
      </x:c>
      <x:c r="F189" s="34" t="n">
        <x:v>45125</x:v>
      </x:c>
      <x:c r="G189" s="32" t="str">
        <x:v>Open weights (restricted use)</x:v>
      </x:c>
      <x:c r="H189" s="34" t="n">
        <x:v>45125</x:v>
      </x:c>
      <x:c r="I189" s="52" t="n">
        <x:v>8.1e+23</x:v>
      </x:c>
      <x:c r="J189" s="32" t="str">
        <x:v>Confident</x:v>
      </x:c>
      <x:c r="K189" s="32" t="str">
        <x:v>A chat-optimized version of the 70-billion parameter model in Meta's Llama 2 series.</x:v>
      </x:c>
      <x:c r="L189" s="32" t="str"/>
      <x:c r="M189" s="32" t="str"/>
      <x:c r="N189" s="32" t="str">
        <x:v>Llama 2-70B</x:v>
      </x:c>
      <x:c r="O189" s="32" t="str">
        <x:v>llama-2-70b</x:v>
      </x:c>
      <x:c r="P189" s="44" t="n">
        <x:v>113.72</x:v>
      </x:c>
      <x:c r="Q189" s="44" t="n">
        <x:v>104.07</x:v>
      </x:c>
      <x:c r="R189" s="44" t="n">
        <x:v>117.82</x:v>
      </x:c>
    </x:row>
    <x:row r="190">
      <x:c r="A190" s="32" t="str">
        <x:v>Gemini 1.5 Pro</x:v>
      </x:c>
      <x:c r="B190" s="32" t="str">
        <x:v>gemini-1.5-pro-002</x:v>
      </x:c>
      <x:c r="C190" s="32" t="str"/>
      <x:c r="D190" s="32" t="str">
        <x:v>Google DeepMind</x:v>
      </x:c>
      <x:c r="E190" s="32" t="str">
        <x:v>United States of America</x:v>
      </x:c>
      <x:c r="F190" s="34" t="n">
        <x:v>45559</x:v>
      </x:c>
      <x:c r="G190" s="32" t="str">
        <x:v>API access</x:v>
      </x:c>
      <x:c r="H190" s="34" t="n">
        <x:v>45337</x:v>
      </x:c>
      <x:c r="I190" s="52" t="str"/>
      <x:c r="J190" s="32" t="str">
        <x:v>Speculative</x:v>
      </x:c>
      <x:c r="K190" s="32" t="str">
        <x:v>The first of two versions of a previous flagship model from Google DeepMind, Gemini 1.5 Pro.</x:v>
      </x:c>
      <x:c r="L190" s="32" t="str"/>
      <x:c r="M190" s="32" t="str">
        <x:v>Gemini 1.5 Pro (Sept 2024)</x:v>
      </x:c>
      <x:c r="N190" s="32" t="str">
        <x:v>Gemini 1.5 Pro (Sept 2024)</x:v>
      </x:c>
      <x:c r="O190" s="32" t="str">
        <x:v>gemini-1-5-pro-sept-2024</x:v>
      </x:c>
      <x:c r="P190" s="44" t="n">
        <x:v>132.7</x:v>
      </x:c>
      <x:c r="Q190" s="44" t="n">
        <x:v>127.97</x:v>
      </x:c>
      <x:c r="R190" s="44" t="n">
        <x:v>133.93</x:v>
      </x:c>
    </x:row>
    <x:row r="191">
      <x:c r="A191" s="32" t="str">
        <x:v>Qwen2.5-32B</x:v>
      </x:c>
      <x:c r="B191" s="32" t="str">
        <x:v>qwen2.5-32b-instruct</x:v>
      </x:c>
      <x:c r="C191" s="32" t="str"/>
      <x:c r="D191" s="32" t="str">
        <x:v>Alibaba</x:v>
      </x:c>
      <x:c r="E191" s="32" t="str">
        <x:v>China</x:v>
      </x:c>
      <x:c r="F191" s="34" t="n">
        <x:v>45552</x:v>
      </x:c>
      <x:c r="G191" s="32" t="str">
        <x:v>Open weights (unrestricted)</x:v>
      </x:c>
      <x:c r="H191" s="34" t="n">
        <x:v>45552</x:v>
      </x:c>
      <x:c r="I191" s="52" t="n">
        <x:v>3.51e+24</x:v>
      </x:c>
      <x:c r="J191" s="32" t="str">
        <x:v>Confident</x:v>
      </x:c>
      <x:c r="K191" s="32" t="str"/>
      <x:c r="L191" s="32" t="str">
        <x:v>Qwen2.5-32B (instruct)</x:v>
      </x:c>
      <x:c r="M191" s="32" t="str"/>
      <x:c r="N191" s="32" t="str">
        <x:v>Qwen2.5-32B</x:v>
      </x:c>
      <x:c r="O191" s="32" t="str">
        <x:v>qwen2-5-32b</x:v>
      </x:c>
      <x:c r="P191" s="44" t="str"/>
      <x:c r="Q191" s="44" t="str"/>
      <x:c r="R191" s="44" t="str"/>
    </x:row>
    <x:row r="192">
      <x:c r="A192" s="32" t="str">
        <x:v>Mistral Large</x:v>
      </x:c>
      <x:c r="B192" s="32" t="str">
        <x:v>mistral-large-2402</x:v>
      </x:c>
      <x:c r="C192" s="32" t="str"/>
      <x:c r="D192" s="32" t="str">
        <x:v>Mistral AI</x:v>
      </x:c>
      <x:c r="E192" s="32" t="str">
        <x:v>France</x:v>
      </x:c>
      <x:c r="F192" s="34" t="n">
        <x:v>45348</x:v>
      </x:c>
      <x:c r="G192" s="32" t="str">
        <x:v>API access</x:v>
      </x:c>
      <x:c r="H192" s="34" t="n">
        <x:v>45348</x:v>
      </x:c>
      <x:c r="I192" s="52" t="n">
        <x:v>1.1199999999999999e+25</x:v>
      </x:c>
      <x:c r="J192" s="32" t="str">
        <x:v>Likely</x:v>
      </x:c>
      <x:c r="K192" s="32" t="str"/>
      <x:c r="L192" s="32" t="str"/>
      <x:c r="M192" s="32" t="str"/>
      <x:c r="N192" s="32" t="str">
        <x:v>Mistral Large</x:v>
      </x:c>
      <x:c r="O192" s="32" t="str">
        <x:v>mistral-large</x:v>
      </x:c>
      <x:c r="P192" s="44" t="n">
        <x:v>121.01</x:v>
      </x:c>
      <x:c r="Q192" s="44" t="n">
        <x:v>112.49</x:v>
      </x:c>
      <x:c r="R192" s="44" t="n">
        <x:v>123.7</x:v>
      </x:c>
    </x:row>
    <x:row r="193">
      <x:c r="A193" s="32" t="str">
        <x:v>Claude 3 Sonnet</x:v>
      </x:c>
      <x:c r="B193" s="32" t="str">
        <x:v>claude-3-sonnet-20240229</x:v>
      </x:c>
      <x:c r="C193" s="32" t="str"/>
      <x:c r="D193" s="32" t="str">
        <x:v>Anthropic</x:v>
      </x:c>
      <x:c r="E193" s="32" t="str">
        <x:v>United States of America</x:v>
      </x:c>
      <x:c r="F193" s="34" t="n">
        <x:v>45351</x:v>
      </x:c>
      <x:c r="G193" s="32" t="str">
        <x:v>API access</x:v>
      </x:c>
      <x:c r="H193" s="34" t="n">
        <x:v>45355</x:v>
      </x:c>
      <x:c r="I193" s="52" t="str"/>
      <x:c r="J193" s="32" t="str">
        <x:v>Unknown</x:v>
      </x:c>
      <x:c r="K193" s="32" t="str">
        <x:v>The mid-sized model in Anthropic's Claude 3 model series.</x:v>
      </x:c>
      <x:c r="L193" s="32" t="str">
        <x:v>Claude 3 Sonnet</x:v>
      </x:c>
      <x:c r="M193" s="32" t="str"/>
      <x:c r="N193" s="32" t="str">
        <x:v>Claude 3 Sonnet</x:v>
      </x:c>
      <x:c r="O193" s="32" t="str">
        <x:v>claude-3-sonnet</x:v>
      </x:c>
      <x:c r="P193" s="44" t="n">
        <x:v>119.9</x:v>
      </x:c>
      <x:c r="Q193" s="44" t="n">
        <x:v>111.74</x:v>
      </x:c>
      <x:c r="R193" s="44" t="n">
        <x:v>122.91</x:v>
      </x:c>
    </x:row>
    <x:row r="194">
      <x:c r="A194" s="32" t="str">
        <x:v>Gemini 1.0 Pro</x:v>
      </x:c>
      <x:c r="B194" s="32" t="str">
        <x:v>gemini-1.0-pro-001</x:v>
      </x:c>
      <x:c r="C194" s="32" t="str"/>
      <x:c r="D194" s="32" t="str">
        <x:v>Google DeepMind</x:v>
      </x:c>
      <x:c r="E194" s="32" t="str">
        <x:v>United States of America</x:v>
      </x:c>
      <x:c r="F194" s="34" t="n">
        <x:v>45273</x:v>
      </x:c>
      <x:c r="G194" s="32" t="str">
        <x:v>API access</x:v>
      </x:c>
      <x:c r="H194" s="34" t="n">
        <x:v>45266</x:v>
      </x:c>
      <x:c r="I194" s="52" t="str"/>
      <x:c r="J194" s="32" t="str">
        <x:v>Speculative</x:v>
      </x:c>
      <x:c r="K194" s="32" t="str">
        <x:v>An earlier flagship model from Google DeepMind.</x:v>
      </x:c>
      <x:c r="L194" s="32" t="str"/>
      <x:c r="M194" s="32" t="str"/>
      <x:c r="N194" s="32" t="str">
        <x:v>Gemini 1.0 Pro</x:v>
      </x:c>
      <x:c r="O194" s="32" t="str">
        <x:v>gemini-1-0-pro</x:v>
      </x:c>
      <x:c r="P194" s="44" t="n">
        <x:v>117</x:v>
      </x:c>
      <x:c r="Q194" s="44" t="n">
        <x:v>108.79</x:v>
      </x:c>
      <x:c r="R194" s="44" t="n">
        <x:v>119.86</x:v>
      </x:c>
    </x:row>
    <x:row r="195">
      <x:c r="A195" s="32" t="str">
        <x:v>Llama 3.1-8B</x:v>
      </x:c>
      <x:c r="B195" s="32" t="str">
        <x:v>Llama-3.1-8B-Instruct</x:v>
      </x:c>
      <x:c r="C195" s="32" t="str"/>
      <x:c r="D195" s="32" t="str">
        <x:v>Meta AI</x:v>
      </x:c>
      <x:c r="E195" s="32" t="str">
        <x:v>United States of America</x:v>
      </x:c>
      <x:c r="F195" s="34" t="n">
        <x:v>45496</x:v>
      </x:c>
      <x:c r="G195" s="32" t="str">
        <x:v>Open weights (restricted use)</x:v>
      </x:c>
      <x:c r="H195" s="34" t="n">
        <x:v>45496</x:v>
      </x:c>
      <x:c r="I195" s="52" t="n">
        <x:v>1.224e+24</x:v>
      </x:c>
      <x:c r="J195" s="32" t="str">
        <x:v>Likely</x:v>
      </x:c>
      <x:c r="K195" s="32" t="str">
        <x:v>An instruction-tuned version of the 8 billion-parameter model in Meta’s LLaMA 3.1 series.</x:v>
      </x:c>
      <x:c r="L195" s="32" t="str"/>
      <x:c r="M195" s="32" t="str"/>
      <x:c r="N195" s="32" t="str">
        <x:v>Llama 3.1-8B</x:v>
      </x:c>
      <x:c r="O195" s="32" t="str">
        <x:v>llama-3-1-8b</x:v>
      </x:c>
      <x:c r="P195" s="44" t="n">
        <x:v>115.45</x:v>
      </x:c>
      <x:c r="Q195" s="44" t="n">
        <x:v>103.85</x:v>
      </x:c>
      <x:c r="R195" s="44" t="n">
        <x:v>121.29</x:v>
      </x:c>
    </x:row>
    <x:row r="196">
      <x:c r="A196" s="32" t="str">
        <x:v>Llama 3.1-405B</x:v>
      </x:c>
      <x:c r="B196" s="32" t="str">
        <x:v>Llama-3.1-405B-Instruct</x:v>
      </x:c>
      <x:c r="C196" s="32" t="str"/>
      <x:c r="D196" s="32" t="str">
        <x:v>Meta AI</x:v>
      </x:c>
      <x:c r="E196" s="32" t="str">
        <x:v>United States of America</x:v>
      </x:c>
      <x:c r="F196" s="34" t="n">
        <x:v>45496</x:v>
      </x:c>
      <x:c r="G196" s="32" t="str">
        <x:v>Open weights (restricted use)</x:v>
      </x:c>
      <x:c r="H196" s="34" t="n">
        <x:v>45496</x:v>
      </x:c>
      <x:c r="I196" s="52" t="n">
        <x:v>3.8e+25</x:v>
      </x:c>
      <x:c r="J196" s="32" t="str">
        <x:v>Confident</x:v>
      </x:c>
      <x:c r="K196" s="32" t="str">
        <x:v>An instruction-tuned version of the 405 billion-parameter model in Meta’s LLaMA 3.1 series.</x:v>
      </x:c>
      <x:c r="L196" s="32" t="str"/>
      <x:c r="M196" s="32" t="str"/>
      <x:c r="N196" s="32" t="str">
        <x:v>Llama 3.1-405B</x:v>
      </x:c>
      <x:c r="O196" s="32" t="str">
        <x:v>llama-3-1-405b</x:v>
      </x:c>
      <x:c r="P196" s="44" t="n">
        <x:v>128.99</x:v>
      </x:c>
      <x:c r="Q196" s="44" t="n">
        <x:v>123.59</x:v>
      </x:c>
      <x:c r="R196" s="44" t="n">
        <x:v>130.73</x:v>
      </x:c>
    </x:row>
    <x:row r="197">
      <x:c r="A197" s="32" t="str">
        <x:v>Qwen2.5-72B</x:v>
      </x:c>
      <x:c r="B197" s="32" t="str">
        <x:v>qwen2.5-72b-instruct</x:v>
      </x:c>
      <x:c r="C197" s="32" t="str"/>
      <x:c r="D197" s="32" t="str">
        <x:v>Alibaba</x:v>
      </x:c>
      <x:c r="E197" s="32" t="str">
        <x:v>China</x:v>
      </x:c>
      <x:c r="F197" s="34" t="n">
        <x:v>45554</x:v>
      </x:c>
      <x:c r="G197" s="32" t="str">
        <x:v>Open weights (unrestricted)</x:v>
      </x:c>
      <x:c r="H197" s="34" t="n">
        <x:v>45554</x:v>
      </x:c>
      <x:c r="I197" s="52" t="n">
        <x:v>7.8e+24</x:v>
      </x:c>
      <x:c r="J197" s="32" t="str">
        <x:v>Confident</x:v>
      </x:c>
      <x:c r="K197" s="32" t="str">
        <x:v>An instruction-tuned version of the 72 billion-parameter model in the Qwen 2.5 series.</x:v>
      </x:c>
      <x:c r="L197" s="32" t="str">
        <x:v>Qwen2.5-72B</x:v>
      </x:c>
      <x:c r="M197" s="32" t="str"/>
      <x:c r="N197" s="32" t="str">
        <x:v>Qwen2.5-72B</x:v>
      </x:c>
      <x:c r="O197" s="32" t="str">
        <x:v>qwen2-5-72b</x:v>
      </x:c>
      <x:c r="P197" s="44" t="n">
        <x:v>129.12</x:v>
      </x:c>
      <x:c r="Q197" s="44" t="n">
        <x:v>122.2</x:v>
      </x:c>
      <x:c r="R197" s="44" t="n">
        <x:v>130.91</x:v>
      </x:c>
    </x:row>
    <x:row r="198">
      <x:c r="A198" s="32" t="str">
        <x:v>GPT-4o</x:v>
      </x:c>
      <x:c r="B198" s="32" t="str">
        <x:v>gpt-4o-2024-05-13</x:v>
      </x:c>
      <x:c r="C198" s="32" t="str">
        <x:v>GPT-4o (May 2024)</x:v>
      </x:c>
      <x:c r="D198" s="32" t="str">
        <x:v>OpenAI</x:v>
      </x:c>
      <x:c r="E198" s="32" t="str">
        <x:v>United States of America</x:v>
      </x:c>
      <x:c r="F198" s="34" t="n">
        <x:v>45425</x:v>
      </x:c>
      <x:c r="G198" s="32" t="str">
        <x:v>API access</x:v>
      </x:c>
      <x:c r="H198" s="34" t="n">
        <x:v>45425</x:v>
      </x:c>
      <x:c r="I198" s="52" t="str"/>
      <x:c r="J198" s="32" t="str">
        <x:v>Speculative</x:v>
      </x:c>
      <x:c r="K198" s="32" t="str">
        <x:v>The first version of GPT-4o, OpenAI's last multimodal model in the GPT-4 series, which powered ChatGPT from mid-2024 to -2025.</x:v>
      </x:c>
      <x:c r="L198" s="32" t="str"/>
      <x:c r="M198" s="32" t="str">
        <x:v>GPT-4o (May 2024)</x:v>
      </x:c>
      <x:c r="N198" s="32" t="str">
        <x:v>GPT-4o (May 2024)</x:v>
      </x:c>
      <x:c r="O198" s="32" t="str">
        <x:v>gpt-4o-may-2024</x:v>
      </x:c>
      <x:c r="P198" s="44" t="n">
        <x:v>128.83</x:v>
      </x:c>
      <x:c r="Q198" s="44" t="n">
        <x:v>123.33</x:v>
      </x:c>
      <x:c r="R198" s="44" t="n">
        <x:v>130.68</x:v>
      </x:c>
    </x:row>
    <x:row r="199">
      <x:c r="A199" s="32" t="str">
        <x:v>Llama 3.1-70B</x:v>
      </x:c>
      <x:c r="B199" s="32" t="str">
        <x:v>Llama-3.1-70B-Instruct</x:v>
      </x:c>
      <x:c r="C199" s="32" t="str"/>
      <x:c r="D199" s="32" t="str">
        <x:v>Meta AI</x:v>
      </x:c>
      <x:c r="E199" s="32" t="str">
        <x:v>United States of America</x:v>
      </x:c>
      <x:c r="F199" s="34" t="n">
        <x:v>45496</x:v>
      </x:c>
      <x:c r="G199" s="32" t="str">
        <x:v>Open weights (restricted use)</x:v>
      </x:c>
      <x:c r="H199" s="34" t="n">
        <x:v>45496</x:v>
      </x:c>
      <x:c r="I199" s="52" t="n">
        <x:v>7.929e+24</x:v>
      </x:c>
      <x:c r="J199" s="32" t="str">
        <x:v>Confident</x:v>
      </x:c>
      <x:c r="K199" s="32" t="str">
        <x:v>An instruction-optimized version of Llama 3.1 70B, the 70 billion-parameter model in Meta's Llama 3.1 series.</x:v>
      </x:c>
      <x:c r="L199" s="32" t="str"/>
      <x:c r="M199" s="32" t="str"/>
      <x:c r="N199" s="32" t="str">
        <x:v>Llama 3.1-70B</x:v>
      </x:c>
      <x:c r="O199" s="32" t="str">
        <x:v>llama-3-1-70b</x:v>
      </x:c>
      <x:c r="P199" s="44" t="n">
        <x:v>125.53</x:v>
      </x:c>
      <x:c r="Q199" s="44" t="n">
        <x:v>118.91</x:v>
      </x:c>
      <x:c r="R199" s="44" t="n">
        <x:v>127.47</x:v>
      </x:c>
    </x:row>
    <x:row r="200">
      <x:c r="A200" s="32" t="str">
        <x:v>Gemini 1.5 Flash</x:v>
      </x:c>
      <x:c r="B200" s="32" t="str">
        <x:v>gemini-1.5-flash-001</x:v>
      </x:c>
      <x:c r="C200" s="32" t="str">
        <x:v>Gemini 1.5 Flash (May 2024)</x:v>
      </x:c>
      <x:c r="D200" s="32" t="str">
        <x:v>Google DeepMind</x:v>
      </x:c>
      <x:c r="E200" s="32" t="str">
        <x:v>United States of America</x:v>
      </x:c>
      <x:c r="F200" s="34" t="n">
        <x:v>45435</x:v>
      </x:c>
      <x:c r="G200" s="32" t="str">
        <x:v>API access</x:v>
      </x:c>
      <x:c r="H200" s="34" t="n">
        <x:v>45422</x:v>
      </x:c>
      <x:c r="I200" s="52" t="str"/>
      <x:c r="J200" s="32" t="str">
        <x:v>Unknown</x:v>
      </x:c>
      <x:c r="K200" s="32" t="str">
        <x:v>The first version of Google DeepMind's Gemini 1.5 Flash.</x:v>
      </x:c>
      <x:c r="L200" s="32" t="str"/>
      <x:c r="M200" s="32" t="str">
        <x:v>Gemini 1.5 Flash (May 2024)</x:v>
      </x:c>
      <x:c r="N200" s="32" t="str">
        <x:v>Gemini 1.5 Flash (May 2024)</x:v>
      </x:c>
      <x:c r="O200" s="32" t="str">
        <x:v>gemini-1-5-flash-may-2024</x:v>
      </x:c>
      <x:c r="P200" s="44" t="n">
        <x:v>122.54</x:v>
      </x:c>
      <x:c r="Q200" s="44" t="n">
        <x:v>115.28</x:v>
      </x:c>
      <x:c r="R200" s="44" t="n">
        <x:v>124.46</x:v>
      </x:c>
    </x:row>
    <x:row r="201">
      <x:c r="A201" s="32" t="str">
        <x:v>Claude 3 Haiku</x:v>
      </x:c>
      <x:c r="B201" s="32" t="str">
        <x:v>claude-3-haiku-20240307</x:v>
      </x:c>
      <x:c r="C201" s="32" t="str"/>
      <x:c r="D201" s="32" t="str">
        <x:v>Anthropic</x:v>
      </x:c>
      <x:c r="E201" s="32" t="str">
        <x:v>United States of America</x:v>
      </x:c>
      <x:c r="F201" s="34" t="n">
        <x:v>45358</x:v>
      </x:c>
      <x:c r="G201" s="32" t="str">
        <x:v>API access</x:v>
      </x:c>
      <x:c r="H201" s="34" t="n">
        <x:v>45355</x:v>
      </x:c>
      <x:c r="I201" s="52" t="str"/>
      <x:c r="J201" s="32" t="str">
        <x:v>Unknown</x:v>
      </x:c>
      <x:c r="K201" s="32" t="str">
        <x:v>The smallest model in Anthropic's Claude 3 series.</x:v>
      </x:c>
      <x:c r="L201" s="32" t="str">
        <x:v>Claude 3 Haiku</x:v>
      </x:c>
      <x:c r="M201" s="32" t="str"/>
      <x:c r="N201" s="32" t="str">
        <x:v>Claude 3 Haiku</x:v>
      </x:c>
      <x:c r="O201" s="32" t="str">
        <x:v>claude-3-haiku</x:v>
      </x:c>
      <x:c r="P201" s="44" t="n">
        <x:v>117.64</x:v>
      </x:c>
      <x:c r="Q201" s="44" t="n">
        <x:v>108.61</x:v>
      </x:c>
      <x:c r="R201" s="44" t="n">
        <x:v>121.01</x:v>
      </x:c>
    </x:row>
    <x:row r="202">
      <x:c r="A202" s="32" t="str">
        <x:v>Llama 3-8B</x:v>
      </x:c>
      <x:c r="B202" s="32" t="str">
        <x:v>Meta-Llama-3-8B-Instruct</x:v>
      </x:c>
      <x:c r="C202" s="32" t="str"/>
      <x:c r="D202" s="32" t="str">
        <x:v>Meta AI</x:v>
      </x:c>
      <x:c r="E202" s="32" t="str">
        <x:v>United States of America</x:v>
      </x:c>
      <x:c r="F202" s="34" t="n">
        <x:v>45400</x:v>
      </x:c>
      <x:c r="G202" s="32" t="str">
        <x:v>Open weights (restricted use)</x:v>
      </x:c>
      <x:c r="H202" s="34" t="n">
        <x:v>45400</x:v>
      </x:c>
      <x:c r="I202" s="52" t="n">
        <x:v>7.2e+23</x:v>
      </x:c>
      <x:c r="J202" s="32" t="str">
        <x:v>Confident</x:v>
      </x:c>
      <x:c r="K202" s="32" t="str">
        <x:v>An instruction-tuned version of the 8 billion-parameter model in Meta's Llama 3 series.</x:v>
      </x:c>
      <x:c r="L202" s="32" t="str"/>
      <x:c r="M202" s="32" t="str"/>
      <x:c r="N202" s="32" t="str">
        <x:v>Llama 3-8B</x:v>
      </x:c>
      <x:c r="O202" s="32" t="str">
        <x:v>llama-3-8b</x:v>
      </x:c>
      <x:c r="P202" s="44" t="n">
        <x:v>116.43</x:v>
      </x:c>
      <x:c r="Q202" s="44" t="n">
        <x:v>107.42</x:v>
      </x:c>
      <x:c r="R202" s="44" t="n">
        <x:v>119.25</x:v>
      </x:c>
    </x:row>
    <x:row r="203">
      <x:c r="A203" s="32" t="str">
        <x:v>Claude 3 Opus</x:v>
      </x:c>
      <x:c r="B203" s="32" t="str">
        <x:v>claude-3-opus-20240229</x:v>
      </x:c>
      <x:c r="C203" s="32" t="str"/>
      <x:c r="D203" s="32" t="str">
        <x:v>Anthropic</x:v>
      </x:c>
      <x:c r="E203" s="32" t="str">
        <x:v>United States of America</x:v>
      </x:c>
      <x:c r="F203" s="34" t="n">
        <x:v>45351</x:v>
      </x:c>
      <x:c r="G203" s="32" t="str">
        <x:v>API access</x:v>
      </x:c>
      <x:c r="H203" s="34" t="n">
        <x:v>45355</x:v>
      </x:c>
      <x:c r="I203" s="52" t="str"/>
      <x:c r="J203" s="32" t="str">
        <x:v>Speculative</x:v>
      </x:c>
      <x:c r="K203" s="32" t="str">
        <x:v>The largest model in Anthropic's Claude 3 model series.</x:v>
      </x:c>
      <x:c r="L203" s="32" t="str">
        <x:v>Claude 3 Opus</x:v>
      </x:c>
      <x:c r="M203" s="32" t="str"/>
      <x:c r="N203" s="32" t="str">
        <x:v>Claude 3 Opus</x:v>
      </x:c>
      <x:c r="O203" s="32" t="str">
        <x:v>claude-3-opus</x:v>
      </x:c>
      <x:c r="P203" s="44" t="n">
        <x:v>126.92</x:v>
      </x:c>
      <x:c r="Q203" s="44" t="n">
        <x:v>121.31</x:v>
      </x:c>
      <x:c r="R203" s="44" t="n">
        <x:v>129.83</x:v>
      </x:c>
    </x:row>
    <x:row r="204">
      <x:c r="A204" s="32" t="str">
        <x:v>Phi-4</x:v>
      </x:c>
      <x:c r="B204" s="32" t="str">
        <x:v>phi-4</x:v>
      </x:c>
      <x:c r="C204" s="32" t="str"/>
      <x:c r="D204" s="32" t="str">
        <x:v>Microsoft Research</x:v>
      </x:c>
      <x:c r="E204" s="32" t="str">
        <x:v>United States of America</x:v>
      </x:c>
      <x:c r="F204" s="34" t="n">
        <x:v>45638</x:v>
      </x:c>
      <x:c r="G204" s="32" t="str">
        <x:v>Open weights (unrestricted)</x:v>
      </x:c>
      <x:c r="H204" s="34" t="n">
        <x:v>45638</x:v>
      </x:c>
      <x:c r="I204" s="52" t="n">
        <x:v>9.3202015e+23</x:v>
      </x:c>
      <x:c r="J204" s="32" t="str">
        <x:v>Confident</x:v>
      </x:c>
      <x:c r="K204" s="32" t="str"/>
      <x:c r="L204" s="32" t="str"/>
      <x:c r="M204" s="32" t="str">
        <x:v>Phi-4</x:v>
      </x:c>
      <x:c r="N204" s="32" t="str">
        <x:v>Phi-4</x:v>
      </x:c>
      <x:c r="O204" s="32" t="str">
        <x:v>phi-4</x:v>
      </x:c>
      <x:c r="P204" s="44" t="n">
        <x:v>131.05</x:v>
      </x:c>
      <x:c r="Q204" s="44" t="n">
        <x:v>123.6</x:v>
      </x:c>
      <x:c r="R204" s="44" t="n">
        <x:v>132.36</x:v>
      </x:c>
    </x:row>
    <x:row r="205">
      <x:c r="A205" s="32" t="str">
        <x:v>Mistral Large 2</x:v>
      </x:c>
      <x:c r="B205" s="32" t="str">
        <x:v>mistral-large-2407</x:v>
      </x:c>
      <x:c r="C205" s="32" t="str"/>
      <x:c r="D205" s="32" t="str">
        <x:v>Mistral AI</x:v>
      </x:c>
      <x:c r="E205" s="32" t="str">
        <x:v>France</x:v>
      </x:c>
      <x:c r="F205" s="34" t="n">
        <x:v>45497</x:v>
      </x:c>
      <x:c r="G205" s="32" t="str">
        <x:v>Open weights (non-commercial)</x:v>
      </x:c>
      <x:c r="H205" s="34" t="n">
        <x:v>45497</x:v>
      </x:c>
      <x:c r="I205" s="52" t="n">
        <x:v>2.13e+25</x:v>
      </x:c>
      <x:c r="J205" s="32" t="str">
        <x:v>Likely</x:v>
      </x:c>
      <x:c r="K205" s="32" t="str"/>
      <x:c r="L205" s="32" t="str"/>
      <x:c r="M205" s="32" t="str">
        <x:v>Mistral Large 2 (Jul 2024)</x:v>
      </x:c>
      <x:c r="N205" s="32" t="str">
        <x:v>Mistral Large 2 (Jul 2024)</x:v>
      </x:c>
      <x:c r="O205" s="32" t="str">
        <x:v>mistral-large-2-jul-2024</x:v>
      </x:c>
      <x:c r="P205" s="44" t="n">
        <x:v>127.53</x:v>
      </x:c>
      <x:c r="Q205" s="44" t="n">
        <x:v>121.93</x:v>
      </x:c>
      <x:c r="R205" s="44" t="n">
        <x:v>129.33</x:v>
      </x:c>
    </x:row>
    <x:row r="206">
      <x:c r="A206" s="32" t="str">
        <x:v>phi-3-medium 14B</x:v>
      </x:c>
      <x:c r="B206" s="32" t="str">
        <x:v>Phi-3-medium-128k-instruct</x:v>
      </x:c>
      <x:c r="C206" s="32" t="str"/>
      <x:c r="D206" s="32" t="str">
        <x:v>Microsoft</x:v>
      </x:c>
      <x:c r="E206" s="32" t="str">
        <x:v>United States of America</x:v>
      </x:c>
      <x:c r="F206" s="34" t="n">
        <x:v>45405</x:v>
      </x:c>
      <x:c r="G206" s="32" t="str">
        <x:v>Open weights (unrestricted)</x:v>
      </x:c>
      <x:c r="H206" s="34" t="n">
        <x:v>45405</x:v>
      </x:c>
      <x:c r="I206" s="52" t="n">
        <x:v>4.032e+23</x:v>
      </x:c>
      <x:c r="J206" s="32" t="str">
        <x:v>Likely</x:v>
      </x:c>
      <x:c r="K206" s="32" t="str"/>
      <x:c r="L206" s="32" t="str"/>
      <x:c r="M206" s="32" t="str"/>
      <x:c r="N206" s="32" t="str">
        <x:v>phi-3-medium 14B</x:v>
      </x:c>
      <x:c r="O206" s="32" t="str">
        <x:v>phi-3-medium-14b</x:v>
      </x:c>
      <x:c r="P206" s="44" t="n">
        <x:v>121.07</x:v>
      </x:c>
      <x:c r="Q206" s="44" t="n">
        <x:v>113.81</x:v>
      </x:c>
      <x:c r="R206" s="44" t="n">
        <x:v>123.74</x:v>
      </x:c>
    </x:row>
    <x:row r="207">
      <x:c r="A207" s="32" t="str">
        <x:v>GPT-4 Turbo (Nov 2023)</x:v>
      </x:c>
      <x:c r="B207" s="32" t="str">
        <x:v>gpt-4-0125-preview</x:v>
      </x:c>
      <x:c r="C207" s="32" t="str">
        <x:v>GPT-4 Turbo Preview (January 2024)</x:v>
      </x:c>
      <x:c r="D207" s="32" t="str">
        <x:v>OpenAI</x:v>
      </x:c>
      <x:c r="E207" s="32" t="str">
        <x:v>United States of America</x:v>
      </x:c>
      <x:c r="F207" s="34" t="n">
        <x:v>45316</x:v>
      </x:c>
      <x:c r="G207" s="32" t="str">
        <x:v>API access</x:v>
      </x:c>
      <x:c r="H207" s="34" t="n">
        <x:v>45236</x:v>
      </x:c>
      <x:c r="I207" s="52" t="str"/>
      <x:c r="J207" s="32" t="str">
        <x:v>Unknown</x:v>
      </x:c>
      <x:c r="K207" s="32" t="str">
        <x:v>A January 2024 preview version of GPT-4 Turbo, OpenAI's updated GPT-4 series model.</x:v>
      </x:c>
      <x:c r="L207" s="32" t="str"/>
      <x:c r="M207" s="32" t="str"/>
      <x:c r="N207" s="32" t="str">
        <x:v>GPT-4 Turbo (Nov 2023)</x:v>
      </x:c>
      <x:c r="O207" s="32" t="str">
        <x:v>gpt-4-turbo-nov-2023</x:v>
      </x:c>
      <x:c r="P207" s="44" t="str"/>
      <x:c r="Q207" s="44" t="str"/>
      <x:c r="R207" s="44" t="str"/>
    </x:row>
    <x:row r="208">
      <x:c r="A208" s="32" t="str">
        <x:v>GPT-3.5 Turbo</x:v>
      </x:c>
      <x:c r="B208" s="32" t="str">
        <x:v>gpt-3.5-turbo-1106</x:v>
      </x:c>
      <x:c r="C208" s="32" t="str">
        <x:v>GPT-3.5 Turbo (Nov 2023)</x:v>
      </x:c>
      <x:c r="D208" s="32" t="str">
        <x:v>OpenAI</x:v>
      </x:c>
      <x:c r="E208" s="32" t="str">
        <x:v>United States of America</x:v>
      </x:c>
      <x:c r="F208" s="34" t="n">
        <x:v>45236</x:v>
      </x:c>
      <x:c r="G208" s="32" t="str">
        <x:v>API access</x:v>
      </x:c>
      <x:c r="H208" s="34" t="n">
        <x:v>45090</x:v>
      </x:c>
      <x:c r="I208" s="52" t="str"/>
      <x:c r="J208" s="32" t="str">
        <x:v>Likely</x:v>
      </x:c>
      <x:c r="K208" s="32" t="str">
        <x:v>A November 2023 preview of GPT-3.5 turbo, OpenAI's updated GPT-3.5 series model.</x:v>
      </x:c>
      <x:c r="L208" s="32" t="str"/>
      <x:c r="M208" s="32" t="str">
        <x:v>GPT-3.5 Turbo (Nov 2023)</x:v>
      </x:c>
      <x:c r="N208" s="32" t="str">
        <x:v>GPT-3.5 Turbo (Nov 2023)</x:v>
      </x:c>
      <x:c r="O208" s="32" t="str">
        <x:v>gpt-3-5-turbo-nov-2023</x:v>
      </x:c>
      <x:c r="P208" s="44" t="n">
        <x:v>118.28</x:v>
      </x:c>
      <x:c r="Q208" s="44" t="n">
        <x:v>108.74</x:v>
      </x:c>
      <x:c r="R208" s="44" t="n">
        <x:v>121.51</x:v>
      </x:c>
    </x:row>
    <x:row r="209">
      <x:c r="A209" s="32" t="str">
        <x:v>GPT-4 Turbo (Nov 2023)</x:v>
      </x:c>
      <x:c r="B209" s="32" t="str">
        <x:v>gpt-4-1106-preview</x:v>
      </x:c>
      <x:c r="C209" s="32" t="str">
        <x:v>GPT-4 Turbo Preview (Nov 2023)</x:v>
      </x:c>
      <x:c r="D209" s="32" t="str">
        <x:v>OpenAI</x:v>
      </x:c>
      <x:c r="E209" s="32" t="str">
        <x:v>United States of America</x:v>
      </x:c>
      <x:c r="F209" s="34" t="n">
        <x:v>45236</x:v>
      </x:c>
      <x:c r="G209" s="32" t="str">
        <x:v>API access</x:v>
      </x:c>
      <x:c r="H209" s="34" t="n">
        <x:v>45236</x:v>
      </x:c>
      <x:c r="I209" s="52" t="str"/>
      <x:c r="J209" s="32" t="str">
        <x:v>Unknown</x:v>
      </x:c>
      <x:c r="K209" s="32" t="str">
        <x:v>A November 2023 preview of GPT-4 turbo, OpenAI's updated GPT-4 series model.</x:v>
      </x:c>
      <x:c r="L209" s="32" t="str"/>
      <x:c r="M209" s="32" t="str"/>
      <x:c r="N209" s="32" t="str">
        <x:v>GPT-4 Turbo (Nov 2023)</x:v>
      </x:c>
      <x:c r="O209" s="32" t="str">
        <x:v>gpt-4-turbo-nov-2023</x:v>
      </x:c>
      <x:c r="P209" s="44" t="str"/>
      <x:c r="Q209" s="44" t="str"/>
      <x:c r="R209" s="44" t="str"/>
    </x:row>
    <x:row r="210">
      <x:c r="A210" s="32" t="str">
        <x:v>GPT-3.5 Turbo</x:v>
      </x:c>
      <x:c r="B210" s="32" t="str">
        <x:v>gpt-3.5-turbo-0125</x:v>
      </x:c>
      <x:c r="C210" s="32" t="str">
        <x:v>GPT-3.5 Turbo (Jan 2024)</x:v>
      </x:c>
      <x:c r="D210" s="32" t="str">
        <x:v>OpenAI</x:v>
      </x:c>
      <x:c r="E210" s="32" t="str">
        <x:v>United States of America</x:v>
      </x:c>
      <x:c r="F210" s="34" t="n">
        <x:v>45316</x:v>
      </x:c>
      <x:c r="G210" s="32" t="str">
        <x:v>API access</x:v>
      </x:c>
      <x:c r="H210" s="34" t="n">
        <x:v>45090</x:v>
      </x:c>
      <x:c r="I210" s="52" t="str"/>
      <x:c r="J210" s="32" t="str">
        <x:v>Likely</x:v>
      </x:c>
      <x:c r="K210" s="32" t="str">
        <x:v>A January 2024 preview version of GPT-3.5 Turbo, OpenAI's updated GPT-3.5 series model.</x:v>
      </x:c>
      <x:c r="L210" s="32" t="str"/>
      <x:c r="M210" s="32" t="str">
        <x:v>GPT-3.5 Turbo (Jan 2024)</x:v>
      </x:c>
      <x:c r="N210" s="32" t="str">
        <x:v>GPT-3.5 Turbo (Jan 2024)</x:v>
      </x:c>
      <x:c r="O210" s="32" t="str">
        <x:v>gpt-3-5-turbo-jan-2024</x:v>
      </x:c>
      <x:c r="P210" s="44" t="n">
        <x:v>114.42</x:v>
      </x:c>
      <x:c r="Q210" s="44" t="n">
        <x:v>104.52</x:v>
      </x:c>
      <x:c r="R210" s="44" t="n">
        <x:v>117.76</x:v>
      </x:c>
    </x:row>
    <x:row r="211">
      <x:c r="A211" s="32" t="str">
        <x:v>Yi-1.5-34B</x:v>
      </x:c>
      <x:c r="B211" s="32" t="str">
        <x:v>Yi-1.5-34B-Chat</x:v>
      </x:c>
      <x:c r="C211" s="32" t="str"/>
      <x:c r="D211" s="32" t="str">
        <x:v>01.AI</x:v>
      </x:c>
      <x:c r="E211" s="32" t="str">
        <x:v>China</x:v>
      </x:c>
      <x:c r="F211" s="34" t="n">
        <x:v>45425</x:v>
      </x:c>
      <x:c r="G211" s="32" t="str">
        <x:v>Open weights (restricted use)</x:v>
      </x:c>
      <x:c r="H211" s="34" t="n">
        <x:v>45425</x:v>
      </x:c>
      <x:c r="I211" s="52" t="n">
        <x:v>7.344e+23</x:v>
      </x:c>
      <x:c r="J211" s="32" t="str">
        <x:v>Confident</x:v>
      </x:c>
      <x:c r="K211" s="32" t="str"/>
      <x:c r="L211" s="32" t="str">
        <x:v>Yi-1.5-34B (chat)</x:v>
      </x:c>
      <x:c r="M211" s="32" t="str"/>
      <x:c r="N211" s="32" t="str">
        <x:v>Yi-1.5-34B</x:v>
      </x:c>
      <x:c r="O211" s="32" t="str">
        <x:v>yi-1-5-34b</x:v>
      </x:c>
      <x:c r="P211" s="44" t="str"/>
      <x:c r="Q211" s="44" t="str"/>
      <x:c r="R211" s="44" t="str"/>
    </x:row>
    <x:row r="212">
      <x:c r="A212" s="32" t="str">
        <x:v>Yi-34B</x:v>
      </x:c>
      <x:c r="B212" s="32" t="str">
        <x:v>Yi-34B-Chat</x:v>
      </x:c>
      <x:c r="C212" s="32" t="str"/>
      <x:c r="D212" s="32" t="str">
        <x:v>01.AI</x:v>
      </x:c>
      <x:c r="E212" s="32" t="str">
        <x:v>China</x:v>
      </x:c>
      <x:c r="F212" s="34" t="n">
        <x:v>45252</x:v>
      </x:c>
      <x:c r="G212" s="32" t="str">
        <x:v>Open weights (restricted use)</x:v>
      </x:c>
      <x:c r="H212" s="34" t="n">
        <x:v>45232</x:v>
      </x:c>
      <x:c r="I212" s="52" t="n">
        <x:v>6.1e+23</x:v>
      </x:c>
      <x:c r="J212" s="32" t="str">
        <x:v>Confident</x:v>
      </x:c>
      <x:c r="K212" s="32" t="str"/>
      <x:c r="L212" s="32" t="str">
        <x:v>Yi-34B (chat)</x:v>
      </x:c>
      <x:c r="M212" s="32" t="str">
        <x:v>Yi-34B</x:v>
      </x:c>
      <x:c r="N212" s="32" t="str">
        <x:v>Yi-34B</x:v>
      </x:c>
      <x:c r="O212" s="32" t="str">
        <x:v>yi-34b</x:v>
      </x:c>
      <x:c r="P212" s="44" t="n">
        <x:v>117.14</x:v>
      </x:c>
      <x:c r="Q212" s="44" t="n">
        <x:v>109.02</x:v>
      </x:c>
      <x:c r="R212" s="44" t="n">
        <x:v>120.55</x:v>
      </x:c>
    </x:row>
    <x:row r="213">
      <x:c r="A213" s="32" t="str">
        <x:v>Qwen2-72B</x:v>
      </x:c>
      <x:c r="B213" s="32" t="str">
        <x:v>qwen2-72b-instruct</x:v>
      </x:c>
      <x:c r="C213" s="32" t="str"/>
      <x:c r="D213" s="32" t="str">
        <x:v>Alibaba</x:v>
      </x:c>
      <x:c r="E213" s="32" t="str">
        <x:v>China</x:v>
      </x:c>
      <x:c r="F213" s="34" t="n">
        <x:v>45450</x:v>
      </x:c>
      <x:c r="G213" s="32" t="str">
        <x:v>Open weights (unrestricted)</x:v>
      </x:c>
      <x:c r="H213" s="34" t="n">
        <x:v>45450</x:v>
      </x:c>
      <x:c r="I213" s="52" t="n">
        <x:v>3.02e+24</x:v>
      </x:c>
      <x:c r="J213" s="32" t="str">
        <x:v>Confident</x:v>
      </x:c>
      <x:c r="K213" s="32" t="str">
        <x:v>Qwen's 72 billion-parameter model in the Qwen 2 series.</x:v>
      </x:c>
      <x:c r="L213" s="32" t="str">
        <x:v>Qwen2-72B</x:v>
      </x:c>
      <x:c r="M213" s="32" t="str"/>
      <x:c r="N213" s="32" t="str">
        <x:v>Qwen2-72B</x:v>
      </x:c>
      <x:c r="O213" s="32" t="str">
        <x:v>qwen2-72b</x:v>
      </x:c>
      <x:c r="P213" s="44" t="n">
        <x:v>125.49</x:v>
      </x:c>
      <x:c r="Q213" s="44" t="n">
        <x:v>119.09</x:v>
      </x:c>
      <x:c r="R213" s="44" t="n">
        <x:v>127.01</x:v>
      </x:c>
    </x:row>
    <x:row r="214">
      <x:c r="A214" s="32" t="str">
        <x:v>Qwen1.5-72B</x:v>
      </x:c>
      <x:c r="B214" s="32" t="str">
        <x:v>qwen1.5-72b-chat</x:v>
      </x:c>
      <x:c r="C214" s="32" t="str"/>
      <x:c r="D214" s="32" t="str">
        <x:v>Alibaba</x:v>
      </x:c>
      <x:c r="E214" s="32" t="str">
        <x:v>China</x:v>
      </x:c>
      <x:c r="F214" s="34" t="n">
        <x:v>45326</x:v>
      </x:c>
      <x:c r="G214" s="32" t="str">
        <x:v>Open weights (restricted use)</x:v>
      </x:c>
      <x:c r="H214" s="34" t="n">
        <x:v>45326</x:v>
      </x:c>
      <x:c r="I214" s="52" t="n">
        <x:v>1.3e+24</x:v>
      </x:c>
      <x:c r="J214" s="32" t="str">
        <x:v>Confident</x:v>
      </x:c>
      <x:c r="K214" s="32" t="str"/>
      <x:c r="L214" s="32" t="str">
        <x:v>Qwen1.5-72B</x:v>
      </x:c>
      <x:c r="M214" s="32" t="str"/>
      <x:c r="N214" s="32" t="str">
        <x:v>Qwen1.5-72B</x:v>
      </x:c>
      <x:c r="O214" s="32" t="str">
        <x:v>qwen1-5-72b</x:v>
      </x:c>
      <x:c r="P214" s="44" t="str"/>
      <x:c r="Q214" s="44" t="str"/>
      <x:c r="R214" s="44" t="str"/>
    </x:row>
    <x:row r="215">
      <x:c r="A215" s="32" t="str">
        <x:v>Qwen1.5-32B</x:v>
      </x:c>
      <x:c r="B215" s="32" t="str">
        <x:v>qwen1.5-32b-chat</x:v>
      </x:c>
      <x:c r="C215" s="32" t="str"/>
      <x:c r="D215" s="32" t="str">
        <x:v>Alibaba</x:v>
      </x:c>
      <x:c r="E215" s="32" t="str">
        <x:v>China</x:v>
      </x:c>
      <x:c r="F215" s="34" t="n">
        <x:v>45385</x:v>
      </x:c>
      <x:c r="G215" s="32" t="str">
        <x:v>Open weights (restricted use)</x:v>
      </x:c>
      <x:c r="H215" s="34" t="n">
        <x:v>45327</x:v>
      </x:c>
      <x:c r="I215" s="52" t="str"/>
      <x:c r="J215" s="32" t="str">
        <x:v>Confident</x:v>
      </x:c>
      <x:c r="K215" s="32" t="str">
        <x:v>A chat-optimized 32 billion-parameter model in the Qwen 1.5 series.</x:v>
      </x:c>
      <x:c r="L215" s="32" t="str">
        <x:v>Qwen1.5-32B (chat)</x:v>
      </x:c>
      <x:c r="M215" s="32" t="str"/>
      <x:c r="N215" s="32" t="str">
        <x:v>Qwen1.5-32B</x:v>
      </x:c>
      <x:c r="O215" s="32" t="str">
        <x:v>qwen1-5-32b</x:v>
      </x:c>
      <x:c r="P215" s="44" t="str"/>
      <x:c r="Q215" s="44" t="str"/>
      <x:c r="R215" s="44" t="str"/>
    </x:row>
    <x:row r="216">
      <x:c r="A216" s="32" t="str">
        <x:v>Mistral 7B</x:v>
      </x:c>
      <x:c r="B216" s="32" t="str">
        <x:v>Mistral-7B-Instruct-v0.3</x:v>
      </x:c>
      <x:c r="C216" s="32" t="str"/>
      <x:c r="D216" s="32" t="str">
        <x:v>Mistral AI</x:v>
      </x:c>
      <x:c r="E216" s="32" t="str">
        <x:v>France</x:v>
      </x:c>
      <x:c r="F216" s="34" t="n">
        <x:v>45439</x:v>
      </x:c>
      <x:c r="G216" s="32" t="str">
        <x:v>Open weights (unrestricted)</x:v>
      </x:c>
      <x:c r="H216" s="34" t="n">
        <x:v>45209</x:v>
      </x:c>
      <x:c r="I216" s="52" t="str"/>
      <x:c r="J216" s="32" t="str">
        <x:v>Confident</x:v>
      </x:c>
      <x:c r="K216" s="32" t="str">
        <x:v>An instruction-tuned version of Mistral-7B-v0.3, an updated version of their 7 billion-parameter model.</x:v>
      </x:c>
      <x:c r="L216" s="32" t="str"/>
      <x:c r="M216" s="32" t="str">
        <x:v>Mistral 7B v0.3</x:v>
      </x:c>
      <x:c r="N216" s="32" t="str">
        <x:v>Mistral 7B v0.3</x:v>
      </x:c>
      <x:c r="O216" s="32" t="str">
        <x:v>mistral-7b-v0-3</x:v>
      </x:c>
      <x:c r="P216" s="44" t="str"/>
      <x:c r="Q216" s="44" t="str"/>
      <x:c r="R216" s="44" t="str"/>
    </x:row>
    <x:row r="217">
      <x:c r="A217" s="32" t="str">
        <x:v>DeepSeek LLM 67B</x:v>
      </x:c>
      <x:c r="B217" s="32" t="str">
        <x:v>deepseek-llm-67b-chat</x:v>
      </x:c>
      <x:c r="C217" s="32" t="str"/>
      <x:c r="D217" s="32" t="str">
        <x:v>DeepSeek</x:v>
      </x:c>
      <x:c r="E217" s="32" t="str">
        <x:v>China</x:v>
      </x:c>
      <x:c r="F217" s="34" t="n">
        <x:v>45259</x:v>
      </x:c>
      <x:c r="G217" s="32" t="str">
        <x:v>Open weights (restricted use)</x:v>
      </x:c>
      <x:c r="H217" s="34" t="n">
        <x:v>45296</x:v>
      </x:c>
      <x:c r="I217" s="52" t="n">
        <x:v>8.04e+23</x:v>
      </x:c>
      <x:c r="J217" s="32" t="str">
        <x:v>Confident</x:v>
      </x:c>
      <x:c r="K217" s="32" t="str"/>
      <x:c r="L217" s="32" t="str">
        <x:v>DeepSeek LLM 67B (chat)</x:v>
      </x:c>
      <x:c r="M217" s="32" t="str"/>
      <x:c r="N217" s="32" t="str">
        <x:v>DeepSeek LLM 67B</x:v>
      </x:c>
      <x:c r="O217" s="32" t="str">
        <x:v>deepseek-llm-67b</x:v>
      </x:c>
      <x:c r="P217" s="44" t="str"/>
      <x:c r="Q217" s="44" t="str"/>
      <x:c r="R217" s="44" t="str"/>
    </x:row>
    <x:row r="218">
      <x:c r="A218" s="32" t="str">
        <x:v>Mixtral 8x7B</x:v>
      </x:c>
      <x:c r="B218" s="32" t="str">
        <x:v>Mixtral-8x7B-Instruct-v0.1</x:v>
      </x:c>
      <x:c r="C218" s="32" t="str"/>
      <x:c r="D218" s="32" t="str">
        <x:v>Mistral AI</x:v>
      </x:c>
      <x:c r="E218" s="32" t="str">
        <x:v>France</x:v>
      </x:c>
      <x:c r="F218" s="34" t="n">
        <x:v>45271</x:v>
      </x:c>
      <x:c r="G218" s="32" t="str">
        <x:v>Open weights (unrestricted)</x:v>
      </x:c>
      <x:c r="H218" s="34" t="n">
        <x:v>45271</x:v>
      </x:c>
      <x:c r="I218" s="52" t="n">
        <x:v>7.74e+23</x:v>
      </x:c>
      <x:c r="J218" s="32" t="str">
        <x:v>Speculative</x:v>
      </x:c>
      <x:c r="K218" s="32" t="str">
        <x:v>An instruction-tuned version of Mistral's 7 billion active (56 billion total)-parameter mixture-of-experts model</x:v>
      </x:c>
      <x:c r="L218" s="32" t="str"/>
      <x:c r="M218" s="32" t="str"/>
      <x:c r="N218" s="32" t="str">
        <x:v>Mixtral 8x7B</x:v>
      </x:c>
      <x:c r="O218" s="32" t="str">
        <x:v>mixtral-8x7b</x:v>
      </x:c>
      <x:c r="P218" s="44" t="n">
        <x:v>118.13</x:v>
      </x:c>
      <x:c r="Q218" s="44" t="n">
        <x:v>109.36</x:v>
      </x:c>
      <x:c r="R218" s="44" t="n">
        <x:v>120.78</x:v>
      </x:c>
    </x:row>
    <x:row r="219">
      <x:c r="A219" s="32" t="str">
        <x:v>WizardLM-2 8x22B</x:v>
      </x:c>
      <x:c r="B219" s="32" t="str">
        <x:v>WizardLM-2-8x22B</x:v>
      </x:c>
      <x:c r="C219" s="32" t="str"/>
      <x:c r="D219" s="32" t="str">
        <x:v>Microsoft</x:v>
      </x:c>
      <x:c r="E219" s="32" t="str">
        <x:v>United States of America</x:v>
      </x:c>
      <x:c r="F219" s="34" t="n">
        <x:v>45397</x:v>
      </x:c>
      <x:c r="G219" s="32" t="str">
        <x:v>Open weights (unrestricted)</x:v>
      </x:c>
      <x:c r="H219" s="34" t="n">
        <x:v>45397</x:v>
      </x:c>
      <x:c r="I219" s="52" t="str"/>
      <x:c r="J219" s="32" t="str">
        <x:v>Confident</x:v>
      </x:c>
      <x:c r="K219" s="32" t="str"/>
      <x:c r="L219" s="32" t="str">
        <x:v>WizardLM-2 8x22B</x:v>
      </x:c>
      <x:c r="M219" s="32" t="str"/>
      <x:c r="N219" s="32" t="str">
        <x:v>WizardLM-2 8x22B</x:v>
      </x:c>
      <x:c r="O219" s="32" t="str">
        <x:v>wizardlm-2-8x22b</x:v>
      </x:c>
      <x:c r="P219" s="44" t="str"/>
      <x:c r="Q219" s="44" t="str"/>
      <x:c r="R219" s="44" t="str"/>
    </x:row>
    <x:row r="220">
      <x:c r="A220" s="32" t="str">
        <x:v>DBRX</x:v>
      </x:c>
      <x:c r="B220" s="32" t="str">
        <x:v>dbrx-instruct</x:v>
      </x:c>
      <x:c r="C220" s="32" t="str"/>
      <x:c r="D220" s="32" t="str">
        <x:v>Databricks</x:v>
      </x:c>
      <x:c r="E220" s="32" t="str">
        <x:v>United States of America</x:v>
      </x:c>
      <x:c r="F220" s="34" t="n">
        <x:v>45378</x:v>
      </x:c>
      <x:c r="G220" s="32" t="str">
        <x:v>Open weights (restricted use)</x:v>
      </x:c>
      <x:c r="H220" s="34" t="n">
        <x:v>45378</x:v>
      </x:c>
      <x:c r="I220" s="52" t="n">
        <x:v>2.6e+24</x:v>
      </x:c>
      <x:c r="J220" s="32" t="str">
        <x:v>Confident</x:v>
      </x:c>
      <x:c r="K220" s="32" t="str"/>
      <x:c r="L220" s="32" t="str">
        <x:v>DBRX (instruct)</x:v>
      </x:c>
      <x:c r="M220" s="32" t="str"/>
      <x:c r="N220" s="32" t="str">
        <x:v>DBRX</x:v>
      </x:c>
      <x:c r="O220" s="32" t="str">
        <x:v>dbrx</x:v>
      </x:c>
      <x:c r="P220" s="44" t="str"/>
      <x:c r="Q220" s="44" t="str"/>
      <x:c r="R220" s="44" t="str"/>
    </x:row>
    <x:row r="221">
      <x:c r="A221" s="32" t="str">
        <x:v>Ministral 3B</x:v>
      </x:c>
      <x:c r="B221" s="32" t="str">
        <x:v>ministral-3b-2410</x:v>
      </x:c>
      <x:c r="C221" s="32" t="str"/>
      <x:c r="D221" s="32" t="str">
        <x:v>Mistral AI</x:v>
      </x:c>
      <x:c r="E221" s="32" t="str">
        <x:v>France</x:v>
      </x:c>
      <x:c r="F221" s="34" t="n">
        <x:v>45581</x:v>
      </x:c>
      <x:c r="G221" s="32" t="str">
        <x:v>API access</x:v>
      </x:c>
      <x:c r="H221" s="34" t="n">
        <x:v>45581</x:v>
      </x:c>
      <x:c r="I221" s="52" t="str"/>
      <x:c r="J221" s="32" t="str">
        <x:v>Confident</x:v>
      </x:c>
      <x:c r="K221" s="32" t="str"/>
      <x:c r="L221" s="32" t="str"/>
      <x:c r="M221" s="32" t="str"/>
      <x:c r="N221" s="32" t="str">
        <x:v>Ministral 3B</x:v>
      </x:c>
      <x:c r="O221" s="32" t="str">
        <x:v>ministral-3b</x:v>
      </x:c>
      <x:c r="P221" s="44" t="str"/>
      <x:c r="Q221" s="44" t="str"/>
      <x:c r="R221" s="44" t="str"/>
    </x:row>
    <x:row r="222">
      <x:c r="A222" s="32" t="str">
        <x:v>Mixtral 8x22B</x:v>
      </x:c>
      <x:c r="B222" s="32" t="str">
        <x:v>open-mixtral-8x22b</x:v>
      </x:c>
      <x:c r="C222" s="32" t="str"/>
      <x:c r="D222" s="32" t="str">
        <x:v>Mistral AI</x:v>
      </x:c>
      <x:c r="E222" s="32" t="str">
        <x:v>France</x:v>
      </x:c>
      <x:c r="F222" s="34" t="n">
        <x:v>45399</x:v>
      </x:c>
      <x:c r="G222" s="32" t="str">
        <x:v>Open weights (unrestricted)</x:v>
      </x:c>
      <x:c r="H222" s="34" t="n">
        <x:v>45399</x:v>
      </x:c>
      <x:c r="I222" s="52" t="n">
        <x:v>2.34e+24</x:v>
      </x:c>
      <x:c r="J222" s="32" t="str">
        <x:v>Speculative</x:v>
      </x:c>
      <x:c r="K222" s="32" t="str"/>
      <x:c r="L222" s="32" t="str"/>
      <x:c r="M222" s="32" t="str"/>
      <x:c r="N222" s="32" t="str">
        <x:v>Mixtral 8x22B</x:v>
      </x:c>
      <x:c r="O222" s="32" t="str">
        <x:v>mixtral-8x22b</x:v>
      </x:c>
      <x:c r="P222" s="44" t="n">
        <x:v>121.28</x:v>
      </x:c>
      <x:c r="Q222" s="44" t="n">
        <x:v>112.48</x:v>
      </x:c>
      <x:c r="R222" s="44" t="n">
        <x:v>123.4</x:v>
      </x:c>
    </x:row>
    <x:row r="223">
      <x:c r="A223" s="32" t="str">
        <x:v>Ministral 8B</x:v>
      </x:c>
      <x:c r="B223" s="32" t="str">
        <x:v>ministral-8b-2410</x:v>
      </x:c>
      <x:c r="C223" s="32" t="str"/>
      <x:c r="D223" s="32" t="str">
        <x:v>Mistral AI</x:v>
      </x:c>
      <x:c r="E223" s="32" t="str">
        <x:v>France</x:v>
      </x:c>
      <x:c r="F223" s="34" t="n">
        <x:v>45581</x:v>
      </x:c>
      <x:c r="G223" s="32" t="str">
        <x:v>Open weights (non-commercial)</x:v>
      </x:c>
      <x:c r="H223" s="34" t="n">
        <x:v>45581</x:v>
      </x:c>
      <x:c r="I223" s="52" t="str"/>
      <x:c r="J223" s="32" t="str">
        <x:v>Confident</x:v>
      </x:c>
      <x:c r="K223" s="32" t="str"/>
      <x:c r="L223" s="32" t="str"/>
      <x:c r="M223" s="32" t="str"/>
      <x:c r="N223" s="32" t="str">
        <x:v>Ministral 8B</x:v>
      </x:c>
      <x:c r="O223" s="32" t="str">
        <x:v>ministral-8b</x:v>
      </x:c>
      <x:c r="P223" s="44" t="str"/>
      <x:c r="Q223" s="44" t="str"/>
      <x:c r="R223" s="44" t="str"/>
    </x:row>
    <x:row r="224">
      <x:c r="A224" s="32" t="str">
        <x:v>Mixtral 8x7B</x:v>
      </x:c>
      <x:c r="B224" s="32" t="str">
        <x:v>open-mixtral-8x7b</x:v>
      </x:c>
      <x:c r="C224" s="32" t="str"/>
      <x:c r="D224" s="32" t="str">
        <x:v>Mistral AI</x:v>
      </x:c>
      <x:c r="E224" s="32" t="str">
        <x:v>France</x:v>
      </x:c>
      <x:c r="F224" s="34" t="n">
        <x:v>45271</x:v>
      </x:c>
      <x:c r="G224" s="32" t="str">
        <x:v>Open weights (unrestricted)</x:v>
      </x:c>
      <x:c r="H224" s="34" t="n">
        <x:v>45271</x:v>
      </x:c>
      <x:c r="I224" s="52" t="n">
        <x:v>7.74e+23</x:v>
      </x:c>
      <x:c r="J224" s="32" t="str">
        <x:v>Speculative</x:v>
      </x:c>
      <x:c r="K224" s="32" t="str"/>
      <x:c r="L224" s="32" t="str"/>
      <x:c r="M224" s="32" t="str"/>
      <x:c r="N224" s="32" t="str">
        <x:v>Mixtral 8x7B</x:v>
      </x:c>
      <x:c r="O224" s="32" t="str">
        <x:v>mixtral-8x7b</x:v>
      </x:c>
      <x:c r="P224" s="44" t="n">
        <x:v>118.13</x:v>
      </x:c>
      <x:c r="Q224" s="44" t="n">
        <x:v>109.36</x:v>
      </x:c>
      <x:c r="R224" s="44" t="n">
        <x:v>120.78</x:v>
      </x:c>
    </x:row>
    <x:row r="225">
      <x:c r="A225" s="32" t="str">
        <x:v>Mistral 7B</x:v>
      </x:c>
      <x:c r="B225" s="32" t="str">
        <x:v>open-mistral-7b</x:v>
      </x:c>
      <x:c r="C225" s="32" t="str"/>
      <x:c r="D225" s="32" t="str">
        <x:v>Mistral AI</x:v>
      </x:c>
      <x:c r="E225" s="32" t="str">
        <x:v>France</x:v>
      </x:c>
      <x:c r="F225" s="34" t="n">
        <x:v>45196</x:v>
      </x:c>
      <x:c r="G225" s="32" t="str">
        <x:v>Open weights (unrestricted)</x:v>
      </x:c>
      <x:c r="H225" s="34" t="n">
        <x:v>45209</x:v>
      </x:c>
      <x:c r="I225" s="52" t="str"/>
      <x:c r="J225" s="32" t="str">
        <x:v>Confident</x:v>
      </x:c>
      <x:c r="K225" s="32" t="str"/>
      <x:c r="L225" s="32" t="str"/>
      <x:c r="M225" s="32" t="str">
        <x:v>Mistral 7B v0.3</x:v>
      </x:c>
      <x:c r="N225" s="32" t="str">
        <x:v>Mistral 7B v0.3</x:v>
      </x:c>
      <x:c r="O225" s="32" t="str">
        <x:v>mistral-7b-v0-3</x:v>
      </x:c>
      <x:c r="P225" s="44" t="str"/>
      <x:c r="Q225" s="44" t="str"/>
      <x:c r="R225" s="44" t="str"/>
    </x:row>
    <x:row r="226">
      <x:c r="A226" s="32" t="str">
        <x:v>Mistral NeMo</x:v>
      </x:c>
      <x:c r="B226" s="32" t="str">
        <x:v>open-mistral-nemo-2407</x:v>
      </x:c>
      <x:c r="C226" s="32" t="str"/>
      <x:c r="D226" s="32" t="str">
        <x:v>Mistral AI</x:v>
      </x:c>
      <x:c r="E226" s="32" t="str">
        <x:v>France</x:v>
      </x:c>
      <x:c r="F226" s="34" t="n">
        <x:v>45491</x:v>
      </x:c>
      <x:c r="G226" s="32" t="str">
        <x:v>Open weights (unrestricted)</x:v>
      </x:c>
      <x:c r="H226" s="34" t="n">
        <x:v>45491</x:v>
      </x:c>
      <x:c r="I226" s="52" t="str"/>
      <x:c r="J226" s="32" t="str">
        <x:v>Confident</x:v>
      </x:c>
      <x:c r="K226" s="32" t="str"/>
      <x:c r="L226" s="32" t="str"/>
      <x:c r="M226" s="32" t="str"/>
      <x:c r="N226" s="32" t="str">
        <x:v>Mistral NeMo</x:v>
      </x:c>
      <x:c r="O226" s="32" t="str">
        <x:v>mistral-nemo</x:v>
      </x:c>
      <x:c r="P226" s="44" t="n">
        <x:v>118.38</x:v>
      </x:c>
      <x:c r="Q226" s="44" t="n">
        <x:v>109.85</x:v>
      </x:c>
      <x:c r="R226" s="44" t="n">
        <x:v>121.76</x:v>
      </x:c>
    </x:row>
    <x:row r="227">
      <x:c r="A227" s="32" t="str">
        <x:v>Eurus-2-7B-PRIME</x:v>
      </x:c>
      <x:c r="B227" s="32" t="str">
        <x:v>Eurus-2-7B-PRIME</x:v>
      </x:c>
      <x:c r="C227" s="32" t="str"/>
      <x:c r="D227" s="32" t="str">
        <x:v>Tsinghua University,University of Illinois Urbana-Champaign (UIUC),Shanghai AI Lab,Peking University,Shanghai Jiao Tong University,CUHK Shenzhen Research Institute</x:v>
      </x:c>
      <x:c r="E227" s="32" t="str">
        <x:v>China,United States of America</x:v>
      </x:c>
      <x:c r="F227" s="34" t="n">
        <x:v>45657</x:v>
      </x:c>
      <x:c r="G227" s="32" t="str">
        <x:v>Open weights (unrestricted)</x:v>
      </x:c>
      <x:c r="H227" s="34" t="n">
        <x:v>45691</x:v>
      </x:c>
      <x:c r="I227" s="52" t="str"/>
      <x:c r="J227" s="32" t="str">
        <x:v>Speculative</x:v>
      </x:c>
      <x:c r="K227" s="32" t="str"/>
      <x:c r="L227" s="32" t="str"/>
      <x:c r="M227" s="32" t="str"/>
      <x:c r="N227" s="32" t="str">
        <x:v>Eurus-2-7B-PRIME</x:v>
      </x:c>
      <x:c r="O227" s="32" t="str">
        <x:v>eurus-2-7b-prime</x:v>
      </x:c>
      <x:c r="P227" s="44" t="str"/>
      <x:c r="Q227" s="44" t="str"/>
      <x:c r="R227" s="44" t="str"/>
    </x:row>
    <x:row r="228">
      <x:c r="A228" s="32" t="str">
        <x:v>Gemini 2.5 Deep Think</x:v>
      </x:c>
      <x:c r="B228" s="32" t="str">
        <x:v>gemini-2.5-deep-think-2025-08-01-webapp</x:v>
      </x:c>
      <x:c r="C228" s="32" t="str"/>
      <x:c r="D228" s="32" t="str">
        <x:v>Google,Google DeepMind</x:v>
      </x:c>
      <x:c r="E228" s="32" t="str">
        <x:v>United States of America</x:v>
      </x:c>
      <x:c r="F228" s="34" t="n">
        <x:v>45870</x:v>
      </x:c>
      <x:c r="G228" s="32" t="str">
        <x:v>Hosted access (no API)</x:v>
      </x:c>
      <x:c r="H228" s="34" t="n">
        <x:v>45870</x:v>
      </x:c>
      <x:c r="I228" s="52" t="str"/>
      <x:c r="J228" s="32" t="str">
        <x:v>Unknown</x:v>
      </x:c>
      <x:c r="K228" s="32" t="str"/>
      <x:c r="L228" s="32" t="str"/>
      <x:c r="M228" s="32" t="str"/>
      <x:c r="N228" s="32" t="str">
        <x:v>Gemini 2.5 Deep Think</x:v>
      </x:c>
      <x:c r="O228" s="32" t="str">
        <x:v>gemini-2-5-deep-think</x:v>
      </x:c>
      <x:c r="P228" s="44" t="str"/>
      <x:c r="Q228" s="44" t="str"/>
      <x:c r="R228" s="44" t="str"/>
    </x:row>
    <x:row r="229">
      <x:c r="A229" s="32" t="str">
        <x:v>GPT-5.5</x:v>
      </x:c>
      <x:c r="B229" s="32" t="str">
        <x:v>gpt-5.5_unknown</x:v>
      </x:c>
      <x:c r="C229" s="32" t="str">
        <x:v>GPT-5.5 (unknown thinking)</x:v>
      </x:c>
      <x:c r="D229" s="32" t="str">
        <x:v>OpenAI</x:v>
      </x:c>
      <x:c r="E229" s="32" t="str">
        <x:v>United States of America</x:v>
      </x:c>
      <x:c r="F229" s="34" t="n">
        <x:v>46135</x:v>
      </x:c>
      <x:c r="G229" s="32" t="str">
        <x:v>API access</x:v>
      </x:c>
      <x:c r="H229" s="34" t="n">
        <x:v>46135</x:v>
      </x:c>
      <x:c r="I229" s="52" t="str"/>
      <x:c r="J229" s="32" t="str">
        <x:v>Likely</x:v>
      </x:c>
      <x:c r="K229" s="32" t="str"/>
      <x:c r="L229" s="32" t="str"/>
      <x:c r="M229" s="32" t="str"/>
      <x:c r="N229" s="32" t="str">
        <x:v>GPT-5.5</x:v>
      </x:c>
      <x:c r="O229" s="32" t="str">
        <x:v>gpt-5-5</x:v>
      </x:c>
      <x:c r="P229" s="44" t="n">
        <x:v>158.33</x:v>
      </x:c>
      <x:c r="Q229" s="44" t="n">
        <x:v>156.44</x:v>
      </x:c>
      <x:c r="R229" s="44" t="n">
        <x:v>161.43</x:v>
      </x:c>
    </x:row>
    <x:row r="230">
      <x:c r="A230" s="32" t="str">
        <x:v>GLM-5.2</x:v>
      </x:c>
      <x:c r="B230" s="32" t="str">
        <x:v>glm-5.2_unknown</x:v>
      </x:c>
      <x:c r="C230" s="32" t="str">
        <x:v>GLM-5.2</x:v>
      </x:c>
      <x:c r="D230" s="32" t="str">
        <x:v>Z.ai (Zhipu AI)</x:v>
      </x:c>
      <x:c r="E230" s="32" t="str">
        <x:v>China</x:v>
      </x:c>
      <x:c r="F230" s="34" t="n">
        <x:v>46189</x:v>
      </x:c>
      <x:c r="G230" s="32" t="str">
        <x:v>Open weights (unrestricted)</x:v>
      </x:c>
      <x:c r="H230" s="34" t="n">
        <x:v>46189</x:v>
      </x:c>
      <x:c r="I230" s="52" t="str"/>
      <x:c r="J230" s="32" t="str">
        <x:v>Confident</x:v>
      </x:c>
      <x:c r="K230" s="32" t="str"/>
      <x:c r="L230" s="32" t="str">
        <x:v>GLM-5.2 (unknown thinking)</x:v>
      </x:c>
      <x:c r="M230" s="32" t="str"/>
      <x:c r="N230" s="32" t="str">
        <x:v>GLM-5.2</x:v>
      </x:c>
      <x:c r="O230" s="32" t="str">
        <x:v>glm-5-2</x:v>
      </x:c>
      <x:c r="P230" s="44" t="n">
        <x:v>151.6</x:v>
      </x:c>
      <x:c r="Q230" s="44" t="n">
        <x:v>149.97</x:v>
      </x:c>
      <x:c r="R230" s="44" t="n">
        <x:v>153.86</x:v>
      </x:c>
    </x:row>
    <x:row r="231">
      <x:c r="A231" s="32" t="str">
        <x:v>GPT-5.3 Codex</x:v>
      </x:c>
      <x:c r="B231" s="32" t="str">
        <x:v>gpt-5.3-codex</x:v>
      </x:c>
      <x:c r="C231" s="32" t="str">
        <x:v>GPT-5.3 Codex</x:v>
      </x:c>
      <x:c r="D231" s="32" t="str">
        <x:v>OpenAI</x:v>
      </x:c>
      <x:c r="E231" s="32" t="str">
        <x:v>United States of America</x:v>
      </x:c>
      <x:c r="F231" s="34" t="n">
        <x:v>46058</x:v>
      </x:c>
      <x:c r="G231" s="32" t="str">
        <x:v>API access</x:v>
      </x:c>
      <x:c r="H231" s="34" t="n">
        <x:v>46058</x:v>
      </x:c>
      <x:c r="I231" s="52" t="str"/>
      <x:c r="J231" s="32" t="str">
        <x:v>Likely</x:v>
      </x:c>
      <x:c r="K231" s="32" t="str"/>
      <x:c r="L231" s="32" t="str">
        <x:v>GPT-5.3 Codex</x:v>
      </x:c>
      <x:c r="M231" s="32" t="str"/>
      <x:c r="N231" s="32" t="str">
        <x:v>GPT-5.3 Codex</x:v>
      </x:c>
      <x:c r="O231" s="32" t="str">
        <x:v>gpt-5-3-codex</x:v>
      </x:c>
      <x:c r="P231" s="44" t="n">
        <x:v>155.49</x:v>
      </x:c>
      <x:c r="Q231" s="44" t="n">
        <x:v>153.29</x:v>
      </x:c>
      <x:c r="R231" s="44" t="n">
        <x:v>158.84</x:v>
      </x:c>
    </x:row>
    <x:row r="232">
      <x:c r="A232" s="32" t="str">
        <x:v>Claude Opus 4.7</x:v>
      </x:c>
      <x:c r="B232" s="32" t="str">
        <x:v>claude-opus-4-7_unknown</x:v>
      </x:c>
      <x:c r="C232" s="32" t="str">
        <x:v>Claude Opus 4.7 (unknown)</x:v>
      </x:c>
      <x:c r="D232" s="32" t="str">
        <x:v>Anthropic</x:v>
      </x:c>
      <x:c r="E232" s="32" t="str">
        <x:v>United States of America</x:v>
      </x:c>
      <x:c r="F232" s="34" t="n">
        <x:v>46128</x:v>
      </x:c>
      <x:c r="G232" s="32" t="str">
        <x:v>API access</x:v>
      </x:c>
      <x:c r="H232" s="34" t="n">
        <x:v>46128</x:v>
      </x:c>
      <x:c r="I232" s="52" t="str"/>
      <x:c r="J232" s="32" t="str">
        <x:v>Likely</x:v>
      </x:c>
      <x:c r="K232" s="32" t="str"/>
      <x:c r="L232" s="32" t="str">
        <x:v>Claude Opus 4.7 (unknown settings)</x:v>
      </x:c>
      <x:c r="M232" s="32" t="str"/>
      <x:c r="N232" s="32" t="str">
        <x:v>Claude Opus 4.7</x:v>
      </x:c>
      <x:c r="O232" s="32" t="str">
        <x:v>claude-opus-4-7</x:v>
      </x:c>
      <x:c r="P232" s="44" t="n">
        <x:v>156.01</x:v>
      </x:c>
      <x:c r="Q232" s="44" t="n">
        <x:v>154.07</x:v>
      </x:c>
      <x:c r="R232" s="44" t="n">
        <x:v>158.4</x:v>
      </x:c>
    </x:row>
    <x:row r="233">
      <x:c r="A233" s="32" t="str">
        <x:v>Claude Opus 4.8</x:v>
      </x:c>
      <x:c r="B233" s="32" t="str">
        <x:v>claude-opus-4-8_unknown</x:v>
      </x:c>
      <x:c r="C233" s="32" t="str">
        <x:v>Claude Opus 4.8</x:v>
      </x:c>
      <x:c r="D233" s="32" t="str">
        <x:v>Anthropic</x:v>
      </x:c>
      <x:c r="E233" s="32" t="str">
        <x:v>United States of America</x:v>
      </x:c>
      <x:c r="F233" s="34" t="n">
        <x:v>46170</x:v>
      </x:c>
      <x:c r="G233" s="32" t="str">
        <x:v>API access</x:v>
      </x:c>
      <x:c r="H233" s="34" t="n">
        <x:v>46170</x:v>
      </x:c>
      <x:c r="I233" s="52" t="str"/>
      <x:c r="J233" s="32" t="str">
        <x:v>Unverified</x:v>
      </x:c>
      <x:c r="K233" s="32" t="str"/>
      <x:c r="L233" s="32" t="str">
        <x:v>Claude Opus 4.8 (unknown thinking)</x:v>
      </x:c>
      <x:c r="M233" s="32" t="str"/>
      <x:c r="N233" s="32" t="str">
        <x:v>Claude Opus 4.8</x:v>
      </x:c>
      <x:c r="O233" s="32" t="str">
        <x:v>claude-opus-4-8</x:v>
      </x:c>
      <x:c r="P233" s="44" t="n">
        <x:v>157.85</x:v>
      </x:c>
      <x:c r="Q233" s="44" t="n">
        <x:v>155.12</x:v>
      </x:c>
      <x:c r="R233" s="44" t="n">
        <x:v>160.58</x:v>
      </x:c>
    </x:row>
    <x:row r="234">
      <x:c r="A234" s="32" t="str">
        <x:v>Claude Fable 5</x:v>
      </x:c>
      <x:c r="B234" s="32" t="str">
        <x:v>claude-fable-5_high</x:v>
      </x:c>
      <x:c r="C234" s="32" t="str">
        <x:v>Claude Fable 5 (high)</x:v>
      </x:c>
      <x:c r="D234" s="32" t="str">
        <x:v>Anthropic</x:v>
      </x:c>
      <x:c r="E234" s="32" t="str">
        <x:v>United States of America</x:v>
      </x:c>
      <x:c r="F234" s="34" t="n">
        <x:v>46182</x:v>
      </x:c>
      <x:c r="G234" s="32" t="str">
        <x:v>API access</x:v>
      </x:c>
      <x:c r="H234" s="34" t="n">
        <x:v>46182</x:v>
      </x:c>
      <x:c r="I234" s="52" t="str"/>
      <x:c r="J234" s="32" t="str">
        <x:v>Confident</x:v>
      </x:c>
      <x:c r="K234" s="32" t="str"/>
      <x:c r="L234" s="32" t="str">
        <x:v>Claude Fable 5 (high)</x:v>
      </x:c>
      <x:c r="M234" s="32" t="str"/>
      <x:c r="N234" s="32" t="str">
        <x:v>Claude Fable 5</x:v>
      </x:c>
      <x:c r="O234" s="32" t="str">
        <x:v>claude-fable-5</x:v>
      </x:c>
      <x:c r="P234" s="44" t="n">
        <x:v>160.44</x:v>
      </x:c>
      <x:c r="Q234" s="44" t="n">
        <x:v>158.05</x:v>
      </x:c>
      <x:c r="R234" s="44" t="n">
        <x:v>164.61</x:v>
      </x:c>
    </x:row>
    <x:row r="235">
      <x:c r="A235" s="32" t="str">
        <x:v>Claude Sonnet 4.6</x:v>
      </x:c>
      <x:c r="B235" s="32" t="str">
        <x:v>claude-sonnet-4-6_unknown</x:v>
      </x:c>
      <x:c r="C235" s="32" t="str">
        <x:v>Claude Sonnet 4.6 (unknown thinking)</x:v>
      </x:c>
      <x:c r="D235" s="32" t="str">
        <x:v>Anthropic</x:v>
      </x:c>
      <x:c r="E235" s="32" t="str">
        <x:v>United States of America</x:v>
      </x:c>
      <x:c r="F235" s="34" t="n">
        <x:v>46070</x:v>
      </x:c>
      <x:c r="G235" s="32" t="str">
        <x:v>API access</x:v>
      </x:c>
      <x:c r="H235" s="34" t="n">
        <x:v>46070</x:v>
      </x:c>
      <x:c r="I235" s="52" t="str"/>
      <x:c r="J235" s="32" t="str">
        <x:v>Likely</x:v>
      </x:c>
      <x:c r="K235" s="32" t="str"/>
      <x:c r="L235" s="32" t="str"/>
      <x:c r="M235" s="32" t="str"/>
      <x:c r="N235" s="32" t="str">
        <x:v>Claude Sonnet 4.6</x:v>
      </x:c>
      <x:c r="O235" s="32" t="str">
        <x:v>claude-sonnet-4-6</x:v>
      </x:c>
      <x:c r="P235" s="44" t="n">
        <x:v>153.18</x:v>
      </x:c>
      <x:c r="Q235" s="44" t="n">
        <x:v>149.67</x:v>
      </x:c>
      <x:c r="R235" s="44" t="n">
        <x:v>156.08</x:v>
      </x:c>
    </x:row>
    <x:row r="236">
      <x:c r="A236" s="32" t="str">
        <x:v>Gemini 3.5 Flash</x:v>
      </x:c>
      <x:c r="B236" s="32" t="str">
        <x:v>gemini-3.5-flash_unknown</x:v>
      </x:c>
      <x:c r="C236" s="32" t="str">
        <x:v>Gemini 3.5 Flash (unknown thinking)</x:v>
      </x:c>
      <x:c r="D236" s="32" t="str">
        <x:v>Google</x:v>
      </x:c>
      <x:c r="E236" s="32" t="str">
        <x:v>United States of America</x:v>
      </x:c>
      <x:c r="F236" s="34" t="n">
        <x:v>46161</x:v>
      </x:c>
      <x:c r="G236" s="32" t="str">
        <x:v>API access</x:v>
      </x:c>
      <x:c r="H236" s="34"/>
      <x:c r="I236" s="52" t="str"/>
      <x:c r="J236" s="32" t="str">
        <x:v>Confident</x:v>
      </x:c>
      <x:c r="K236" s="32" t="str"/>
      <x:c r="L236" s="32" t="str"/>
      <x:c r="M236" s="32" t="str"/>
      <x:c r="N236" s="32" t="str">
        <x:v>Gemini 3.5 Flash</x:v>
      </x:c>
      <x:c r="O236" s="32" t="str">
        <x:v>gemini-3-5-flash</x:v>
      </x:c>
      <x:c r="P236" s="44" t="n">
        <x:v>154.58</x:v>
      </x:c>
      <x:c r="Q236" s="44" t="n">
        <x:v>152.84</x:v>
      </x:c>
      <x:c r="R236" s="44" t="n">
        <x:v>157.2</x:v>
      </x:c>
    </x:row>
    <x:row r="237">
      <x:c r="A237" s="32" t="str">
        <x:v>Grok 4.20</x:v>
      </x:c>
      <x:c r="B237" s="32" t="str">
        <x:v>grok-4-20</x:v>
      </x:c>
      <x:c r="C237" s="32" t="str"/>
      <x:c r="D237" s="32" t="str">
        <x:v>xAI</x:v>
      </x:c>
      <x:c r="E237" s="32" t="str">
        <x:v>United States of America</x:v>
      </x:c>
      <x:c r="F237" s="34" t="n">
        <x:v>46070</x:v>
      </x:c>
      <x:c r="G237" s="32" t="str">
        <x:v>API access</x:v>
      </x:c>
      <x:c r="H237" s="34" t="n">
        <x:v>46070</x:v>
      </x:c>
      <x:c r="I237" s="52" t="str"/>
      <x:c r="J237" s="32" t="str">
        <x:v>Likely</x:v>
      </x:c>
      <x:c r="K237" s="32" t="str"/>
      <x:c r="L237" s="32" t="str"/>
      <x:c r="M237" s="32" t="str"/>
      <x:c r="N237" s="32" t="str">
        <x:v>Grok 4.20</x:v>
      </x:c>
      <x:c r="O237" s="32" t="str">
        <x:v>grok-4-20</x:v>
      </x:c>
      <x:c r="P237" s="44" t="n">
        <x:v>152.56</x:v>
      </x:c>
      <x:c r="Q237" s="44" t="n">
        <x:v>149.24</x:v>
      </x:c>
      <x:c r="R237" s="44" t="n">
        <x:v>154.54</x:v>
      </x:c>
    </x:row>
    <x:row r="238">
      <x:c r="A238" s="32" t="str">
        <x:v>Claude Fable 5</x:v>
      </x:c>
      <x:c r="B238" s="32" t="str">
        <x:v>claude-fable-5</x:v>
      </x:c>
      <x:c r="C238" s="32" t="str">
        <x:v>Claude Fable 5</x:v>
      </x:c>
      <x:c r="D238" s="32" t="str">
        <x:v>Anthropic</x:v>
      </x:c>
      <x:c r="E238" s="32" t="str">
        <x:v>United States of America</x:v>
      </x:c>
      <x:c r="F238" s="34" t="n">
        <x:v>46182</x:v>
      </x:c>
      <x:c r="G238" s="32" t="str">
        <x:v>API access</x:v>
      </x:c>
      <x:c r="H238" s="34" t="n">
        <x:v>46182</x:v>
      </x:c>
      <x:c r="I238" s="52" t="str"/>
      <x:c r="J238" s="32" t="str">
        <x:v>Confident</x:v>
      </x:c>
      <x:c r="K238" s="32" t="str"/>
      <x:c r="L238" s="32" t="str">
        <x:v>Claude Fable 5</x:v>
      </x:c>
      <x:c r="M238" s="32" t="str"/>
      <x:c r="N238" s="32" t="str">
        <x:v>Claude Fable 5</x:v>
      </x:c>
      <x:c r="O238" s="32" t="str">
        <x:v>claude-fable-5</x:v>
      </x:c>
      <x:c r="P238" s="44" t="n">
        <x:v>160.44</x:v>
      </x:c>
      <x:c r="Q238" s="44" t="n">
        <x:v>158.05</x:v>
      </x:c>
      <x:c r="R238" s="44" t="n">
        <x:v>164.61</x:v>
      </x:c>
    </x:row>
    <x:row r="239">
      <x:c r="A239" s="32" t="str">
        <x:v>Claude Opus 4.6</x:v>
      </x:c>
      <x:c r="B239" s="32" t="str">
        <x:v>claude-opus-4-6_unknown</x:v>
      </x:c>
      <x:c r="C239" s="32" t="str">
        <x:v>Claude Opus 4.6 (unknown thinking)</x:v>
      </x:c>
      <x:c r="D239" s="32" t="str">
        <x:v>Anthropic</x:v>
      </x:c>
      <x:c r="E239" s="32" t="str">
        <x:v>United States of America</x:v>
      </x:c>
      <x:c r="F239" s="34" t="n">
        <x:v>46058</x:v>
      </x:c>
      <x:c r="G239" s="32" t="str">
        <x:v>API access</x:v>
      </x:c>
      <x:c r="H239" s="34" t="n">
        <x:v>46058</x:v>
      </x:c>
      <x:c r="I239" s="52" t="str"/>
      <x:c r="J239" s="32" t="str">
        <x:v>Likely</x:v>
      </x:c>
      <x:c r="K239" s="32" t="str"/>
      <x:c r="L239" s="32" t="str">
        <x:v>Claude Opus 4.6 (unknown settings)</x:v>
      </x:c>
      <x:c r="M239" s="32" t="str"/>
      <x:c r="N239" s="32" t="str">
        <x:v>Claude Opus 4.6</x:v>
      </x:c>
      <x:c r="O239" s="32" t="str">
        <x:v>claude-opus-4-6</x:v>
      </x:c>
      <x:c r="P239" s="44" t="n">
        <x:v>155.31</x:v>
      </x:c>
      <x:c r="Q239" s="44" t="n">
        <x:v>153.34</x:v>
      </x:c>
      <x:c r="R239" s="44" t="n">
        <x:v>157.92</x:v>
      </x:c>
    </x:row>
    <x:row r="240">
      <x:c r="A240" s="32" t="str">
        <x:v>DeepSeek-V4-Pro</x:v>
      </x:c>
      <x:c r="B240" s="32" t="str">
        <x:v>deepseek-v4-pro_unknown</x:v>
      </x:c>
      <x:c r="C240" s="32" t="str">
        <x:v>DeepSeek v4 Pro (unknown thinking)</x:v>
      </x:c>
      <x:c r="D240" s="32" t="str">
        <x:v>DeepSeek</x:v>
      </x:c>
      <x:c r="E240" s="32" t="str">
        <x:v>China</x:v>
      </x:c>
      <x:c r="F240" s="34" t="n">
        <x:v>46136</x:v>
      </x:c>
      <x:c r="G240" s="32" t="str">
        <x:v>Open weights (unrestricted)</x:v>
      </x:c>
      <x:c r="H240" s="34" t="n">
        <x:v>46136</x:v>
      </x:c>
      <x:c r="I240" s="52" t="n">
        <x:v>9.702e+24</x:v>
      </x:c>
      <x:c r="J240" s="32" t="str">
        <x:v>Likely</x:v>
      </x:c>
      <x:c r="K240" s="32" t="str"/>
      <x:c r="L240" s="32" t="str">
        <x:v>DeepSeek v4 (unknown thinking)</x:v>
      </x:c>
      <x:c r="M240" s="32" t="str"/>
      <x:c r="N240" s="32" t="str">
        <x:v>DeepSeek-V4-Pro</x:v>
      </x:c>
      <x:c r="O240" s="32" t="str">
        <x:v>deepseek-v4-pro</x:v>
      </x:c>
      <x:c r="P240" s="44" t="n">
        <x:v>149.74</x:v>
      </x:c>
      <x:c r="Q240" s="44" t="n">
        <x:v>147.87</x:v>
      </x:c>
      <x:c r="R240" s="44" t="n">
        <x:v>152.06</x:v>
      </x:c>
    </x:row>
    <x:row r="241">
      <x:c r="A241" s="32" t="str">
        <x:v>MiniMax-M3</x:v>
      </x:c>
      <x:c r="B241" s="32" t="str">
        <x:v>MiniMax-M3</x:v>
      </x:c>
      <x:c r="C241" s="32" t="str"/>
      <x:c r="D241" s="32" t="str">
        <x:v>MiniMax</x:v>
      </x:c>
      <x:c r="E241" s="32" t="str">
        <x:v>China</x:v>
      </x:c>
      <x:c r="F241" s="34" t="n">
        <x:v>46174</x:v>
      </x:c>
      <x:c r="G241" s="32" t="str">
        <x:v>API access</x:v>
      </x:c>
      <x:c r="H241" s="34" t="n">
        <x:v>46174</x:v>
      </x:c>
      <x:c r="I241" s="52" t="str"/>
      <x:c r="J241" s="32" t="str">
        <x:v>Confident</x:v>
      </x:c>
      <x:c r="K241" s="32" t="str"/>
      <x:c r="L241" s="32" t="str"/>
      <x:c r="M241" s="32" t="str"/>
      <x:c r="N241" s="32" t="str">
        <x:v>MiniMax-M3</x:v>
      </x:c>
      <x:c r="O241" s="32" t="str">
        <x:v>minimax-m3</x:v>
      </x:c>
      <x:c r="P241" s="44" t="n">
        <x:v>144.93</x:v>
      </x:c>
      <x:c r="Q241" s="44" t="n">
        <x:v>141.94</x:v>
      </x:c>
      <x:c r="R241" s="44" t="n">
        <x:v>146.52</x:v>
      </x:c>
    </x:row>
    <x:row r="242">
      <x:c r="A242" s="32" t="str">
        <x:v>GPT-5.4</x:v>
      </x:c>
      <x:c r="B242" s="32" t="str">
        <x:v>gpt-5.4-2026-03-05_unknown</x:v>
      </x:c>
      <x:c r="C242" s="32" t="str">
        <x:v>GPT-5.4</x:v>
      </x:c>
      <x:c r="D242" s="32" t="str">
        <x:v>OpenAI</x:v>
      </x:c>
      <x:c r="E242" s="32" t="str">
        <x:v>United States of America</x:v>
      </x:c>
      <x:c r="F242" s="34" t="n">
        <x:v>46086</x:v>
      </x:c>
      <x:c r="G242" s="32" t="str">
        <x:v>API access</x:v>
      </x:c>
      <x:c r="H242" s="34" t="n">
        <x:v>46086</x:v>
      </x:c>
      <x:c r="I242" s="52" t="str"/>
      <x:c r="J242" s="32" t="str">
        <x:v>Likely</x:v>
      </x:c>
      <x:c r="K242" s="32" t="str"/>
      <x:c r="L242" s="32" t="str">
        <x:v>GPT-5.4 (none)</x:v>
      </x:c>
      <x:c r="M242" s="32" t="str"/>
      <x:c r="N242" s="32" t="str">
        <x:v>GPT-5.4</x:v>
      </x:c>
      <x:c r="O242" s="32" t="str">
        <x:v>gpt-5-4</x:v>
      </x:c>
      <x:c r="P242" s="44" t="n">
        <x:v>156.03</x:v>
      </x:c>
      <x:c r="Q242" s="44" t="n">
        <x:v>154.45</x:v>
      </x:c>
      <x:c r="R242" s="44" t="n">
        <x:v>158.37</x:v>
      </x:c>
    </x:row>
    <x:row r="243">
      <x:c r="A243" s="32" t="str">
        <x:v>Claude Sonnet 4.5</x:v>
      </x:c>
      <x:c r="B243" s="32" t="str">
        <x:v>claude-sonnet-4-5-20250929_unknown</x:v>
      </x:c>
      <x:c r="C243" s="32" t="str">
        <x:v>Claude Sonnet 4.5 (unknown thinking)</x:v>
      </x:c>
      <x:c r="D243" s="32" t="str">
        <x:v>Anthropic</x:v>
      </x:c>
      <x:c r="E243" s="32" t="str">
        <x:v>United States of America</x:v>
      </x:c>
      <x:c r="F243" s="34" t="n">
        <x:v>45929</x:v>
      </x:c>
      <x:c r="G243" s="32" t="str">
        <x:v>API access</x:v>
      </x:c>
      <x:c r="H243" s="34" t="n">
        <x:v>45929</x:v>
      </x:c>
      <x:c r="I243" s="52" t="str"/>
      <x:c r="J243" s="32" t="str">
        <x:v>Unknown</x:v>
      </x:c>
      <x:c r="K243" s="32" t="str"/>
      <x:c r="L243" s="32" t="str">
        <x:v>Claude Sonnet 4.5 (59k thinking)</x:v>
      </x:c>
      <x:c r="M243" s="32" t="str"/>
      <x:c r="N243" s="32" t="str">
        <x:v>Claude Sonnet 4.5</x:v>
      </x:c>
      <x:c r="O243" s="32" t="str">
        <x:v>claude-sonnet-4-5</x:v>
      </x:c>
      <x:c r="P243" s="44" t="n">
        <x:v>146.75</x:v>
      </x:c>
      <x:c r="Q243" s="44" t="n">
        <x:v>144.71</x:v>
      </x:c>
      <x:c r="R243" s="44" t="n">
        <x:v>148.07</x:v>
      </x:c>
    </x:row>
    <x:row r="244">
      <x:c r="A244" s="32" t="str">
        <x:v>Claude Haiku 4.5</x:v>
      </x:c>
      <x:c r="B244" s="32" t="str">
        <x:v>claude-haiku-4-5-20251001_unknown</x:v>
      </x:c>
      <x:c r="C244" s="32" t="str">
        <x:v>Claude Haiku 4.5 (unknown thinking)</x:v>
      </x:c>
      <x:c r="D244" s="32" t="str">
        <x:v>Anthropic</x:v>
      </x:c>
      <x:c r="E244" s="32" t="str">
        <x:v>United States of America</x:v>
      </x:c>
      <x:c r="F244" s="34" t="n">
        <x:v>45945</x:v>
      </x:c>
      <x:c r="G244" s="32" t="str">
        <x:v>API access</x:v>
      </x:c>
      <x:c r="H244" s="34" t="n">
        <x:v>45945</x:v>
      </x:c>
      <x:c r="I244" s="52" t="str"/>
      <x:c r="J244" s="32" t="str">
        <x:v>Unknown</x:v>
      </x:c>
      <x:c r="K244" s="32" t="str"/>
      <x:c r="L244" s="32" t="str">
        <x:v>Claude Haiku 4.5 (16k thinking)</x:v>
      </x:c>
      <x:c r="M244" s="32" t="str"/>
      <x:c r="N244" s="32" t="str">
        <x:v>Claude Haiku 4.5</x:v>
      </x:c>
      <x:c r="O244" s="32" t="str">
        <x:v>claude-haiku-4-5</x:v>
      </x:c>
      <x:c r="P244" s="44" t="n">
        <x:v>142.86</x:v>
      </x:c>
      <x:c r="Q244" s="44" t="n">
        <x:v>139.6</x:v>
      </x:c>
      <x:c r="R244" s="44" t="n">
        <x:v>144.62</x:v>
      </x:c>
    </x:row>
    <x:row r="245">
      <x:c r="A245" s="32" t="str">
        <x:v>Claude Opus 4.5</x:v>
      </x:c>
      <x:c r="B245" s="32" t="str">
        <x:v>claude-opus-4-5-20251101_unknown</x:v>
      </x:c>
      <x:c r="C245" s="32" t="str">
        <x:v>Claude Opus 4.5 (unknown thinking)</x:v>
      </x:c>
      <x:c r="D245" s="32" t="str">
        <x:v>Anthropic</x:v>
      </x:c>
      <x:c r="E245" s="32" t="str">
        <x:v>United States of America</x:v>
      </x:c>
      <x:c r="F245" s="34" t="n">
        <x:v>45985</x:v>
      </x:c>
      <x:c r="G245" s="32" t="str">
        <x:v>API access</x:v>
      </x:c>
      <x:c r="H245" s="34" t="n">
        <x:v>45985</x:v>
      </x:c>
      <x:c r="I245" s="52" t="str"/>
      <x:c r="J245" s="32" t="str">
        <x:v>Unknown</x:v>
      </x:c>
      <x:c r="K245" s="32" t="str"/>
      <x:c r="L245" s="32" t="str">
        <x:v>Claude Opus 4.5 (unknown settings)</x:v>
      </x:c>
      <x:c r="M245" s="32" t="str"/>
      <x:c r="N245" s="32" t="str">
        <x:v>Claude Opus 4.5</x:v>
      </x:c>
      <x:c r="O245" s="32" t="str">
        <x:v>claude-opus-4-5</x:v>
      </x:c>
      <x:c r="P245" s="44" t="n">
        <x:v>149.53</x:v>
      </x:c>
      <x:c r="Q245" s="44" t="n">
        <x:v>147.66</x:v>
      </x:c>
      <x:c r="R245" s="44" t="n">
        <x:v>151.99</x:v>
      </x:c>
    </x:row>
    <x:row r="246">
      <x:c r="A246" s="32" t="str">
        <x:v>DeepSeek-V3.2-Exp</x:v>
      </x:c>
      <x:c r="B246" s="32" t="str">
        <x:v>DeepSeek-V3.2-Exp_unknown</x:v>
      </x:c>
      <x:c r="C246" s="32" t="str"/>
      <x:c r="D246" s="32" t="str">
        <x:v>DeepSeek</x:v>
      </x:c>
      <x:c r="E246" s="32" t="str">
        <x:v>China</x:v>
      </x:c>
      <x:c r="F246" s="34" t="n">
        <x:v>45929</x:v>
      </x:c>
      <x:c r="G246" s="32" t="str">
        <x:v>Open weights (unrestricted)</x:v>
      </x:c>
      <x:c r="H246" s="34" t="n">
        <x:v>45929</x:v>
      </x:c>
      <x:c r="I246" s="52" t="n">
        <x:v>4.18e+24</x:v>
      </x:c>
      <x:c r="J246" s="32" t="str">
        <x:v>Confident</x:v>
      </x:c>
      <x:c r="K246" s="32" t="str"/>
      <x:c r="L246" s="32" t="str"/>
      <x:c r="M246" s="32" t="str"/>
      <x:c r="N246" s="32" t="str">
        <x:v>DeepSeek-V3.2-Exp</x:v>
      </x:c>
      <x:c r="O246" s="32" t="str">
        <x:v>deepseek-v3-2-exp</x:v>
      </x:c>
      <x:c r="P246" s="44" t="n">
        <x:v>144.86</x:v>
      </x:c>
      <x:c r="Q246" s="44" t="n">
        <x:v>141.79</x:v>
      </x:c>
      <x:c r="R246" s="44" t="n">
        <x:v>146.71</x:v>
      </x:c>
    </x:row>
    <x:row r="247">
      <x:c r="A247" s="32" t="str">
        <x:v>Grok 4.1 Fast</x:v>
      </x:c>
      <x:c r="B247" s="32" t="str">
        <x:v>grok-4-1-fast-reasoning</x:v>
      </x:c>
      <x:c r="C247" s="32" t="str"/>
      <x:c r="D247" s="32" t="str">
        <x:v>xAI</x:v>
      </x:c>
      <x:c r="E247" s="32" t="str">
        <x:v>United States of America</x:v>
      </x:c>
      <x:c r="F247" s="34" t="n">
        <x:v>45980</x:v>
      </x:c>
      <x:c r="G247" s="32" t="str">
        <x:v>API access</x:v>
      </x:c>
      <x:c r="H247" s="34" t="n">
        <x:v>45980</x:v>
      </x:c>
      <x:c r="I247" s="52" t="str"/>
      <x:c r="J247" s="32" t="str">
        <x:v>Unknown</x:v>
      </x:c>
      <x:c r="K247" s="32" t="str"/>
      <x:c r="L247" s="32" t="str"/>
      <x:c r="M247" s="32" t="str"/>
      <x:c r="N247" s="32" t="str">
        <x:v>Grok 4.1 Fast</x:v>
      </x:c>
      <x:c r="O247" s="32" t="str">
        <x:v>grok-4-1-fast</x:v>
      </x:c>
      <x:c r="P247" s="44" t="str"/>
      <x:c r="Q247" s="44" t="str"/>
      <x:c r="R247" s="44" t="str"/>
    </x:row>
    <x:row r="248">
      <x:c r="A248" s="32" t="str">
        <x:v>GPT-5.2</x:v>
      </x:c>
      <x:c r="B248" s="32" t="str">
        <x:v>gpt-5.2-2025-12-11_unknown</x:v>
      </x:c>
      <x:c r="C248" s="32" t="str">
        <x:v>GPT-5.2 (unknown thinking)</x:v>
      </x:c>
      <x:c r="D248" s="32" t="str">
        <x:v>OpenAI</x:v>
      </x:c>
      <x:c r="E248" s="32" t="str">
        <x:v>United States of America</x:v>
      </x:c>
      <x:c r="F248" s="34" t="n">
        <x:v>46002</x:v>
      </x:c>
      <x:c r="G248" s="32" t="str">
        <x:v>API access</x:v>
      </x:c>
      <x:c r="H248" s="34" t="n">
        <x:v>46002</x:v>
      </x:c>
      <x:c r="I248" s="52" t="str"/>
      <x:c r="J248" s="32" t="str">
        <x:v>Unknown</x:v>
      </x:c>
      <x:c r="K248" s="32" t="str"/>
      <x:c r="L248" s="32" t="str">
        <x:v>GPT-5.2 (high)</x:v>
      </x:c>
      <x:c r="M248" s="32" t="str"/>
      <x:c r="N248" s="32" t="str">
        <x:v>GPT-5.2</x:v>
      </x:c>
      <x:c r="O248" s="32" t="str">
        <x:v>gpt-5-2</x:v>
      </x:c>
      <x:c r="P248" s="44" t="n">
        <x:v>153.7</x:v>
      </x:c>
      <x:c r="Q248" s="44" t="n">
        <x:v>152.26</x:v>
      </x:c>
      <x:c r="R248" s="44" t="n">
        <x:v>155.46</x:v>
      </x:c>
    </x:row>
    <x:row r="249">
      <x:c r="A249" s="32" t="str">
        <x:v>GPT-5.1</x:v>
      </x:c>
      <x:c r="B249" s="32" t="str">
        <x:v>gpt-5.1-2025-11-13_unknown</x:v>
      </x:c>
      <x:c r="C249" s="32" t="str">
        <x:v>GPT-5.1 (unknown thinking)</x:v>
      </x:c>
      <x:c r="D249" s="32" t="str">
        <x:v>OpenAI</x:v>
      </x:c>
      <x:c r="E249" s="32" t="str">
        <x:v>United States of America</x:v>
      </x:c>
      <x:c r="F249" s="34" t="n">
        <x:v>45974</x:v>
      </x:c>
      <x:c r="G249" s="32" t="str">
        <x:v>API access</x:v>
      </x:c>
      <x:c r="H249" s="34" t="n">
        <x:v>45974</x:v>
      </x:c>
      <x:c r="I249" s="52" t="str"/>
      <x:c r="J249" s="32" t="str">
        <x:v>Unknown</x:v>
      </x:c>
      <x:c r="K249" s="32" t="str"/>
      <x:c r="L249" s="32" t="str">
        <x:v>GPT-5.1 (high)</x:v>
      </x:c>
      <x:c r="M249" s="32" t="str"/>
      <x:c r="N249" s="32" t="str">
        <x:v>GPT-5.1</x:v>
      </x:c>
      <x:c r="O249" s="32" t="str">
        <x:v>gpt-5-1</x:v>
      </x:c>
      <x:c r="P249" s="44" t="n">
        <x:v>149.72</x:v>
      </x:c>
      <x:c r="Q249" s="44" t="n">
        <x:v>148.31</x:v>
      </x:c>
      <x:c r="R249" s="44" t="n">
        <x:v>151.01</x:v>
      </x:c>
    </x:row>
    <x:row r="250">
      <x:c r="A250" s="32" t="str">
        <x:v>Qwen3.5-27B</x:v>
      </x:c>
      <x:c r="B250" s="32" t="str">
        <x:v>qwen3.5-27B</x:v>
      </x:c>
      <x:c r="C250" s="32" t="str"/>
      <x:c r="D250" s="32" t="str">
        <x:v>Alibaba</x:v>
      </x:c>
      <x:c r="E250" s="32" t="str">
        <x:v>China</x:v>
      </x:c>
      <x:c r="F250" s="34" t="n">
        <x:v>46077</x:v>
      </x:c>
      <x:c r="G250" s="32" t="str">
        <x:v>Open weights (restricted use)</x:v>
      </x:c>
      <x:c r="H250" s="34" t="n">
        <x:v>46077</x:v>
      </x:c>
      <x:c r="I250" s="52" t="str"/>
      <x:c r="J250" s="32" t="str">
        <x:v>Confident</x:v>
      </x:c>
      <x:c r="K250" s="32" t="str"/>
      <x:c r="L250" s="32" t="str"/>
      <x:c r="M250" s="32" t="str"/>
      <x:c r="N250" s="32" t="str">
        <x:v>Qwen3.5-27B</x:v>
      </x:c>
      <x:c r="O250" s="32" t="str">
        <x:v>qwen3-5-27b</x:v>
      </x:c>
      <x:c r="P250" s="44" t="str"/>
      <x:c r="Q250" s="44" t="str"/>
      <x:c r="R250" s="44" t="str"/>
    </x:row>
    <x:row r="251">
      <x:c r="A251" s="32" t="str">
        <x:v>MiniMax-M2</x:v>
      </x:c>
      <x:c r="B251" s="32" t="str">
        <x:v>MiniMax-M2</x:v>
      </x:c>
      <x:c r="C251" s="32" t="str"/>
      <x:c r="D251" s="32" t="str">
        <x:v>MiniMax</x:v>
      </x:c>
      <x:c r="E251" s="32" t="str">
        <x:v>China</x:v>
      </x:c>
      <x:c r="F251" s="34" t="n">
        <x:v>45957</x:v>
      </x:c>
      <x:c r="G251" s="32" t="str">
        <x:v>Open weights (unrestricted)</x:v>
      </x:c>
      <x:c r="H251" s="34" t="n">
        <x:v>45957</x:v>
      </x:c>
      <x:c r="I251" s="52" t="str"/>
      <x:c r="J251" s="32" t="str">
        <x:v>Confident</x:v>
      </x:c>
      <x:c r="K251" s="32" t="str"/>
      <x:c r="L251" s="32" t="str"/>
      <x:c r="M251" s="32" t="str"/>
      <x:c r="N251" s="32" t="str">
        <x:v>MiniMax-M2</x:v>
      </x:c>
      <x:c r="O251" s="32" t="str">
        <x:v>minimax-m2</x:v>
      </x:c>
      <x:c r="P251" s="44" t="str"/>
      <x:c r="Q251" s="44" t="str"/>
      <x:c r="R251" s="44" t="str"/>
    </x:row>
    <x:row r="252">
      <x:c r="A252" s="32" t="str">
        <x:v>Grok 4.3 Beta</x:v>
      </x:c>
      <x:c r="B252" s="32" t="str">
        <x:v>grok-4-3</x:v>
      </x:c>
      <x:c r="C252" s="32" t="str"/>
      <x:c r="D252" s="32" t="str">
        <x:v>xAI</x:v>
      </x:c>
      <x:c r="E252" s="32" t="str">
        <x:v>United States of America</x:v>
      </x:c>
      <x:c r="F252" s="34" t="n">
        <x:v>46129</x:v>
      </x:c>
      <x:c r="G252" s="32" t="str">
        <x:v>Hosted access (no API)</x:v>
      </x:c>
      <x:c r="H252" s="34" t="n">
        <x:v>46129</x:v>
      </x:c>
      <x:c r="I252" s="52" t="str"/>
      <x:c r="J252" s="32" t="str">
        <x:v>Likely</x:v>
      </x:c>
      <x:c r="K252" s="32" t="str"/>
      <x:c r="L252" s="32" t="str"/>
      <x:c r="M252" s="32" t="str"/>
      <x:c r="N252" s="32" t="str">
        <x:v>Grok 4.3 Beta</x:v>
      </x:c>
      <x:c r="O252" s="32" t="str">
        <x:v>grok-4-3-beta</x:v>
      </x:c>
      <x:c r="P252" s="44" t="n">
        <x:v>148.98</x:v>
      </x:c>
      <x:c r="Q252" s="44" t="n">
        <x:v>147.37</x:v>
      </x:c>
      <x:c r="R252" s="44" t="n">
        <x:v>150.53</x:v>
      </x:c>
    </x:row>
    <x:row r="253">
      <x:c r="A253" s="32" t="str">
        <x:v>gpt-oss-120b</x:v>
      </x:c>
      <x:c r="B253" s="32" t="str">
        <x:v>gpt-oss-120b</x:v>
      </x:c>
      <x:c r="C253" s="32" t="str"/>
      <x:c r="D253" s="32" t="str">
        <x:v>OpenAI</x:v>
      </x:c>
      <x:c r="E253" s="32" t="str">
        <x:v>United States of America</x:v>
      </x:c>
      <x:c r="F253" s="34" t="n">
        <x:v>45874</x:v>
      </x:c>
      <x:c r="G253" s="32" t="str">
        <x:v>Open weights (unrestricted)</x:v>
      </x:c>
      <x:c r="H253" s="34" t="n">
        <x:v>45874</x:v>
      </x:c>
      <x:c r="I253" s="52" t="n">
        <x:v>4.94e+24</x:v>
      </x:c>
      <x:c r="J253" s="32" t="str">
        <x:v>Confident</x:v>
      </x:c>
      <x:c r="K253" s="32" t="str">
        <x:v>The larger one of OpenAI's two latest open source language models.</x:v>
      </x:c>
      <x:c r="L253" s="32" t="str"/>
      <x:c r="M253" s="32" t="str"/>
      <x:c r="N253" s="32" t="str">
        <x:v>gpt-oss-120b</x:v>
      </x:c>
      <x:c r="O253" s="32" t="str">
        <x:v>gpt-oss-120b</x:v>
      </x:c>
      <x:c r="P253" s="44" t="n">
        <x:v>140.57</x:v>
      </x:c>
      <x:c r="Q253" s="44" t="n">
        <x:v>136.18</x:v>
      </x:c>
      <x:c r="R253" s="44" t="n">
        <x:v>143.08</x:v>
      </x:c>
    </x:row>
    <x:row r="254">
      <x:c r="A254" s="32" t="str">
        <x:v>MiniMax-M2.5</x:v>
      </x:c>
      <x:c r="B254" s="32" t="str">
        <x:v>MiniMax-M2.5</x:v>
      </x:c>
      <x:c r="C254" s="32" t="str"/>
      <x:c r="D254" s="32" t="str">
        <x:v>MiniMax</x:v>
      </x:c>
      <x:c r="E254" s="32" t="str">
        <x:v>China</x:v>
      </x:c>
      <x:c r="F254" s="34" t="n">
        <x:v>46065</x:v>
      </x:c>
      <x:c r="G254" s="32" t="str">
        <x:v>Open weights (unrestricted)</x:v>
      </x:c>
      <x:c r="H254" s="34" t="n">
        <x:v>46065</x:v>
      </x:c>
      <x:c r="I254" s="52" t="str"/>
      <x:c r="J254" s="32" t="str">
        <x:v>Likely</x:v>
      </x:c>
      <x:c r="K254" s="32" t="str"/>
      <x:c r="L254" s="32" t="str"/>
      <x:c r="M254" s="32" t="str"/>
      <x:c r="N254" s="32" t="str">
        <x:v>MiniMax-M2.5</x:v>
      </x:c>
      <x:c r="O254" s="32" t="str">
        <x:v>minimax-m2-5</x:v>
      </x:c>
      <x:c r="P254" s="44" t="n">
        <x:v>147.07</x:v>
      </x:c>
      <x:c r="Q254" s="44" t="n">
        <x:v>142.34</x:v>
      </x:c>
      <x:c r="R254" s="44" t="n">
        <x:v>148.14</x:v>
      </x:c>
    </x:row>
    <x:row r="255">
      <x:c r="A255" s="32" t="str">
        <x:v>GPT-5 mini</x:v>
      </x:c>
      <x:c r="B255" s="32" t="str">
        <x:v>gpt-5-mini-2025-08-07_unknown</x:v>
      </x:c>
      <x:c r="C255" s="32" t="str">
        <x:v>GPT-5 mini (unknown thinking)</x:v>
      </x:c>
      <x:c r="D255" s="32" t="str">
        <x:v>OpenAI</x:v>
      </x:c>
      <x:c r="E255" s="32" t="str">
        <x:v>United States of America</x:v>
      </x:c>
      <x:c r="F255" s="34" t="n">
        <x:v>45876</x:v>
      </x:c>
      <x:c r="G255" s="32" t="str">
        <x:v>API access</x:v>
      </x:c>
      <x:c r="H255" s="34" t="n">
        <x:v>45876</x:v>
      </x:c>
      <x:c r="I255" s="52" t="str"/>
      <x:c r="J255" s="32" t="str">
        <x:v>Unknown</x:v>
      </x:c>
      <x:c r="K255" s="32" t="str">
        <x:v>A smaller version of OpenAI's latest flagship frontier model, benchmarked using high reasoning effort.</x:v>
      </x:c>
      <x:c r="L255" s="32" t="str">
        <x:v>GPT-5 mini (high)</x:v>
      </x:c>
      <x:c r="M255" s="32" t="str"/>
      <x:c r="N255" s="32" t="str">
        <x:v>GPT-5 mini</x:v>
      </x:c>
      <x:c r="O255" s="32" t="str">
        <x:v>gpt-5-mini</x:v>
      </x:c>
      <x:c r="P255" s="44" t="n">
        <x:v>145.79</x:v>
      </x:c>
      <x:c r="Q255" s="44" t="n">
        <x:v>143.69</x:v>
      </x:c>
      <x:c r="R255" s="44" t="n">
        <x:v>147.21</x:v>
      </x:c>
    </x:row>
    <x:row r="256">
      <x:c r="A256" s="32" t="str">
        <x:v>GPT-5.5</x:v>
      </x:c>
      <x:c r="B256" s="32" t="str">
        <x:v>gpt-5.5_high</x:v>
      </x:c>
      <x:c r="C256" s="32" t="str">
        <x:v>GPT-5.5 (high)</x:v>
      </x:c>
      <x:c r="D256" s="32" t="str">
        <x:v>OpenAI</x:v>
      </x:c>
      <x:c r="E256" s="32" t="str">
        <x:v>United States of America</x:v>
      </x:c>
      <x:c r="F256" s="34" t="n">
        <x:v>46135</x:v>
      </x:c>
      <x:c r="G256" s="32" t="str">
        <x:v>API access</x:v>
      </x:c>
      <x:c r="H256" s="34" t="n">
        <x:v>46135</x:v>
      </x:c>
      <x:c r="I256" s="52" t="str"/>
      <x:c r="J256" s="32" t="str">
        <x:v>Likely</x:v>
      </x:c>
      <x:c r="K256" s="32" t="str"/>
      <x:c r="L256" s="32" t="str"/>
      <x:c r="M256" s="32" t="str"/>
      <x:c r="N256" s="32" t="str">
        <x:v>GPT-5.5</x:v>
      </x:c>
      <x:c r="O256" s="32" t="str">
        <x:v>gpt-5-5</x:v>
      </x:c>
      <x:c r="P256" s="44" t="n">
        <x:v>158.33</x:v>
      </x:c>
      <x:c r="Q256" s="44" t="n">
        <x:v>156.44</x:v>
      </x:c>
      <x:c r="R256" s="44" t="n">
        <x:v>161.43</x:v>
      </x:c>
    </x:row>
    <x:row r="257">
      <x:c r="A257" s="32" t="str">
        <x:v>Claude Opus 4.6</x:v>
      </x:c>
      <x:c r="B257" s="32" t="str">
        <x:v>claude-opus-4-6_high</x:v>
      </x:c>
      <x:c r="C257" s="32" t="str">
        <x:v>Claude Opus 4.6 (high)</x:v>
      </x:c>
      <x:c r="D257" s="32" t="str">
        <x:v>Anthropic</x:v>
      </x:c>
      <x:c r="E257" s="32" t="str">
        <x:v>United States of America</x:v>
      </x:c>
      <x:c r="F257" s="34" t="n">
        <x:v>46058</x:v>
      </x:c>
      <x:c r="G257" s="32" t="str">
        <x:v>API access</x:v>
      </x:c>
      <x:c r="H257" s="34" t="n">
        <x:v>46058</x:v>
      </x:c>
      <x:c r="I257" s="52" t="str"/>
      <x:c r="J257" s="32" t="str">
        <x:v>Likely</x:v>
      </x:c>
      <x:c r="K257" s="32" t="str"/>
      <x:c r="L257" s="32" t="str">
        <x:v>Claude Opus 4.6 (high)</x:v>
      </x:c>
      <x:c r="M257" s="32" t="str"/>
      <x:c r="N257" s="32" t="str">
        <x:v>Claude Opus 4.6</x:v>
      </x:c>
      <x:c r="O257" s="32" t="str">
        <x:v>claude-opus-4-6</x:v>
      </x:c>
      <x:c r="P257" s="44" t="n">
        <x:v>155.31</x:v>
      </x:c>
      <x:c r="Q257" s="44" t="n">
        <x:v>153.34</x:v>
      </x:c>
      <x:c r="R257" s="44" t="n">
        <x:v>157.92</x:v>
      </x:c>
    </x:row>
    <x:row r="258">
      <x:c r="A258" s="32" t="str">
        <x:v>DeepSeek-V4-Pro</x:v>
      </x:c>
      <x:c r="B258" s="32" t="str">
        <x:v>deepseek-v4-pro_high</x:v>
      </x:c>
      <x:c r="C258" s="32" t="str">
        <x:v>DeepSeek v4 Pro (high)</x:v>
      </x:c>
      <x:c r="D258" s="32" t="str">
        <x:v>DeepSeek</x:v>
      </x:c>
      <x:c r="E258" s="32" t="str">
        <x:v>China</x:v>
      </x:c>
      <x:c r="F258" s="34" t="n">
        <x:v>46136</x:v>
      </x:c>
      <x:c r="G258" s="32" t="str">
        <x:v>Open weights (unrestricted)</x:v>
      </x:c>
      <x:c r="H258" s="34" t="n">
        <x:v>46136</x:v>
      </x:c>
      <x:c r="I258" s="52" t="n">
        <x:v>9.702e+24</x:v>
      </x:c>
      <x:c r="J258" s="32" t="str">
        <x:v>Likely</x:v>
      </x:c>
      <x:c r="K258" s="32" t="str"/>
      <x:c r="L258" s="32" t="str">
        <x:v>DeepSeek v4 (high)</x:v>
      </x:c>
      <x:c r="M258" s="32" t="str"/>
      <x:c r="N258" s="32" t="str">
        <x:v>DeepSeek-V4-Pro</x:v>
      </x:c>
      <x:c r="O258" s="32" t="str">
        <x:v>deepseek-v4-pro</x:v>
      </x:c>
      <x:c r="P258" s="44" t="n">
        <x:v>149.74</x:v>
      </x:c>
      <x:c r="Q258" s="44" t="n">
        <x:v>147.87</x:v>
      </x:c>
      <x:c r="R258" s="44" t="n">
        <x:v>152.06</x:v>
      </x:c>
    </x:row>
    <x:row r="259">
      <x:c r="A259" s="32" t="str">
        <x:v>GLM-4.7</x:v>
      </x:c>
      <x:c r="B259" s="32" t="str">
        <x:v>zai-org/glm-4.7</x:v>
      </x:c>
      <x:c r="C259" s="32" t="str">
        <x:v>GLM-4.7 (Novita)</x:v>
      </x:c>
      <x:c r="D259" s="32" t="str">
        <x:v>Z.ai (Zhipu AI)</x:v>
      </x:c>
      <x:c r="E259" s="32" t="str">
        <x:v>China</x:v>
      </x:c>
      <x:c r="F259" s="34" t="n">
        <x:v>46013</x:v>
      </x:c>
      <x:c r="G259" s="32" t="str">
        <x:v>Open weights (unrestricted)</x:v>
      </x:c>
      <x:c r="H259" s="34" t="n">
        <x:v>46013</x:v>
      </x:c>
      <x:c r="I259" s="52" t="n">
        <x:v>4.42e+24</x:v>
      </x:c>
      <x:c r="J259" s="32" t="str">
        <x:v>Likely</x:v>
      </x:c>
      <x:c r="K259" s="32" t="str"/>
      <x:c r="L259" s="32" t="str"/>
      <x:c r="M259" s="32" t="str"/>
      <x:c r="N259" s="32" t="str">
        <x:v>GLM-4.7</x:v>
      </x:c>
      <x:c r="O259" s="32" t="str">
        <x:v>glm-4-7</x:v>
      </x:c>
      <x:c r="P259" s="44" t="n">
        <x:v>143.73</x:v>
      </x:c>
      <x:c r="Q259" s="44" t="n">
        <x:v>141.11</x:v>
      </x:c>
      <x:c r="R259" s="44" t="n">
        <x:v>145.38</x:v>
      </x:c>
    </x:row>
    <x:row r="260">
      <x:c r="A260" s="32" t="str">
        <x:v>DeepSeek-V3.2-Exp</x:v>
      </x:c>
      <x:c r="B260" s="32" t="str">
        <x:v>DeepSeek-V3.2-Exp_thinking</x:v>
      </x:c>
      <x:c r="C260" s="32" t="str"/>
      <x:c r="D260" s="32" t="str">
        <x:v>DeepSeek</x:v>
      </x:c>
      <x:c r="E260" s="32" t="str">
        <x:v>China</x:v>
      </x:c>
      <x:c r="F260" s="34" t="n">
        <x:v>45929</x:v>
      </x:c>
      <x:c r="G260" s="32" t="str">
        <x:v>Open weights (unrestricted)</x:v>
      </x:c>
      <x:c r="H260" s="34" t="n">
        <x:v>45929</x:v>
      </x:c>
      <x:c r="I260" s="52" t="n">
        <x:v>4.18e+24</x:v>
      </x:c>
      <x:c r="J260" s="32" t="str">
        <x:v>Confident</x:v>
      </x:c>
      <x:c r="K260" s="32" t="str"/>
      <x:c r="L260" s="32" t="str"/>
      <x:c r="M260" s="32" t="str"/>
      <x:c r="N260" s="32" t="str">
        <x:v>DeepSeek-V3.2-Exp</x:v>
      </x:c>
      <x:c r="O260" s="32" t="str">
        <x:v>deepseek-v3-2-exp</x:v>
      </x:c>
      <x:c r="P260" s="44" t="n">
        <x:v>144.86</x:v>
      </x:c>
      <x:c r="Q260" s="44" t="n">
        <x:v>141.79</x:v>
      </x:c>
      <x:c r="R260" s="44" t="n">
        <x:v>146.71</x:v>
      </x:c>
    </x:row>
    <x:row r="261">
      <x:c r="A261" s="32" t="str">
        <x:v>DeepSeek-V3.2</x:v>
      </x:c>
      <x:c r="B261" s="32" t="str">
        <x:v>deepseek/deepseek-v3.2</x:v>
      </x:c>
      <x:c r="C261" s="32" t="str">
        <x:v>DeepSeek-V3.2 (Thinking; Novita)</x:v>
      </x:c>
      <x:c r="D261" s="32" t="str">
        <x:v>DeepSeek</x:v>
      </x:c>
      <x:c r="E261" s="32" t="str">
        <x:v>China</x:v>
      </x:c>
      <x:c r="F261" s="34" t="n">
        <x:v>45992</x:v>
      </x:c>
      <x:c r="G261" s="32" t="str">
        <x:v>Open weights (unrestricted)</x:v>
      </x:c>
      <x:c r="H261" s="34" t="n">
        <x:v>45992</x:v>
      </x:c>
      <x:c r="I261" s="52" t="n">
        <x:v>4.1999999999999997e+24</x:v>
      </x:c>
      <x:c r="J261" s="32" t="str">
        <x:v>Likely</x:v>
      </x:c>
      <x:c r="K261" s="32" t="str"/>
      <x:c r="L261" s="32" t="str"/>
      <x:c r="M261" s="32" t="str">
        <x:v>DeepSeek-V3.2</x:v>
      </x:c>
      <x:c r="N261" s="32" t="str">
        <x:v>DeepSeek-V3.2</x:v>
      </x:c>
      <x:c r="O261" s="32" t="str">
        <x:v>deepseek-v3-2</x:v>
      </x:c>
      <x:c r="P261" s="44" t="n">
        <x:v>146.56</x:v>
      </x:c>
      <x:c r="Q261" s="44" t="n">
        <x:v>144.63</x:v>
      </x:c>
      <x:c r="R261" s="44" t="n">
        <x:v>147.62</x:v>
      </x:c>
    </x:row>
    <x:row r="262">
      <x:c r="A262" s="32" t="str">
        <x:v>MiMo-V2-Pro</x:v>
      </x:c>
      <x:c r="B262" s="32" t="str">
        <x:v>mimo-v2-pro</x:v>
      </x:c>
      <x:c r="C262" s="32" t="str"/>
      <x:c r="D262" s="32" t="str">
        <x:v>Xiaomi Corp</x:v>
      </x:c>
      <x:c r="E262" s="32" t="str">
        <x:v>China</x:v>
      </x:c>
      <x:c r="F262" s="34"/>
      <x:c r="G262" s="32" t="str"/>
      <x:c r="H262" s="34" t="n">
        <x:v>46099</x:v>
      </x:c>
      <x:c r="I262" s="52" t="str"/>
      <x:c r="J262" s="32" t="str">
        <x:v>Confident</x:v>
      </x:c>
      <x:c r="K262" s="32" t="str"/>
      <x:c r="L262" s="32" t="str"/>
      <x:c r="M262" s="32" t="str"/>
      <x:c r="N262" s="32" t="str">
        <x:v>MiMo-V2-Pro</x:v>
      </x:c>
      <x:c r="O262" s="32" t="str">
        <x:v>mimo-v2-pro</x:v>
      </x:c>
      <x:c r="P262" s="44" t="str"/>
      <x:c r="Q262" s="44" t="str"/>
      <x:c r="R262" s="44" t="str"/>
    </x:row>
    <x:row r="263">
      <x:c r="A263" s="32" t="str">
        <x:v>Claude Opus 4.7</x:v>
      </x:c>
      <x:c r="B263" s="32" t="str">
        <x:v>claude-opus-4-7</x:v>
      </x:c>
      <x:c r="C263" s="32" t="str">
        <x:v>Claude Opus 4.7 (no thinking)</x:v>
      </x:c>
      <x:c r="D263" s="32" t="str">
        <x:v>Anthropic</x:v>
      </x:c>
      <x:c r="E263" s="32" t="str">
        <x:v>United States of America</x:v>
      </x:c>
      <x:c r="F263" s="34" t="n">
        <x:v>46128</x:v>
      </x:c>
      <x:c r="G263" s="32" t="str">
        <x:v>API access</x:v>
      </x:c>
      <x:c r="H263" s="34" t="n">
        <x:v>46128</x:v>
      </x:c>
      <x:c r="I263" s="52" t="str"/>
      <x:c r="J263" s="32" t="str">
        <x:v>Likely</x:v>
      </x:c>
      <x:c r="K263" s="32" t="str"/>
      <x:c r="L263" s="32" t="str">
        <x:v>Claude Opus 4.7 (no thinking)</x:v>
      </x:c>
      <x:c r="M263" s="32" t="str"/>
      <x:c r="N263" s="32" t="str">
        <x:v>Claude Opus 4.7</x:v>
      </x:c>
      <x:c r="O263" s="32" t="str">
        <x:v>claude-opus-4-7</x:v>
      </x:c>
      <x:c r="P263" s="44" t="n">
        <x:v>156.01</x:v>
      </x:c>
      <x:c r="Q263" s="44" t="n">
        <x:v>154.07</x:v>
      </x:c>
      <x:c r="R263" s="44" t="n">
        <x:v>158.4</x:v>
      </x:c>
    </x:row>
    <x:row r="264">
      <x:c r="A264" s="32" t="str">
        <x:v>Claude Opus 4.7</x:v>
      </x:c>
      <x:c r="B264" s="32" t="str">
        <x:v>claude-opus-4-7_high</x:v>
      </x:c>
      <x:c r="C264" s="32" t="str">
        <x:v>Claude Opus 4.7 (high)</x:v>
      </x:c>
      <x:c r="D264" s="32" t="str">
        <x:v>Anthropic</x:v>
      </x:c>
      <x:c r="E264" s="32" t="str">
        <x:v>United States of America</x:v>
      </x:c>
      <x:c r="F264" s="34" t="n">
        <x:v>46128</x:v>
      </x:c>
      <x:c r="G264" s="32" t="str">
        <x:v>API access</x:v>
      </x:c>
      <x:c r="H264" s="34" t="n">
        <x:v>46128</x:v>
      </x:c>
      <x:c r="I264" s="52" t="str"/>
      <x:c r="J264" s="32" t="str">
        <x:v>Likely</x:v>
      </x:c>
      <x:c r="K264" s="32" t="str"/>
      <x:c r="L264" s="32" t="str">
        <x:v>Claude Opus 4.7 (high)</x:v>
      </x:c>
      <x:c r="M264" s="32" t="str"/>
      <x:c r="N264" s="32" t="str">
        <x:v>Claude Opus 4.7</x:v>
      </x:c>
      <x:c r="O264" s="32" t="str">
        <x:v>claude-opus-4-7</x:v>
      </x:c>
      <x:c r="P264" s="44" t="n">
        <x:v>156.01</x:v>
      </x:c>
      <x:c r="Q264" s="44" t="n">
        <x:v>154.07</x:v>
      </x:c>
      <x:c r="R264" s="44" t="n">
        <x:v>158.4</x:v>
      </x:c>
    </x:row>
    <x:row r="265">
      <x:c r="A265" s="32" t="str">
        <x:v>Claude Opus 4</x:v>
      </x:c>
      <x:c r="B265" s="32" t="str">
        <x:v>claude-opus-4-20250514_unknown</x:v>
      </x:c>
      <x:c r="C265" s="32" t="str">
        <x:v>Claude Opus 4</x:v>
      </x:c>
      <x:c r="D265" s="32" t="str">
        <x:v>Anthropic</x:v>
      </x:c>
      <x:c r="E265" s="32" t="str">
        <x:v>United States of America</x:v>
      </x:c>
      <x:c r="F265" s="34" t="n">
        <x:v>45799</x:v>
      </x:c>
      <x:c r="G265" s="32" t="str">
        <x:v>API access</x:v>
      </x:c>
      <x:c r="H265" s="34" t="n">
        <x:v>45799</x:v>
      </x:c>
      <x:c r="I265" s="52" t="str"/>
      <x:c r="J265" s="32" t="str">
        <x:v>Unknown</x:v>
      </x:c>
      <x:c r="K265" s="32" t="str">
        <x:v>Anthropic's largest model in the Claude 4 series (superseded by Claude Opus 4.1), benchmarked with up to 32,000 reasoning tokens.</x:v>
      </x:c>
      <x:c r="L265" s="32" t="str">
        <x:v>Claude Opus 4 (unknown settings)</x:v>
      </x:c>
      <x:c r="M265" s="32" t="str"/>
      <x:c r="N265" s="32" t="str">
        <x:v>Claude Opus 4</x:v>
      </x:c>
      <x:c r="O265" s="32" t="str">
        <x:v>claude-opus-4</x:v>
      </x:c>
      <x:c r="P265" s="44" t="n">
        <x:v>142.89</x:v>
      </x:c>
      <x:c r="Q265" s="44" t="n">
        <x:v>140.36</x:v>
      </x:c>
      <x:c r="R265" s="44" t="n">
        <x:v>144.3</x:v>
      </x:c>
    </x:row>
    <x:row r="266">
      <x:c r="A266" s="32" t="str">
        <x:v>Kimi K2</x:v>
      </x:c>
      <x:c r="B266" s="32" t="str">
        <x:v>Kimi-K2-Instruct</x:v>
      </x:c>
      <x:c r="C266" s="32" t="str">
        <x:v>Kimi K2 Instruct</x:v>
      </x:c>
      <x:c r="D266" s="32" t="str">
        <x:v>Moonshot</x:v>
      </x:c>
      <x:c r="E266" s="32" t="str">
        <x:v>China</x:v>
      </x:c>
      <x:c r="F266" s="34" t="n">
        <x:v>45850</x:v>
      </x:c>
      <x:c r="G266" s="32" t="str">
        <x:v>Open weights (restricted use)</x:v>
      </x:c>
      <x:c r="H266" s="34" t="n">
        <x:v>45849</x:v>
      </x:c>
      <x:c r="I266" s="52" t="n">
        <x:v>2.976e+24</x:v>
      </x:c>
      <x:c r="J266" s="32" t="str">
        <x:v>Confident</x:v>
      </x:c>
      <x:c r="K266" s="32" t="str">
        <x:v>Moonshot AI’s 1-trillion parameter scale model.</x:v>
      </x:c>
      <x:c r="L266" s="32" t="str"/>
      <x:c r="M266" s="32" t="str">
        <x:v>Kimi K2 (Jul 2025)</x:v>
      </x:c>
      <x:c r="N266" s="32" t="str">
        <x:v>Kimi K2 (Jul 2025)</x:v>
      </x:c>
      <x:c r="O266" s="32" t="str">
        <x:v>kimi-k2-jul-2025</x:v>
      </x:c>
      <x:c r="P266" s="44" t="n">
        <x:v>140.45</x:v>
      </x:c>
      <x:c r="Q266" s="44" t="n">
        <x:v>137</x:v>
      </x:c>
      <x:c r="R266" s="44" t="n">
        <x:v>142.06</x:v>
      </x:c>
    </x:row>
    <x:row r="267">
      <x:c r="A267" s="32" t="str">
        <x:v>Qwen3-Coder-480B-A35B</x:v>
      </x:c>
      <x:c r="B267" s="32" t="str">
        <x:v>Qwen3-Coder-480B-A35B-Instruct</x:v>
      </x:c>
      <x:c r="C267" s="32" t="str"/>
      <x:c r="D267" s="32" t="str">
        <x:v>Alibaba</x:v>
      </x:c>
      <x:c r="E267" s="32" t="str">
        <x:v>China</x:v>
      </x:c>
      <x:c r="F267" s="34" t="n">
        <x:v>45869</x:v>
      </x:c>
      <x:c r="G267" s="32" t="str">
        <x:v>Open weights (unrestricted)</x:v>
      </x:c>
      <x:c r="H267" s="34" t="n">
        <x:v>45860</x:v>
      </x:c>
      <x:c r="I267" s="52" t="n">
        <x:v>1.575e+24</x:v>
      </x:c>
      <x:c r="J267" s="32" t="str">
        <x:v>Confident</x:v>
      </x:c>
      <x:c r="K267" s="32" t="str"/>
      <x:c r="L267" s="32" t="str">
        <x:v>Qwen3 Coder</x:v>
      </x:c>
      <x:c r="M267" s="32" t="str"/>
      <x:c r="N267" s="32" t="str">
        <x:v>Qwen3-Coder-480B-A35B</x:v>
      </x:c>
      <x:c r="O267" s="32" t="str">
        <x:v>qwen3-coder-480b-a35b</x:v>
      </x:c>
      <x:c r="P267" s="44" t="str"/>
      <x:c r="Q267" s="44" t="str"/>
      <x:c r="R267" s="44" t="str"/>
    </x:row>
    <x:row r="268">
      <x:c r="A268" s="32" t="str">
        <x:v>Claude Sonnet 4</x:v>
      </x:c>
      <x:c r="B268" s="32" t="str">
        <x:v>claude-sonnet-4-20250514_unknown</x:v>
      </x:c>
      <x:c r="C268" s="32" t="str">
        <x:v>Claude Sonnet 4 (unknown thinking)</x:v>
      </x:c>
      <x:c r="D268" s="32" t="str">
        <x:v>Anthropic</x:v>
      </x:c>
      <x:c r="E268" s="32" t="str">
        <x:v>United States of America</x:v>
      </x:c>
      <x:c r="F268" s="34" t="n">
        <x:v>45799</x:v>
      </x:c>
      <x:c r="G268" s="32" t="str">
        <x:v>API access</x:v>
      </x:c>
      <x:c r="H268" s="34" t="n">
        <x:v>45799</x:v>
      </x:c>
      <x:c r="I268" s="52" t="str"/>
      <x:c r="J268" s="32" t="str">
        <x:v>Unknown</x:v>
      </x:c>
      <x:c r="K268" s="32" t="str">
        <x:v>Anthropic's mid-sized Claude 4 series model, evaluated at up to 12,000 reasoning tokens.</x:v>
      </x:c>
      <x:c r="L268" s="32" t="str">
        <x:v>Claude Sonnet 4 (12k thinking)</x:v>
      </x:c>
      <x:c r="M268" s="32" t="str"/>
      <x:c r="N268" s="32" t="str">
        <x:v>Claude Sonnet 4</x:v>
      </x:c>
      <x:c r="O268" s="32" t="str">
        <x:v>claude-sonnet-4</x:v>
      </x:c>
      <x:c r="P268" s="44" t="n">
        <x:v>142.15</x:v>
      </x:c>
      <x:c r="Q268" s="44" t="n">
        <x:v>139.04</x:v>
      </x:c>
      <x:c r="R268" s="44" t="n">
        <x:v>143.61</x:v>
      </x:c>
    </x:row>
    <x:row r="269">
      <x:c r="A269" s="32" t="str">
        <x:v>Claude 3.7 Sonnet</x:v>
      </x:c>
      <x:c r="B269" s="32" t="str">
        <x:v>claude-3-7-sonnet-20250219_unknown</x:v>
      </x:c>
      <x:c r="C269" s="32" t="str">
        <x:v>Claude 3.7 Sonnet (unknown thinking)</x:v>
      </x:c>
      <x:c r="D269" s="32" t="str">
        <x:v>Anthropic</x:v>
      </x:c>
      <x:c r="E269" s="32" t="str">
        <x:v>United States of America</x:v>
      </x:c>
      <x:c r="F269" s="34" t="n">
        <x:v>45712</x:v>
      </x:c>
      <x:c r="G269" s="32" t="str">
        <x:v>API access</x:v>
      </x:c>
      <x:c r="H269" s="34" t="n">
        <x:v>45712</x:v>
      </x:c>
      <x:c r="I269" s="52" t="n">
        <x:v>3.3499999999999998e+25</x:v>
      </x:c>
      <x:c r="J269" s="32" t="str">
        <x:v>Likely</x:v>
      </x:c>
      <x:c r="K269" s="32" t="str">
        <x:v>A previous flagship reasoning model from Anthropic, benchmarked with up to 64,000 reasoning tokens allowed.</x:v>
      </x:c>
      <x:c r="L269" s="32" t="str">
        <x:v>Claude 3.7 Sonnet (64k thinking)</x:v>
      </x:c>
      <x:c r="M269" s="32" t="str"/>
      <x:c r="N269" s="32" t="str">
        <x:v>Claude 3.7 Sonnet</x:v>
      </x:c>
      <x:c r="O269" s="32" t="str">
        <x:v>claude-3-7-sonnet</x:v>
      </x:c>
      <x:c r="P269" s="44" t="n">
        <x:v>141.7</x:v>
      </x:c>
      <x:c r="Q269" s="44" t="n">
        <x:v>139.28</x:v>
      </x:c>
      <x:c r="R269" s="44" t="n">
        <x:v>143.27</x:v>
      </x:c>
    </x:row>
    <x:row r="270">
      <x:c r="A270" s="32" t="str">
        <x:v>GLM-4.5-Air</x:v>
      </x:c>
      <x:c r="B270" s="32" t="str">
        <x:v>GLM-4.5-Air</x:v>
      </x:c>
      <x:c r="C270" s="32" t="str"/>
      <x:c r="D270" s="32" t="str">
        <x:v>Z.ai (Zhipu AI),Tsinghua University</x:v>
      </x:c>
      <x:c r="E270" s="32" t="str">
        <x:v>China</x:v>
      </x:c>
      <x:c r="F270" s="34" t="n">
        <x:v>45858</x:v>
      </x:c>
      <x:c r="G270" s="32" t="str">
        <x:v>Open weights (unrestricted)</x:v>
      </x:c>
      <x:c r="H270" s="34" t="n">
        <x:v>45874</x:v>
      </x:c>
      <x:c r="I270" s="52" t="n">
        <x:v>1.656e+24</x:v>
      </x:c>
      <x:c r="J270" s="32" t="str">
        <x:v>Confident</x:v>
      </x:c>
      <x:c r="K270" s="32" t="str">
        <x:v>A smaller version of GLM-4.5, Zhipu AI &amp; Tsinghua University's large open source model.</x:v>
      </x:c>
      <x:c r="L270" s="32" t="str"/>
      <x:c r="M270" s="32" t="str"/>
      <x:c r="N270" s="32" t="str">
        <x:v>GLM-4.5-Air</x:v>
      </x:c>
      <x:c r="O270" s="32" t="str">
        <x:v>glm-4-5-air</x:v>
      </x:c>
      <x:c r="P270" s="44" t="str"/>
      <x:c r="Q270" s="44" t="str"/>
      <x:c r="R270" s="44" t="str"/>
    </x:row>
    <x:row r="271">
      <x:c r="A271" s="32" t="str">
        <x:v>o3-mini</x:v>
      </x:c>
      <x:c r="B271" s="32" t="str">
        <x:v>o3-mini-2025-01-31_low</x:v>
      </x:c>
      <x:c r="C271" s="32" t="str"/>
      <x:c r="D271" s="32" t="str">
        <x:v>OpenAI</x:v>
      </x:c>
      <x:c r="E271" s="32" t="str">
        <x:v>United States of America</x:v>
      </x:c>
      <x:c r="F271" s="34" t="n">
        <x:v>45688</x:v>
      </x:c>
      <x:c r="G271" s="32" t="str">
        <x:v>API access</x:v>
      </x:c>
      <x:c r="H271" s="34" t="n">
        <x:v>45688</x:v>
      </x:c>
      <x:c r="I271" s="52" t="str"/>
      <x:c r="J271" s="32" t="str">
        <x:v>Unknown</x:v>
      </x:c>
      <x:c r="K271" s="32" t="str">
        <x:v>A smaller version of OpenAI's o3 reasoning model, evaluated with low reasoning effort.</x:v>
      </x:c>
      <x:c r="L271" s="32" t="str"/>
      <x:c r="M271" s="32" t="str"/>
      <x:c r="N271" s="32" t="str">
        <x:v>o3-mini</x:v>
      </x:c>
      <x:c r="O271" s="32" t="str">
        <x:v>o3-mini</x:v>
      </x:c>
      <x:c r="P271" s="44" t="n">
        <x:v>141.41</x:v>
      </x:c>
      <x:c r="Q271" s="44" t="n">
        <x:v>137.82</x:v>
      </x:c>
      <x:c r="R271" s="44" t="n">
        <x:v>142.81</x:v>
      </x:c>
    </x:row>
    <x:row r="272">
      <x:c r="A272" s="32" t="str">
        <x:v>Claude Opus 4.8</x:v>
      </x:c>
      <x:c r="B272" s="32" t="str">
        <x:v>claude-opus-4-8_xhigh</x:v>
      </x:c>
      <x:c r="C272" s="32" t="str">
        <x:v>Claude Opus 4.8</x:v>
      </x:c>
      <x:c r="D272" s="32" t="str">
        <x:v>Anthropic</x:v>
      </x:c>
      <x:c r="E272" s="32" t="str">
        <x:v>United States of America</x:v>
      </x:c>
      <x:c r="F272" s="34" t="n">
        <x:v>46170</x:v>
      </x:c>
      <x:c r="G272" s="32" t="str">
        <x:v>API access</x:v>
      </x:c>
      <x:c r="H272" s="34" t="n">
        <x:v>46170</x:v>
      </x:c>
      <x:c r="I272" s="52" t="str"/>
      <x:c r="J272" s="32" t="str">
        <x:v>Unverified</x:v>
      </x:c>
      <x:c r="K272" s="32" t="str"/>
      <x:c r="L272" s="32" t="str">
        <x:v>Claude Opus 4.8 (xhigh)</x:v>
      </x:c>
      <x:c r="M272" s="32" t="str"/>
      <x:c r="N272" s="32" t="str">
        <x:v>Claude Opus 4.8</x:v>
      </x:c>
      <x:c r="O272" s="32" t="str">
        <x:v>claude-opus-4-8</x:v>
      </x:c>
      <x:c r="P272" s="44" t="n">
        <x:v>157.85</x:v>
      </x:c>
      <x:c r="Q272" s="44" t="n">
        <x:v>155.12</x:v>
      </x:c>
      <x:c r="R272" s="44" t="n">
        <x:v>160.58</x:v>
      </x:c>
    </x:row>
    <x:row r="273">
      <x:c r="A273" s="32" t="str">
        <x:v>GPT-5.6 Sol</x:v>
      </x:c>
      <x:c r="B273" s="32" t="str">
        <x:v>gpt-5.6-sol_high</x:v>
      </x:c>
      <x:c r="C273" s="32" t="str">
        <x:v>GPT-5.6 Sol (high)</x:v>
      </x:c>
      <x:c r="D273" s="32" t="str">
        <x:v>OpenAI</x:v>
      </x:c>
      <x:c r="E273" s="32" t="str">
        <x:v>United States of America</x:v>
      </x:c>
      <x:c r="F273" s="34" t="n">
        <x:v>46212</x:v>
      </x:c>
      <x:c r="G273" s="32" t="str">
        <x:v>API access</x:v>
      </x:c>
      <x:c r="H273" s="34" t="n">
        <x:v>46212</x:v>
      </x:c>
      <x:c r="I273" s="52" t="str"/>
      <x:c r="J273" s="32" t="str">
        <x:v>Unverified</x:v>
      </x:c>
      <x:c r="K273" s="32" t="str"/>
      <x:c r="L273" s="32" t="str">
        <x:v>GPT-5.6 Sol (high)</x:v>
      </x:c>
      <x:c r="M273" s="32" t="str"/>
      <x:c r="N273" s="32" t="str">
        <x:v>GPT-5.6 Sol</x:v>
      </x:c>
      <x:c r="O273" s="32" t="str">
        <x:v>gpt-5-6-sol</x:v>
      </x:c>
      <x:c r="P273" s="44" t="n">
        <x:v>161.77</x:v>
      </x:c>
      <x:c r="Q273" s="44" t="n">
        <x:v>159.26</x:v>
      </x:c>
      <x:c r="R273" s="44" t="n">
        <x:v>166.01</x:v>
      </x:c>
    </x:row>
    <x:row r="274">
      <x:c r="A274" s="32" t="str">
        <x:v>Claude Opus 4.8</x:v>
      </x:c>
      <x:c r="B274" s="32" t="str">
        <x:v>claude-opus-4-8_high</x:v>
      </x:c>
      <x:c r="C274" s="32" t="str">
        <x:v>Claude Opus 4.8</x:v>
      </x:c>
      <x:c r="D274" s="32" t="str">
        <x:v>Anthropic</x:v>
      </x:c>
      <x:c r="E274" s="32" t="str">
        <x:v>United States of America</x:v>
      </x:c>
      <x:c r="F274" s="34" t="n">
        <x:v>46170</x:v>
      </x:c>
      <x:c r="G274" s="32" t="str">
        <x:v>API access</x:v>
      </x:c>
      <x:c r="H274" s="34" t="n">
        <x:v>46170</x:v>
      </x:c>
      <x:c r="I274" s="52" t="str"/>
      <x:c r="J274" s="32" t="str">
        <x:v>Unverified</x:v>
      </x:c>
      <x:c r="K274" s="32" t="str"/>
      <x:c r="L274" s="32" t="str">
        <x:v>Claude Opus 4.8 (high)</x:v>
      </x:c>
      <x:c r="M274" s="32" t="str"/>
      <x:c r="N274" s="32" t="str">
        <x:v>Claude Opus 4.8</x:v>
      </x:c>
      <x:c r="O274" s="32" t="str">
        <x:v>claude-opus-4-8</x:v>
      </x:c>
      <x:c r="P274" s="44" t="n">
        <x:v>157.85</x:v>
      </x:c>
      <x:c r="Q274" s="44" t="n">
        <x:v>155.12</x:v>
      </x:c>
      <x:c r="R274" s="44" t="n">
        <x:v>160.58</x:v>
      </x:c>
    </x:row>
    <x:row r="275">
      <x:c r="A275" s="32" t="str">
        <x:v>GPT-5.3 Codex</x:v>
      </x:c>
      <x:c r="B275" s="32" t="str">
        <x:v>gpt-5.3-codex_xhigh</x:v>
      </x:c>
      <x:c r="C275" s="32" t="str">
        <x:v>GPT-5.3 Codex (xhigh)</x:v>
      </x:c>
      <x:c r="D275" s="32" t="str">
        <x:v>OpenAI</x:v>
      </x:c>
      <x:c r="E275" s="32" t="str">
        <x:v>United States of America</x:v>
      </x:c>
      <x:c r="F275" s="34" t="n">
        <x:v>46058</x:v>
      </x:c>
      <x:c r="G275" s="32" t="str">
        <x:v>API access</x:v>
      </x:c>
      <x:c r="H275" s="34" t="n">
        <x:v>46058</x:v>
      </x:c>
      <x:c r="I275" s="52" t="str"/>
      <x:c r="J275" s="32" t="str">
        <x:v>Likely</x:v>
      </x:c>
      <x:c r="K275" s="32" t="str"/>
      <x:c r="L275" s="32" t="str"/>
      <x:c r="M275" s="32" t="str"/>
      <x:c r="N275" s="32" t="str">
        <x:v>GPT-5.3 Codex</x:v>
      </x:c>
      <x:c r="O275" s="32" t="str">
        <x:v>gpt-5-3-codex</x:v>
      </x:c>
      <x:c r="P275" s="44" t="n">
        <x:v>155.49</x:v>
      </x:c>
      <x:c r="Q275" s="44" t="n">
        <x:v>153.29</x:v>
      </x:c>
      <x:c r="R275" s="44" t="n">
        <x:v>158.84</x:v>
      </x:c>
    </x:row>
    <x:row r="276">
      <x:c r="A276" s="32" t="str">
        <x:v>GPT-5.5</x:v>
      </x:c>
      <x:c r="B276" s="32" t="str">
        <x:v>gpt-5.5_medium</x:v>
      </x:c>
      <x:c r="C276" s="32" t="str">
        <x:v>GPT-5.5 (medium)</x:v>
      </x:c>
      <x:c r="D276" s="32" t="str">
        <x:v>OpenAI</x:v>
      </x:c>
      <x:c r="E276" s="32" t="str">
        <x:v>United States of America</x:v>
      </x:c>
      <x:c r="F276" s="34" t="n">
        <x:v>46135</x:v>
      </x:c>
      <x:c r="G276" s="32" t="str">
        <x:v>API access</x:v>
      </x:c>
      <x:c r="H276" s="34" t="n">
        <x:v>46135</x:v>
      </x:c>
      <x:c r="I276" s="52" t="str"/>
      <x:c r="J276" s="32" t="str">
        <x:v>Likely</x:v>
      </x:c>
      <x:c r="K276" s="32" t="str"/>
      <x:c r="L276" s="32" t="str"/>
      <x:c r="M276" s="32" t="str"/>
      <x:c r="N276" s="32" t="str">
        <x:v>GPT-5.5</x:v>
      </x:c>
      <x:c r="O276" s="32" t="str">
        <x:v>gpt-5-5</x:v>
      </x:c>
      <x:c r="P276" s="44" t="n">
        <x:v>158.33</x:v>
      </x:c>
      <x:c r="Q276" s="44" t="n">
        <x:v>156.44</x:v>
      </x:c>
      <x:c r="R276" s="44" t="n">
        <x:v>161.43</x:v>
      </x:c>
    </x:row>
    <x:row r="277">
      <x:c r="A277" s="32" t="str">
        <x:v>GPT-5.4</x:v>
      </x:c>
      <x:c r="B277" s="32" t="str">
        <x:v>gpt-5.4-2026-03-05_medium</x:v>
      </x:c>
      <x:c r="C277" s="32" t="str">
        <x:v>GPT-5.4 (medium)</x:v>
      </x:c>
      <x:c r="D277" s="32" t="str">
        <x:v>OpenAI</x:v>
      </x:c>
      <x:c r="E277" s="32" t="str">
        <x:v>United States of America</x:v>
      </x:c>
      <x:c r="F277" s="34" t="n">
        <x:v>46086</x:v>
      </x:c>
      <x:c r="G277" s="32" t="str">
        <x:v>API access</x:v>
      </x:c>
      <x:c r="H277" s="34" t="n">
        <x:v>46086</x:v>
      </x:c>
      <x:c r="I277" s="52" t="str"/>
      <x:c r="J277" s="32" t="str">
        <x:v>Likely</x:v>
      </x:c>
      <x:c r="K277" s="32" t="str"/>
      <x:c r="L277" s="32" t="str">
        <x:v>GPT-5.4 (medium)</x:v>
      </x:c>
      <x:c r="M277" s="32" t="str"/>
      <x:c r="N277" s="32" t="str">
        <x:v>GPT-5.4</x:v>
      </x:c>
      <x:c r="O277" s="32" t="str">
        <x:v>gpt-5-4</x:v>
      </x:c>
      <x:c r="P277" s="44" t="n">
        <x:v>156.03</x:v>
      </x:c>
      <x:c r="Q277" s="44" t="n">
        <x:v>154.45</x:v>
      </x:c>
      <x:c r="R277" s="44" t="n">
        <x:v>158.37</x:v>
      </x:c>
    </x:row>
    <x:row r="278">
      <x:c r="A278" s="32" t="str">
        <x:v>Claude Opus 4.8</x:v>
      </x:c>
      <x:c r="B278" s="32" t="str">
        <x:v>claude-opus-4-8_none</x:v>
      </x:c>
      <x:c r="C278" s="32" t="str">
        <x:v>Claude Opus 4.8</x:v>
      </x:c>
      <x:c r="D278" s="32" t="str">
        <x:v>Anthropic</x:v>
      </x:c>
      <x:c r="E278" s="32" t="str">
        <x:v>United States of America</x:v>
      </x:c>
      <x:c r="F278" s="34" t="n">
        <x:v>46170</x:v>
      </x:c>
      <x:c r="G278" s="32" t="str">
        <x:v>API access</x:v>
      </x:c>
      <x:c r="H278" s="34" t="n">
        <x:v>46170</x:v>
      </x:c>
      <x:c r="I278" s="52" t="str"/>
      <x:c r="J278" s="32" t="str">
        <x:v>Unverified</x:v>
      </x:c>
      <x:c r="K278" s="32" t="str"/>
      <x:c r="L278" s="32" t="str">
        <x:v>Claude Opus 4.8 (no thinking)</x:v>
      </x:c>
      <x:c r="M278" s="32" t="str"/>
      <x:c r="N278" s="32" t="str">
        <x:v>Claude Opus 4.8</x:v>
      </x:c>
      <x:c r="O278" s="32" t="str">
        <x:v>claude-opus-4-8</x:v>
      </x:c>
      <x:c r="P278" s="44" t="n">
        <x:v>157.85</x:v>
      </x:c>
      <x:c r="Q278" s="44" t="n">
        <x:v>155.12</x:v>
      </x:c>
      <x:c r="R278" s="44" t="n">
        <x:v>160.58</x:v>
      </x:c>
    </x:row>
    <x:row r="279">
      <x:c r="A279" s="32" t="str">
        <x:v>Claude Sonnet 4.6</x:v>
      </x:c>
      <x:c r="B279" s="32" t="str">
        <x:v>claude-sonnet-4-6_medium</x:v>
      </x:c>
      <x:c r="C279" s="32" t="str">
        <x:v>Claude Sonnet 4.6 (medium)</x:v>
      </x:c>
      <x:c r="D279" s="32" t="str">
        <x:v>Anthropic</x:v>
      </x:c>
      <x:c r="E279" s="32" t="str">
        <x:v>United States of America</x:v>
      </x:c>
      <x:c r="F279" s="34" t="n">
        <x:v>46070</x:v>
      </x:c>
      <x:c r="G279" s="32" t="str">
        <x:v>API access</x:v>
      </x:c>
      <x:c r="H279" s="34" t="n">
        <x:v>46070</x:v>
      </x:c>
      <x:c r="I279" s="52" t="str"/>
      <x:c r="J279" s="32" t="str">
        <x:v>Likely</x:v>
      </x:c>
      <x:c r="K279" s="32" t="str"/>
      <x:c r="L279" s="32" t="str"/>
      <x:c r="M279" s="32" t="str"/>
      <x:c r="N279" s="32" t="str">
        <x:v>Claude Sonnet 4.6</x:v>
      </x:c>
      <x:c r="O279" s="32" t="str">
        <x:v>claude-sonnet-4-6</x:v>
      </x:c>
      <x:c r="P279" s="44" t="n">
        <x:v>153.18</x:v>
      </x:c>
      <x:c r="Q279" s="44" t="n">
        <x:v>149.67</x:v>
      </x:c>
      <x:c r="R279" s="44" t="n">
        <x:v>156.08</x:v>
      </x:c>
    </x:row>
    <x:row r="280">
      <x:c r="A280" s="32" t="str">
        <x:v>GPT-5.2 Codex</x:v>
      </x:c>
      <x:c r="B280" s="32" t="str">
        <x:v>gpt-5.2-codex</x:v>
      </x:c>
      <x:c r="C280" s="32" t="str">
        <x:v>GPT-5.2 Codex</x:v>
      </x:c>
      <x:c r="D280" s="32" t="str">
        <x:v>OpenAI</x:v>
      </x:c>
      <x:c r="E280" s="32" t="str">
        <x:v>United States of America</x:v>
      </x:c>
      <x:c r="F280" s="34" t="n">
        <x:v>46009</x:v>
      </x:c>
      <x:c r="G280" s="32" t="str">
        <x:v>API access</x:v>
      </x:c>
      <x:c r="H280" s="34" t="n">
        <x:v>46009</x:v>
      </x:c>
      <x:c r="I280" s="52" t="str"/>
      <x:c r="J280" s="32" t="str">
        <x:v>Likely</x:v>
      </x:c>
      <x:c r="K280" s="32" t="str"/>
      <x:c r="L280" s="32" t="str">
        <x:v>GPT-5.2 Codex</x:v>
      </x:c>
      <x:c r="M280" s="32" t="str"/>
      <x:c r="N280" s="32" t="str">
        <x:v>GPT-5.2 Codex</x:v>
      </x:c>
      <x:c r="O280" s="32" t="str">
        <x:v>gpt-5-2-codex</x:v>
      </x:c>
      <x:c r="P280" s="44" t="str"/>
      <x:c r="Q280" s="44" t="str"/>
      <x:c r="R280" s="44" t="str"/>
    </x:row>
    <x:row r="281">
      <x:c r="A281" s="32" t="str">
        <x:v>GPT-5.1-Codex</x:v>
      </x:c>
      <x:c r="B281" s="32" t="str">
        <x:v>gpt-5.1-codex</x:v>
      </x:c>
      <x:c r="C281" s="32" t="str">
        <x:v>GPT-5.1 Codex</x:v>
      </x:c>
      <x:c r="D281" s="32" t="str">
        <x:v>OpenAI</x:v>
      </x:c>
      <x:c r="E281" s="32" t="str">
        <x:v>United States of America</x:v>
      </x:c>
      <x:c r="F281" s="34" t="n">
        <x:v>45973</x:v>
      </x:c>
      <x:c r="G281" s="32" t="str">
        <x:v>API access</x:v>
      </x:c>
      <x:c r="H281" s="34" t="n">
        <x:v>45973</x:v>
      </x:c>
      <x:c r="I281" s="52" t="str"/>
      <x:c r="J281" s="32" t="str">
        <x:v>Unknown</x:v>
      </x:c>
      <x:c r="K281" s="32" t="str"/>
      <x:c r="L281" s="32" t="str">
        <x:v>GPT-5.1-codex</x:v>
      </x:c>
      <x:c r="M281" s="32" t="str"/>
      <x:c r="N281" s="32" t="str">
        <x:v>GPT-5.1-Codex</x:v>
      </x:c>
      <x:c r="O281" s="32" t="str">
        <x:v>gpt-5-1-codex</x:v>
      </x:c>
      <x:c r="P281" s="44" t="str"/>
      <x:c r="Q281" s="44" t="str"/>
      <x:c r="R281" s="44" t="str"/>
    </x:row>
    <x:row r="282">
      <x:c r="A282" s="32" t="str">
        <x:v>GPT-5.1-Codex-Max</x:v>
      </x:c>
      <x:c r="B282" s="32" t="str">
        <x:v>gpt-5.1-codex-max</x:v>
      </x:c>
      <x:c r="C282" s="32" t="str">
        <x:v>GPT-5.1-Codex-Max</x:v>
      </x:c>
      <x:c r="D282" s="32" t="str">
        <x:v>OpenAI</x:v>
      </x:c>
      <x:c r="E282" s="32" t="str">
        <x:v>United States of America</x:v>
      </x:c>
      <x:c r="F282" s="34" t="n">
        <x:v>45980</x:v>
      </x:c>
      <x:c r="G282" s="32" t="str">
        <x:v>API access</x:v>
      </x:c>
      <x:c r="H282" s="34" t="n">
        <x:v>45980</x:v>
      </x:c>
      <x:c r="I282" s="52" t="str"/>
      <x:c r="J282" s="32" t="str">
        <x:v>Unknown</x:v>
      </x:c>
      <x:c r="K282" s="32" t="str"/>
      <x:c r="L282" s="32" t="str">
        <x:v>GPT-5.1-Codex-Max</x:v>
      </x:c>
      <x:c r="M282" s="32" t="str"/>
      <x:c r="N282" s="32" t="str">
        <x:v>GPT-5.1-Codex-Max</x:v>
      </x:c>
      <x:c r="O282" s="32" t="str">
        <x:v>gpt-5-1-codex-max</x:v>
      </x:c>
      <x:c r="P282" s="44" t="str"/>
      <x:c r="Q282" s="44" t="str"/>
      <x:c r="R282" s="44" t="str"/>
    </x:row>
    <x:row r="283">
      <x:c r="A283" s="32" t="str">
        <x:v>GPT-5.5</x:v>
      </x:c>
      <x:c r="B283" s="32" t="str">
        <x:v>gpt-5.5_none</x:v>
      </x:c>
      <x:c r="C283" s="32" t="str">
        <x:v>GPT-5.5 (no thinking)</x:v>
      </x:c>
      <x:c r="D283" s="32" t="str">
        <x:v>OpenAI</x:v>
      </x:c>
      <x:c r="E283" s="32" t="str">
        <x:v>United States of America</x:v>
      </x:c>
      <x:c r="F283" s="34" t="n">
        <x:v>46135</x:v>
      </x:c>
      <x:c r="G283" s="32" t="str">
        <x:v>API access</x:v>
      </x:c>
      <x:c r="H283" s="34" t="n">
        <x:v>46135</x:v>
      </x:c>
      <x:c r="I283" s="52" t="str"/>
      <x:c r="J283" s="32" t="str">
        <x:v>Likely</x:v>
      </x:c>
      <x:c r="K283" s="32" t="str"/>
      <x:c r="L283" s="32" t="str"/>
      <x:c r="M283" s="32" t="str"/>
      <x:c r="N283" s="32" t="str">
        <x:v>GPT-5.5</x:v>
      </x:c>
      <x:c r="O283" s="32" t="str">
        <x:v>gpt-5-5</x:v>
      </x:c>
      <x:c r="P283" s="44" t="n">
        <x:v>158.33</x:v>
      </x:c>
      <x:c r="Q283" s="44" t="n">
        <x:v>156.44</x:v>
      </x:c>
      <x:c r="R283" s="44" t="n">
        <x:v>161.43</x:v>
      </x:c>
    </x:row>
    <x:row r="284">
      <x:c r="A284" s="32" t="str">
        <x:v>GPT-5.4</x:v>
      </x:c>
      <x:c r="B284" s="32" t="str">
        <x:v>gpt-5.4-2026-03-05_none</x:v>
      </x:c>
      <x:c r="C284" s="32" t="str">
        <x:v>GPT-5.4 (none)</x:v>
      </x:c>
      <x:c r="D284" s="32" t="str">
        <x:v>OpenAI</x:v>
      </x:c>
      <x:c r="E284" s="32" t="str">
        <x:v>United States of America</x:v>
      </x:c>
      <x:c r="F284" s="34" t="n">
        <x:v>46086</x:v>
      </x:c>
      <x:c r="G284" s="32" t="str">
        <x:v>API access</x:v>
      </x:c>
      <x:c r="H284" s="34" t="n">
        <x:v>46086</x:v>
      </x:c>
      <x:c r="I284" s="52" t="str"/>
      <x:c r="J284" s="32" t="str">
        <x:v>Likely</x:v>
      </x:c>
      <x:c r="K284" s="32" t="str"/>
      <x:c r="L284" s="32" t="str">
        <x:v>GPT-5.4 (none)</x:v>
      </x:c>
      <x:c r="M284" s="32" t="str"/>
      <x:c r="N284" s="32" t="str">
        <x:v>GPT-5.4</x:v>
      </x:c>
      <x:c r="O284" s="32" t="str">
        <x:v>gpt-5-4</x:v>
      </x:c>
      <x:c r="P284" s="44" t="n">
        <x:v>156.03</x:v>
      </x:c>
      <x:c r="Q284" s="44" t="n">
        <x:v>154.45</x:v>
      </x:c>
      <x:c r="R284" s="44" t="n">
        <x:v>158.37</x:v>
      </x:c>
    </x:row>
    <x:row r="285">
      <x:c r="A285" s="32" t="str">
        <x:v>GLM-5.2</x:v>
      </x:c>
      <x:c r="B285" s="32" t="str">
        <x:v>glm-5.2_high</x:v>
      </x:c>
      <x:c r="C285" s="32" t="str">
        <x:v>GLM-5.2</x:v>
      </x:c>
      <x:c r="D285" s="32" t="str">
        <x:v>Z.ai (Zhipu AI)</x:v>
      </x:c>
      <x:c r="E285" s="32" t="str">
        <x:v>China</x:v>
      </x:c>
      <x:c r="F285" s="34" t="n">
        <x:v>46189</x:v>
      </x:c>
      <x:c r="G285" s="32" t="str">
        <x:v>Open weights (unrestricted)</x:v>
      </x:c>
      <x:c r="H285" s="34" t="n">
        <x:v>46189</x:v>
      </x:c>
      <x:c r="I285" s="52" t="str"/>
      <x:c r="J285" s="32" t="str">
        <x:v>Confident</x:v>
      </x:c>
      <x:c r="K285" s="32" t="str"/>
      <x:c r="L285" s="32" t="str">
        <x:v>GLM-5.2 (high)</x:v>
      </x:c>
      <x:c r="M285" s="32" t="str"/>
      <x:c r="N285" s="32" t="str">
        <x:v>GLM-5.2</x:v>
      </x:c>
      <x:c r="O285" s="32" t="str">
        <x:v>glm-5-2</x:v>
      </x:c>
      <x:c r="P285" s="44" t="n">
        <x:v>151.6</x:v>
      </x:c>
      <x:c r="Q285" s="44" t="n">
        <x:v>149.97</x:v>
      </x:c>
      <x:c r="R285" s="44" t="n">
        <x:v>153.86</x:v>
      </x:c>
    </x:row>
    <x:row r="286">
      <x:c r="A286" s="32" t="str">
        <x:v>Gemma 4 26B A4B</x:v>
      </x:c>
      <x:c r="B286" s="32" t="str">
        <x:v>gemma-4-26b-a4b</x:v>
      </x:c>
      <x:c r="C286" s="32" t="str">
        <x:v>Gemma 4 26B A4B</x:v>
      </x:c>
      <x:c r="D286" s="32" t="str">
        <x:v>Google DeepMind</x:v>
      </x:c>
      <x:c r="E286" s="32" t="str">
        <x:v>United States of America</x:v>
      </x:c>
      <x:c r="F286" s="34" t="n">
        <x:v>46114</x:v>
      </x:c>
      <x:c r="G286" s="32" t="str">
        <x:v>Open weights (unrestricted)</x:v>
      </x:c>
      <x:c r="H286" s="34" t="n">
        <x:v>46114</x:v>
      </x:c>
      <x:c r="I286" s="52" t="str"/>
      <x:c r="J286" s="32" t="str">
        <x:v>Confident</x:v>
      </x:c>
      <x:c r="K286" s="32" t="str"/>
      <x:c r="L286" s="32" t="str"/>
      <x:c r="M286" s="32" t="str"/>
      <x:c r="N286" s="32" t="str">
        <x:v>Gemma 4 26B A4B</x:v>
      </x:c>
      <x:c r="O286" s="32" t="str">
        <x:v>gemma-4-26b-a4b</x:v>
      </x:c>
      <x:c r="P286" s="44" t="str"/>
      <x:c r="Q286" s="44" t="str"/>
      <x:c r="R286" s="44" t="str"/>
    </x:row>
    <x:row r="287">
      <x:c r="A287" s="32" t="str">
        <x:v>MiMo-V2.5-Pro</x:v>
      </x:c>
      <x:c r="B287" s="32" t="str">
        <x:v>mimo-v2.5-pro</x:v>
      </x:c>
      <x:c r="C287" s="32" t="str"/>
      <x:c r="D287" s="32" t="str">
        <x:v>Xiaomi Corp</x:v>
      </x:c>
      <x:c r="E287" s="32" t="str">
        <x:v>China</x:v>
      </x:c>
      <x:c r="F287" s="34"/>
      <x:c r="G287" s="32" t="str">
        <x:v>Open weights (unrestricted)</x:v>
      </x:c>
      <x:c r="H287" s="34" t="n">
        <x:v>46135</x:v>
      </x:c>
      <x:c r="I287" s="52" t="n">
        <x:v>6.804e+24</x:v>
      </x:c>
      <x:c r="J287" s="32" t="str">
        <x:v>Likely</x:v>
      </x:c>
      <x:c r="K287" s="32" t="str"/>
      <x:c r="L287" s="32" t="str"/>
      <x:c r="M287" s="32" t="str"/>
      <x:c r="N287" s="32" t="str">
        <x:v>MiMo-V2.5-Pro</x:v>
      </x:c>
      <x:c r="O287" s="32" t="str">
        <x:v>mimo-v2-5-pro</x:v>
      </x:c>
      <x:c r="P287" s="44" t="str"/>
      <x:c r="Q287" s="44" t="str"/>
      <x:c r="R287" s="44" t="str"/>
    </x:row>
    <x:row r="288">
      <x:c r="A288" s="32" t="str">
        <x:v>GPT-5</x:v>
      </x:c>
      <x:c r="B288" s="32" t="str">
        <x:v>gpt-5-2025-08-07_minimal</x:v>
      </x:c>
      <x:c r="C288" s="32" t="str">
        <x:v>GPT-5 (minimal)</x:v>
      </x:c>
      <x:c r="D288" s="32" t="str">
        <x:v>OpenAI</x:v>
      </x:c>
      <x:c r="E288" s="32" t="str">
        <x:v>United States of America</x:v>
      </x:c>
      <x:c r="F288" s="34" t="n">
        <x:v>45876</x:v>
      </x:c>
      <x:c r="G288" s="32" t="str">
        <x:v>API access</x:v>
      </x:c>
      <x:c r="H288" s="34" t="n">
        <x:v>45876</x:v>
      </x:c>
      <x:c r="I288" s="52" t="n">
        <x:v>6.6e+25</x:v>
      </x:c>
      <x:c r="J288" s="32" t="str">
        <x:v>Speculative</x:v>
      </x:c>
      <x:c r="K288" s="32" t="str">
        <x:v>OpenAI's latest flagship frontier model, benchmarked using minimal reasoning effort.</x:v>
      </x:c>
      <x:c r="L288" s="32" t="str">
        <x:v>GPT-5 (minimal)</x:v>
      </x:c>
      <x:c r="M288" s="32" t="str"/>
      <x:c r="N288" s="32" t="str">
        <x:v>GPT-5</x:v>
      </x:c>
      <x:c r="O288" s="32" t="str">
        <x:v>gpt-5</x:v>
      </x:c>
      <x:c r="P288" s="44" t="n">
        <x:v>150</x:v>
      </x:c>
      <x:c r="Q288" s="44" t="str"/>
      <x:c r="R288" s="44" t="str"/>
    </x:row>
    <x:row r="289">
      <x:c r="A289" s="32" t="str">
        <x:v>Gemini 3.1 Flash-Lite</x:v>
      </x:c>
      <x:c r="B289" s="32" t="str">
        <x:v>gemini-3.1-flash-lite</x:v>
      </x:c>
      <x:c r="C289" s="32" t="str"/>
      <x:c r="D289" s="32" t="str">
        <x:v>Google</x:v>
      </x:c>
      <x:c r="E289" s="32" t="str">
        <x:v>United States of America</x:v>
      </x:c>
      <x:c r="F289" s="34" t="n">
        <x:v>46084</x:v>
      </x:c>
      <x:c r="G289" s="32" t="str">
        <x:v>API access</x:v>
      </x:c>
      <x:c r="H289" s="34" t="n">
        <x:v>46084</x:v>
      </x:c>
      <x:c r="I289" s="52" t="str"/>
      <x:c r="J289" s="32" t="str">
        <x:v>Likely</x:v>
      </x:c>
      <x:c r="K289" s="32" t="str"/>
      <x:c r="L289" s="32" t="str"/>
      <x:c r="M289" s="32" t="str"/>
      <x:c r="N289" s="32" t="str">
        <x:v>Gemini 3.1 Flash-Lite</x:v>
      </x:c>
      <x:c r="O289" s="32" t="str">
        <x:v>gemini-3-1-flash-lite</x:v>
      </x:c>
      <x:c r="P289" s="44" t="n">
        <x:v>144.36</x:v>
      </x:c>
      <x:c r="Q289" s="44" t="n">
        <x:v>136.85</x:v>
      </x:c>
      <x:c r="R289" s="44" t="n">
        <x:v>146.37</x:v>
      </x:c>
    </x:row>
    <x:row r="290">
      <x:c r="A290" s="32" t="str">
        <x:v>Mercury 2</x:v>
      </x:c>
      <x:c r="B290" s="32" t="str">
        <x:v>mercury-2</x:v>
      </x:c>
      <x:c r="C290" s="32" t="str">
        <x:v>Mercury 2</x:v>
      </x:c>
      <x:c r="D290" s="32" t="str">
        <x:v>Inception Labs</x:v>
      </x:c>
      <x:c r="E290" s="32" t="str">
        <x:v>United States of America</x:v>
      </x:c>
      <x:c r="F290" s="34"/>
      <x:c r="G290" s="32" t="str">
        <x:v>API access</x:v>
      </x:c>
      <x:c r="H290" s="34" t="n">
        <x:v>46073</x:v>
      </x:c>
      <x:c r="I290" s="52" t="str"/>
      <x:c r="J290" s="32" t="str">
        <x:v>Unverified</x:v>
      </x:c>
      <x:c r="K290" s="32" t="str"/>
      <x:c r="L290" s="32" t="str"/>
      <x:c r="M290" s="32" t="str"/>
      <x:c r="N290" s="32" t="str">
        <x:v>Mercury 2</x:v>
      </x:c>
      <x:c r="O290" s="32" t="str">
        <x:v>mercury-2</x:v>
      </x:c>
      <x:c r="P290" s="44" t="str"/>
      <x:c r="Q290" s="44" t="str"/>
      <x:c r="R290" s="44" t="str"/>
    </x:row>
    <x:row r="291">
      <x:c r="A291" s="32" t="str">
        <x:v>Gemini 2.5 Pro (Jun 2025)</x:v>
      </x:c>
      <x:c r="B291" s="32" t="str">
        <x:v>gemini-2.5-pro_32K</x:v>
      </x:c>
      <x:c r="C291" s="32" t="str"/>
      <x:c r="D291" s="32" t="str">
        <x:v>Google DeepMind</x:v>
      </x:c>
      <x:c r="E291" s="32" t="str">
        <x:v>United States of America</x:v>
      </x:c>
      <x:c r="F291" s="34" t="n">
        <x:v>45825</x:v>
      </x:c>
      <x:c r="G291" s="32" t="str">
        <x:v>API access</x:v>
      </x:c>
      <x:c r="H291" s="34" t="n">
        <x:v>45813</x:v>
      </x:c>
      <x:c r="I291" s="52" t="str"/>
      <x:c r="J291" s="32" t="str">
        <x:v>Unknown</x:v>
      </x:c>
      <x:c r="K291" s="32" t="str">
        <x:v>Google’s general-purpose frontier reasoning model, evaluated with up to 32,000 reasoning tokens.</x:v>
      </x:c>
      <x:c r="L291" s="32" t="str">
        <x:v>Gemini 2.5 Pro (32k thinking)</x:v>
      </x:c>
      <x:c r="M291" s="32" t="str">
        <x:v>Gemini 2.5 Pro (Jun 2025)</x:v>
      </x:c>
      <x:c r="N291" s="32" t="str">
        <x:v>Gemini 2.5 Pro (Jun 2025)</x:v>
      </x:c>
      <x:c r="O291" s="32" t="str">
        <x:v>gemini-2-5-pro-jun-2025</x:v>
      </x:c>
      <x:c r="P291" s="44" t="n">
        <x:v>146.08</x:v>
      </x:c>
      <x:c r="Q291" s="44" t="n">
        <x:v>144.33</x:v>
      </x:c>
      <x:c r="R291" s="44" t="n">
        <x:v>147.72</x:v>
      </x:c>
    </x:row>
    <x:row r="292">
      <x:c r="A292" s="32" t="str">
        <x:v>MiMo-V2-Flash</x:v>
      </x:c>
      <x:c r="B292" s="32" t="str">
        <x:v>mimo-v2-flash</x:v>
      </x:c>
      <x:c r="C292" s="32" t="str"/>
      <x:c r="D292" s="32" t="str">
        <x:v>Xiaomi Corp</x:v>
      </x:c>
      <x:c r="E292" s="32" t="str">
        <x:v>China</x:v>
      </x:c>
      <x:c r="F292" s="34"/>
      <x:c r="G292" s="32" t="str">
        <x:v>Open weights (unrestricted)</x:v>
      </x:c>
      <x:c r="H292" s="34" t="n">
        <x:v>46007</x:v>
      </x:c>
      <x:c r="I292" s="52" t="n">
        <x:v>2.43e+24</x:v>
      </x:c>
      <x:c r="J292" s="32" t="str">
        <x:v>Likely</x:v>
      </x:c>
      <x:c r="K292" s="32" t="str"/>
      <x:c r="L292" s="32" t="str"/>
      <x:c r="M292" s="32" t="str"/>
      <x:c r="N292" s="32" t="str">
        <x:v>MiMo-V2-Flash</x:v>
      </x:c>
      <x:c r="O292" s="32" t="str">
        <x:v>mimo-v2-flash</x:v>
      </x:c>
      <x:c r="P292" s="44" t="str"/>
      <x:c r="Q292" s="44" t="str"/>
      <x:c r="R292" s="44" t="str"/>
    </x:row>
    <x:row r="293">
      <x:c r="A293" s="32" t="str">
        <x:v>DeepSeek-V4-Flash</x:v>
      </x:c>
      <x:c r="B293" s="32" t="str">
        <x:v>deepseek-v4-flash_high</x:v>
      </x:c>
      <x:c r="C293" s="32" t="str">
        <x:v>DeepSeek v4 Flash (high)</x:v>
      </x:c>
      <x:c r="D293" s="32" t="str">
        <x:v>DeepSeek</x:v>
      </x:c>
      <x:c r="E293" s="32" t="str">
        <x:v>China</x:v>
      </x:c>
      <x:c r="F293" s="34" t="n">
        <x:v>46136</x:v>
      </x:c>
      <x:c r="G293" s="32" t="str">
        <x:v>Open weights (unrestricted)</x:v>
      </x:c>
      <x:c r="H293" s="34" t="n">
        <x:v>46136</x:v>
      </x:c>
      <x:c r="I293" s="52" t="n">
        <x:v>2.496e+24</x:v>
      </x:c>
      <x:c r="J293" s="32" t="str">
        <x:v>Likely</x:v>
      </x:c>
      <x:c r="K293" s="32" t="str"/>
      <x:c r="L293" s="32" t="str">
        <x:v>DeepSeek v4 (high)</x:v>
      </x:c>
      <x:c r="M293" s="32" t="str"/>
      <x:c r="N293" s="32" t="str">
        <x:v>DeepSeek-V4-Flash</x:v>
      </x:c>
      <x:c r="O293" s="32" t="str">
        <x:v>deepseek-v4-flash</x:v>
      </x:c>
      <x:c r="P293" s="44" t="str"/>
      <x:c r="Q293" s="44" t="str"/>
      <x:c r="R293" s="44" t="str"/>
    </x:row>
    <x:row r="294">
      <x:c r="A294" s="32" t="str">
        <x:v>MiniMax-M2.1</x:v>
      </x:c>
      <x:c r="B294" s="32" t="str">
        <x:v>MiniMax-M2.1</x:v>
      </x:c>
      <x:c r="C294" s="32" t="str"/>
      <x:c r="D294" s="32" t="str">
        <x:v>MiniMax</x:v>
      </x:c>
      <x:c r="E294" s="32" t="str">
        <x:v>China</x:v>
      </x:c>
      <x:c r="F294" s="34" t="n">
        <x:v>46014</x:v>
      </x:c>
      <x:c r="G294" s="32" t="str">
        <x:v>Open weights (restricted use)</x:v>
      </x:c>
      <x:c r="H294" s="34" t="n">
        <x:v>46014</x:v>
      </x:c>
      <x:c r="I294" s="52" t="str"/>
      <x:c r="J294" s="32" t="str">
        <x:v>Confident</x:v>
      </x:c>
      <x:c r="K294" s="32" t="str"/>
      <x:c r="L294" s="32" t="str"/>
      <x:c r="M294" s="32" t="str"/>
      <x:c r="N294" s="32" t="str">
        <x:v>MiniMax-M2.1</x:v>
      </x:c>
      <x:c r="O294" s="32" t="str">
        <x:v>minimax-m2-1</x:v>
      </x:c>
      <x:c r="P294" s="44" t="str"/>
      <x:c r="Q294" s="44" t="str"/>
      <x:c r="R294" s="44" t="str"/>
    </x:row>
    <x:row r="295">
      <x:c r="A295" s="32" t="str">
        <x:v>MiniMax-M2.7</x:v>
      </x:c>
      <x:c r="B295" s="32" t="str">
        <x:v>MiniMax-M2.7</x:v>
      </x:c>
      <x:c r="C295" s="32" t="str"/>
      <x:c r="D295" s="32" t="str">
        <x:v>MiniMax</x:v>
      </x:c>
      <x:c r="E295" s="32" t="str">
        <x:v>China</x:v>
      </x:c>
      <x:c r="F295" s="34" t="n">
        <x:v>46099</x:v>
      </x:c>
      <x:c r="G295" s="32" t="str">
        <x:v>Open weights (non-commercial)</x:v>
      </x:c>
      <x:c r="H295" s="34" t="n">
        <x:v>46099</x:v>
      </x:c>
      <x:c r="I295" s="52" t="str"/>
      <x:c r="J295" s="32" t="str">
        <x:v>Unverified</x:v>
      </x:c>
      <x:c r="K295" s="32" t="str"/>
      <x:c r="L295" s="32" t="str"/>
      <x:c r="M295" s="32" t="str"/>
      <x:c r="N295" s="32" t="str">
        <x:v>MiniMax-M2.7</x:v>
      </x:c>
      <x:c r="O295" s="32" t="str">
        <x:v>minimax-m2-7</x:v>
      </x:c>
      <x:c r="P295" s="44" t="n">
        <x:v>145.61</x:v>
      </x:c>
      <x:c r="Q295" s="44" t="n">
        <x:v>138.06</x:v>
      </x:c>
      <x:c r="R295" s="44" t="n">
        <x:v>147.75</x:v>
      </x:c>
    </x:row>
    <x:row r="296">
      <x:c r="A296" s="32" t="str">
        <x:v>Kimi K2 Thinking</x:v>
      </x:c>
      <x:c r="B296" s="32" t="str">
        <x:v>kimi-k2-thinking</x:v>
      </x:c>
      <x:c r="C296" s="32" t="str">
        <x:v>Kimi K2 Thinking</x:v>
      </x:c>
      <x:c r="D296" s="32" t="str">
        <x:v>Moonshot</x:v>
      </x:c>
      <x:c r="E296" s="32" t="str">
        <x:v>China</x:v>
      </x:c>
      <x:c r="F296" s="34" t="n">
        <x:v>45967</x:v>
      </x:c>
      <x:c r="G296" s="32" t="str">
        <x:v>Open weights (restricted use)</x:v>
      </x:c>
      <x:c r="H296" s="34" t="n">
        <x:v>45967</x:v>
      </x:c>
      <x:c r="I296" s="52" t="n">
        <x:v>4.1999999999999997e+24</x:v>
      </x:c>
      <x:c r="J296" s="32" t="str">
        <x:v>Likely</x:v>
      </x:c>
      <x:c r="K296" s="32" t="str"/>
      <x:c r="L296" s="32" t="str"/>
      <x:c r="M296" s="32" t="str"/>
      <x:c r="N296" s="32" t="str">
        <x:v>Kimi K2 Thinking</x:v>
      </x:c>
      <x:c r="O296" s="32" t="str">
        <x:v>kimi-k2-thinking</x:v>
      </x:c>
      <x:c r="P296" s="44" t="n">
        <x:v>146.01</x:v>
      </x:c>
      <x:c r="Q296" s="44" t="n">
        <x:v>143.68</x:v>
      </x:c>
      <x:c r="R296" s="44" t="n">
        <x:v>147.44</x:v>
      </x:c>
    </x:row>
    <x:row r="297">
      <x:c r="A297" s="32" t="str"/>
      <x:c r="B297" s="32" t="str">
        <x:v>grok-code-fast-1</x:v>
      </x:c>
      <x:c r="C297" s="32" t="str"/>
      <x:c r="D297" s="32" t="str"/>
      <x:c r="E297" s="32" t="str"/>
      <x:c r="F297" s="34" t="n">
        <x:v>45897</x:v>
      </x:c>
      <x:c r="G297" s="32" t="str"/>
      <x:c r="H297" s="34"/>
      <x:c r="I297" s="52" t="str"/>
      <x:c r="J297" s="32" t="str">
        <x:v>Unverified</x:v>
      </x:c>
      <x:c r="K297" s="32" t="str"/>
      <x:c r="L297" s="32" t="str"/>
      <x:c r="M297" s="32" t="str"/>
      <x:c r="N297" s="32" t="str"/>
      <x:c r="O297" s="32" t="str">
        <x:v>grok-code-fast-1</x:v>
      </x:c>
      <x:c r="P297" s="44" t="str"/>
      <x:c r="Q297" s="44" t="str"/>
      <x:c r="R297" s="44" t="str"/>
    </x:row>
    <x:row r="298">
      <x:c r="A298" s="32" t="str">
        <x:v>gpt-oss-20b</x:v>
      </x:c>
      <x:c r="B298" s="32" t="str">
        <x:v>gpt-oss-20b</x:v>
      </x:c>
      <x:c r="C298" s="32" t="str"/>
      <x:c r="D298" s="32" t="str">
        <x:v>OpenAI</x:v>
      </x:c>
      <x:c r="E298" s="32" t="str">
        <x:v>United States of America</x:v>
      </x:c>
      <x:c r="F298" s="34" t="n">
        <x:v>45874</x:v>
      </x:c>
      <x:c r="G298" s="32" t="str">
        <x:v>Open weights (unrestricted)</x:v>
      </x:c>
      <x:c r="H298" s="34" t="n">
        <x:v>45874</x:v>
      </x:c>
      <x:c r="I298" s="52" t="n">
        <x:v>5.49e+23</x:v>
      </x:c>
      <x:c r="J298" s="32" t="str">
        <x:v>Confident</x:v>
      </x:c>
      <x:c r="K298" s="32" t="str">
        <x:v>The smaller one of OpenAI's two latest open source language models.</x:v>
      </x:c>
      <x:c r="L298" s="32" t="str"/>
      <x:c r="M298" s="32" t="str"/>
      <x:c r="N298" s="32" t="str">
        <x:v>gpt-oss-20b</x:v>
      </x:c>
      <x:c r="O298" s="32" t="str">
        <x:v>gpt-oss-20b</x:v>
      </x:c>
      <x:c r="P298" s="44" t="str"/>
      <x:c r="Q298" s="44" t="str"/>
      <x:c r="R298" s="44" t="str"/>
    </x:row>
    <x:row r="299">
      <x:c r="A299" s="32" t="str">
        <x:v>DeepSeek-V4-Pro</x:v>
      </x:c>
      <x:c r="B299" s="32" t="str">
        <x:v>deepseek-v4-pro_none</x:v>
      </x:c>
      <x:c r="C299" s="32" t="str">
        <x:v>DeepSeek v4 Pro (unknown thinking)</x:v>
      </x:c>
      <x:c r="D299" s="32" t="str">
        <x:v>DeepSeek</x:v>
      </x:c>
      <x:c r="E299" s="32" t="str">
        <x:v>China</x:v>
      </x:c>
      <x:c r="F299" s="34" t="n">
        <x:v>46136</x:v>
      </x:c>
      <x:c r="G299" s="32" t="str">
        <x:v>Open weights (unrestricted)</x:v>
      </x:c>
      <x:c r="H299" s="34" t="n">
        <x:v>46136</x:v>
      </x:c>
      <x:c r="I299" s="52" t="n">
        <x:v>9.702e+24</x:v>
      </x:c>
      <x:c r="J299" s="32" t="str">
        <x:v>Likely</x:v>
      </x:c>
      <x:c r="K299" s="32" t="str"/>
      <x:c r="L299" s="32" t="str">
        <x:v>DeepSeek v4 (no thinking)</x:v>
      </x:c>
      <x:c r="M299" s="32" t="str"/>
      <x:c r="N299" s="32" t="str">
        <x:v>DeepSeek-V4-Pro</x:v>
      </x:c>
      <x:c r="O299" s="32" t="str">
        <x:v>deepseek-v4-pro</x:v>
      </x:c>
      <x:c r="P299" s="44" t="n">
        <x:v>149.74</x:v>
      </x:c>
      <x:c r="Q299" s="44" t="n">
        <x:v>147.87</x:v>
      </x:c>
      <x:c r="R299" s="44" t="n">
        <x:v>152.06</x:v>
      </x:c>
    </x:row>
    <x:row r="300">
      <x:c r="A300" s="32" t="str">
        <x:v>MiMo-V2.5</x:v>
      </x:c>
      <x:c r="B300" s="32" t="str">
        <x:v>mimo-v2.5</x:v>
      </x:c>
      <x:c r="C300" s="32" t="str"/>
      <x:c r="D300" s="32" t="str">
        <x:v>Xiaomi Corp</x:v>
      </x:c>
      <x:c r="E300" s="32" t="str">
        <x:v>China</x:v>
      </x:c>
      <x:c r="F300" s="34"/>
      <x:c r="G300" s="32" t="str">
        <x:v>Open weights (unrestricted)</x:v>
      </x:c>
      <x:c r="H300" s="34" t="n">
        <x:v>46135</x:v>
      </x:c>
      <x:c r="I300" s="52" t="n">
        <x:v>4.32e+24</x:v>
      </x:c>
      <x:c r="J300" s="32" t="str">
        <x:v>Unverified</x:v>
      </x:c>
      <x:c r="K300" s="32" t="str"/>
      <x:c r="L300" s="32" t="str"/>
      <x:c r="M300" s="32" t="str"/>
      <x:c r="N300" s="32" t="str">
        <x:v>MiMo-V2.5</x:v>
      </x:c>
      <x:c r="O300" s="32" t="str">
        <x:v>mimo-v2-5</x:v>
      </x:c>
      <x:c r="P300" s="44" t="str"/>
      <x:c r="Q300" s="44" t="str"/>
      <x:c r="R300" s="44" t="str"/>
    </x:row>
    <x:row r="301">
      <x:c r="A301" s="32" t="str"/>
      <x:c r="B301" s="32" t="str">
        <x:v>qwen3-coder-plus</x:v>
      </x:c>
      <x:c r="C301" s="32" t="str"/>
      <x:c r="D301" s="32" t="str"/>
      <x:c r="E301" s="32" t="str"/>
      <x:c r="F301" s="34" t="n">
        <x:v>45923</x:v>
      </x:c>
      <x:c r="G301" s="32" t="str"/>
      <x:c r="H301" s="34"/>
      <x:c r="I301" s="52" t="str"/>
      <x:c r="J301" s="32" t="str">
        <x:v>Unverified</x:v>
      </x:c>
      <x:c r="K301" s="32" t="str"/>
      <x:c r="L301" s="32" t="str"/>
      <x:c r="M301" s="32" t="str"/>
      <x:c r="N301" s="32" t="str"/>
      <x:c r="O301" s="32" t="str">
        <x:v>qwen3-coder-plus</x:v>
      </x:c>
      <x:c r="P301" s="44" t="str"/>
      <x:c r="Q301" s="44" t="str"/>
      <x:c r="R301" s="44" t="str"/>
    </x:row>
    <x:row r="302">
      <x:c r="A302" s="32" t="str">
        <x:v>GLM-4.6</x:v>
      </x:c>
      <x:c r="B302" s="32" t="str">
        <x:v>glm-4.6</x:v>
      </x:c>
      <x:c r="C302" s="32" t="str">
        <x:v>GLM-4.6</x:v>
      </x:c>
      <x:c r="D302" s="32" t="str">
        <x:v>Z.ai (Zhipu AI),Tsinghua University</x:v>
      </x:c>
      <x:c r="E302" s="32" t="str">
        <x:v>China</x:v>
      </x:c>
      <x:c r="F302" s="34" t="n">
        <x:v>45930</x:v>
      </x:c>
      <x:c r="G302" s="32" t="str">
        <x:v>Open weights (unrestricted)</x:v>
      </x:c>
      <x:c r="H302" s="34" t="n">
        <x:v>45930</x:v>
      </x:c>
      <x:c r="I302" s="52" t="n">
        <x:v>4.42e+24</x:v>
      </x:c>
      <x:c r="J302" s="32" t="str">
        <x:v>Likely</x:v>
      </x:c>
      <x:c r="K302" s="32" t="str"/>
      <x:c r="L302" s="32" t="str"/>
      <x:c r="M302" s="32" t="str"/>
      <x:c r="N302" s="32" t="str">
        <x:v>GLM-4.6</x:v>
      </x:c>
      <x:c r="O302" s="32" t="str">
        <x:v>glm-4-6</x:v>
      </x:c>
      <x:c r="P302" s="44" t="n">
        <x:v>140.95</x:v>
      </x:c>
      <x:c r="Q302" s="44" t="n">
        <x:v>136.28</x:v>
      </x:c>
      <x:c r="R302" s="44" t="n">
        <x:v>142.51</x:v>
      </x:c>
    </x:row>
    <x:row r="303">
      <x:c r="A303" s="32" t="str">
        <x:v>Gemini 2.5 Flash-Lite</x:v>
      </x:c>
      <x:c r="B303" s="32" t="str">
        <x:v>gemini-2.5-flash-lite-preview-06-17-thinking</x:v>
      </x:c>
      <x:c r="C303" s="32" t="str">
        <x:v>gemini-2.5-flash-lite-preview-06-17 (Default thinking length)</x:v>
      </x:c>
      <x:c r="D303" s="32" t="str">
        <x:v>Google DeepMind</x:v>
      </x:c>
      <x:c r="E303" s="32" t="str">
        <x:v>United States of America</x:v>
      </x:c>
      <x:c r="F303" s="34" t="n">
        <x:v>45825</x:v>
      </x:c>
      <x:c r="G303" s="32" t="str">
        <x:v>API access</x:v>
      </x:c>
      <x:c r="H303" s="34" t="n">
        <x:v>45823</x:v>
      </x:c>
      <x:c r="I303" s="52" t="str"/>
      <x:c r="J303" s="32" t="str">
        <x:v>Unknown</x:v>
      </x:c>
      <x:c r="K303" s="32" t="str">
        <x:v>A June 2025 preview of Gemini 2.5 Flash Lite.</x:v>
      </x:c>
      <x:c r="L303" s="32" t="str">
        <x:v>Gemini 2.5 Flash-Lite (Jun 2025)</x:v>
      </x:c>
      <x:c r="M303" s="32" t="str">
        <x:v>Gemini 2.5 Flash-Lite (Jun 2025)</x:v>
      </x:c>
      <x:c r="N303" s="32" t="str">
        <x:v>Gemini 2.5 Flash-Lite (Jun 2025)</x:v>
      </x:c>
      <x:c r="O303" s="32" t="str">
        <x:v>gemini-2-5-flash-lite-jun-2025</x:v>
      </x:c>
      <x:c r="P303" s="44" t="str"/>
      <x:c r="Q303" s="44" t="str"/>
      <x:c r="R303" s="44" t="str"/>
    </x:row>
    <x:row r="304">
      <x:c r="A304" s="32" t="str">
        <x:v>DeepSeek-V4-Flash</x:v>
      </x:c>
      <x:c r="B304" s="32" t="str">
        <x:v>deepseek-v4-flash_none</x:v>
      </x:c>
      <x:c r="C304" s="32" t="str">
        <x:v>DeepSeek v4 Flash (high)</x:v>
      </x:c>
      <x:c r="D304" s="32" t="str">
        <x:v>DeepSeek</x:v>
      </x:c>
      <x:c r="E304" s="32" t="str">
        <x:v>China</x:v>
      </x:c>
      <x:c r="F304" s="34" t="n">
        <x:v>46136</x:v>
      </x:c>
      <x:c r="G304" s="32" t="str">
        <x:v>Open weights (unrestricted)</x:v>
      </x:c>
      <x:c r="H304" s="34" t="n">
        <x:v>46136</x:v>
      </x:c>
      <x:c r="I304" s="52" t="n">
        <x:v>2.496e+24</x:v>
      </x:c>
      <x:c r="J304" s="32" t="str">
        <x:v>Likely</x:v>
      </x:c>
      <x:c r="K304" s="32" t="str"/>
      <x:c r="L304" s="32" t="str">
        <x:v>DeepSeek v4 (no thinking)</x:v>
      </x:c>
      <x:c r="M304" s="32" t="str"/>
      <x:c r="N304" s="32" t="str">
        <x:v>DeepSeek-V4-Flash</x:v>
      </x:c>
      <x:c r="O304" s="32" t="str">
        <x:v>deepseek-v4-flash</x:v>
      </x:c>
      <x:c r="P304" s="44" t="str"/>
      <x:c r="Q304" s="44" t="str"/>
      <x:c r="R304" s="44" t="str"/>
    </x:row>
    <x:row r="305">
      <x:c r="A305" s="32" t="str">
        <x:v>Kimi K2</x:v>
      </x:c>
      <x:c r="B305" s="32" t="str">
        <x:v>moonshotai/kimi-k2-0905</x:v>
      </x:c>
      <x:c r="C305" s="32" t="str">
        <x:v>Kimi K2 0905 (Novita)</x:v>
      </x:c>
      <x:c r="D305" s="32" t="str">
        <x:v>Moonshot</x:v>
      </x:c>
      <x:c r="E305" s="32" t="str">
        <x:v>China</x:v>
      </x:c>
      <x:c r="F305" s="34" t="n">
        <x:v>45905</x:v>
      </x:c>
      <x:c r="G305" s="32" t="str">
        <x:v>Open weights (restricted use)</x:v>
      </x:c>
      <x:c r="H305" s="34" t="n">
        <x:v>45849</x:v>
      </x:c>
      <x:c r="I305" s="52" t="n">
        <x:v>2.976e+24</x:v>
      </x:c>
      <x:c r="J305" s="32" t="str">
        <x:v>Confident</x:v>
      </x:c>
      <x:c r="K305" s="32" t="str">
        <x:v>A July 2025 preview version of Kimi K2 turbo, an updated version of Kimi K2.</x:v>
      </x:c>
      <x:c r="L305" s="32" t="str"/>
      <x:c r="M305" s="32" t="str">
        <x:v>Kimi K2 (Sep 2025)</x:v>
      </x:c>
      <x:c r="N305" s="32" t="str">
        <x:v>Kimi K2 (Sep 2025)</x:v>
      </x:c>
      <x:c r="O305" s="32" t="str">
        <x:v>kimi-k2-sep-2025</x:v>
      </x:c>
      <x:c r="P305" s="44" t="n">
        <x:v>140.98</x:v>
      </x:c>
      <x:c r="Q305" s="44" t="n">
        <x:v>138.39</x:v>
      </x:c>
      <x:c r="R305" s="44" t="n">
        <x:v>142.27</x:v>
      </x:c>
    </x:row>
    <x:row r="306">
      <x:c r="A306" s="32" t="str"/>
      <x:c r="B306" s="32" t="str">
        <x:v>mistral-medium-2508</x:v>
      </x:c>
      <x:c r="C306" s="32" t="str"/>
      <x:c r="D306" s="32" t="str"/>
      <x:c r="E306" s="32" t="str"/>
      <x:c r="F306" s="34" t="n">
        <x:v>45881</x:v>
      </x:c>
      <x:c r="G306" s="32" t="str"/>
      <x:c r="H306" s="34"/>
      <x:c r="I306" s="52" t="str"/>
      <x:c r="J306" s="32" t="str">
        <x:v>Unverified</x:v>
      </x:c>
      <x:c r="K306" s="32" t="str"/>
      <x:c r="L306" s="32" t="str"/>
      <x:c r="M306" s="32" t="str"/>
      <x:c r="N306" s="32" t="str"/>
      <x:c r="O306" s="32" t="str">
        <x:v>mistral-medium-2508</x:v>
      </x:c>
      <x:c r="P306" s="44" t="str"/>
      <x:c r="Q306" s="44" t="str"/>
      <x:c r="R306" s="44" t="str"/>
    </x:row>
    <x:row r="307">
      <x:c r="A307" s="32" t="str">
        <x:v>Codestral</x:v>
      </x:c>
      <x:c r="B307" s="32" t="str">
        <x:v>codestral-2508</x:v>
      </x:c>
      <x:c r="C307" s="32" t="str"/>
      <x:c r="D307" s="32" t="str">
        <x:v>Mistral AI</x:v>
      </x:c>
      <x:c r="E307" s="32" t="str">
        <x:v>France</x:v>
      </x:c>
      <x:c r="F307" s="34" t="n">
        <x:v>45868</x:v>
      </x:c>
      <x:c r="G307" s="32" t="str">
        <x:v>Open weights (non-commercial)</x:v>
      </x:c>
      <x:c r="H307" s="34" t="n">
        <x:v>45441</x:v>
      </x:c>
      <x:c r="I307" s="52" t="str"/>
      <x:c r="J307" s="32" t="str">
        <x:v>Confident</x:v>
      </x:c>
      <x:c r="K307" s="32" t="str">
        <x:v>A January 2025 version of a 2024 coding-optimized model from Mistral.</x:v>
      </x:c>
      <x:c r="L307" s="32" t="str"/>
      <x:c r="M307" s="32" t="str"/>
      <x:c r="N307" s="32" t="str">
        <x:v>Codestral</x:v>
      </x:c>
      <x:c r="O307" s="32" t="str">
        <x:v>codestral</x:v>
      </x:c>
      <x:c r="P307" s="44" t="str"/>
      <x:c r="Q307" s="44" t="str"/>
      <x:c r="R307" s="44" t="str"/>
    </x:row>
    <x:row r="308">
      <x:c r="A308" s="32" t="str"/>
      <x:c r="B308" s="32" t="str">
        <x:v>claude-mythos-preview-early</x:v>
      </x:c>
      <x:c r="C308" s="32" t="str"/>
      <x:c r="D308" s="32" t="str"/>
      <x:c r="E308" s="32" t="str"/>
      <x:c r="F308" s="34"/>
      <x:c r="G308" s="32" t="str"/>
      <x:c r="H308" s="34"/>
      <x:c r="I308" s="52" t="str"/>
      <x:c r="J308" s="32" t="str">
        <x:v>Unverified</x:v>
      </x:c>
      <x:c r="K308" s="32" t="str"/>
      <x:c r="L308" s="32" t="str"/>
      <x:c r="M308" s="32" t="str"/>
      <x:c r="N308" s="32" t="str"/>
      <x:c r="O308" s="32" t="str">
        <x:v>claude-mythos-preview-early</x:v>
      </x:c>
      <x:c r="P308" s="44" t="str"/>
      <x:c r="Q308" s="44" t="str"/>
      <x:c r="R308" s="44" t="str"/>
    </x:row>
    <x:row r="309">
      <x:c r="A309" s="32" t="str">
        <x:v>GPT-5.4 Pro</x:v>
      </x:c>
      <x:c r="B309" s="32" t="str">
        <x:v>gpt-5.4-pro-2026-03-05_unknown</x:v>
      </x:c>
      <x:c r="C309" s="32" t="str">
        <x:v>GPT-5.4 Pro</x:v>
      </x:c>
      <x:c r="D309" s="32" t="str">
        <x:v>OpenAI</x:v>
      </x:c>
      <x:c r="E309" s="32" t="str">
        <x:v>United States of America</x:v>
      </x:c>
      <x:c r="F309" s="34" t="n">
        <x:v>46086</x:v>
      </x:c>
      <x:c r="G309" s="32" t="str">
        <x:v>API access</x:v>
      </x:c>
      <x:c r="H309" s="34" t="n">
        <x:v>46086</x:v>
      </x:c>
      <x:c r="I309" s="52" t="str"/>
      <x:c r="J309" s="32" t="str">
        <x:v>Likely</x:v>
      </x:c>
      <x:c r="K309" s="32" t="str"/>
      <x:c r="L309" s="32" t="str">
        <x:v>GPT-5.4 Pro</x:v>
      </x:c>
      <x:c r="M309" s="32" t="str"/>
      <x:c r="N309" s="32" t="str">
        <x:v>GPT-5.4 Pro</x:v>
      </x:c>
      <x:c r="O309" s="32" t="str">
        <x:v>gpt-5-4-pro</x:v>
      </x:c>
      <x:c r="P309" s="44" t="n">
        <x:v>157.83</x:v>
      </x:c>
      <x:c r="Q309" s="44" t="n">
        <x:v>155.96</x:v>
      </x:c>
      <x:c r="R309" s="44" t="n">
        <x:v>160.88</x:v>
      </x:c>
    </x:row>
    <x:row r="310">
      <x:c r="A310" s="32" t="str">
        <x:v>GPT-5 Pro</x:v>
      </x:c>
      <x:c r="B310" s="32" t="str">
        <x:v>gpt-5-pro-2025-10-06_unknown</x:v>
      </x:c>
      <x:c r="C310" s="32" t="str">
        <x:v>GPT-5 Pro</x:v>
      </x:c>
      <x:c r="D310" s="32" t="str">
        <x:v>OpenAI</x:v>
      </x:c>
      <x:c r="E310" s="32" t="str">
        <x:v>United States of America</x:v>
      </x:c>
      <x:c r="F310" s="34" t="n">
        <x:v>45937</x:v>
      </x:c>
      <x:c r="G310" s="32" t="str">
        <x:v>API access</x:v>
      </x:c>
      <x:c r="H310" s="34" t="n">
        <x:v>45937</x:v>
      </x:c>
      <x:c r="I310" s="52" t="str"/>
      <x:c r="J310" s="32" t="str">
        <x:v>Unknown</x:v>
      </x:c>
      <x:c r="K310" s="32" t="str"/>
      <x:c r="L310" s="32" t="str">
        <x:v>GPT-5 Pro (unknown thinking)</x:v>
      </x:c>
      <x:c r="M310" s="32" t="str"/>
      <x:c r="N310" s="32" t="str">
        <x:v>GPT-5 Pro</x:v>
      </x:c>
      <x:c r="O310" s="32" t="str">
        <x:v>gpt-5-pro</x:v>
      </x:c>
      <x:c r="P310" s="44" t="n">
        <x:v>150.43</x:v>
      </x:c>
      <x:c r="Q310" s="44" t="n">
        <x:v>148.94</x:v>
      </x:c>
      <x:c r="R310" s="44" t="n">
        <x:v>152.05</x:v>
      </x:c>
    </x:row>
    <x:row r="311">
      <x:c r="A311" s="32" t="str">
        <x:v>GPT-5</x:v>
      </x:c>
      <x:c r="B311" s="32" t="str">
        <x:v>gpt-5-2025-08-07_unknown</x:v>
      </x:c>
      <x:c r="C311" s="32" t="str">
        <x:v>GPT-5 (unknown thinking)</x:v>
      </x:c>
      <x:c r="D311" s="32" t="str">
        <x:v>OpenAI</x:v>
      </x:c>
      <x:c r="E311" s="32" t="str">
        <x:v>United States of America</x:v>
      </x:c>
      <x:c r="F311" s="34" t="n">
        <x:v>45876</x:v>
      </x:c>
      <x:c r="G311" s="32" t="str">
        <x:v>API access</x:v>
      </x:c>
      <x:c r="H311" s="34" t="n">
        <x:v>45876</x:v>
      </x:c>
      <x:c r="I311" s="52" t="n">
        <x:v>6.6e+25</x:v>
      </x:c>
      <x:c r="J311" s="32" t="str">
        <x:v>Speculative</x:v>
      </x:c>
      <x:c r="K311" s="32" t="str">
        <x:v>OpenAI's latest flagship frontier model, benchmarked using high reasoning effort.</x:v>
      </x:c>
      <x:c r="L311" s="32" t="str">
        <x:v>GPT-5 (high)</x:v>
      </x:c>
      <x:c r="M311" s="32" t="str"/>
      <x:c r="N311" s="32" t="str">
        <x:v>GPT-5</x:v>
      </x:c>
      <x:c r="O311" s="32" t="str">
        <x:v>gpt-5</x:v>
      </x:c>
      <x:c r="P311" s="44" t="n">
        <x:v>150</x:v>
      </x:c>
      <x:c r="Q311" s="44" t="str"/>
      <x:c r="R311" s="44" t="str"/>
    </x:row>
    <x:row r="312">
      <x:c r="A312" s="32" t="str">
        <x:v>Claude Opus 4.1</x:v>
      </x:c>
      <x:c r="B312" s="32" t="str">
        <x:v>claude-opus-4-1-20250805_unknown</x:v>
      </x:c>
      <x:c r="C312" s="32" t="str">
        <x:v>Claude Opus 4.1 (unknown thinking)</x:v>
      </x:c>
      <x:c r="D312" s="32" t="str">
        <x:v>Anthropic</x:v>
      </x:c>
      <x:c r="E312" s="32" t="str">
        <x:v>United States of America</x:v>
      </x:c>
      <x:c r="F312" s="34" t="n">
        <x:v>45874</x:v>
      </x:c>
      <x:c r="G312" s="32" t="str">
        <x:v>API access</x:v>
      </x:c>
      <x:c r="H312" s="34" t="n">
        <x:v>45874</x:v>
      </x:c>
      <x:c r="I312" s="52" t="str"/>
      <x:c r="J312" s="32" t="str">
        <x:v>Unknown</x:v>
      </x:c>
      <x:c r="K312" s="32" t="str">
        <x:v>Anthropic’s largest flagship model, benchmarked with up to 27,000 reasoning tokens.</x:v>
      </x:c>
      <x:c r="L312" s="32" t="str">
        <x:v>Claude Opus 4.1 (unknown settings)</x:v>
      </x:c>
      <x:c r="M312" s="32" t="str"/>
      <x:c r="N312" s="32" t="str">
        <x:v>Claude Opus 4.1</x:v>
      </x:c>
      <x:c r="O312" s="32" t="str">
        <x:v>claude-opus-4-1</x:v>
      </x:c>
      <x:c r="P312" s="44" t="n">
        <x:v>144.21</x:v>
      </x:c>
      <x:c r="Q312" s="44" t="n">
        <x:v>141.74</x:v>
      </x:c>
      <x:c r="R312" s="44" t="n">
        <x:v>146.36</x:v>
      </x:c>
    </x:row>
    <x:row r="313">
      <x:c r="A313" s="32" t="str">
        <x:v>o1-pro</x:v>
      </x:c>
      <x:c r="B313" s="32" t="str">
        <x:v>o1-pro-2025-03-19</x:v>
      </x:c>
      <x:c r="C313" s="32" t="str">
        <x:v>o1 Pro</x:v>
      </x:c>
      <x:c r="D313" s="32" t="str">
        <x:v>OpenAI</x:v>
      </x:c>
      <x:c r="E313" s="32" t="str">
        <x:v>United States of America</x:v>
      </x:c>
      <x:c r="F313" s="34" t="n">
        <x:v>45735</x:v>
      </x:c>
      <x:c r="G313" s="32" t="str">
        <x:v>API access</x:v>
      </x:c>
      <x:c r="H313" s="34" t="n">
        <x:v>45735</x:v>
      </x:c>
      <x:c r="I313" s="52" t="str"/>
      <x:c r="J313" s="32" t="str">
        <x:v>Likely</x:v>
      </x:c>
      <x:c r="K313" s="32" t="str">
        <x:v>An An enhanced version of OpenAI's first reasoning model,o1, evaluated with low reasoning effort.</x:v>
      </x:c>
      <x:c r="L313" s="32" t="str"/>
      <x:c r="M313" s="32" t="str"/>
      <x:c r="N313" s="32" t="str">
        <x:v>o1-pro</x:v>
      </x:c>
      <x:c r="O313" s="32" t="str">
        <x:v>o1-pro</x:v>
      </x:c>
      <x:c r="P313" s="44" t="str"/>
      <x:c r="Q313" s="44" t="str"/>
      <x:c r="R313" s="44" t="str"/>
    </x:row>
    <x:row r="314">
      <x:c r="A314" s="32" t="str">
        <x:v>o1</x:v>
      </x:c>
      <x:c r="B314" s="32" t="str">
        <x:v>o1-2024-12-17_unknown</x:v>
      </x:c>
      <x:c r="C314" s="32" t="str">
        <x:v>o1 (unknown thinking)</x:v>
      </x:c>
      <x:c r="D314" s="32" t="str">
        <x:v>OpenAI</x:v>
      </x:c>
      <x:c r="E314" s="32" t="str">
        <x:v>United States of America</x:v>
      </x:c>
      <x:c r="F314" s="34" t="n">
        <x:v>45643</x:v>
      </x:c>
      <x:c r="G314" s="32" t="str">
        <x:v>API access</x:v>
      </x:c>
      <x:c r="H314" s="34" t="n">
        <x:v>45631</x:v>
      </x:c>
      <x:c r="I314" s="52" t="str"/>
      <x:c r="J314" s="32" t="str">
        <x:v>Unknown</x:v>
      </x:c>
      <x:c r="K314" s="32" t="str">
        <x:v>OpenAI's first reasoning model, evaluated with at the high reasoning effort level.</x:v>
      </x:c>
      <x:c r="L314" s="32" t="str"/>
      <x:c r="M314" s="32" t="str"/>
      <x:c r="N314" s="32" t="str">
        <x:v>o1</x:v>
      </x:c>
      <x:c r="O314" s="32" t="str">
        <x:v>o1</x:v>
      </x:c>
      <x:c r="P314" s="44" t="n">
        <x:v>142.69</x:v>
      </x:c>
      <x:c r="Q314" s="44" t="n">
        <x:v>140.88</x:v>
      </x:c>
      <x:c r="R314" s="44" t="n">
        <x:v>143.81</x:v>
      </x:c>
    </x:row>
    <x:row r="315">
      <x:c r="A315" s="32" t="str">
        <x:v>Pixtral Large</x:v>
      </x:c>
      <x:c r="B315" s="32" t="str">
        <x:v>pixtral-large-2411</x:v>
      </x:c>
      <x:c r="C315" s="32" t="str"/>
      <x:c r="D315" s="32" t="str">
        <x:v>Mistral AI</x:v>
      </x:c>
      <x:c r="E315" s="32" t="str">
        <x:v>France</x:v>
      </x:c>
      <x:c r="F315" s="34" t="n">
        <x:v>45614</x:v>
      </x:c>
      <x:c r="G315" s="32" t="str">
        <x:v>Open weights (non-commercial)</x:v>
      </x:c>
      <x:c r="H315" s="34" t="n">
        <x:v>45614</x:v>
      </x:c>
      <x:c r="I315" s="52" t="str"/>
      <x:c r="J315" s="32" t="str">
        <x:v>Confident</x:v>
      </x:c>
      <x:c r="K315" s="32" t="str"/>
      <x:c r="L315" s="32" t="str"/>
      <x:c r="M315" s="32" t="str"/>
      <x:c r="N315" s="32" t="str">
        <x:v>Pixtral Large</x:v>
      </x:c>
      <x:c r="O315" s="32" t="str">
        <x:v>pixtral-large</x:v>
      </x:c>
      <x:c r="P315" s="44" t="str"/>
      <x:c r="Q315" s="44" t="str"/>
      <x:c r="R315" s="44" t="str"/>
    </x:row>
    <x:row r="316">
      <x:c r="A316" s="32" t="str">
        <x:v>Gemini 2.0 Flash</x:v>
      </x:c>
      <x:c r="B316" s="32" t="str">
        <x:v>gemini-2.0-flash-02-05</x:v>
      </x:c>
      <x:c r="C316" s="32" t="str"/>
      <x:c r="D316" s="32" t="str">
        <x:v>Google DeepMind,Google</x:v>
      </x:c>
      <x:c r="E316" s="32" t="str">
        <x:v>United States of America</x:v>
      </x:c>
      <x:c r="F316" s="34" t="n">
        <x:v>45693</x:v>
      </x:c>
      <x:c r="G316" s="32" t="str">
        <x:v>API access</x:v>
      </x:c>
      <x:c r="H316" s="34" t="n">
        <x:v>45637</x:v>
      </x:c>
      <x:c r="I316" s="52" t="str"/>
      <x:c r="J316" s="32" t="str">
        <x:v>Unknown</x:v>
      </x:c>
      <x:c r="K316" s="32" t="str">
        <x:v>A February 2025 version of Gemini 2.0 Flash, a small language model from Google DeepMind.</x:v>
      </x:c>
      <x:c r="L316" s="32" t="str"/>
      <x:c r="M316" s="32" t="str">
        <x:v>Gemini 2.0 Flash (Feb 2025)</x:v>
      </x:c>
      <x:c r="N316" s="32" t="str">
        <x:v>Gemini 2.0 Flash (Feb 2025)</x:v>
      </x:c>
      <x:c r="O316" s="32" t="str">
        <x:v>gemini-2-0-flash-feb-2025</x:v>
      </x:c>
      <x:c r="P316" s="44" t="n">
        <x:v>135.79</x:v>
      </x:c>
      <x:c r="Q316" s="44" t="n">
        <x:v>132.35</x:v>
      </x:c>
      <x:c r="R316" s="44" t="n">
        <x:v>137.51</x:v>
      </x:c>
    </x:row>
    <x:row r="317">
      <x:c r="A317" s="32" t="str">
        <x:v>Llama 4 Maverick</x:v>
      </x:c>
      <x:c r="B317" s="32" t="str">
        <x:v>Llama-4-Maverick-17B-128E-Instruct</x:v>
      </x:c>
      <x:c r="C317" s="32" t="str">
        <x:v>Llama 4 Maverick</x:v>
      </x:c>
      <x:c r="D317" s="32" t="str">
        <x:v>Meta AI</x:v>
      </x:c>
      <x:c r="E317" s="32" t="str">
        <x:v>United States of America</x:v>
      </x:c>
      <x:c r="F317" s="34" t="n">
        <x:v>45752</x:v>
      </x:c>
      <x:c r="G317" s="32" t="str">
        <x:v>Open weights (restricted use)</x:v>
      </x:c>
      <x:c r="H317" s="34" t="n">
        <x:v>45752</x:v>
      </x:c>
      <x:c r="I317" s="52" t="n">
        <x:v>2.244000000001e+24</x:v>
      </x:c>
      <x:c r="J317" s="32" t="str">
        <x:v>Likely</x:v>
      </x:c>
      <x:c r="K317" s="32" t="str">
        <x:v>The 17 billion active (400 billion total)-parameter model in Meta's Llama 4 series.</x:v>
      </x:c>
      <x:c r="L317" s="32" t="str"/>
      <x:c r="M317" s="32" t="str"/>
      <x:c r="N317" s="32" t="str">
        <x:v>Llama 4 Maverick</x:v>
      </x:c>
      <x:c r="O317" s="32" t="str">
        <x:v>llama-4-maverick</x:v>
      </x:c>
      <x:c r="P317" s="44" t="n">
        <x:v>133.04</x:v>
      </x:c>
      <x:c r="Q317" s="44" t="n">
        <x:v>128.11</x:v>
      </x:c>
      <x:c r="R317" s="44" t="n">
        <x:v>135.12</x:v>
      </x:c>
    </x:row>
    <x:row r="318">
      <x:c r="A318" s="32" t="str">
        <x:v>o3</x:v>
      </x:c>
      <x:c r="B318" s="32" t="str">
        <x:v>o3-2025-04-16_unknown</x:v>
      </x:c>
      <x:c r="C318" s="32" t="str">
        <x:v>o3 (unknown thinking)</x:v>
      </x:c>
      <x:c r="D318" s="32" t="str">
        <x:v>OpenAI</x:v>
      </x:c>
      <x:c r="E318" s="32" t="str">
        <x:v>United States of America</x:v>
      </x:c>
      <x:c r="F318" s="34" t="n">
        <x:v>45763</x:v>
      </x:c>
      <x:c r="G318" s="32" t="str">
        <x:v>API access</x:v>
      </x:c>
      <x:c r="H318" s="34" t="n">
        <x:v>45646</x:v>
      </x:c>
      <x:c r="I318" s="52" t="str"/>
      <x:c r="J318" s="32" t="str">
        <x:v>Unknown</x:v>
      </x:c>
      <x:c r="K318" s="32" t="str">
        <x:v>OpenAI's second generation o-series reasoning model, evaluated with high reasoning effort.</x:v>
      </x:c>
      <x:c r="L318" s="32" t="str"/>
      <x:c r="M318" s="32" t="str"/>
      <x:c r="N318" s="32" t="str">
        <x:v>o3</x:v>
      </x:c>
      <x:c r="O318" s="32" t="str">
        <x:v>o3</x:v>
      </x:c>
      <x:c r="P318" s="44" t="n">
        <x:v>147.05</x:v>
      </x:c>
      <x:c r="Q318" s="44" t="n">
        <x:v>145.11</x:v>
      </x:c>
      <x:c r="R318" s="44" t="n">
        <x:v>148.38</x:v>
      </x:c>
    </x:row>
    <x:row r="319">
      <x:c r="A319" s="32" t="str">
        <x:v>GPT-4 Turbo (Nov 2023)</x:v>
      </x:c>
      <x:c r="B319" s="32" t="str">
        <x:v>gpt-4-turbo</x:v>
      </x:c>
      <x:c r="C319" s="32" t="str"/>
      <x:c r="D319" s="32" t="str">
        <x:v>OpenAI</x:v>
      </x:c>
      <x:c r="E319" s="32" t="str">
        <x:v>United States of America</x:v>
      </x:c>
      <x:c r="F319" s="34" t="n">
        <x:v>45236</x:v>
      </x:c>
      <x:c r="G319" s="32" t="str">
        <x:v>API access</x:v>
      </x:c>
      <x:c r="H319" s="34" t="n">
        <x:v>45236</x:v>
      </x:c>
      <x:c r="I319" s="52" t="str"/>
      <x:c r="J319" s="32" t="str">
        <x:v>Unknown</x:v>
      </x:c>
      <x:c r="K319" s="32" t="str">
        <x:v>An updated version of GPT-4 and OpenAI's then-new flagship language model.</x:v>
      </x:c>
      <x:c r="L319" s="32" t="str"/>
      <x:c r="M319" s="32" t="str"/>
      <x:c r="N319" s="32" t="str">
        <x:v>GPT-4 Turbo (Nov 2023)</x:v>
      </x:c>
      <x:c r="O319" s="32" t="str">
        <x:v>gpt-4-turbo-nov-2023</x:v>
      </x:c>
      <x:c r="P319" s="44" t="str"/>
      <x:c r="Q319" s="44" t="str"/>
      <x:c r="R319" s="44" t="str"/>
    </x:row>
    <x:row r="320">
      <x:c r="A320" s="32" t="str">
        <x:v>GPT-3.5 Turbo Instruct</x:v>
      </x:c>
      <x:c r="B320" s="32" t="str">
        <x:v>gpt-3.5-turbo-instruct</x:v>
      </x:c>
      <x:c r="C320" s="32" t="str"/>
      <x:c r="D320" s="32" t="str">
        <x:v>OpenAI</x:v>
      </x:c>
      <x:c r="E320" s="32" t="str">
        <x:v>United States of America</x:v>
      </x:c>
      <x:c r="F320" s="34" t="n">
        <x:v>45187</x:v>
      </x:c>
      <x:c r="G320" s="32" t="str">
        <x:v>API access</x:v>
      </x:c>
      <x:c r="H320" s="34" t="n">
        <x:v>45197</x:v>
      </x:c>
      <x:c r="I320" s="52" t="str"/>
      <x:c r="J320" s="32" t="str">
        <x:v>Likely</x:v>
      </x:c>
      <x:c r="K320" s="32" t="str">
        <x:v>An instruction-tuned version of OpenAI's GPT-3.5 turbo.</x:v>
      </x:c>
      <x:c r="L320" s="32" t="str"/>
      <x:c r="M320" s="32" t="str"/>
      <x:c r="N320" s="32" t="str">
        <x:v>GPT-3.5 Turbo Instruct</x:v>
      </x:c>
      <x:c r="O320" s="32" t="str">
        <x:v>gpt-3-5-turbo-instruct</x:v>
      </x:c>
      <x:c r="P320" s="44" t="str"/>
      <x:c r="Q320" s="44" t="str"/>
      <x:c r="R320" s="44" t="str"/>
    </x:row>
    <x:row r="321">
      <x:c r="A321" s="32" t="str">
        <x:v>GPT-3 175B (davinci)</x:v>
      </x:c>
      <x:c r="B321" s="32" t="str">
        <x:v>davinci-002</x:v>
      </x:c>
      <x:c r="C321" s="32" t="str"/>
      <x:c r="D321" s="32" t="str">
        <x:v>OpenAI</x:v>
      </x:c>
      <x:c r="E321" s="32" t="str">
        <x:v>United States of America</x:v>
      </x:c>
      <x:c r="F321" s="34"/>
      <x:c r="G321" s="32" t="str">
        <x:v>API access</x:v>
      </x:c>
      <x:c r="H321" s="34" t="n">
        <x:v>43979</x:v>
      </x:c>
      <x:c r="I321" s="52" t="n">
        <x:v>3.14e+23</x:v>
      </x:c>
      <x:c r="J321" s="32" t="str">
        <x:v>Confident</x:v>
      </x:c>
      <x:c r="K321" s="32" t="str"/>
      <x:c r="L321" s="32" t="str">
        <x:v>GPT-3 175B (davinci-002)</x:v>
      </x:c>
      <x:c r="M321" s="32" t="str"/>
      <x:c r="N321" s="32" t="str">
        <x:v>GPT-3 175B (davinci)</x:v>
      </x:c>
      <x:c r="O321" s="32" t="str">
        <x:v>gpt-3-175b-davinci</x:v>
      </x:c>
      <x:c r="P321" s="44" t="str"/>
      <x:c r="Q321" s="44" t="str"/>
      <x:c r="R321" s="44" t="str"/>
    </x:row>
    <x:row r="322">
      <x:c r="A322" s="32" t="str">
        <x:v>GPT-2 (1.5B)</x:v>
      </x:c>
      <x:c r="B322" s="32" t="str">
        <x:v>gpt2-xl</x:v>
      </x:c>
      <x:c r="C322" s="32" t="str"/>
      <x:c r="D322" s="32" t="str">
        <x:v>OpenAI</x:v>
      </x:c>
      <x:c r="E322" s="32" t="str">
        <x:v>United States of America</x:v>
      </x:c>
      <x:c r="F322" s="34" t="n">
        <x:v>43774</x:v>
      </x:c>
      <x:c r="G322" s="32" t="str">
        <x:v>Open weights (unrestricted)</x:v>
      </x:c>
      <x:c r="H322" s="34" t="n">
        <x:v>43510</x:v>
      </x:c>
      <x:c r="I322" s="52" t="n">
        <x:v>1.920000000001e+21</x:v>
      </x:c>
      <x:c r="J322" s="32" t="str">
        <x:v>Speculative</x:v>
      </x:c>
      <x:c r="K322" s="32" t="str">
        <x:v>The largest version of GPT-2, OpenAI's second generation transformer-based large pretrained language model.</x:v>
      </x:c>
      <x:c r="L322" s="32" t="str"/>
      <x:c r="M322" s="32" t="str"/>
      <x:c r="N322" s="32" t="str">
        <x:v>GPT-2 (1.5B)</x:v>
      </x:c>
      <x:c r="O322" s="32" t="str">
        <x:v>gpt-2-1-5b</x:v>
      </x:c>
      <x:c r="P322" s="44" t="str"/>
      <x:c r="Q322" s="44" t="str"/>
      <x:c r="R322" s="44" t="str"/>
    </x:row>
    <x:row r="323">
      <x:c r="A323" s="32" t="str"/>
      <x:c r="B323" s="32" t="str">
        <x:v>ml-elephant</x:v>
      </x:c>
      <x:c r="C323" s="32" t="str">
        <x:v>Zoo Ml-Ephant</x:v>
      </x:c>
      <x:c r="D323" s="32" t="str"/>
      <x:c r="E323" s="32" t="str"/>
      <x:c r="F323" s="34"/>
      <x:c r="G323" s="32" t="str"/>
      <x:c r="H323" s="34"/>
      <x:c r="I323" s="52" t="str"/>
      <x:c r="J323" s="32" t="str">
        <x:v>Unverified</x:v>
      </x:c>
      <x:c r="K323" s="32" t="str"/>
      <x:c r="L323" s="32" t="str"/>
      <x:c r="M323" s="32" t="str"/>
      <x:c r="N323" s="32" t="str"/>
      <x:c r="O323" s="32" t="str">
        <x:v>ml-elephant</x:v>
      </x:c>
      <x:c r="P323" s="44" t="str"/>
      <x:c r="Q323" s="44" t="str"/>
      <x:c r="R323" s="44" t="str"/>
    </x:row>
    <x:row r="324">
      <x:c r="A324" s="32" t="str">
        <x:v>Claude Opus 4.8</x:v>
      </x:c>
      <x:c r="B324" s="32" t="str">
        <x:v>claude-opus-4-8_medium</x:v>
      </x:c>
      <x:c r="C324" s="32" t="str">
        <x:v>Claude Opus 4.8</x:v>
      </x:c>
      <x:c r="D324" s="32" t="str">
        <x:v>Anthropic</x:v>
      </x:c>
      <x:c r="E324" s="32" t="str">
        <x:v>United States of America</x:v>
      </x:c>
      <x:c r="F324" s="34" t="n">
        <x:v>46170</x:v>
      </x:c>
      <x:c r="G324" s="32" t="str">
        <x:v>API access</x:v>
      </x:c>
      <x:c r="H324" s="34" t="n">
        <x:v>46170</x:v>
      </x:c>
      <x:c r="I324" s="52" t="str"/>
      <x:c r="J324" s="32" t="str">
        <x:v>Unverified</x:v>
      </x:c>
      <x:c r="K324" s="32" t="str"/>
      <x:c r="L324" s="32" t="str">
        <x:v>Claude Opus 4.8 (medium)</x:v>
      </x:c>
      <x:c r="M324" s="32" t="str"/>
      <x:c r="N324" s="32" t="str">
        <x:v>Claude Opus 4.8</x:v>
      </x:c>
      <x:c r="O324" s="32" t="str">
        <x:v>claude-opus-4-8</x:v>
      </x:c>
      <x:c r="P324" s="44" t="n">
        <x:v>157.85</x:v>
      </x:c>
      <x:c r="Q324" s="44" t="n">
        <x:v>155.12</x:v>
      </x:c>
      <x:c r="R324" s="44" t="n">
        <x:v>160.58</x:v>
      </x:c>
    </x:row>
    <x:row r="325">
      <x:c r="A325" s="32" t="str">
        <x:v>Claude Opus 4.8</x:v>
      </x:c>
      <x:c r="B325" s="32" t="str">
        <x:v>claude-opus-4-8_low</x:v>
      </x:c>
      <x:c r="C325" s="32" t="str">
        <x:v>Claude Opus 4.8</x:v>
      </x:c>
      <x:c r="D325" s="32" t="str">
        <x:v>Anthropic</x:v>
      </x:c>
      <x:c r="E325" s="32" t="str">
        <x:v>United States of America</x:v>
      </x:c>
      <x:c r="F325" s="34" t="n">
        <x:v>46170</x:v>
      </x:c>
      <x:c r="G325" s="32" t="str">
        <x:v>API access</x:v>
      </x:c>
      <x:c r="H325" s="34" t="n">
        <x:v>46170</x:v>
      </x:c>
      <x:c r="I325" s="52" t="str"/>
      <x:c r="J325" s="32" t="str">
        <x:v>Unverified</x:v>
      </x:c>
      <x:c r="K325" s="32" t="str"/>
      <x:c r="L325" s="32" t="str">
        <x:v>Claude Opus 4.8 (low)</x:v>
      </x:c>
      <x:c r="M325" s="32" t="str"/>
      <x:c r="N325" s="32" t="str">
        <x:v>Claude Opus 4.8</x:v>
      </x:c>
      <x:c r="O325" s="32" t="str">
        <x:v>claude-opus-4-8</x:v>
      </x:c>
      <x:c r="P325" s="44" t="n">
        <x:v>157.85</x:v>
      </x:c>
      <x:c r="Q325" s="44" t="n">
        <x:v>155.12</x:v>
      </x:c>
      <x:c r="R325" s="44" t="n">
        <x:v>160.58</x:v>
      </x:c>
    </x:row>
    <x:row r="326">
      <x:c r="A326" s="32" t="str">
        <x:v>Claude Opus 4.7</x:v>
      </x:c>
      <x:c r="B326" s="32" t="str">
        <x:v>claude-opus-4-7_medium</x:v>
      </x:c>
      <x:c r="C326" s="32" t="str">
        <x:v>Claude Opus 4.7 (medium)</x:v>
      </x:c>
      <x:c r="D326" s="32" t="str">
        <x:v>Anthropic</x:v>
      </x:c>
      <x:c r="E326" s="32" t="str">
        <x:v>United States of America</x:v>
      </x:c>
      <x:c r="F326" s="34" t="n">
        <x:v>46128</x:v>
      </x:c>
      <x:c r="G326" s="32" t="str">
        <x:v>API access</x:v>
      </x:c>
      <x:c r="H326" s="34" t="n">
        <x:v>46128</x:v>
      </x:c>
      <x:c r="I326" s="52" t="str"/>
      <x:c r="J326" s="32" t="str">
        <x:v>Likely</x:v>
      </x:c>
      <x:c r="K326" s="32" t="str"/>
      <x:c r="L326" s="32" t="str">
        <x:v>Claude Opus 4.7 (medium)</x:v>
      </x:c>
      <x:c r="M326" s="32" t="str"/>
      <x:c r="N326" s="32" t="str">
        <x:v>Claude Opus 4.7</x:v>
      </x:c>
      <x:c r="O326" s="32" t="str">
        <x:v>claude-opus-4-7</x:v>
      </x:c>
      <x:c r="P326" s="44" t="n">
        <x:v>156.01</x:v>
      </x:c>
      <x:c r="Q326" s="44" t="n">
        <x:v>154.07</x:v>
      </x:c>
      <x:c r="R326" s="44" t="n">
        <x:v>158.4</x:v>
      </x:c>
    </x:row>
    <x:row r="327">
      <x:c r="A327" s="32" t="str">
        <x:v>Claude Sonnet 4.6</x:v>
      </x:c>
      <x:c r="B327" s="32" t="str">
        <x:v>claude-sonnet-4-6_max</x:v>
      </x:c>
      <x:c r="C327" s="32" t="str">
        <x:v>Claude Sonnet 4.6 (max)</x:v>
      </x:c>
      <x:c r="D327" s="32" t="str">
        <x:v>Anthropic</x:v>
      </x:c>
      <x:c r="E327" s="32" t="str">
        <x:v>United States of America</x:v>
      </x:c>
      <x:c r="F327" s="34" t="n">
        <x:v>46070</x:v>
      </x:c>
      <x:c r="G327" s="32" t="str">
        <x:v>API access</x:v>
      </x:c>
      <x:c r="H327" s="34" t="n">
        <x:v>46070</x:v>
      </x:c>
      <x:c r="I327" s="52" t="str"/>
      <x:c r="J327" s="32" t="str">
        <x:v>Likely</x:v>
      </x:c>
      <x:c r="K327" s="32" t="str"/>
      <x:c r="L327" s="32" t="str"/>
      <x:c r="M327" s="32" t="str"/>
      <x:c r="N327" s="32" t="str">
        <x:v>Claude Sonnet 4.6</x:v>
      </x:c>
      <x:c r="O327" s="32" t="str">
        <x:v>claude-sonnet-4-6</x:v>
      </x:c>
      <x:c r="P327" s="44" t="n">
        <x:v>153.18</x:v>
      </x:c>
      <x:c r="Q327" s="44" t="n">
        <x:v>149.67</x:v>
      </x:c>
      <x:c r="R327" s="44" t="n">
        <x:v>156.08</x:v>
      </x:c>
    </x:row>
    <x:row r="328">
      <x:c r="A328" s="32" t="str">
        <x:v>Claude Sonnet 4.6</x:v>
      </x:c>
      <x:c r="B328" s="32" t="str">
        <x:v>claude-sonnet-4-6_high</x:v>
      </x:c>
      <x:c r="C328" s="32" t="str">
        <x:v>Claude Sonnet 4.6 (high)</x:v>
      </x:c>
      <x:c r="D328" s="32" t="str">
        <x:v>Anthropic</x:v>
      </x:c>
      <x:c r="E328" s="32" t="str">
        <x:v>United States of America</x:v>
      </x:c>
      <x:c r="F328" s="34" t="n">
        <x:v>46070</x:v>
      </x:c>
      <x:c r="G328" s="32" t="str">
        <x:v>API access</x:v>
      </x:c>
      <x:c r="H328" s="34" t="n">
        <x:v>46070</x:v>
      </x:c>
      <x:c r="I328" s="52" t="str"/>
      <x:c r="J328" s="32" t="str">
        <x:v>Likely</x:v>
      </x:c>
      <x:c r="K328" s="32" t="str"/>
      <x:c r="L328" s="32" t="str"/>
      <x:c r="M328" s="32" t="str"/>
      <x:c r="N328" s="32" t="str">
        <x:v>Claude Sonnet 4.6</x:v>
      </x:c>
      <x:c r="O328" s="32" t="str">
        <x:v>claude-sonnet-4-6</x:v>
      </x:c>
      <x:c r="P328" s="44" t="n">
        <x:v>153.18</x:v>
      </x:c>
      <x:c r="Q328" s="44" t="n">
        <x:v>149.67</x:v>
      </x:c>
      <x:c r="R328" s="44" t="n">
        <x:v>156.08</x:v>
      </x:c>
    </x:row>
    <x:row r="329">
      <x:c r="A329" s="32" t="str">
        <x:v>Claude Opus 4.7</x:v>
      </x:c>
      <x:c r="B329" s="32" t="str">
        <x:v>claude-opus-4-7_low</x:v>
      </x:c>
      <x:c r="C329" s="32" t="str">
        <x:v>Claude Opus 4.7 (low)</x:v>
      </x:c>
      <x:c r="D329" s="32" t="str">
        <x:v>Anthropic</x:v>
      </x:c>
      <x:c r="E329" s="32" t="str">
        <x:v>United States of America</x:v>
      </x:c>
      <x:c r="F329" s="34" t="n">
        <x:v>46128</x:v>
      </x:c>
      <x:c r="G329" s="32" t="str">
        <x:v>API access</x:v>
      </x:c>
      <x:c r="H329" s="34" t="n">
        <x:v>46128</x:v>
      </x:c>
      <x:c r="I329" s="52" t="str"/>
      <x:c r="J329" s="32" t="str">
        <x:v>Likely</x:v>
      </x:c>
      <x:c r="K329" s="32" t="str"/>
      <x:c r="L329" s="32" t="str">
        <x:v>Claude Opus 4.7 (low)</x:v>
      </x:c>
      <x:c r="M329" s="32" t="str"/>
      <x:c r="N329" s="32" t="str">
        <x:v>Claude Opus 4.7</x:v>
      </x:c>
      <x:c r="O329" s="32" t="str">
        <x:v>claude-opus-4-7</x:v>
      </x:c>
      <x:c r="P329" s="44" t="n">
        <x:v>156.01</x:v>
      </x:c>
      <x:c r="Q329" s="44" t="n">
        <x:v>154.07</x:v>
      </x:c>
      <x:c r="R329" s="44" t="n">
        <x:v>158.4</x:v>
      </x:c>
    </x:row>
    <x:row r="330">
      <x:c r="A330" s="32" t="str">
        <x:v>GPT-5.4 Mini</x:v>
      </x:c>
      <x:c r="B330" s="32" t="str">
        <x:v>gpt-5.4-mini-2026-03-17_unknown</x:v>
      </x:c>
      <x:c r="C330" s="32" t="str">
        <x:v>GPT-5.4 mini (unknown thinking)</x:v>
      </x:c>
      <x:c r="D330" s="32" t="str">
        <x:v>OpenAI</x:v>
      </x:c>
      <x:c r="E330" s="32" t="str">
        <x:v>United States of America</x:v>
      </x:c>
      <x:c r="F330" s="34" t="n">
        <x:v>46098</x:v>
      </x:c>
      <x:c r="G330" s="32" t="str">
        <x:v>API access</x:v>
      </x:c>
      <x:c r="H330" s="34" t="n">
        <x:v>46098</x:v>
      </x:c>
      <x:c r="I330" s="52" t="str"/>
      <x:c r="J330" s="32" t="str">
        <x:v>Likely</x:v>
      </x:c>
      <x:c r="K330" s="32" t="str"/>
      <x:c r="L330" s="32" t="str">
        <x:v>GPT-5.4 mini (unknown thinking)</x:v>
      </x:c>
      <x:c r="M330" s="32" t="str"/>
      <x:c r="N330" s="32" t="str">
        <x:v>GPT-5.4 Mini</x:v>
      </x:c>
      <x:c r="O330" s="32" t="str">
        <x:v>gpt-5-4-mini</x:v>
      </x:c>
      <x:c r="P330" s="44" t="n">
        <x:v>148.9</x:v>
      </x:c>
      <x:c r="Q330" s="44" t="n">
        <x:v>147.11</x:v>
      </x:c>
      <x:c r="R330" s="44" t="n">
        <x:v>150.06</x:v>
      </x:c>
    </x:row>
    <x:row r="331">
      <x:c r="A331" s="32" t="str">
        <x:v>DeepSeek-R1 (May 2025)</x:v>
      </x:c>
      <x:c r="B331" s="32" t="str">
        <x:v>chutes/DeepSeek-R1-0528</x:v>
      </x:c>
      <x:c r="C331" s="32" t="str">
        <x:v>DeepSeek-R1 (May 2025)</x:v>
      </x:c>
      <x:c r="D331" s="32" t="str">
        <x:v>DeepSeek</x:v>
      </x:c>
      <x:c r="E331" s="32" t="str">
        <x:v>China</x:v>
      </x:c>
      <x:c r="F331" s="34" t="n">
        <x:v>45805</x:v>
      </x:c>
      <x:c r="G331" s="32" t="str">
        <x:v>Open weights (unrestricted)</x:v>
      </x:c>
      <x:c r="H331" s="34" t="n">
        <x:v>45805</x:v>
      </x:c>
      <x:c r="I331" s="52" t="n">
        <x:v>4.020010000000001e+24</x:v>
      </x:c>
      <x:c r="J331" s="32" t="str">
        <x:v>Confident</x:v>
      </x:c>
      <x:c r="K331" s="32" t="str"/>
      <x:c r="L331" s="32" t="str">
        <x:v>DeepSeek-R1 (May 2025) (Chutes)</x:v>
      </x:c>
      <x:c r="M331" s="32" t="str"/>
      <x:c r="N331" s="32" t="str">
        <x:v>DeepSeek-R1 (May 2025)</x:v>
      </x:c>
      <x:c r="O331" s="32" t="str">
        <x:v>deepseek-r1-may-2025</x:v>
      </x:c>
      <x:c r="P331" s="44" t="n">
        <x:v>142</x:v>
      </x:c>
      <x:c r="Q331" s="44" t="n">
        <x:v>139.66</x:v>
      </x:c>
      <x:c r="R331" s="44" t="n">
        <x:v>143.43</x:v>
      </x:c>
    </x:row>
    <x:row r="332">
      <x:c r="A332" s="32" t="str"/>
      <x:c r="B332" s="32" t="str">
        <x:v>chutes/GLM-4.5-FP8</x:v>
      </x:c>
      <x:c r="C332" s="32" t="str"/>
      <x:c r="D332" s="32" t="str"/>
      <x:c r="E332" s="32" t="str"/>
      <x:c r="F332" s="34" t="n">
        <x:v>45865</x:v>
      </x:c>
      <x:c r="G332" s="32" t="str"/>
      <x:c r="H332" s="34"/>
      <x:c r="I332" s="52" t="str"/>
      <x:c r="J332" s="32" t="str">
        <x:v>Unverified</x:v>
      </x:c>
      <x:c r="K332" s="32" t="str"/>
      <x:c r="L332" s="32" t="str"/>
      <x:c r="M332" s="32" t="str"/>
      <x:c r="N332" s="32" t="str"/>
      <x:c r="O332" s="32" t="str">
        <x:v>chutes-glm-4-5-fp8</x:v>
      </x:c>
      <x:c r="P332" s="44" t="str"/>
      <x:c r="Q332" s="44" t="str"/>
      <x:c r="R332" s="44" t="str"/>
    </x:row>
    <x:row r="333">
      <x:c r="A333" s="32" t="str">
        <x:v>gpt-oss-120b</x:v>
      </x:c>
      <x:c r="B333" s="32" t="str">
        <x:v>chutes/gpt-oss-120b</x:v>
      </x:c>
      <x:c r="C333" s="32" t="str"/>
      <x:c r="D333" s="32" t="str">
        <x:v>OpenAI</x:v>
      </x:c>
      <x:c r="E333" s="32" t="str">
        <x:v>United States of America</x:v>
      </x:c>
      <x:c r="F333" s="34" t="n">
        <x:v>45874</x:v>
      </x:c>
      <x:c r="G333" s="32" t="str">
        <x:v>Open weights (unrestricted)</x:v>
      </x:c>
      <x:c r="H333" s="34" t="n">
        <x:v>45874</x:v>
      </x:c>
      <x:c r="I333" s="52" t="n">
        <x:v>4.94e+24</x:v>
      </x:c>
      <x:c r="J333" s="32" t="str">
        <x:v>Confident</x:v>
      </x:c>
      <x:c r="K333" s="32" t="str"/>
      <x:c r="L333" s="32" t="str">
        <x:v>gpt-oss-120b (Chutes)</x:v>
      </x:c>
      <x:c r="M333" s="32" t="str"/>
      <x:c r="N333" s="32" t="str">
        <x:v>gpt-oss-120b</x:v>
      </x:c>
      <x:c r="O333" s="32" t="str">
        <x:v>gpt-oss-120b</x:v>
      </x:c>
      <x:c r="P333" s="44" t="n">
        <x:v>140.57</x:v>
      </x:c>
      <x:c r="Q333" s="44" t="n">
        <x:v>136.18</x:v>
      </x:c>
      <x:c r="R333" s="44" t="n">
        <x:v>143.08</x:v>
      </x:c>
    </x:row>
    <x:row r="334">
      <x:c r="A334" s="32" t="str">
        <x:v>gpt-oss-120b</x:v>
      </x:c>
      <x:c r="B334" s="32" t="str">
        <x:v>chutes/gpt-oss-120b_high</x:v>
      </x:c>
      <x:c r="C334" s="32" t="str"/>
      <x:c r="D334" s="32" t="str">
        <x:v>OpenAI</x:v>
      </x:c>
      <x:c r="E334" s="32" t="str">
        <x:v>United States of America</x:v>
      </x:c>
      <x:c r="F334" s="34" t="n">
        <x:v>45874</x:v>
      </x:c>
      <x:c r="G334" s="32" t="str">
        <x:v>Open weights (unrestricted)</x:v>
      </x:c>
      <x:c r="H334" s="34" t="n">
        <x:v>45874</x:v>
      </x:c>
      <x:c r="I334" s="52" t="n">
        <x:v>4.94e+24</x:v>
      </x:c>
      <x:c r="J334" s="32" t="str">
        <x:v>Confident</x:v>
      </x:c>
      <x:c r="K334" s="32" t="str"/>
      <x:c r="L334" s="32" t="str">
        <x:v>gpt-oss-120b (high) (Chutes)</x:v>
      </x:c>
      <x:c r="M334" s="32" t="str"/>
      <x:c r="N334" s="32" t="str">
        <x:v>gpt-oss-120b</x:v>
      </x:c>
      <x:c r="O334" s="32" t="str">
        <x:v>gpt-oss-120b</x:v>
      </x:c>
      <x:c r="P334" s="44" t="n">
        <x:v>140.57</x:v>
      </x:c>
      <x:c r="Q334" s="44" t="n">
        <x:v>136.18</x:v>
      </x:c>
      <x:c r="R334" s="44" t="n">
        <x:v>143.08</x:v>
      </x:c>
    </x:row>
    <x:row r="335">
      <x:c r="A335" s="32" t="str">
        <x:v>Llama 4 Maverick</x:v>
      </x:c>
      <x:c r="B335" s="32" t="str">
        <x:v>chutes/Llama-4-Maverick-17B-128E-Instruct</x:v>
      </x:c>
      <x:c r="C335" s="32" t="str"/>
      <x:c r="D335" s="32" t="str">
        <x:v>Meta AI</x:v>
      </x:c>
      <x:c r="E335" s="32" t="str">
        <x:v>United States of America</x:v>
      </x:c>
      <x:c r="F335" s="34" t="n">
        <x:v>45753</x:v>
      </x:c>
      <x:c r="G335" s="32" t="str">
        <x:v>Open weights (restricted use)</x:v>
      </x:c>
      <x:c r="H335" s="34" t="n">
        <x:v>45752</x:v>
      </x:c>
      <x:c r="I335" s="52" t="n">
        <x:v>2.244000000001e+24</x:v>
      </x:c>
      <x:c r="J335" s="32" t="str">
        <x:v>Likely</x:v>
      </x:c>
      <x:c r="K335" s="32" t="str"/>
      <x:c r="L335" s="32" t="str">
        <x:v>Llama 4 Maverick (128 experts) (Chutes)</x:v>
      </x:c>
      <x:c r="M335" s="32" t="str"/>
      <x:c r="N335" s="32" t="str">
        <x:v>Llama 4 Maverick</x:v>
      </x:c>
      <x:c r="O335" s="32" t="str">
        <x:v>llama-4-maverick</x:v>
      </x:c>
      <x:c r="P335" s="44" t="n">
        <x:v>133.04</x:v>
      </x:c>
      <x:c r="Q335" s="44" t="n">
        <x:v>128.11</x:v>
      </x:c>
      <x:c r="R335" s="44" t="n">
        <x:v>135.12</x:v>
      </x:c>
    </x:row>
    <x:row r="336">
      <x:c r="A336" s="32" t="str">
        <x:v>Qwen3-8B</x:v>
      </x:c>
      <x:c r="B336" s="32" t="str">
        <x:v>chutes/Qwen3-8B</x:v>
      </x:c>
      <x:c r="C336" s="32" t="str"/>
      <x:c r="D336" s="32" t="str">
        <x:v>Alibaba</x:v>
      </x:c>
      <x:c r="E336" s="32" t="str">
        <x:v>China</x:v>
      </x:c>
      <x:c r="F336" s="34" t="n">
        <x:v>45775</x:v>
      </x:c>
      <x:c r="G336" s="32" t="str">
        <x:v>Open weights (unrestricted)</x:v>
      </x:c>
      <x:c r="H336" s="34" t="n">
        <x:v>45776</x:v>
      </x:c>
      <x:c r="I336" s="52" t="n">
        <x:v>1.7712e+24</x:v>
      </x:c>
      <x:c r="J336" s="32" t="str">
        <x:v>Confident</x:v>
      </x:c>
      <x:c r="K336" s="32" t="str"/>
      <x:c r="L336" s="32" t="str">
        <x:v>Qwen3 8B (Chutes)</x:v>
      </x:c>
      <x:c r="M336" s="32" t="str"/>
      <x:c r="N336" s="32" t="str">
        <x:v>Qwen3-8B</x:v>
      </x:c>
      <x:c r="O336" s="32" t="str">
        <x:v>qwen3-8b</x:v>
      </x:c>
      <x:c r="P336" s="44" t="str"/>
      <x:c r="Q336" s="44" t="str"/>
      <x:c r="R336" s="44" t="str"/>
    </x:row>
    <x:row r="337">
      <x:c r="A337" s="32" t="str">
        <x:v>Qwen3-235B-A22B</x:v>
      </x:c>
      <x:c r="B337" s="32" t="str">
        <x:v>chutes/Qwen3-235B-A22B</x:v>
      </x:c>
      <x:c r="C337" s="32" t="str"/>
      <x:c r="D337" s="32" t="str">
        <x:v>Alibaba</x:v>
      </x:c>
      <x:c r="E337" s="32" t="str">
        <x:v>China</x:v>
      </x:c>
      <x:c r="F337" s="34" t="n">
        <x:v>45775</x:v>
      </x:c>
      <x:c r="G337" s="32" t="str">
        <x:v>Open weights (unrestricted)</x:v>
      </x:c>
      <x:c r="H337" s="34" t="n">
        <x:v>45776</x:v>
      </x:c>
      <x:c r="I337" s="52" t="n">
        <x:v>4.752e+24</x:v>
      </x:c>
      <x:c r="J337" s="32" t="str">
        <x:v>Likely</x:v>
      </x:c>
      <x:c r="K337" s="32" t="str"/>
      <x:c r="L337" s="32" t="str">
        <x:v>Qwen3 (Apr 2025) (Chutes)</x:v>
      </x:c>
      <x:c r="M337" s="32" t="str"/>
      <x:c r="N337" s="32" t="str">
        <x:v>Qwen3-235B-A22B</x:v>
      </x:c>
      <x:c r="O337" s="32" t="str">
        <x:v>qwen3-235b-a22b</x:v>
      </x:c>
      <x:c r="P337" s="44" t="n">
        <x:v>139.58</x:v>
      </x:c>
      <x:c r="Q337" s="44" t="n">
        <x:v>134.79</x:v>
      </x:c>
      <x:c r="R337" s="44" t="n">
        <x:v>141.08</x:v>
      </x:c>
    </x:row>
    <x:row r="338">
      <x:c r="A338" s="32" t="str">
        <x:v>Qwen3-235B-A22B (Jul 2025)</x:v>
      </x:c>
      <x:c r="B338" s="32" t="str">
        <x:v>chutes/Qwen3-235B-A22B-Thinking-2507</x:v>
      </x:c>
      <x:c r="C338" s="32" t="str"/>
      <x:c r="D338" s="32" t="str">
        <x:v>Alibaba</x:v>
      </x:c>
      <x:c r="E338" s="32" t="str">
        <x:v>China</x:v>
      </x:c>
      <x:c r="F338" s="34" t="n">
        <x:v>45863</x:v>
      </x:c>
      <x:c r="G338" s="32" t="str">
        <x:v>Open weights (unrestricted)</x:v>
      </x:c>
      <x:c r="H338" s="34" t="n">
        <x:v>45863</x:v>
      </x:c>
      <x:c r="I338" s="52" t="n">
        <x:v>4.752e+24</x:v>
      </x:c>
      <x:c r="J338" s="32" t="str">
        <x:v>Likely</x:v>
      </x:c>
      <x:c r="K338" s="32" t="str"/>
      <x:c r="L338" s="32" t="str">
        <x:v>Qwen3 (Jul 2025) (Chutes)</x:v>
      </x:c>
      <x:c r="M338" s="32" t="str">
        <x:v>Qwen3-235B-A22B-Thinking (Jul 2025)</x:v>
      </x:c>
      <x:c r="N338" s="32" t="str">
        <x:v>Qwen3-235B-A22B-Thinking (Jul 2025)</x:v>
      </x:c>
      <x:c r="O338" s="32" t="str">
        <x:v>qwen3-235b-a22b-thinking-jul-2025</x:v>
      </x:c>
      <x:c r="P338" s="44" t="n">
        <x:v>144.78</x:v>
      </x:c>
      <x:c r="Q338" s="44" t="n">
        <x:v>142.35</x:v>
      </x:c>
      <x:c r="R338" s="44" t="n">
        <x:v>147.4</x:v>
      </x:c>
    </x:row>
    <x:row r="339">
      <x:c r="A339" s="32" t="str">
        <x:v>QwQ-32B</x:v>
      </x:c>
      <x:c r="B339" s="32" t="str">
        <x:v>chutes/QwQ-32B</x:v>
      </x:c>
      <x:c r="C339" s="32" t="str"/>
      <x:c r="D339" s="32" t="str">
        <x:v>Alibaba</x:v>
      </x:c>
      <x:c r="E339" s="32" t="str">
        <x:v>China</x:v>
      </x:c>
      <x:c r="F339" s="34" t="n">
        <x:v>45721</x:v>
      </x:c>
      <x:c r="G339" s="32" t="str">
        <x:v>Open weights (unrestricted)</x:v>
      </x:c>
      <x:c r="H339" s="34" t="n">
        <x:v>45722</x:v>
      </x:c>
      <x:c r="I339" s="52" t="n">
        <x:v>3.51e+24</x:v>
      </x:c>
      <x:c r="J339" s="32" t="str">
        <x:v>Speculative</x:v>
      </x:c>
      <x:c r="K339" s="32" t="str"/>
      <x:c r="L339" s="32" t="str">
        <x:v>QwQ 32B (Chutes)</x:v>
      </x:c>
      <x:c r="M339" s="32" t="str">
        <x:v>QwQ-32B</x:v>
      </x:c>
      <x:c r="N339" s="32" t="str">
        <x:v>QwQ-32B</x:v>
      </x:c>
      <x:c r="O339" s="32" t="str">
        <x:v>qwq-32b</x:v>
      </x:c>
      <x:c r="P339" s="44" t="str"/>
      <x:c r="Q339" s="44" t="str"/>
      <x:c r="R339" s="44" t="str"/>
    </x:row>
    <x:row r="340">
      <x:c r="A340" s="32" t="str">
        <x:v>Claude 3.7 Sonnet</x:v>
      </x:c>
      <x:c r="B340" s="32" t="str">
        <x:v>claude-3-7-sonnet-20250219_8K</x:v>
      </x:c>
      <x:c r="C340" s="32" t="str">
        <x:v>Claude 3.7 Sonnet (8k thinking)</x:v>
      </x:c>
      <x:c r="D340" s="32" t="str">
        <x:v>Anthropic</x:v>
      </x:c>
      <x:c r="E340" s="32" t="str">
        <x:v>United States of America</x:v>
      </x:c>
      <x:c r="F340" s="34" t="n">
        <x:v>45712</x:v>
      </x:c>
      <x:c r="G340" s="32" t="str">
        <x:v>API access</x:v>
      </x:c>
      <x:c r="H340" s="34" t="n">
        <x:v>45712</x:v>
      </x:c>
      <x:c r="I340" s="52" t="n">
        <x:v>3.3499999999999998e+25</x:v>
      </x:c>
      <x:c r="J340" s="32" t="str">
        <x:v>Likely</x:v>
      </x:c>
      <x:c r="K340" s="32" t="str">
        <x:v>A previous flagship reasoning model from Anthropic, benchmarked with up to 9,000 reasoning tokens allowed.</x:v>
      </x:c>
      <x:c r="L340" s="32" t="str">
        <x:v>Claude 3.7 Sonnet (8k thinking)</x:v>
      </x:c>
      <x:c r="M340" s="32" t="str"/>
      <x:c r="N340" s="32" t="str">
        <x:v>Claude 3.7 Sonnet</x:v>
      </x:c>
      <x:c r="O340" s="32" t="str">
        <x:v>claude-3-7-sonnet</x:v>
      </x:c>
      <x:c r="P340" s="44" t="n">
        <x:v>141.7</x:v>
      </x:c>
      <x:c r="Q340" s="44" t="n">
        <x:v>139.28</x:v>
      </x:c>
      <x:c r="R340" s="44" t="n">
        <x:v>143.27</x:v>
      </x:c>
    </x:row>
    <x:row r="341">
      <x:c r="A341" s="32" t="str"/>
      <x:c r="B341" s="32" t="str">
        <x:v>deepinfra/Qwen3-Next-80B-A3B-Instruct</x:v>
      </x:c>
      <x:c r="C341" s="32" t="str"/>
      <x:c r="D341" s="32" t="str"/>
      <x:c r="E341" s="32" t="str"/>
      <x:c r="F341" s="34" t="n">
        <x:v>45911</x:v>
      </x:c>
      <x:c r="G341" s="32" t="str"/>
      <x:c r="H341" s="34"/>
      <x:c r="I341" s="52" t="str"/>
      <x:c r="J341" s="32" t="str">
        <x:v>Unverified</x:v>
      </x:c>
      <x:c r="K341" s="32" t="str"/>
      <x:c r="L341" s="32" t="str"/>
      <x:c r="M341" s="32" t="str"/>
      <x:c r="N341" s="32" t="str"/>
      <x:c r="O341" s="32" t="str">
        <x:v>deepinfra-qwen3-next-80b-a3b-instruct</x:v>
      </x:c>
      <x:c r="P341" s="44" t="str"/>
      <x:c r="Q341" s="44" t="str"/>
      <x:c r="R341" s="44" t="str"/>
    </x:row>
    <x:row r="342">
      <x:c r="A342" s="32" t="str">
        <x:v>DeepSeek-V3.2-Exp</x:v>
      </x:c>
      <x:c r="B342" s="32" t="str">
        <x:v>DeepSeek-V3.2-Exp_high</x:v>
      </x:c>
      <x:c r="C342" s="32" t="str"/>
      <x:c r="D342" s="32" t="str">
        <x:v>DeepSeek</x:v>
      </x:c>
      <x:c r="E342" s="32" t="str">
        <x:v>China</x:v>
      </x:c>
      <x:c r="F342" s="34" t="n">
        <x:v>45929</x:v>
      </x:c>
      <x:c r="G342" s="32" t="str">
        <x:v>Open weights (unrestricted)</x:v>
      </x:c>
      <x:c r="H342" s="34" t="n">
        <x:v>45929</x:v>
      </x:c>
      <x:c r="I342" s="52" t="n">
        <x:v>4.18e+24</x:v>
      </x:c>
      <x:c r="J342" s="32" t="str">
        <x:v>Confident</x:v>
      </x:c>
      <x:c r="K342" s="32" t="str"/>
      <x:c r="L342" s="32" t="str"/>
      <x:c r="M342" s="32" t="str"/>
      <x:c r="N342" s="32" t="str">
        <x:v>DeepSeek-V3.2-Exp</x:v>
      </x:c>
      <x:c r="O342" s="32" t="str">
        <x:v>deepseek-v3-2-exp</x:v>
      </x:c>
      <x:c r="P342" s="44" t="n">
        <x:v>144.86</x:v>
      </x:c>
      <x:c r="Q342" s="44" t="n">
        <x:v>141.79</x:v>
      </x:c>
      <x:c r="R342" s="44" t="n">
        <x:v>146.71</x:v>
      </x:c>
    </x:row>
    <x:row r="343">
      <x:c r="A343" s="32" t="str">
        <x:v>Grok 4 Fast</x:v>
      </x:c>
      <x:c r="B343" s="32" t="str">
        <x:v>grok-4-fast</x:v>
      </x:c>
      <x:c r="C343" s="32" t="str"/>
      <x:c r="D343" s="32" t="str">
        <x:v>xAI</x:v>
      </x:c>
      <x:c r="E343" s="32" t="str">
        <x:v>United States of America</x:v>
      </x:c>
      <x:c r="F343" s="34" t="n">
        <x:v>45919</x:v>
      </x:c>
      <x:c r="G343" s="32" t="str">
        <x:v>API access</x:v>
      </x:c>
      <x:c r="H343" s="34" t="n">
        <x:v>45919</x:v>
      </x:c>
      <x:c r="I343" s="52" t="str"/>
      <x:c r="J343" s="32" t="str">
        <x:v>Unknown</x:v>
      </x:c>
      <x:c r="K343" s="32" t="str"/>
      <x:c r="L343" s="32" t="str">
        <x:v>Grok 4 Fast</x:v>
      </x:c>
      <x:c r="M343" s="32" t="str"/>
      <x:c r="N343" s="32" t="str">
        <x:v>Grok 4 Fast</x:v>
      </x:c>
      <x:c r="O343" s="32" t="str">
        <x:v>grok-4-fast</x:v>
      </x:c>
      <x:c r="P343" s="44" t="n">
        <x:v>144.62</x:v>
      </x:c>
      <x:c r="Q343" s="44" t="n">
        <x:v>141.49</x:v>
      </x:c>
      <x:c r="R343" s="44" t="n">
        <x:v>147.06</x:v>
      </x:c>
    </x:row>
    <x:row r="344">
      <x:c r="A344" s="32" t="str">
        <x:v>o3-pro</x:v>
      </x:c>
      <x:c r="B344" s="32" t="str">
        <x:v>o3-pro-2025-06-10_medium</x:v>
      </x:c>
      <x:c r="C344" s="32" t="str"/>
      <x:c r="D344" s="32" t="str">
        <x:v>OpenAI</x:v>
      </x:c>
      <x:c r="E344" s="32" t="str">
        <x:v>United States of America</x:v>
      </x:c>
      <x:c r="F344" s="34" t="n">
        <x:v>45818</x:v>
      </x:c>
      <x:c r="G344" s="32" t="str"/>
      <x:c r="H344" s="34" t="n">
        <x:v>45818</x:v>
      </x:c>
      <x:c r="I344" s="52" t="str"/>
      <x:c r="J344" s="32" t="str">
        <x:v>Unknown</x:v>
      </x:c>
      <x:c r="K344" s="32" t="str">
        <x:v>An enhanced version of OpenAI's previous flagship reasoning model o3, evaluated with medium reasoning effort.</x:v>
      </x:c>
      <x:c r="L344" s="32" t="str"/>
      <x:c r="M344" s="32" t="str"/>
      <x:c r="N344" s="32" t="str">
        <x:v>o3-pro</x:v>
      </x:c>
      <x:c r="O344" s="32" t="str">
        <x:v>o3-pro</x:v>
      </x:c>
      <x:c r="P344" s="44" t="n">
        <x:v>147.92</x:v>
      </x:c>
      <x:c r="Q344" s="44" t="n">
        <x:v>146.24</x:v>
      </x:c>
      <x:c r="R344" s="44" t="n">
        <x:v>150.45</x:v>
      </x:c>
    </x:row>
    <x:row r="345">
      <x:c r="A345" s="32" t="str">
        <x:v>GPT-4o</x:v>
      </x:c>
      <x:c r="B345" s="32" t="str">
        <x:v>chatgpt-4o-01-29-2025</x:v>
      </x:c>
      <x:c r="C345" s="32" t="str"/>
      <x:c r="D345" s="32" t="str">
        <x:v>OpenAI</x:v>
      </x:c>
      <x:c r="E345" s="32" t="str">
        <x:v>United States of America</x:v>
      </x:c>
      <x:c r="F345" s="34" t="n">
        <x:v>45686</x:v>
      </x:c>
      <x:c r="G345" s="32" t="str">
        <x:v>API access</x:v>
      </x:c>
      <x:c r="H345" s="34" t="n">
        <x:v>45425</x:v>
      </x:c>
      <x:c r="I345" s="52" t="str"/>
      <x:c r="J345" s="32" t="str">
        <x:v>Speculative</x:v>
      </x:c>
      <x:c r="K345" s="32" t="str">
        <x:v>A version of GPT-4o that was behind the ChatGPT interface, released in January 2025.</x:v>
      </x:c>
      <x:c r="L345" s="32" t="str">
        <x:v>ChatGPT-4o (Jan 2025)</x:v>
      </x:c>
      <x:c r="M345" s="32" t="str">
        <x:v>GPT-4o (Jan 2025)</x:v>
      </x:c>
      <x:c r="N345" s="32" t="str">
        <x:v>GPT-4o (Jan 2025)</x:v>
      </x:c>
      <x:c r="O345" s="32" t="str">
        <x:v>gpt-4o-jan-2025</x:v>
      </x:c>
      <x:c r="P345" s="44" t="str"/>
      <x:c r="Q345" s="44" t="str"/>
      <x:c r="R345" s="44" t="str"/>
    </x:row>
    <x:row r="346">
      <x:c r="A346" s="32" t="str">
        <x:v>DeepSeek-V3 (Mar 2025)</x:v>
      </x:c>
      <x:c r="B346" s="32" t="str">
        <x:v>chutes/DeepSeek-V3-0324</x:v>
      </x:c>
      <x:c r="C346" s="32" t="str">
        <x:v>DeepSeek-V3 (Mar 2025)</x:v>
      </x:c>
      <x:c r="D346" s="32" t="str">
        <x:v>DeepSeek</x:v>
      </x:c>
      <x:c r="E346" s="32" t="str">
        <x:v>China</x:v>
      </x:c>
      <x:c r="F346" s="34" t="n">
        <x:v>45740</x:v>
      </x:c>
      <x:c r="G346" s="32" t="str">
        <x:v>Open weights (restricted use)</x:v>
      </x:c>
      <x:c r="H346" s="34" t="n">
        <x:v>45740</x:v>
      </x:c>
      <x:c r="I346" s="52" t="n">
        <x:v>3.3e+24</x:v>
      </x:c>
      <x:c r="J346" s="32" t="str">
        <x:v>Confident</x:v>
      </x:c>
      <x:c r="K346" s="32" t="str"/>
      <x:c r="L346" s="32" t="str">
        <x:v>DeepSeek-V3 (Mar 2025) (Chutes)</x:v>
      </x:c>
      <x:c r="M346" s="32" t="str"/>
      <x:c r="N346" s="32" t="str">
        <x:v>DeepSeek-V3 (Mar 2025)</x:v>
      </x:c>
      <x:c r="O346" s="32" t="str">
        <x:v>deepseek-v3-mar-2025</x:v>
      </x:c>
      <x:c r="P346" s="44" t="n">
        <x:v>137.04</x:v>
      </x:c>
      <x:c r="Q346" s="44" t="n">
        <x:v>133.64</x:v>
      </x:c>
      <x:c r="R346" s="44" t="n">
        <x:v>138.66</x:v>
      </x:c>
    </x:row>
    <x:row r="347">
      <x:c r="A347" s="32" t="str">
        <x:v>Gemma 3 27B</x:v>
      </x:c>
      <x:c r="B347" s="32" t="str">
        <x:v>chutes/Gemma-3-27b-It</x:v>
      </x:c>
      <x:c r="C347" s="32" t="str"/>
      <x:c r="D347" s="32" t="str">
        <x:v>Google DeepMind</x:v>
      </x:c>
      <x:c r="E347" s="32" t="str">
        <x:v>United States of America</x:v>
      </x:c>
      <x:c r="F347" s="34" t="n">
        <x:v>45727</x:v>
      </x:c>
      <x:c r="G347" s="32" t="str">
        <x:v>Open weights (restricted use)</x:v>
      </x:c>
      <x:c r="H347" s="34" t="n">
        <x:v>45728</x:v>
      </x:c>
      <x:c r="I347" s="52" t="n">
        <x:v>2.268e+24</x:v>
      </x:c>
      <x:c r="J347" s="32" t="str">
        <x:v>Confident</x:v>
      </x:c>
      <x:c r="K347" s="32" t="str"/>
      <x:c r="L347" s="32" t="str">
        <x:v>Gemma-3-27b-it (Chutes)</x:v>
      </x:c>
      <x:c r="M347" s="32" t="str"/>
      <x:c r="N347" s="32" t="str">
        <x:v>Gemma 3 27B</x:v>
      </x:c>
      <x:c r="O347" s="32" t="str">
        <x:v>gemma-3-27b</x:v>
      </x:c>
      <x:c r="P347" s="44" t="n">
        <x:v>131.08</x:v>
      </x:c>
      <x:c r="Q347" s="44" t="n">
        <x:v>124.84</x:v>
      </x:c>
      <x:c r="R347" s="44" t="n">
        <x:v>133.28</x:v>
      </x:c>
    </x:row>
    <x:row r="348">
      <x:c r="A348" s="32" t="str">
        <x:v>DeepSeek-V3.1</x:v>
      </x:c>
      <x:c r="B348" s="32" t="str">
        <x:v>DeepSeek-V3.1</x:v>
      </x:c>
      <x:c r="C348" s="32" t="str"/>
      <x:c r="D348" s="32" t="str">
        <x:v>DeepSeek</x:v>
      </x:c>
      <x:c r="E348" s="32" t="str">
        <x:v>China</x:v>
      </x:c>
      <x:c r="F348" s="34" t="n">
        <x:v>45890</x:v>
      </x:c>
      <x:c r="G348" s="32" t="str">
        <x:v>Open weights (unrestricted)</x:v>
      </x:c>
      <x:c r="H348" s="34" t="n">
        <x:v>45890</x:v>
      </x:c>
      <x:c r="I348" s="52" t="n">
        <x:v>3.594058e+24</x:v>
      </x:c>
      <x:c r="J348" s="32" t="str">
        <x:v>Confident</x:v>
      </x:c>
      <x:c r="K348" s="32" t="str">
        <x:v>An updated version of DeepSeek V3.</x:v>
      </x:c>
      <x:c r="L348" s="32" t="str">
        <x:v>DeepSeek-V3.1</x:v>
      </x:c>
      <x:c r="M348" s="32" t="str"/>
      <x:c r="N348" s="32" t="str">
        <x:v>DeepSeek-V3.1</x:v>
      </x:c>
      <x:c r="O348" s="32" t="str">
        <x:v>deepseek-v3-1</x:v>
      </x:c>
      <x:c r="P348" s="44" t="n">
        <x:v>138.68</x:v>
      </x:c>
      <x:c r="Q348" s="44" t="n">
        <x:v>135.73</x:v>
      </x:c>
      <x:c r="R348" s="44" t="n">
        <x:v>142.57</x:v>
      </x:c>
    </x:row>
    <x:row r="349">
      <x:c r="A349" s="32" t="str">
        <x:v>Kimi K2</x:v>
      </x:c>
      <x:c r="B349" s="32" t="str">
        <x:v>fireworks/Kimi-K2-Instruct-0905</x:v>
      </x:c>
      <x:c r="C349" s="32" t="str">
        <x:v>Kimi K2 Instruct (0905)</x:v>
      </x:c>
      <x:c r="D349" s="32" t="str">
        <x:v>Moonshot</x:v>
      </x:c>
      <x:c r="E349" s="32" t="str">
        <x:v>China</x:v>
      </x:c>
      <x:c r="F349" s="34" t="n">
        <x:v>45905</x:v>
      </x:c>
      <x:c r="G349" s="32" t="str">
        <x:v>Open weights (restricted use)</x:v>
      </x:c>
      <x:c r="H349" s="34" t="n">
        <x:v>45849</x:v>
      </x:c>
      <x:c r="I349" s="52" t="n">
        <x:v>2.976e+24</x:v>
      </x:c>
      <x:c r="J349" s="32" t="str">
        <x:v>Confident</x:v>
      </x:c>
      <x:c r="K349" s="32" t="str"/>
      <x:c r="L349" s="32" t="str"/>
      <x:c r="M349" s="32" t="str">
        <x:v>Kimi K2 (Sep 2025)</x:v>
      </x:c>
      <x:c r="N349" s="32" t="str">
        <x:v>Kimi K2 (Sep 2025)</x:v>
      </x:c>
      <x:c r="O349" s="32" t="str">
        <x:v>kimi-k2-sep-2025</x:v>
      </x:c>
      <x:c r="P349" s="44" t="n">
        <x:v>140.98</x:v>
      </x:c>
      <x:c r="Q349" s="44" t="n">
        <x:v>138.39</x:v>
      </x:c>
      <x:c r="R349" s="44" t="n">
        <x:v>142.27</x:v>
      </x:c>
    </x:row>
    <x:row r="350">
      <x:c r="A350" s="32" t="str">
        <x:v>Grok-3 mini</x:v>
      </x:c>
      <x:c r="B350" s="32" t="str">
        <x:v>grok-3-mini-beta_medium</x:v>
      </x:c>
      <x:c r="C350" s="32" t="str"/>
      <x:c r="D350" s="32" t="str">
        <x:v>xAI</x:v>
      </x:c>
      <x:c r="E350" s="32" t="str">
        <x:v>United States of America</x:v>
      </x:c>
      <x:c r="F350" s="34" t="n">
        <x:v>45756</x:v>
      </x:c>
      <x:c r="G350" s="32" t="str">
        <x:v>API access</x:v>
      </x:c>
      <x:c r="H350" s="34" t="n">
        <x:v>45707</x:v>
      </x:c>
      <x:c r="I350" s="52" t="str"/>
      <x:c r="J350" s="32" t="str">
        <x:v>Unknown</x:v>
      </x:c>
      <x:c r="K350" s="32" t="str">
        <x:v>A beta release of a smaller version of XAI's third generation Grok model, evaluated with medium reasoning effort.</x:v>
      </x:c>
      <x:c r="L350" s="32" t="str"/>
      <x:c r="M350" s="32" t="str"/>
      <x:c r="N350" s="32" t="str">
        <x:v>Grok-3 mini</x:v>
      </x:c>
      <x:c r="O350" s="32" t="str">
        <x:v>grok-3-mini</x:v>
      </x:c>
      <x:c r="P350" s="44" t="n">
        <x:v>141.01</x:v>
      </x:c>
      <x:c r="Q350" s="44" t="n">
        <x:v>137.89</x:v>
      </x:c>
      <x:c r="R350" s="44" t="n">
        <x:v>142.63</x:v>
      </x:c>
    </x:row>
    <x:row r="351">
      <x:c r="A351" s="32" t="str">
        <x:v>MiniMax-M1-80k</x:v>
      </x:c>
      <x:c r="B351" s="32" t="str">
        <x:v>MiniMax-M1-80k</x:v>
      </x:c>
      <x:c r="C351" s="32" t="str"/>
      <x:c r="D351" s="32" t="str">
        <x:v>MiniMax</x:v>
      </x:c>
      <x:c r="E351" s="32" t="str">
        <x:v>China</x:v>
      </x:c>
      <x:c r="F351" s="34" t="n">
        <x:v>45821</x:v>
      </x:c>
      <x:c r="G351" s="32" t="str">
        <x:v>Open weights (unrestricted)</x:v>
      </x:c>
      <x:c r="H351" s="34" t="n">
        <x:v>45821</x:v>
      </x:c>
      <x:c r="I351" s="52" t="n">
        <x:v>4.3240062e+24</x:v>
      </x:c>
      <x:c r="J351" s="32" t="str">
        <x:v>Likely</x:v>
      </x:c>
      <x:c r="K351" s="32" t="str"/>
      <x:c r="L351" s="32" t="str"/>
      <x:c r="M351" s="32" t="str"/>
      <x:c r="N351" s="32" t="str">
        <x:v>MiniMax-M1-80k</x:v>
      </x:c>
      <x:c r="O351" s="32" t="str">
        <x:v>minimax-m1-80k</x:v>
      </x:c>
      <x:c r="P351" s="44" t="str"/>
      <x:c r="Q351" s="44" t="str"/>
      <x:c r="R351" s="44" t="str"/>
    </x:row>
    <x:row r="352">
      <x:c r="A352" s="32" t="str"/>
      <x:c r="B352" s="32" t="str">
        <x:v>nvidia-nemotron-nano-9b-v2</x:v>
      </x:c>
      <x:c r="C352" s="32" t="str"/>
      <x:c r="D352" s="32" t="str"/>
      <x:c r="E352" s="32" t="str"/>
      <x:c r="F352" s="34" t="n">
        <x:v>45887</x:v>
      </x:c>
      <x:c r="G352" s="32" t="str"/>
      <x:c r="H352" s="34"/>
      <x:c r="I352" s="52" t="str"/>
      <x:c r="J352" s="32" t="str">
        <x:v>Unverified</x:v>
      </x:c>
      <x:c r="K352" s="32" t="str"/>
      <x:c r="L352" s="32" t="str"/>
      <x:c r="M352" s="32" t="str"/>
      <x:c r="N352" s="32" t="str"/>
      <x:c r="O352" s="32" t="str">
        <x:v>nvidia-nemotron-nano-9b-v2</x:v>
      </x:c>
      <x:c r="P352" s="44" t="str"/>
      <x:c r="Q352" s="44" t="str"/>
      <x:c r="R352" s="44" t="str"/>
    </x:row>
    <x:row r="353">
      <x:c r="A353" s="32" t="str">
        <x:v>Qwen3-235B-A22B (Jul 2025)</x:v>
      </x:c>
      <x:c r="B353" s="32" t="str">
        <x:v>parasail-qwen3-235b-a22b-instruct-2507</x:v>
      </x:c>
      <x:c r="C353" s="32" t="str"/>
      <x:c r="D353" s="32" t="str">
        <x:v>Alibaba</x:v>
      </x:c>
      <x:c r="E353" s="32" t="str">
        <x:v>China</x:v>
      </x:c>
      <x:c r="F353" s="34" t="n">
        <x:v>45901</x:v>
      </x:c>
      <x:c r="G353" s="32" t="str">
        <x:v>Open weights (unrestricted)</x:v>
      </x:c>
      <x:c r="H353" s="34" t="n">
        <x:v>45863</x:v>
      </x:c>
      <x:c r="I353" s="52" t="n">
        <x:v>4.752e+24</x:v>
      </x:c>
      <x:c r="J353" s="32" t="str">
        <x:v>Likely</x:v>
      </x:c>
      <x:c r="K353" s="32" t="str"/>
      <x:c r="L353" s="32" t="str">
        <x:v>Qwen3 (Parasail)</x:v>
      </x:c>
      <x:c r="M353" s="32" t="str">
        <x:v>Qwen3-235B-A22B-Instruct (Jul 2025)</x:v>
      </x:c>
      <x:c r="N353" s="32" t="str">
        <x:v>Qwen3-235B-A22B-Instruct (Jul 2025)</x:v>
      </x:c>
      <x:c r="O353" s="32" t="str">
        <x:v>qwen3-235b-a22b-instruct-jul-2025</x:v>
      </x:c>
      <x:c r="P353" s="44" t="n">
        <x:v>138.96</x:v>
      </x:c>
      <x:c r="Q353" s="44" t="n">
        <x:v>135.35</x:v>
      </x:c>
      <x:c r="R353" s="44" t="n">
        <x:v>140.84</x:v>
      </x:c>
    </x:row>
    <x:row r="354">
      <x:c r="A354" s="32" t="str">
        <x:v>Qwen3-30B-A3B</x:v>
      </x:c>
      <x:c r="B354" s="32" t="str">
        <x:v>chutes/Qwen3-30B-A3B</x:v>
      </x:c>
      <x:c r="C354" s="32" t="str"/>
      <x:c r="D354" s="32" t="str">
        <x:v>Alibaba</x:v>
      </x:c>
      <x:c r="E354" s="32" t="str">
        <x:v>China</x:v>
      </x:c>
      <x:c r="F354" s="34" t="n">
        <x:v>45775</x:v>
      </x:c>
      <x:c r="G354" s="32" t="str">
        <x:v>Open weights (unrestricted)</x:v>
      </x:c>
      <x:c r="H354" s="34" t="n">
        <x:v>45776</x:v>
      </x:c>
      <x:c r="I354" s="52" t="n">
        <x:v>6.48e+23</x:v>
      </x:c>
      <x:c r="J354" s="32" t="str">
        <x:v>Likely</x:v>
      </x:c>
      <x:c r="K354" s="32" t="str"/>
      <x:c r="L354" s="32" t="str">
        <x:v>Qwen3-30B-A3B (Chutes)</x:v>
      </x:c>
      <x:c r="M354" s="32" t="str"/>
      <x:c r="N354" s="32" t="str">
        <x:v>Qwen3-30B-A3B</x:v>
      </x:c>
      <x:c r="O354" s="32" t="str">
        <x:v>qwen3-30b-a3b</x:v>
      </x:c>
      <x:c r="P354" s="44" t="str"/>
      <x:c r="Q354" s="44" t="str"/>
      <x:c r="R354" s="44" t="str"/>
    </x:row>
    <x:row r="355">
      <x:c r="A355" s="32" t="str">
        <x:v>Qwen3-14B</x:v>
      </x:c>
      <x:c r="B355" s="32" t="str">
        <x:v>chutes/Qwen3-14B</x:v>
      </x:c>
      <x:c r="C355" s="32" t="str"/>
      <x:c r="D355" s="32" t="str">
        <x:v>Alibaba</x:v>
      </x:c>
      <x:c r="E355" s="32" t="str">
        <x:v>China</x:v>
      </x:c>
      <x:c r="F355" s="34" t="n">
        <x:v>45775</x:v>
      </x:c>
      <x:c r="G355" s="32" t="str">
        <x:v>Open weights (unrestricted)</x:v>
      </x:c>
      <x:c r="H355" s="34" t="n">
        <x:v>45776</x:v>
      </x:c>
      <x:c r="I355" s="52" t="n">
        <x:v>3.1968e+24</x:v>
      </x:c>
      <x:c r="J355" s="32" t="str">
        <x:v>Confident</x:v>
      </x:c>
      <x:c r="K355" s="32" t="str"/>
      <x:c r="L355" s="32" t="str">
        <x:v>Qwen3 14B</x:v>
      </x:c>
      <x:c r="M355" s="32" t="str"/>
      <x:c r="N355" s="32" t="str">
        <x:v>Qwen3-14B</x:v>
      </x:c>
      <x:c r="O355" s="32" t="str">
        <x:v>qwen3-14b</x:v>
      </x:c>
      <x:c r="P355" s="44" t="str"/>
      <x:c r="Q355" s="44" t="str"/>
      <x:c r="R355" s="44" t="str"/>
    </x:row>
    <x:row r="356">
      <x:c r="A356" s="32" t="str">
        <x:v>Qwen3-32B</x:v>
      </x:c>
      <x:c r="B356" s="32" t="str">
        <x:v>chutes/Qwen3-32B</x:v>
      </x:c>
      <x:c r="C356" s="32" t="str"/>
      <x:c r="D356" s="32" t="str">
        <x:v>Alibaba</x:v>
      </x:c>
      <x:c r="E356" s="32" t="str">
        <x:v>China</x:v>
      </x:c>
      <x:c r="F356" s="34" t="n">
        <x:v>45775</x:v>
      </x:c>
      <x:c r="G356" s="32" t="str">
        <x:v>Open weights (unrestricted)</x:v>
      </x:c>
      <x:c r="H356" s="34" t="n">
        <x:v>45776</x:v>
      </x:c>
      <x:c r="I356" s="52" t="n">
        <x:v>7.0848e+24</x:v>
      </x:c>
      <x:c r="J356" s="32" t="str">
        <x:v>Confident</x:v>
      </x:c>
      <x:c r="K356" s="32" t="str"/>
      <x:c r="L356" s="32" t="str">
        <x:v>Qwen3 32B (Chutes)</x:v>
      </x:c>
      <x:c r="M356" s="32" t="str"/>
      <x:c r="N356" s="32" t="str">
        <x:v>Qwen3-32B</x:v>
      </x:c>
      <x:c r="O356" s="32" t="str">
        <x:v>qwen3-32b</x:v>
      </x:c>
      <x:c r="P356" s="44" t="str"/>
      <x:c r="Q356" s="44" t="str"/>
      <x:c r="R356" s="44" t="str"/>
    </x:row>
    <x:row r="357">
      <x:c r="A357" s="32" t="str"/>
      <x:c r="B357" s="32" t="str">
        <x:v>chutes/Qwen3-Next-80B-A3B-Instruct</x:v>
      </x:c>
      <x:c r="C357" s="32" t="str"/>
      <x:c r="D357" s="32" t="str"/>
      <x:c r="E357" s="32" t="str"/>
      <x:c r="F357" s="34" t="n">
        <x:v>45911</x:v>
      </x:c>
      <x:c r="G357" s="32" t="str"/>
      <x:c r="H357" s="34"/>
      <x:c r="I357" s="52" t="str"/>
      <x:c r="J357" s="32" t="str">
        <x:v>Unverified</x:v>
      </x:c>
      <x:c r="K357" s="32" t="str"/>
      <x:c r="L357" s="32" t="str"/>
      <x:c r="M357" s="32" t="str"/>
      <x:c r="N357" s="32" t="str"/>
      <x:c r="O357" s="32" t="str">
        <x:v>chutes-qwen3-next-80b-a3b-instruct</x:v>
      </x:c>
      <x:c r="P357" s="44" t="str"/>
      <x:c r="Q357" s="44" t="str"/>
      <x:c r="R357" s="44" t="str"/>
    </x:row>
    <x:row r="358">
      <x:c r="A358" s="32" t="str">
        <x:v>Llama 4 Scout</x:v>
      </x:c>
      <x:c r="B358" s="32" t="str">
        <x:v>chutes/Llama-4-Scout-17B-16E Instruct</x:v>
      </x:c>
      <x:c r="C358" s="32" t="str"/>
      <x:c r="D358" s="32" t="str">
        <x:v>Meta AI</x:v>
      </x:c>
      <x:c r="E358" s="32" t="str">
        <x:v>United States of America</x:v>
      </x:c>
      <x:c r="F358" s="34" t="n">
        <x:v>45753</x:v>
      </x:c>
      <x:c r="G358" s="32" t="str">
        <x:v>Open weights (restricted use)</x:v>
      </x:c>
      <x:c r="H358" s="34" t="n">
        <x:v>45752</x:v>
      </x:c>
      <x:c r="I358" s="52" t="n">
        <x:v>4.08e+24</x:v>
      </x:c>
      <x:c r="J358" s="32" t="str">
        <x:v>Likely</x:v>
      </x:c>
      <x:c r="K358" s="32" t="str"/>
      <x:c r="L358" s="32" t="str">
        <x:v>Llama 4 Maverick (16 experts) (Chutes)</x:v>
      </x:c>
      <x:c r="M358" s="32" t="str"/>
      <x:c r="N358" s="32" t="str">
        <x:v>Llama 4 Scout</x:v>
      </x:c>
      <x:c r="O358" s="32" t="str">
        <x:v>llama-4-scout</x:v>
      </x:c>
      <x:c r="P358" s="44" t="n">
        <x:v>130.56</x:v>
      </x:c>
      <x:c r="Q358" s="44" t="n">
        <x:v>125.67</x:v>
      </x:c>
      <x:c r="R358" s="44" t="n">
        <x:v>132.06</x:v>
      </x:c>
    </x:row>
    <x:row r="359">
      <x:c r="A359" s="32" t="str">
        <x:v>DeepSeek-V3.2-Exp</x:v>
      </x:c>
      <x:c r="B359" s="32" t="str">
        <x:v>DeepSeek-V3.2-Exp</x:v>
      </x:c>
      <x:c r="C359" s="32" t="str"/>
      <x:c r="D359" s="32" t="str">
        <x:v>DeepSeek</x:v>
      </x:c>
      <x:c r="E359" s="32" t="str">
        <x:v>China</x:v>
      </x:c>
      <x:c r="F359" s="34" t="n">
        <x:v>45929</x:v>
      </x:c>
      <x:c r="G359" s="32" t="str">
        <x:v>Open weights (unrestricted)</x:v>
      </x:c>
      <x:c r="H359" s="34" t="n">
        <x:v>45929</x:v>
      </x:c>
      <x:c r="I359" s="52" t="n">
        <x:v>4.18e+24</x:v>
      </x:c>
      <x:c r="J359" s="32" t="str">
        <x:v>Confident</x:v>
      </x:c>
      <x:c r="K359" s="32" t="str"/>
      <x:c r="L359" s="32" t="str"/>
      <x:c r="M359" s="32" t="str"/>
      <x:c r="N359" s="32" t="str">
        <x:v>DeepSeek-V3.2-Exp</x:v>
      </x:c>
      <x:c r="O359" s="32" t="str">
        <x:v>deepseek-v3-2-exp</x:v>
      </x:c>
      <x:c r="P359" s="44" t="n">
        <x:v>144.86</x:v>
      </x:c>
      <x:c r="Q359" s="44" t="n">
        <x:v>141.79</x:v>
      </x:c>
      <x:c r="R359" s="44" t="n">
        <x:v>146.71</x:v>
      </x:c>
    </x:row>
    <x:row r="360">
      <x:c r="A360" s="32" t="str">
        <x:v>GPT-5.2</x:v>
      </x:c>
      <x:c r="B360" s="32" t="str">
        <x:v>gpt-5.2-2025-12-11_none</x:v>
      </x:c>
      <x:c r="C360" s="32" t="str">
        <x:v>GPT-5.2 (none)</x:v>
      </x:c>
      <x:c r="D360" s="32" t="str">
        <x:v>OpenAI</x:v>
      </x:c>
      <x:c r="E360" s="32" t="str">
        <x:v>United States of America</x:v>
      </x:c>
      <x:c r="F360" s="34" t="n">
        <x:v>46002</x:v>
      </x:c>
      <x:c r="G360" s="32" t="str">
        <x:v>API access</x:v>
      </x:c>
      <x:c r="H360" s="34" t="n">
        <x:v>46002</x:v>
      </x:c>
      <x:c r="I360" s="52" t="str"/>
      <x:c r="J360" s="32" t="str">
        <x:v>Unknown</x:v>
      </x:c>
      <x:c r="K360" s="32" t="str"/>
      <x:c r="L360" s="32" t="str">
        <x:v>GPT-5.2 (none)</x:v>
      </x:c>
      <x:c r="M360" s="32" t="str"/>
      <x:c r="N360" s="32" t="str">
        <x:v>GPT-5.2</x:v>
      </x:c>
      <x:c r="O360" s="32" t="str">
        <x:v>gpt-5-2</x:v>
      </x:c>
      <x:c r="P360" s="44" t="n">
        <x:v>153.7</x:v>
      </x:c>
      <x:c r="Q360" s="44" t="n">
        <x:v>152.26</x:v>
      </x:c>
      <x:c r="R360" s="44" t="n">
        <x:v>155.46</x:v>
      </x:c>
    </x:row>
    <x:row r="361">
      <x:c r="A361" s="32" t="str">
        <x:v>Qwen2.5-72B</x:v>
      </x:c>
      <x:c r="B361" s="32" t="str">
        <x:v>Qwen2.5-VL-72B-Instruct</x:v>
      </x:c>
      <x:c r="C361" s="32" t="str"/>
      <x:c r="D361" s="32" t="str">
        <x:v>Alibaba</x:v>
      </x:c>
      <x:c r="E361" s="32" t="str">
        <x:v>China</x:v>
      </x:c>
      <x:c r="F361" s="34" t="n">
        <x:v>45554</x:v>
      </x:c>
      <x:c r="G361" s="32" t="str">
        <x:v>Open weights (unrestricted)</x:v>
      </x:c>
      <x:c r="H361" s="34" t="n">
        <x:v>45554</x:v>
      </x:c>
      <x:c r="I361" s="52" t="n">
        <x:v>7.8e+24</x:v>
      </x:c>
      <x:c r="J361" s="32" t="str">
        <x:v>Confident</x:v>
      </x:c>
      <x:c r="K361" s="32" t="str">
        <x:v>A 72 billion-parameter instruction-tuned vision language model in the Qwen 2.5 series.</x:v>
      </x:c>
      <x:c r="L361" s="32" t="str">
        <x:v>Qwen2.5-VL-72B</x:v>
      </x:c>
      <x:c r="M361" s="32" t="str"/>
      <x:c r="N361" s="32" t="str">
        <x:v>Qwen2.5-72B</x:v>
      </x:c>
      <x:c r="O361" s="32" t="str">
        <x:v>qwen2-5-72b</x:v>
      </x:c>
      <x:c r="P361" s="44" t="n">
        <x:v>129.12</x:v>
      </x:c>
      <x:c r="Q361" s="44" t="n">
        <x:v>122.2</x:v>
      </x:c>
      <x:c r="R361" s="44" t="n">
        <x:v>130.91</x:v>
      </x:c>
    </x:row>
    <x:row r="362">
      <x:c r="A362" s="32" t="str"/>
      <x:c r="B362" s="32" t="str">
        <x:v>Qwen-VL-Max</x:v>
      </x:c>
      <x:c r="C362" s="32" t="str"/>
      <x:c r="D362" s="32" t="str"/>
      <x:c r="E362" s="32" t="str"/>
      <x:c r="F362" s="34" t="n">
        <x:v>45309</x:v>
      </x:c>
      <x:c r="G362" s="32" t="str"/>
      <x:c r="H362" s="34"/>
      <x:c r="I362" s="52" t="str"/>
      <x:c r="J362" s="32" t="str">
        <x:v>Unverified</x:v>
      </x:c>
      <x:c r="K362" s="32" t="str"/>
      <x:c r="L362" s="32" t="str"/>
      <x:c r="M362" s="32" t="str"/>
      <x:c r="N362" s="32" t="str"/>
      <x:c r="O362" s="32" t="str">
        <x:v>qwen-vl-max</x:v>
      </x:c>
      <x:c r="P362" s="44" t="str"/>
      <x:c r="Q362" s="44" t="str"/>
      <x:c r="R362" s="44" t="str"/>
    </x:row>
    <x:row r="363">
      <x:c r="A363" s="32" t="str">
        <x:v>Llama 2-7B</x:v>
      </x:c>
      <x:c r="B363" s="32" t="str">
        <x:v>Llama-2-7b</x:v>
      </x:c>
      <x:c r="C363" s="32" t="str"/>
      <x:c r="D363" s="32" t="str">
        <x:v>Meta AI</x:v>
      </x:c>
      <x:c r="E363" s="32" t="str">
        <x:v>United States of America</x:v>
      </x:c>
      <x:c r="F363" s="34" t="n">
        <x:v>45125</x:v>
      </x:c>
      <x:c r="G363" s="32" t="str">
        <x:v>Open weights (restricted use)</x:v>
      </x:c>
      <x:c r="H363" s="34" t="n">
        <x:v>45125</x:v>
      </x:c>
      <x:c r="I363" s="52" t="n">
        <x:v>8.4e+22</x:v>
      </x:c>
      <x:c r="J363" s="32" t="str">
        <x:v>Confident</x:v>
      </x:c>
      <x:c r="K363" s="32" t="str">
        <x:v>Meta's 7 billion-parameter model in the Llama 2 series of open source models.</x:v>
      </x:c>
      <x:c r="L363" s="32" t="str"/>
      <x:c r="M363" s="32" t="str"/>
      <x:c r="N363" s="32" t="str">
        <x:v>Llama 2-7B</x:v>
      </x:c>
      <x:c r="O363" s="32" t="str">
        <x:v>llama-2-7b</x:v>
      </x:c>
      <x:c r="P363" s="44" t="n">
        <x:v>98.78</x:v>
      </x:c>
      <x:c r="Q363" s="44" t="n">
        <x:v>87.09</x:v>
      </x:c>
      <x:c r="R363" s="44" t="n">
        <x:v>105.57</x:v>
      </x:c>
    </x:row>
    <x:row r="364">
      <x:c r="A364" s="32" t="str">
        <x:v>Llama 2-13B</x:v>
      </x:c>
      <x:c r="B364" s="32" t="str">
        <x:v>Llama-2-13b</x:v>
      </x:c>
      <x:c r="C364" s="32" t="str"/>
      <x:c r="D364" s="32" t="str">
        <x:v>Meta AI</x:v>
      </x:c>
      <x:c r="E364" s="32" t="str">
        <x:v>United States of America</x:v>
      </x:c>
      <x:c r="F364" s="34" t="n">
        <x:v>45125</x:v>
      </x:c>
      <x:c r="G364" s="32" t="str">
        <x:v>Open weights (restricted use)</x:v>
      </x:c>
      <x:c r="H364" s="34" t="n">
        <x:v>45125</x:v>
      </x:c>
      <x:c r="I364" s="52" t="n">
        <x:v>1.6e+23</x:v>
      </x:c>
      <x:c r="J364" s="32" t="str">
        <x:v>Confident</x:v>
      </x:c>
      <x:c r="K364" s="32" t="str">
        <x:v>Meta's 13 billion-parameter model in the Llama 2 series of open source models.</x:v>
      </x:c>
      <x:c r="L364" s="32" t="str"/>
      <x:c r="M364" s="32" t="str"/>
      <x:c r="N364" s="32" t="str">
        <x:v>Llama 2-13B</x:v>
      </x:c>
      <x:c r="O364" s="32" t="str">
        <x:v>llama-2-13b</x:v>
      </x:c>
      <x:c r="P364" s="44" t="n">
        <x:v>105.91</x:v>
      </x:c>
      <x:c r="Q364" s="44" t="n">
        <x:v>95.41</x:v>
      </x:c>
      <x:c r="R364" s="44" t="n">
        <x:v>111.37</x:v>
      </x:c>
    </x:row>
    <x:row r="365">
      <x:c r="A365" s="32" t="str">
        <x:v>Mistral 7B</x:v>
      </x:c>
      <x:c r="B365" s="32" t="str">
        <x:v>Mistral-7B-Instruct-v0.2</x:v>
      </x:c>
      <x:c r="C365" s="32" t="str"/>
      <x:c r="D365" s="32" t="str">
        <x:v>Mistral AI</x:v>
      </x:c>
      <x:c r="E365" s="32" t="str">
        <x:v>France</x:v>
      </x:c>
      <x:c r="F365" s="34" t="n">
        <x:v>45271</x:v>
      </x:c>
      <x:c r="G365" s="32" t="str">
        <x:v>Open weights (unrestricted)</x:v>
      </x:c>
      <x:c r="H365" s="34" t="n">
        <x:v>45209</x:v>
      </x:c>
      <x:c r="I365" s="52" t="str"/>
      <x:c r="J365" s="32" t="str">
        <x:v>Confident</x:v>
      </x:c>
      <x:c r="K365" s="32" t="str"/>
      <x:c r="L365" s="32" t="str"/>
      <x:c r="M365" s="32" t="str">
        <x:v>Mistral 7B v0.2</x:v>
      </x:c>
      <x:c r="N365" s="32" t="str">
        <x:v>Mistral 7B v0.2</x:v>
      </x:c>
      <x:c r="O365" s="32" t="str">
        <x:v>mistral-7b-v0-2</x:v>
      </x:c>
      <x:c r="P365" s="44" t="str"/>
      <x:c r="Q365" s="44" t="str"/>
      <x:c r="R365" s="44" t="str"/>
    </x:row>
    <x:row r="366">
      <x:c r="A366" s="32" t="str">
        <x:v>Gemma 2B</x:v>
      </x:c>
      <x:c r="B366" s="32" t="str">
        <x:v>gemma-2b</x:v>
      </x:c>
      <x:c r="C366" s="32" t="str"/>
      <x:c r="D366" s="32" t="str">
        <x:v>Google DeepMind</x:v>
      </x:c>
      <x:c r="E366" s="32" t="str">
        <x:v>United States of America</x:v>
      </x:c>
      <x:c r="F366" s="34" t="n">
        <x:v>45343</x:v>
      </x:c>
      <x:c r="G366" s="32" t="str">
        <x:v>Open weights (restricted use)</x:v>
      </x:c>
      <x:c r="H366" s="34" t="n">
        <x:v>45343</x:v>
      </x:c>
      <x:c r="I366" s="52" t="n">
        <x:v>4.5115822e+22</x:v>
      </x:c>
      <x:c r="J366" s="32" t="str">
        <x:v>Confident</x:v>
      </x:c>
      <x:c r="K366" s="32" t="str">
        <x:v>Google's 2 billion-parameter model in the Gemma series of open source models.</x:v>
      </x:c>
      <x:c r="L366" s="32" t="str"/>
      <x:c r="M366" s="32" t="str"/>
      <x:c r="N366" s="32" t="str">
        <x:v>Gemma 2B</x:v>
      </x:c>
      <x:c r="O366" s="32" t="str">
        <x:v>gemma-2b</x:v>
      </x:c>
      <x:c r="P366" s="44" t="n">
        <x:v>93.91</x:v>
      </x:c>
      <x:c r="Q366" s="44" t="n">
        <x:v>81</x:v>
      </x:c>
      <x:c r="R366" s="44" t="n">
        <x:v>101.27</x:v>
      </x:c>
    </x:row>
    <x:row r="367">
      <x:c r="A367" s="32" t="str">
        <x:v>Gemma 7B</x:v>
      </x:c>
      <x:c r="B367" s="32" t="str">
        <x:v>gemma-7b</x:v>
      </x:c>
      <x:c r="C367" s="32" t="str"/>
      <x:c r="D367" s="32" t="str">
        <x:v>Google DeepMind</x:v>
      </x:c>
      <x:c r="E367" s="32" t="str">
        <x:v>United States of America</x:v>
      </x:c>
      <x:c r="F367" s="34" t="n">
        <x:v>45343</x:v>
      </x:c>
      <x:c r="G367" s="32" t="str">
        <x:v>Open weights (restricted use)</x:v>
      </x:c>
      <x:c r="H367" s="34" t="n">
        <x:v>45343</x:v>
      </x:c>
      <x:c r="I367" s="52" t="n">
        <x:v>3.07e+23</x:v>
      </x:c>
      <x:c r="J367" s="32" t="str">
        <x:v>Confident</x:v>
      </x:c>
      <x:c r="K367" s="32" t="str">
        <x:v>Google's 7 billion-parameter model in the Gemma series of open source models.</x:v>
      </x:c>
      <x:c r="L367" s="32" t="str"/>
      <x:c r="M367" s="32" t="str"/>
      <x:c r="N367" s="32" t="str">
        <x:v>Gemma 7B</x:v>
      </x:c>
      <x:c r="O367" s="32" t="str">
        <x:v>gemma-7b</x:v>
      </x:c>
      <x:c r="P367" s="44" t="n">
        <x:v>111.76</x:v>
      </x:c>
      <x:c r="Q367" s="44" t="n">
        <x:v>103.06</x:v>
      </x:c>
      <x:c r="R367" s="44" t="n">
        <x:v>116.41</x:v>
      </x:c>
    </x:row>
    <x:row r="368">
      <x:c r="A368" s="32" t="str">
        <x:v>MPT-7B</x:v>
      </x:c>
      <x:c r="B368" s="32" t="str">
        <x:v>mpt-7b</x:v>
      </x:c>
      <x:c r="C368" s="32" t="str"/>
      <x:c r="D368" s="32" t="str">
        <x:v>MosaicML</x:v>
      </x:c>
      <x:c r="E368" s="32" t="str">
        <x:v>United States of America</x:v>
      </x:c>
      <x:c r="F368" s="34" t="n">
        <x:v>45051</x:v>
      </x:c>
      <x:c r="G368" s="32" t="str">
        <x:v>Open weights (unrestricted)</x:v>
      </x:c>
      <x:c r="H368" s="34" t="n">
        <x:v>45051</x:v>
      </x:c>
      <x:c r="I368" s="52" t="n">
        <x:v>4.2e+22</x:v>
      </x:c>
      <x:c r="J368" s="32" t="str">
        <x:v>Confident</x:v>
      </x:c>
      <x:c r="K368" s="32" t="str"/>
      <x:c r="L368" s="32" t="str"/>
      <x:c r="M368" s="32" t="str"/>
      <x:c r="N368" s="32" t="str">
        <x:v>MPT-7B</x:v>
      </x:c>
      <x:c r="O368" s="32" t="str">
        <x:v>mpt-7b</x:v>
      </x:c>
      <x:c r="P368" s="44" t="n">
        <x:v>94.3</x:v>
      </x:c>
      <x:c r="Q368" s="44" t="n">
        <x:v>81.04</x:v>
      </x:c>
      <x:c r="R368" s="44" t="n">
        <x:v>102.67</x:v>
      </x:c>
    </x:row>
    <x:row r="369">
      <x:c r="A369" s="32" t="str">
        <x:v>Falcon-7B</x:v>
      </x:c>
      <x:c r="B369" s="32" t="str">
        <x:v>falcon-7b</x:v>
      </x:c>
      <x:c r="C369" s="32" t="str"/>
      <x:c r="D369" s="32" t="str">
        <x:v>Technology Innovation Institute</x:v>
      </x:c>
      <x:c r="E369" s="32" t="str">
        <x:v>United Arab Emirates</x:v>
      </x:c>
      <x:c r="F369" s="34" t="n">
        <x:v>45040</x:v>
      </x:c>
      <x:c r="G369" s="32" t="str">
        <x:v>Open weights (unrestricted)</x:v>
      </x:c>
      <x:c r="H369" s="34" t="n">
        <x:v>45040</x:v>
      </x:c>
      <x:c r="I369" s="52" t="n">
        <x:v>6.3e+22</x:v>
      </x:c>
      <x:c r="J369" s="32" t="str">
        <x:v>Confident</x:v>
      </x:c>
      <x:c r="K369" s="32" t="str">
        <x:v>The 7 billion-parameter model in the Falcon series.</x:v>
      </x:c>
      <x:c r="L369" s="32" t="str"/>
      <x:c r="M369" s="32" t="str"/>
      <x:c r="N369" s="32" t="str">
        <x:v>Falcon-7B</x:v>
      </x:c>
      <x:c r="O369" s="32" t="str">
        <x:v>falcon-7b</x:v>
      </x:c>
      <x:c r="P369" s="44" t="n">
        <x:v>94.81</x:v>
      </x:c>
      <x:c r="Q369" s="44" t="n">
        <x:v>81.69</x:v>
      </x:c>
      <x:c r="R369" s="44" t="n">
        <x:v>102.89</x:v>
      </x:c>
    </x:row>
    <x:row r="370">
      <x:c r="A370" s="32" t="str"/>
      <x:c r="B370" s="32" t="str">
        <x:v>chatglm2-6b</x:v>
      </x:c>
      <x:c r="C370" s="32" t="str"/>
      <x:c r="D370" s="32" t="str"/>
      <x:c r="E370" s="32" t="str"/>
      <x:c r="F370" s="34" t="n">
        <x:v>45101</x:v>
      </x:c>
      <x:c r="G370" s="32" t="str"/>
      <x:c r="H370" s="34"/>
      <x:c r="I370" s="52" t="str"/>
      <x:c r="J370" s="32" t="str">
        <x:v>Unverified</x:v>
      </x:c>
      <x:c r="K370" s="32" t="str"/>
      <x:c r="L370" s="32" t="str"/>
      <x:c r="M370" s="32" t="str"/>
      <x:c r="N370" s="32" t="str"/>
      <x:c r="O370" s="32" t="str">
        <x:v>chatglm2-6b</x:v>
      </x:c>
      <x:c r="P370" s="44" t="str"/>
      <x:c r="Q370" s="44" t="str"/>
      <x:c r="R370" s="44" t="str"/>
    </x:row>
    <x:row r="371">
      <x:c r="A371" s="32" t="str"/>
      <x:c r="B371" s="32" t="str">
        <x:v>internlm-7b</x:v>
      </x:c>
      <x:c r="C371" s="32" t="str"/>
      <x:c r="D371" s="32" t="str"/>
      <x:c r="E371" s="32" t="str"/>
      <x:c r="F371" s="34" t="n">
        <x:v>45112</x:v>
      </x:c>
      <x:c r="G371" s="32" t="str"/>
      <x:c r="H371" s="34"/>
      <x:c r="I371" s="52" t="str"/>
      <x:c r="J371" s="32" t="str">
        <x:v>Unverified</x:v>
      </x:c>
      <x:c r="K371" s="32" t="str"/>
      <x:c r="L371" s="32" t="str"/>
      <x:c r="M371" s="32" t="str"/>
      <x:c r="N371" s="32" t="str"/>
      <x:c r="O371" s="32" t="str">
        <x:v>internlm-7b</x:v>
      </x:c>
      <x:c r="P371" s="44" t="str"/>
      <x:c r="Q371" s="44" t="str"/>
      <x:c r="R371" s="44" t="str"/>
    </x:row>
    <x:row r="372">
      <x:c r="A372" s="32" t="str"/>
      <x:c r="B372" s="32" t="str">
        <x:v>internlm-20b</x:v>
      </x:c>
      <x:c r="C372" s="32" t="str"/>
      <x:c r="D372" s="32" t="str"/>
      <x:c r="E372" s="32" t="str"/>
      <x:c r="F372" s="34" t="n">
        <x:v>45187</x:v>
      </x:c>
      <x:c r="G372" s="32" t="str"/>
      <x:c r="H372" s="34"/>
      <x:c r="I372" s="52" t="str"/>
      <x:c r="J372" s="32" t="str">
        <x:v>Unverified</x:v>
      </x:c>
      <x:c r="K372" s="32" t="str"/>
      <x:c r="L372" s="32" t="str"/>
      <x:c r="M372" s="32" t="str"/>
      <x:c r="N372" s="32" t="str"/>
      <x:c r="O372" s="32" t="str">
        <x:v>internlm-20b</x:v>
      </x:c>
      <x:c r="P372" s="44" t="str"/>
      <x:c r="Q372" s="44" t="str"/>
      <x:c r="R372" s="44" t="str"/>
    </x:row>
    <x:row r="373">
      <x:c r="A373" s="32" t="str">
        <x:v>Baichuan1-7B</x:v>
      </x:c>
      <x:c r="B373" s="32" t="str">
        <x:v>Baichuan-7B</x:v>
      </x:c>
      <x:c r="C373" s="32" t="str"/>
      <x:c r="D373" s="32" t="str">
        <x:v>Baichuan</x:v>
      </x:c>
      <x:c r="E373" s="32" t="str">
        <x:v>China</x:v>
      </x:c>
      <x:c r="F373" s="34" t="n">
        <x:v>45078</x:v>
      </x:c>
      <x:c r="G373" s="32" t="str">
        <x:v>Open weights (non-commercial)</x:v>
      </x:c>
      <x:c r="H373" s="34" t="n">
        <x:v>45078</x:v>
      </x:c>
      <x:c r="I373" s="52" t="n">
        <x:v>5.04e+22</x:v>
      </x:c>
      <x:c r="J373" s="32" t="str">
        <x:v>Confident</x:v>
      </x:c>
      <x:c r="K373" s="32" t="str"/>
      <x:c r="L373" s="32" t="str"/>
      <x:c r="M373" s="32" t="str"/>
      <x:c r="N373" s="32" t="str">
        <x:v>Baichuan1-7B</x:v>
      </x:c>
      <x:c r="O373" s="32" t="str">
        <x:v>baichuan1-7b</x:v>
      </x:c>
      <x:c r="P373" s="44" t="n">
        <x:v>90.14</x:v>
      </x:c>
      <x:c r="Q373" s="44" t="n">
        <x:v>75.09</x:v>
      </x:c>
      <x:c r="R373" s="44" t="n">
        <x:v>99.78</x:v>
      </x:c>
    </x:row>
    <x:row r="374">
      <x:c r="A374" s="32" t="str">
        <x:v>Baichuan2-13B</x:v>
      </x:c>
      <x:c r="B374" s="32" t="str">
        <x:v>Baichuan-2-13B-Base</x:v>
      </x:c>
      <x:c r="C374" s="32" t="str"/>
      <x:c r="D374" s="32" t="str">
        <x:v>Baichuan</x:v>
      </x:c>
      <x:c r="E374" s="32" t="str">
        <x:v>China</x:v>
      </x:c>
      <x:c r="F374" s="34" t="n">
        <x:v>45175</x:v>
      </x:c>
      <x:c r="G374" s="32" t="str">
        <x:v>Open weights (restricted use)</x:v>
      </x:c>
      <x:c r="H374" s="34" t="n">
        <x:v>45175</x:v>
      </x:c>
      <x:c r="I374" s="52" t="n">
        <x:v>2.03e+23</x:v>
      </x:c>
      <x:c r="J374" s="32" t="str">
        <x:v>Confident</x:v>
      </x:c>
      <x:c r="K374" s="32" t="str"/>
      <x:c r="L374" s="32" t="str"/>
      <x:c r="M374" s="32" t="str"/>
      <x:c r="N374" s="32" t="str">
        <x:v>Baichuan2-13B</x:v>
      </x:c>
      <x:c r="O374" s="32" t="str">
        <x:v>baichuan2-13b</x:v>
      </x:c>
      <x:c r="P374" s="44" t="n">
        <x:v>102.93</x:v>
      </x:c>
      <x:c r="Q374" s="44" t="n">
        <x:v>89.49</x:v>
      </x:c>
      <x:c r="R374" s="44" t="n">
        <x:v>110.46</x:v>
      </x:c>
    </x:row>
    <x:row r="375">
      <x:c r="A375" s="32" t="str">
        <x:v>LLaMA-7B</x:v>
      </x:c>
      <x:c r="B375" s="32" t="str">
        <x:v>LLaMA-7B</x:v>
      </x:c>
      <x:c r="C375" s="32" t="str"/>
      <x:c r="D375" s="32" t="str">
        <x:v>Meta AI</x:v>
      </x:c>
      <x:c r="E375" s="32" t="str">
        <x:v>United States of America</x:v>
      </x:c>
      <x:c r="F375" s="34" t="n">
        <x:v>44981</x:v>
      </x:c>
      <x:c r="G375" s="32" t="str">
        <x:v>Open weights (non-commercial)</x:v>
      </x:c>
      <x:c r="H375" s="34" t="n">
        <x:v>44981</x:v>
      </x:c>
      <x:c r="I375" s="52" t="n">
        <x:v>4.00000001e+22</x:v>
      </x:c>
      <x:c r="J375" s="32" t="str">
        <x:v>Confident</x:v>
      </x:c>
      <x:c r="K375" s="32" t="str">
        <x:v>Meta's smallest model in the original Llama series.</x:v>
      </x:c>
      <x:c r="L375" s="32" t="str"/>
      <x:c r="M375" s="32" t="str"/>
      <x:c r="N375" s="32" t="str">
        <x:v>LLaMA-7B</x:v>
      </x:c>
      <x:c r="O375" s="32" t="str">
        <x:v>llama-7b</x:v>
      </x:c>
      <x:c r="P375" s="44" t="n">
        <x:v>96.41</x:v>
      </x:c>
      <x:c r="Q375" s="44" t="n">
        <x:v>83.74</x:v>
      </x:c>
      <x:c r="R375" s="44" t="n">
        <x:v>104.14</x:v>
      </x:c>
    </x:row>
    <x:row r="376">
      <x:c r="A376" s="32" t="str">
        <x:v>LLaMA-13B</x:v>
      </x:c>
      <x:c r="B376" s="32" t="str">
        <x:v>LLaMA-13B</x:v>
      </x:c>
      <x:c r="C376" s="32" t="str"/>
      <x:c r="D376" s="32" t="str">
        <x:v>Meta AI</x:v>
      </x:c>
      <x:c r="E376" s="32" t="str">
        <x:v>United States of America</x:v>
      </x:c>
      <x:c r="F376" s="34" t="n">
        <x:v>44981</x:v>
      </x:c>
      <x:c r="G376" s="32" t="str">
        <x:v>Open weights (non-commercial)</x:v>
      </x:c>
      <x:c r="H376" s="34" t="n">
        <x:v>44984</x:v>
      </x:c>
      <x:c r="I376" s="52" t="n">
        <x:v>7.8e+22</x:v>
      </x:c>
      <x:c r="J376" s="32" t="str">
        <x:v>Confident</x:v>
      </x:c>
      <x:c r="K376" s="32" t="str">
        <x:v>Meta's 13 billion-parameter model in the original Llama series.</x:v>
      </x:c>
      <x:c r="L376" s="32" t="str"/>
      <x:c r="M376" s="32" t="str"/>
      <x:c r="N376" s="32" t="str">
        <x:v>LLaMA-13B</x:v>
      </x:c>
      <x:c r="O376" s="32" t="str">
        <x:v>llama-13b</x:v>
      </x:c>
      <x:c r="P376" s="44" t="n">
        <x:v>100.3</x:v>
      </x:c>
      <x:c r="Q376" s="44" t="n">
        <x:v>89.58</x:v>
      </x:c>
      <x:c r="R376" s="44" t="n">
        <x:v>106.66</x:v>
      </x:c>
    </x:row>
    <x:row r="377">
      <x:c r="A377" s="32" t="str">
        <x:v>LLaMA-33B</x:v>
      </x:c>
      <x:c r="B377" s="32" t="str">
        <x:v>LLaMA-33B</x:v>
      </x:c>
      <x:c r="C377" s="32" t="str"/>
      <x:c r="D377" s="32" t="str">
        <x:v>Meta AI</x:v>
      </x:c>
      <x:c r="E377" s="32" t="str">
        <x:v>United States of America</x:v>
      </x:c>
      <x:c r="F377" s="34" t="n">
        <x:v>44981</x:v>
      </x:c>
      <x:c r="G377" s="32" t="str">
        <x:v>Open weights (non-commercial)</x:v>
      </x:c>
      <x:c r="H377" s="34" t="n">
        <x:v>44984</x:v>
      </x:c>
      <x:c r="I377" s="52" t="n">
        <x:v>2.7300000000001e+23</x:v>
      </x:c>
      <x:c r="J377" s="32" t="str">
        <x:v>Confident</x:v>
      </x:c>
      <x:c r="K377" s="32" t="str">
        <x:v>Meta's 33 billion-parameter model in the original Llama series</x:v>
      </x:c>
      <x:c r="L377" s="32" t="str"/>
      <x:c r="M377" s="32" t="str"/>
      <x:c r="N377" s="32" t="str">
        <x:v>LLaMA-33B</x:v>
      </x:c>
      <x:c r="O377" s="32" t="str">
        <x:v>llama-33b</x:v>
      </x:c>
      <x:c r="P377" s="44" t="n">
        <x:v>107.16</x:v>
      </x:c>
      <x:c r="Q377" s="44" t="n">
        <x:v>96.33</x:v>
      </x:c>
      <x:c r="R377" s="44" t="n">
        <x:v>112.28</x:v>
      </x:c>
    </x:row>
    <x:row r="378">
      <x:c r="A378" s="32" t="str">
        <x:v>LLaMA-65B</x:v>
      </x:c>
      <x:c r="B378" s="32" t="str">
        <x:v>LLaMA-65B</x:v>
      </x:c>
      <x:c r="C378" s="32" t="str"/>
      <x:c r="D378" s="32" t="str">
        <x:v>Meta AI</x:v>
      </x:c>
      <x:c r="E378" s="32" t="str">
        <x:v>United States of America</x:v>
      </x:c>
      <x:c r="F378" s="34" t="n">
        <x:v>44981</x:v>
      </x:c>
      <x:c r="G378" s="32" t="str">
        <x:v>Open weights (non-commercial)</x:v>
      </x:c>
      <x:c r="H378" s="34" t="n">
        <x:v>44981</x:v>
      </x:c>
      <x:c r="I378" s="52" t="n">
        <x:v>5.5e+23</x:v>
      </x:c>
      <x:c r="J378" s="32" t="str">
        <x:v>Confident</x:v>
      </x:c>
      <x:c r="K378" s="32" t="str">
        <x:v>Meta's largest model in the original Llama series.</x:v>
      </x:c>
      <x:c r="L378" s="32" t="str"/>
      <x:c r="M378" s="32" t="str"/>
      <x:c r="N378" s="32" t="str">
        <x:v>LLaMA-65B</x:v>
      </x:c>
      <x:c r="O378" s="32" t="str">
        <x:v>llama-65b</x:v>
      </x:c>
      <x:c r="P378" s="44" t="n">
        <x:v>109.93</x:v>
      </x:c>
      <x:c r="Q378" s="44" t="n">
        <x:v>100.46</x:v>
      </x:c>
      <x:c r="R378" s="44" t="n">
        <x:v>114.37</x:v>
      </x:c>
    </x:row>
    <x:row r="379">
      <x:c r="A379" s="32" t="str">
        <x:v>Llama 2-70B</x:v>
      </x:c>
      <x:c r="B379" s="32" t="str">
        <x:v>Llama-2-70b-hf </x:v>
      </x:c>
      <x:c r="C379" s="32" t="str"/>
      <x:c r="D379" s="32" t="str">
        <x:v>Meta AI</x:v>
      </x:c>
      <x:c r="E379" s="32" t="str">
        <x:v>United States of America</x:v>
      </x:c>
      <x:c r="F379" s="34" t="n">
        <x:v>45125</x:v>
      </x:c>
      <x:c r="G379" s="32" t="str">
        <x:v>Open weights (restricted use)</x:v>
      </x:c>
      <x:c r="H379" s="34" t="n">
        <x:v>45125</x:v>
      </x:c>
      <x:c r="I379" s="52" t="n">
        <x:v>8.1e+23</x:v>
      </x:c>
      <x:c r="J379" s="32" t="str">
        <x:v>Confident</x:v>
      </x:c>
      <x:c r="K379" s="32" t="str">
        <x:v>A chat-optimized of a 70 billion-parameter model in the Llama 2 series.</x:v>
      </x:c>
      <x:c r="L379" s="32" t="str"/>
      <x:c r="M379" s="32" t="str"/>
      <x:c r="N379" s="32" t="str">
        <x:v>Llama 2-70B</x:v>
      </x:c>
      <x:c r="O379" s="32" t="str">
        <x:v>llama-2-70b</x:v>
      </x:c>
      <x:c r="P379" s="44" t="n">
        <x:v>113.72</x:v>
      </x:c>
      <x:c r="Q379" s="44" t="n">
        <x:v>104.07</x:v>
      </x:c>
      <x:c r="R379" s="44" t="n">
        <x:v>117.82</x:v>
      </x:c>
    </x:row>
    <x:row r="380">
      <x:c r="A380" s="32" t="str">
        <x:v>Stable Beluga 2</x:v>
      </x:c>
      <x:c r="B380" s="32" t="str">
        <x:v>StableBeluga2</x:v>
      </x:c>
      <x:c r="C380" s="32" t="str"/>
      <x:c r="D380" s="32" t="str">
        <x:v>Stability AI</x:v>
      </x:c>
      <x:c r="E380" s="32" t="str">
        <x:v>United Kingdom of Great Britain and Northern Ireland</x:v>
      </x:c>
      <x:c r="F380" s="34" t="n">
        <x:v>45127</x:v>
      </x:c>
      <x:c r="G380" s="32" t="str">
        <x:v>Open weights (non-commercial)</x:v>
      </x:c>
      <x:c r="H380" s="34" t="n">
        <x:v>45127</x:v>
      </x:c>
      <x:c r="I380" s="52" t="str"/>
      <x:c r="J380" s="32" t="str">
        <x:v>Likely</x:v>
      </x:c>
      <x:c r="K380" s="32" t="str"/>
      <x:c r="L380" s="32" t="str">
        <x:v>Stable Beluga 2</x:v>
      </x:c>
      <x:c r="M380" s="32" t="str"/>
      <x:c r="N380" s="32" t="str">
        <x:v>Stable Beluga 2</x:v>
      </x:c>
      <x:c r="O380" s="32" t="str">
        <x:v>stable-beluga-2</x:v>
      </x:c>
      <x:c r="P380" s="44" t="n">
        <x:v>116.91</x:v>
      </x:c>
      <x:c r="Q380" s="44" t="n">
        <x:v>107.97</x:v>
      </x:c>
      <x:c r="R380" s="44" t="n">
        <x:v>120.27</x:v>
      </x:c>
    </x:row>
    <x:row r="381">
      <x:c r="A381" s="32" t="str"/>
      <x:c r="B381" s="32" t="str">
        <x:v>Qwen-1_8B</x:v>
      </x:c>
      <x:c r="C381" s="32" t="str">
        <x:v>Qwen-1.8B</x:v>
      </x:c>
      <x:c r="D381" s="32" t="str"/>
      <x:c r="E381" s="32" t="str"/>
      <x:c r="F381" s="34" t="n">
        <x:v>45260</x:v>
      </x:c>
      <x:c r="G381" s="32" t="str"/>
      <x:c r="H381" s="34"/>
      <x:c r="I381" s="52" t="str"/>
      <x:c r="J381" s="32" t="str">
        <x:v>Unverified</x:v>
      </x:c>
      <x:c r="K381" s="32" t="str">
        <x:v>Qwen's 1.8 billion-parameter model in the original Qwen series.</x:v>
      </x:c>
      <x:c r="L381" s="32" t="str"/>
      <x:c r="M381" s="32" t="str"/>
      <x:c r="N381" s="32" t="str"/>
      <x:c r="O381" s="32" t="str">
        <x:v>qwen-1-8b</x:v>
      </x:c>
      <x:c r="P381" s="44" t="str"/>
      <x:c r="Q381" s="44" t="str"/>
      <x:c r="R381" s="44" t="str"/>
    </x:row>
    <x:row r="382">
      <x:c r="A382" s="32" t="str">
        <x:v>Qwen-7B</x:v>
      </x:c>
      <x:c r="B382" s="32" t="str">
        <x:v>Qwen-7B</x:v>
      </x:c>
      <x:c r="C382" s="32" t="str"/>
      <x:c r="D382" s="32" t="str">
        <x:v>Alibaba</x:v>
      </x:c>
      <x:c r="E382" s="32" t="str">
        <x:v>China</x:v>
      </x:c>
      <x:c r="F382" s="34" t="n">
        <x:v>45197</x:v>
      </x:c>
      <x:c r="G382" s="32" t="str">
        <x:v>Open weights (restricted use)</x:v>
      </x:c>
      <x:c r="H382" s="34" t="n">
        <x:v>45197</x:v>
      </x:c>
      <x:c r="I382" s="52" t="n">
        <x:v>1.01e+23</x:v>
      </x:c>
      <x:c r="J382" s="32" t="str">
        <x:v>Confident</x:v>
      </x:c>
      <x:c r="K382" s="32" t="str">
        <x:v>Qwen's 7 billion-parameter model in the original Qwen series.</x:v>
      </x:c>
      <x:c r="L382" s="32" t="str">
        <x:v>Qwen-7B</x:v>
      </x:c>
      <x:c r="M382" s="32" t="str"/>
      <x:c r="N382" s="32" t="str">
        <x:v>Qwen-7B</x:v>
      </x:c>
      <x:c r="O382" s="32" t="str">
        <x:v>qwen-7b</x:v>
      </x:c>
      <x:c r="P382" s="44" t="n">
        <x:v>106.56</x:v>
      </x:c>
      <x:c r="Q382" s="44" t="n">
        <x:v>93.93</x:v>
      </x:c>
      <x:c r="R382" s="44" t="n">
        <x:v>112.46</x:v>
      </x:c>
    </x:row>
    <x:row r="383">
      <x:c r="A383" s="32" t="str">
        <x:v>Qwen-14B</x:v>
      </x:c>
      <x:c r="B383" s="32" t="str">
        <x:v>Qwen-14B</x:v>
      </x:c>
      <x:c r="C383" s="32" t="str"/>
      <x:c r="D383" s="32" t="str">
        <x:v>Alibaba</x:v>
      </x:c>
      <x:c r="E383" s="32" t="str">
        <x:v>China</x:v>
      </x:c>
      <x:c r="F383" s="34" t="n">
        <x:v>45197</x:v>
      </x:c>
      <x:c r="G383" s="32" t="str">
        <x:v>Open weights (restricted use)</x:v>
      </x:c>
      <x:c r="H383" s="34" t="n">
        <x:v>45197</x:v>
      </x:c>
      <x:c r="I383" s="52" t="n">
        <x:v>2.5e+23</x:v>
      </x:c>
      <x:c r="J383" s="32" t="str">
        <x:v>Confident</x:v>
      </x:c>
      <x:c r="K383" s="32" t="str">
        <x:v>Qwen's 14 billion-parameter model in the original Qwen series.</x:v>
      </x:c>
      <x:c r="L383" s="32" t="str">
        <x:v>Qwen-14B</x:v>
      </x:c>
      <x:c r="M383" s="32" t="str"/>
      <x:c r="N383" s="32" t="str">
        <x:v>Qwen-14B</x:v>
      </x:c>
      <x:c r="O383" s="32" t="str">
        <x:v>qwen-14b</x:v>
      </x:c>
      <x:c r="P383" s="44" t="n">
        <x:v>112.8</x:v>
      </x:c>
      <x:c r="Q383" s="44" t="n">
        <x:v>103.39</x:v>
      </x:c>
      <x:c r="R383" s="44" t="n">
        <x:v>117.54</x:v>
      </x:c>
    </x:row>
    <x:row r="384">
      <x:c r="A384" s="32" t="str">
        <x:v>InstructGPT 175B</x:v>
      </x:c>
      <x:c r="B384" s="32" t="str">
        <x:v>text-davinci-001</x:v>
      </x:c>
      <x:c r="C384" s="32" t="str"/>
      <x:c r="D384" s="32" t="str">
        <x:v>OpenAI</x:v>
      </x:c>
      <x:c r="E384" s="32" t="str">
        <x:v>United States of America</x:v>
      </x:c>
      <x:c r="F384" s="34" t="n">
        <x:v>44588</x:v>
      </x:c>
      <x:c r="G384" s="32" t="str">
        <x:v>API access</x:v>
      </x:c>
      <x:c r="H384" s="34" t="n">
        <x:v>44588</x:v>
      </x:c>
      <x:c r="I384" s="52" t="n">
        <x:v>3.19181e+23</x:v>
      </x:c>
      <x:c r="J384" s="32" t="str">
        <x:v>Confident</x:v>
      </x:c>
      <x:c r="K384" s="32" t="str"/>
      <x:c r="L384" s="32" t="str"/>
      <x:c r="M384" s="32" t="str"/>
      <x:c r="N384" s="32" t="str">
        <x:v>InstructGPT 175B</x:v>
      </x:c>
      <x:c r="O384" s="32" t="str">
        <x:v>instructgpt-175b</x:v>
      </x:c>
      <x:c r="P384" s="44" t="str"/>
      <x:c r="Q384" s="44" t="str"/>
      <x:c r="R384" s="44" t="str"/>
    </x:row>
    <x:row r="385">
      <x:c r="A385" s="32" t="str">
        <x:v>phi-3.5-mini</x:v>
      </x:c>
      <x:c r="B385" s="32" t="str">
        <x:v>Phi-3.5-mini-instruct</x:v>
      </x:c>
      <x:c r="C385" s="32" t="str"/>
      <x:c r="D385" s="32" t="str">
        <x:v>Microsoft</x:v>
      </x:c>
      <x:c r="E385" s="32" t="str">
        <x:v>United States of America</x:v>
      </x:c>
      <x:c r="F385" s="34" t="n">
        <x:v>45520</x:v>
      </x:c>
      <x:c r="G385" s="32" t="str">
        <x:v>Open weights (unrestricted)</x:v>
      </x:c>
      <x:c r="H385" s="34" t="n">
        <x:v>45405</x:v>
      </x:c>
      <x:c r="I385" s="52" t="n">
        <x:v>3.7101154e+22</x:v>
      </x:c>
      <x:c r="J385" s="32" t="str">
        <x:v>Confident</x:v>
      </x:c>
      <x:c r="K385" s="32" t="str">
        <x:v>An instruction-tuned version of phi-3.5-mini, a small model in Microsoft's Phi 3.5 open source model series.</x:v>
      </x:c>
      <x:c r="L385" s="32" t="str"/>
      <x:c r="M385" s="32" t="str"/>
      <x:c r="N385" s="32" t="str">
        <x:v>phi-3.5-mini</x:v>
      </x:c>
      <x:c r="O385" s="32" t="str">
        <x:v>phi-3-5-mini</x:v>
      </x:c>
      <x:c r="P385" s="44" t="str"/>
      <x:c r="Q385" s="44" t="str"/>
      <x:c r="R385" s="44" t="str"/>
    </x:row>
    <x:row r="386">
      <x:c r="A386" s="32" t="str">
        <x:v>Phi-3.5-MoE</x:v>
      </x:c>
      <x:c r="B386" s="32" t="str">
        <x:v>Phi-3.5-MoE-instruct</x:v>
      </x:c>
      <x:c r="C386" s="32" t="str"/>
      <x:c r="D386" s="32" t="str">
        <x:v>Microsoft</x:v>
      </x:c>
      <x:c r="E386" s="32" t="str">
        <x:v>United States of America</x:v>
      </x:c>
      <x:c r="F386" s="34" t="n">
        <x:v>45521</x:v>
      </x:c>
      <x:c r="G386" s="32" t="str">
        <x:v>Open weights (unrestricted)</x:v>
      </x:c>
      <x:c r="H386" s="34" t="n">
        <x:v>45405</x:v>
      </x:c>
      <x:c r="I386" s="52" t="n">
        <x:v>3.0202896e+23</x:v>
      </x:c>
      <x:c r="J386" s="32" t="str">
        <x:v>Confident</x:v>
      </x:c>
      <x:c r="K386" s="32" t="str"/>
      <x:c r="L386" s="32" t="str"/>
      <x:c r="M386" s="32" t="str"/>
      <x:c r="N386" s="32" t="str">
        <x:v>Phi-3.5-MoE</x:v>
      </x:c>
      <x:c r="O386" s="32" t="str">
        <x:v>phi-3-5-moe</x:v>
      </x:c>
      <x:c r="P386" s="44" t="str"/>
      <x:c r="Q386" s="44" t="str"/>
      <x:c r="R386" s="44" t="str"/>
    </x:row>
    <x:row r="387">
      <x:c r="A387" s="32" t="str">
        <x:v>Mistral 7B</x:v>
      </x:c>
      <x:c r="B387" s="32" t="str">
        <x:v>Mistral-7B-v0.1</x:v>
      </x:c>
      <x:c r="C387" s="32" t="str"/>
      <x:c r="D387" s="32" t="str">
        <x:v>Mistral AI</x:v>
      </x:c>
      <x:c r="E387" s="32" t="str">
        <x:v>France</x:v>
      </x:c>
      <x:c r="F387" s="34" t="n">
        <x:v>45196</x:v>
      </x:c>
      <x:c r="G387" s="32" t="str">
        <x:v>Open weights (unrestricted)</x:v>
      </x:c>
      <x:c r="H387" s="34" t="n">
        <x:v>45209</x:v>
      </x:c>
      <x:c r="I387" s="52" t="str"/>
      <x:c r="J387" s="32" t="str">
        <x:v>Confident</x:v>
      </x:c>
      <x:c r="K387" s="32" t="str"/>
      <x:c r="L387" s="32" t="str"/>
      <x:c r="M387" s="32" t="str">
        <x:v>Mistral 7B v0.1</x:v>
      </x:c>
      <x:c r="N387" s="32" t="str">
        <x:v>Mistral 7B v0.1</x:v>
      </x:c>
      <x:c r="O387" s="32" t="str">
        <x:v>mistral-7b-v0-1</x:v>
      </x:c>
      <x:c r="P387" s="44" t="n">
        <x:v>111.98</x:v>
      </x:c>
      <x:c r="Q387" s="44" t="n">
        <x:v>102.38</x:v>
      </x:c>
      <x:c r="R387" s="44" t="n">
        <x:v>115.99</x:v>
      </x:c>
    </x:row>
    <x:row r="388">
      <x:c r="A388" s="32" t="str">
        <x:v>Mistral NeMo</x:v>
      </x:c>
      <x:c r="B388" s="32" t="str">
        <x:v>Mistral-Nemo-Base-2407</x:v>
      </x:c>
      <x:c r="C388" s="32" t="str"/>
      <x:c r="D388" s="32" t="str">
        <x:v>Mistral AI</x:v>
      </x:c>
      <x:c r="E388" s="32" t="str">
        <x:v>France</x:v>
      </x:c>
      <x:c r="F388" s="34" t="n">
        <x:v>45491</x:v>
      </x:c>
      <x:c r="G388" s="32" t="str">
        <x:v>Open weights (unrestricted)</x:v>
      </x:c>
      <x:c r="H388" s="34" t="n">
        <x:v>45491</x:v>
      </x:c>
      <x:c r="I388" s="52" t="str"/>
      <x:c r="J388" s="32" t="str">
        <x:v>Confident</x:v>
      </x:c>
      <x:c r="K388" s="32" t="str"/>
      <x:c r="L388" s="32" t="str"/>
      <x:c r="M388" s="32" t="str"/>
      <x:c r="N388" s="32" t="str">
        <x:v>Mistral NeMo</x:v>
      </x:c>
      <x:c r="O388" s="32" t="str">
        <x:v>mistral-nemo</x:v>
      </x:c>
      <x:c r="P388" s="44" t="n">
        <x:v>118.38</x:v>
      </x:c>
      <x:c r="Q388" s="44" t="n">
        <x:v>109.85</x:v>
      </x:c>
      <x:c r="R388" s="44" t="n">
        <x:v>121.76</x:v>
      </x:c>
    </x:row>
    <x:row r="389">
      <x:c r="A389" s="32" t="str">
        <x:v>Gemma 2 9B</x:v>
      </x:c>
      <x:c r="B389" s="32" t="str">
        <x:v>gemma-2-9b</x:v>
      </x:c>
      <x:c r="C389" s="32" t="str"/>
      <x:c r="D389" s="32" t="str">
        <x:v>Google DeepMind</x:v>
      </x:c>
      <x:c r="E389" s="32" t="str">
        <x:v>United States of America</x:v>
      </x:c>
      <x:c r="F389" s="34"/>
      <x:c r="G389" s="32" t="str">
        <x:v>Open weights (restricted use)</x:v>
      </x:c>
      <x:c r="H389" s="34" t="n">
        <x:v>45467</x:v>
      </x:c>
      <x:c r="I389" s="52" t="n">
        <x:v>4.32e+23</x:v>
      </x:c>
      <x:c r="J389" s="32" t="str">
        <x:v>Confident</x:v>
      </x:c>
      <x:c r="K389" s="32" t="str">
        <x:v>A 9 billion-parameter open source model from Google DeepMind in the Gemma 2 series.</x:v>
      </x:c>
      <x:c r="L389" s="32" t="str"/>
      <x:c r="M389" s="32" t="str"/>
      <x:c r="N389" s="32" t="str">
        <x:v>Gemma 2 9B</x:v>
      </x:c>
      <x:c r="O389" s="32" t="str">
        <x:v>gemma-2-9b</x:v>
      </x:c>
      <x:c r="P389" s="44" t="n">
        <x:v>119.58</x:v>
      </x:c>
      <x:c r="Q389" s="44" t="n">
        <x:v>111.3</x:v>
      </x:c>
      <x:c r="R389" s="44" t="n">
        <x:v>122.38</x:v>
      </x:c>
    </x:row>
    <x:row r="390">
      <x:c r="A390" s="32" t="str">
        <x:v>Gopher (280B)</x:v>
      </x:c>
      <x:c r="B390" s="32" t="str">
        <x:v>Gopher (280B)</x:v>
      </x:c>
      <x:c r="C390" s="32" t="str"/>
      <x:c r="D390" s="32" t="str">
        <x:v>DeepMind</x:v>
      </x:c>
      <x:c r="E390" s="32" t="str">
        <x:v>United Kingdom of Great Britain and Northern Ireland</x:v>
      </x:c>
      <x:c r="F390" s="34" t="n">
        <x:v>44538</x:v>
      </x:c>
      <x:c r="G390" s="32" t="str">
        <x:v>Unreleased</x:v>
      </x:c>
      <x:c r="H390" s="34" t="n">
        <x:v>44538</x:v>
      </x:c>
      <x:c r="I390" s="52" t="n">
        <x:v>6.31e+23</x:v>
      </x:c>
      <x:c r="J390" s="32" t="str">
        <x:v>Confident</x:v>
      </x:c>
      <x:c r="K390" s="32" t="str">
        <x:v>A 280 billion-parameter model from DeepMind in 2021.</x:v>
      </x:c>
      <x:c r="L390" s="32" t="str"/>
      <x:c r="M390" s="32" t="str"/>
      <x:c r="N390" s="32" t="str">
        <x:v>Gopher (280B)</x:v>
      </x:c>
      <x:c r="O390" s="32" t="str">
        <x:v>gopher-280b</x:v>
      </x:c>
      <x:c r="P390" s="44" t="str"/>
      <x:c r="Q390" s="44" t="str"/>
      <x:c r="R390" s="44" t="str"/>
    </x:row>
    <x:row r="391">
      <x:c r="A391" s="32" t="str">
        <x:v>Megatron-Turing NLG 530B</x:v>
      </x:c>
      <x:c r="B391" s="32" t="str">
        <x:v>Megatron-Turing NLG 530B</x:v>
      </x:c>
      <x:c r="C391" s="32" t="str"/>
      <x:c r="D391" s="32" t="str">
        <x:v>Microsoft,NVIDIA</x:v>
      </x:c>
      <x:c r="E391" s="32" t="str">
        <x:v>United States of America</x:v>
      </x:c>
      <x:c r="F391" s="34" t="n">
        <x:v>44589</x:v>
      </x:c>
      <x:c r="G391" s="32" t="str">
        <x:v>Unreleased</x:v>
      </x:c>
      <x:c r="H391" s="34" t="n">
        <x:v>44480</x:v>
      </x:c>
      <x:c r="I391" s="52" t="n">
        <x:v>8.586e+23</x:v>
      </x:c>
      <x:c r="J391" s="32" t="str">
        <x:v>Confident</x:v>
      </x:c>
      <x:c r="K391" s="32" t="str"/>
      <x:c r="L391" s="32" t="str"/>
      <x:c r="M391" s="32" t="str"/>
      <x:c r="N391" s="32" t="str">
        <x:v>Megatron-Turing NLG 530B</x:v>
      </x:c>
      <x:c r="O391" s="32" t="str">
        <x:v>megatron-turing-nlg-530b</x:v>
      </x:c>
      <x:c r="P391" s="44" t="str"/>
      <x:c r="Q391" s="44" t="str"/>
      <x:c r="R391" s="44" t="str"/>
    </x:row>
    <x:row r="392">
      <x:c r="A392" s="32" t="str">
        <x:v>DeepSeek-V2 (MoE-236B)</x:v>
      </x:c>
      <x:c r="B392" s="32" t="str">
        <x:v>DeepSeek-V2</x:v>
      </x:c>
      <x:c r="C392" s="32" t="str"/>
      <x:c r="D392" s="32" t="str">
        <x:v>DeepSeek</x:v>
      </x:c>
      <x:c r="E392" s="32" t="str">
        <x:v>China</x:v>
      </x:c>
      <x:c r="F392" s="34" t="n">
        <x:v>45419</x:v>
      </x:c>
      <x:c r="G392" s="32" t="str">
        <x:v>Open weights (restricted use)</x:v>
      </x:c>
      <x:c r="H392" s="34" t="n">
        <x:v>45419</x:v>
      </x:c>
      <x:c r="I392" s="52" t="n">
        <x:v>1.02e+24</x:v>
      </x:c>
      <x:c r="J392" s="32" t="str">
        <x:v>Confident</x:v>
      </x:c>
      <x:c r="K392" s="32" t="str"/>
      <x:c r="L392" s="32" t="str"/>
      <x:c r="M392" s="32" t="str">
        <x:v>DeepSeek-V2 (MoE-236B, May 2024)</x:v>
      </x:c>
      <x:c r="N392" s="32" t="str">
        <x:v>DeepSeek-V2 (MoE-236B, May 2024)</x:v>
      </x:c>
      <x:c r="O392" s="32" t="str">
        <x:v>deepseek-v2-moe-236b-may-2024</x:v>
      </x:c>
      <x:c r="P392" s="44" t="n">
        <x:v>124.58</x:v>
      </x:c>
      <x:c r="Q392" s="44" t="n">
        <x:v>117.97</x:v>
      </x:c>
      <x:c r="R392" s="44" t="n">
        <x:v>127.63</x:v>
      </x:c>
    </x:row>
    <x:row r="393">
      <x:c r="A393" s="32" t="str">
        <x:v>Qwen2.5-72B</x:v>
      </x:c>
      <x:c r="B393" s="32" t="str">
        <x:v>Qwen2.5-72B</x:v>
      </x:c>
      <x:c r="C393" s="32" t="str"/>
      <x:c r="D393" s="32" t="str">
        <x:v>Alibaba</x:v>
      </x:c>
      <x:c r="E393" s="32" t="str">
        <x:v>China</x:v>
      </x:c>
      <x:c r="F393" s="34" t="n">
        <x:v>45554</x:v>
      </x:c>
      <x:c r="G393" s="32" t="str">
        <x:v>Open weights (unrestricted)</x:v>
      </x:c>
      <x:c r="H393" s="34" t="n">
        <x:v>45554</x:v>
      </x:c>
      <x:c r="I393" s="52" t="n">
        <x:v>7.8e+24</x:v>
      </x:c>
      <x:c r="J393" s="32" t="str">
        <x:v>Confident</x:v>
      </x:c>
      <x:c r="K393" s="32" t="str">
        <x:v>A 72 billion-parameter model in the Qwen 2.5 series.</x:v>
      </x:c>
      <x:c r="L393" s="32" t="str">
        <x:v>Qwen2.5-72B</x:v>
      </x:c>
      <x:c r="M393" s="32" t="str"/>
      <x:c r="N393" s="32" t="str">
        <x:v>Qwen2.5-72B</x:v>
      </x:c>
      <x:c r="O393" s="32" t="str">
        <x:v>qwen2-5-72b</x:v>
      </x:c>
      <x:c r="P393" s="44" t="n">
        <x:v>129.12</x:v>
      </x:c>
      <x:c r="Q393" s="44" t="n">
        <x:v>122.2</x:v>
      </x:c>
      <x:c r="R393" s="44" t="n">
        <x:v>130.91</x:v>
      </x:c>
    </x:row>
    <x:row r="394">
      <x:c r="A394" s="32" t="str">
        <x:v>Llama 3.1-405B</x:v>
      </x:c>
      <x:c r="B394" s="32" t="str">
        <x:v>Llama-3.1-405B</x:v>
      </x:c>
      <x:c r="C394" s="32" t="str"/>
      <x:c r="D394" s="32" t="str">
        <x:v>Meta AI</x:v>
      </x:c>
      <x:c r="E394" s="32" t="str">
        <x:v>United States of America</x:v>
      </x:c>
      <x:c r="F394" s="34" t="n">
        <x:v>45496</x:v>
      </x:c>
      <x:c r="G394" s="32" t="str">
        <x:v>Open weights (restricted use)</x:v>
      </x:c>
      <x:c r="H394" s="34" t="n">
        <x:v>45496</x:v>
      </x:c>
      <x:c r="I394" s="52" t="n">
        <x:v>3.8e+25</x:v>
      </x:c>
      <x:c r="J394" s="32" t="str">
        <x:v>Confident</x:v>
      </x:c>
      <x:c r="K394" s="32" t="str">
        <x:v>The 405 billion-parameter model in Meta’s LLaMA 3.1 series.</x:v>
      </x:c>
      <x:c r="L394" s="32" t="str"/>
      <x:c r="M394" s="32" t="str"/>
      <x:c r="N394" s="32" t="str">
        <x:v>Llama 3.1-405B</x:v>
      </x:c>
      <x:c r="O394" s="32" t="str">
        <x:v>llama-3-1-405b</x:v>
      </x:c>
      <x:c r="P394" s="44" t="n">
        <x:v>128.99</x:v>
      </x:c>
      <x:c r="Q394" s="44" t="n">
        <x:v>123.59</x:v>
      </x:c>
      <x:c r="R394" s="44" t="n">
        <x:v>130.73</x:v>
      </x:c>
    </x:row>
    <x:row r="395">
      <x:c r="A395" s="32" t="str">
        <x:v>DeepSeek-V3</x:v>
      </x:c>
      <x:c r="B395" s="32" t="str">
        <x:v>DeepSeek-V3-Base</x:v>
      </x:c>
      <x:c r="C395" s="32" t="str"/>
      <x:c r="D395" s="32" t="str">
        <x:v>DeepSeek</x:v>
      </x:c>
      <x:c r="E395" s="32" t="str">
        <x:v>China</x:v>
      </x:c>
      <x:c r="F395" s="34" t="n">
        <x:v>45652</x:v>
      </x:c>
      <x:c r="G395" s="32" t="str">
        <x:v>Open weights (restricted use)</x:v>
      </x:c>
      <x:c r="H395" s="34" t="n">
        <x:v>45650</x:v>
      </x:c>
      <x:c r="I395" s="52" t="n">
        <x:v>3.3e+24</x:v>
      </x:c>
      <x:c r="J395" s="32" t="str">
        <x:v>Confident</x:v>
      </x:c>
      <x:c r="K395" s="32" t="str"/>
      <x:c r="L395" s="32" t="str">
        <x:v>DeepSeek-V3 (base)</x:v>
      </x:c>
      <x:c r="M395" s="32" t="str"/>
      <x:c r="N395" s="32" t="str">
        <x:v>DeepSeek-V3</x:v>
      </x:c>
      <x:c r="O395" s="32" t="str">
        <x:v>deepseek-v3</x:v>
      </x:c>
      <x:c r="P395" s="44" t="n">
        <x:v>132.99</x:v>
      </x:c>
      <x:c r="Q395" s="44" t="n">
        <x:v>127.9</x:v>
      </x:c>
      <x:c r="R395" s="44" t="n">
        <x:v>135.76</x:v>
      </x:c>
    </x:row>
    <x:row r="396">
      <x:c r="A396" s="32" t="str">
        <x:v>MPT-30B</x:v>
      </x:c>
      <x:c r="B396" s="32" t="str">
        <x:v>mpt-30b</x:v>
      </x:c>
      <x:c r="C396" s="32" t="str"/>
      <x:c r="D396" s="32" t="str">
        <x:v>MosaicML</x:v>
      </x:c>
      <x:c r="E396" s="32" t="str">
        <x:v>United States of America</x:v>
      </x:c>
      <x:c r="F396" s="34" t="n">
        <x:v>45099</x:v>
      </x:c>
      <x:c r="G396" s="32" t="str">
        <x:v>Open weights (unrestricted)</x:v>
      </x:c>
      <x:c r="H396" s="34" t="n">
        <x:v>45099</x:v>
      </x:c>
      <x:c r="I396" s="52" t="n">
        <x:v>1.8900000000001e+23</x:v>
      </x:c>
      <x:c r="J396" s="32" t="str">
        <x:v>Confident</x:v>
      </x:c>
      <x:c r="K396" s="32" t="str"/>
      <x:c r="L396" s="32" t="str"/>
      <x:c r="M396" s="32" t="str"/>
      <x:c r="N396" s="32" t="str">
        <x:v>MPT-30B</x:v>
      </x:c>
      <x:c r="O396" s="32" t="str">
        <x:v>mpt-30b</x:v>
      </x:c>
      <x:c r="P396" s="44" t="n">
        <x:v>100.38</x:v>
      </x:c>
      <x:c r="Q396" s="44" t="n">
        <x:v>89.25</x:v>
      </x:c>
      <x:c r="R396" s="44" t="n">
        <x:v>106.66</x:v>
      </x:c>
    </x:row>
    <x:row r="397">
      <x:c r="A397" s="32" t="str">
        <x:v>Falcon-40B</x:v>
      </x:c>
      <x:c r="B397" s="32" t="str">
        <x:v>falcon-40b</x:v>
      </x:c>
      <x:c r="C397" s="32" t="str"/>
      <x:c r="D397" s="32" t="str">
        <x:v>Technology Innovation Institute</x:v>
      </x:c>
      <x:c r="E397" s="32" t="str">
        <x:v>United Arab Emirates</x:v>
      </x:c>
      <x:c r="F397" s="34" t="n">
        <x:v>45000</x:v>
      </x:c>
      <x:c r="G397" s="32" t="str">
        <x:v>Open weights (unrestricted)</x:v>
      </x:c>
      <x:c r="H397" s="34" t="n">
        <x:v>45000</x:v>
      </x:c>
      <x:c r="I397" s="52" t="n">
        <x:v>2.4e+23</x:v>
      </x:c>
      <x:c r="J397" s="32" t="str">
        <x:v>Confident</x:v>
      </x:c>
      <x:c r="K397" s="32" t="str">
        <x:v>The 40 billion-parameter model in the Falcon series.</x:v>
      </x:c>
      <x:c r="L397" s="32" t="str"/>
      <x:c r="M397" s="32" t="str"/>
      <x:c r="N397" s="32" t="str">
        <x:v>Falcon-40B</x:v>
      </x:c>
      <x:c r="O397" s="32" t="str">
        <x:v>falcon-40b</x:v>
      </x:c>
      <x:c r="P397" s="44" t="n">
        <x:v>104.19</x:v>
      </x:c>
      <x:c r="Q397" s="44" t="n">
        <x:v>94.99</x:v>
      </x:c>
      <x:c r="R397" s="44" t="n">
        <x:v>110.58</x:v>
      </x:c>
    </x:row>
    <x:row r="398">
      <x:c r="A398" s="32" t="str">
        <x:v>Llama 2-34B</x:v>
      </x:c>
      <x:c r="B398" s="32" t="str">
        <x:v>Llama-2-34b</x:v>
      </x:c>
      <x:c r="C398" s="32" t="str"/>
      <x:c r="D398" s="32" t="str">
        <x:v>Meta AI</x:v>
      </x:c>
      <x:c r="E398" s="32" t="str">
        <x:v>United States of America</x:v>
      </x:c>
      <x:c r="F398" s="34" t="n">
        <x:v>45125</x:v>
      </x:c>
      <x:c r="G398" s="32" t="str">
        <x:v>Unreleased</x:v>
      </x:c>
      <x:c r="H398" s="34" t="n">
        <x:v>45125</x:v>
      </x:c>
      <x:c r="I398" s="52" t="n">
        <x:v>4.08e+23</x:v>
      </x:c>
      <x:c r="J398" s="32" t="str">
        <x:v>Confident</x:v>
      </x:c>
      <x:c r="K398" s="32" t="str">
        <x:v>Meta's 34 billion-parameter model in the Llama 2 series.</x:v>
      </x:c>
      <x:c r="L398" s="32" t="str"/>
      <x:c r="M398" s="32" t="str"/>
      <x:c r="N398" s="32" t="str">
        <x:v>Llama 2-34B</x:v>
      </x:c>
      <x:c r="O398" s="32" t="str">
        <x:v>llama-2-34b</x:v>
      </x:c>
      <x:c r="P398" s="44" t="n">
        <x:v>104.95</x:v>
      </x:c>
      <x:c r="Q398" s="44" t="n">
        <x:v>94.08</x:v>
      </x:c>
      <x:c r="R398" s="44" t="n">
        <x:v>110.71</x:v>
      </x:c>
    </x:row>
    <x:row r="399">
      <x:c r="A399" s="32" t="str">
        <x:v>Chinchilla</x:v>
      </x:c>
      <x:c r="B399" s="32" t="str">
        <x:v>Chinchilla (70B)</x:v>
      </x:c>
      <x:c r="C399" s="32" t="str"/>
      <x:c r="D399" s="32" t="str">
        <x:v>DeepMind</x:v>
      </x:c>
      <x:c r="E399" s="32" t="str">
        <x:v>United Kingdom of Great Britain and Northern Ireland</x:v>
      </x:c>
      <x:c r="F399" s="34" t="n">
        <x:v>44649</x:v>
      </x:c>
      <x:c r="G399" s="32" t="str">
        <x:v>Unreleased</x:v>
      </x:c>
      <x:c r="H399" s="34" t="n">
        <x:v>44649</x:v>
      </x:c>
      <x:c r="I399" s="52" t="n">
        <x:v>5.76e+23</x:v>
      </x:c>
      <x:c r="J399" s="32" t="str">
        <x:v>Confident</x:v>
      </x:c>
      <x:c r="K399" s="32" t="str"/>
      <x:c r="L399" s="32" t="str">
        <x:v>Chinchilla</x:v>
      </x:c>
      <x:c r="M399" s="32" t="str"/>
      <x:c r="N399" s="32" t="str">
        <x:v>Chinchilla</x:v>
      </x:c>
      <x:c r="O399" s="32" t="str">
        <x:v>chinchilla</x:v>
      </x:c>
      <x:c r="P399" s="44" t="str"/>
      <x:c r="Q399" s="44" t="str"/>
      <x:c r="R399" s="44" t="str"/>
    </x:row>
    <x:row r="400">
      <x:c r="A400" s="32" t="str"/>
      <x:c r="B400" s="32" t="str">
        <x:v>PaLM 62B</x:v>
      </x:c>
      <x:c r="C400" s="32" t="str"/>
      <x:c r="D400" s="32" t="str"/>
      <x:c r="E400" s="32" t="str"/>
      <x:c r="F400" s="34" t="n">
        <x:v>44655</x:v>
      </x:c>
      <x:c r="G400" s="32" t="str"/>
      <x:c r="H400" s="34"/>
      <x:c r="I400" s="52" t="str"/>
      <x:c r="J400" s="32" t="str">
        <x:v>Unverified</x:v>
      </x:c>
      <x:c r="K400" s="32" t="str">
        <x:v>Google's 62 billion-parameter model in the PaLM series.</x:v>
      </x:c>
      <x:c r="L400" s="32" t="str"/>
      <x:c r="M400" s="32" t="str"/>
      <x:c r="N400" s="32" t="str"/>
      <x:c r="O400" s="32" t="str">
        <x:v>palm-62b</x:v>
      </x:c>
      <x:c r="P400" s="44" t="str"/>
      <x:c r="Q400" s="44" t="str"/>
      <x:c r="R400" s="44" t="str"/>
    </x:row>
    <x:row r="401">
      <x:c r="A401" s="32" t="str">
        <x:v>PaLM (540B)</x:v>
      </x:c>
      <x:c r="B401" s="32" t="str">
        <x:v>PaLM 540B</x:v>
      </x:c>
      <x:c r="C401" s="32" t="str"/>
      <x:c r="D401" s="32" t="str">
        <x:v>Google Research</x:v>
      </x:c>
      <x:c r="E401" s="32" t="str">
        <x:v>United States of America</x:v>
      </x:c>
      <x:c r="F401" s="34" t="n">
        <x:v>44655</x:v>
      </x:c>
      <x:c r="G401" s="32" t="str">
        <x:v>Unreleased</x:v>
      </x:c>
      <x:c r="H401" s="34" t="n">
        <x:v>44655</x:v>
      </x:c>
      <x:c r="I401" s="52" t="n">
        <x:v>2.5272e+24</x:v>
      </x:c>
      <x:c r="J401" s="32" t="str">
        <x:v>Confident</x:v>
      </x:c>
      <x:c r="K401" s="32" t="str">
        <x:v>Google's largest model in the PaLM series.</x:v>
      </x:c>
      <x:c r="L401" s="32" t="str"/>
      <x:c r="M401" s="32" t="str"/>
      <x:c r="N401" s="32" t="str">
        <x:v>PaLM (540B)</x:v>
      </x:c>
      <x:c r="O401" s="32" t="str">
        <x:v>palm-540b</x:v>
      </x:c>
      <x:c r="P401" s="44" t="str"/>
      <x:c r="Q401" s="44" t="str"/>
      <x:c r="R401" s="44" t="str"/>
    </x:row>
    <x:row r="402">
      <x:c r="A402" s="32" t="str">
        <x:v>Mistral 7B</x:v>
      </x:c>
      <x:c r="B402" s="32" t="str">
        <x:v>Mistral-7B-Instruct-v0.1</x:v>
      </x:c>
      <x:c r="C402" s="32" t="str"/>
      <x:c r="D402" s="32" t="str">
        <x:v>Mistral AI</x:v>
      </x:c>
      <x:c r="E402" s="32" t="str">
        <x:v>France</x:v>
      </x:c>
      <x:c r="F402" s="34" t="n">
        <x:v>45196</x:v>
      </x:c>
      <x:c r="G402" s="32" t="str">
        <x:v>Open weights (unrestricted)</x:v>
      </x:c>
      <x:c r="H402" s="34" t="n">
        <x:v>45209</x:v>
      </x:c>
      <x:c r="I402" s="52" t="str"/>
      <x:c r="J402" s="32" t="str">
        <x:v>Confident</x:v>
      </x:c>
      <x:c r="K402" s="32" t="str"/>
      <x:c r="L402" s="32" t="str"/>
      <x:c r="M402" s="32" t="str">
        <x:v>Mistral 7B v0.1</x:v>
      </x:c>
      <x:c r="N402" s="32" t="str">
        <x:v>Mistral 7B v0.1</x:v>
      </x:c>
      <x:c r="O402" s="32" t="str">
        <x:v>mistral-7b-v0-1</x:v>
      </x:c>
      <x:c r="P402" s="44" t="n">
        <x:v>111.98</x:v>
      </x:c>
      <x:c r="Q402" s="44" t="n">
        <x:v>102.38</x:v>
      </x:c>
      <x:c r="R402" s="44" t="n">
        <x:v>115.99</x:v>
      </x:c>
    </x:row>
    <x:row r="403">
      <x:c r="A403" s="32" t="str">
        <x:v>Mixtral 8x7B</x:v>
      </x:c>
      <x:c r="B403" s="32" t="str">
        <x:v>Mixtral-8x7B-v0.1</x:v>
      </x:c>
      <x:c r="C403" s="32" t="str"/>
      <x:c r="D403" s="32" t="str">
        <x:v>Mistral AI</x:v>
      </x:c>
      <x:c r="E403" s="32" t="str">
        <x:v>France</x:v>
      </x:c>
      <x:c r="F403" s="34" t="n">
        <x:v>45271</x:v>
      </x:c>
      <x:c r="G403" s="32" t="str">
        <x:v>Open weights (unrestricted)</x:v>
      </x:c>
      <x:c r="H403" s="34" t="n">
        <x:v>45271</x:v>
      </x:c>
      <x:c r="I403" s="52" t="n">
        <x:v>7.74e+23</x:v>
      </x:c>
      <x:c r="J403" s="32" t="str">
        <x:v>Speculative</x:v>
      </x:c>
      <x:c r="K403" s="32" t="str"/>
      <x:c r="L403" s="32" t="str"/>
      <x:c r="M403" s="32" t="str"/>
      <x:c r="N403" s="32" t="str">
        <x:v>Mixtral 8x7B</x:v>
      </x:c>
      <x:c r="O403" s="32" t="str">
        <x:v>mixtral-8x7b</x:v>
      </x:c>
      <x:c r="P403" s="44" t="n">
        <x:v>118.13</x:v>
      </x:c>
      <x:c r="Q403" s="44" t="n">
        <x:v>109.36</x:v>
      </x:c>
      <x:c r="R403" s="44" t="n">
        <x:v>120.78</x:v>
      </x:c>
    </x:row>
    <x:row r="404">
      <x:c r="A404" s="32" t="str">
        <x:v>Nemotron-4 15B</x:v>
      </x:c>
      <x:c r="B404" s="32" t="str">
        <x:v>Nemotron-4 15B</x:v>
      </x:c>
      <x:c r="C404" s="32" t="str"/>
      <x:c r="D404" s="32" t="str">
        <x:v>NVIDIA</x:v>
      </x:c>
      <x:c r="E404" s="32" t="str">
        <x:v>United States of America</x:v>
      </x:c>
      <x:c r="F404" s="34" t="n">
        <x:v>45348</x:v>
      </x:c>
      <x:c r="G404" s="32" t="str">
        <x:v>Unreleased</x:v>
      </x:c>
      <x:c r="H404" s="34" t="n">
        <x:v>45349</x:v>
      </x:c>
      <x:c r="I404" s="52" t="n">
        <x:v>7.5005116e+23</x:v>
      </x:c>
      <x:c r="J404" s="32" t="str">
        <x:v>Confident</x:v>
      </x:c>
      <x:c r="K404" s="32" t="str">
        <x:v>A 15 billion-parameter language model trained by Nvidia.</x:v>
      </x:c>
      <x:c r="L404" s="32" t="str"/>
      <x:c r="M404" s="32" t="str"/>
      <x:c r="N404" s="32" t="str">
        <x:v>Nemotron-4 15B</x:v>
      </x:c>
      <x:c r="O404" s="32" t="str">
        <x:v>nemotron-4-15b</x:v>
      </x:c>
      <x:c r="P404" s="44" t="n">
        <x:v>107.48</x:v>
      </x:c>
      <x:c r="Q404" s="44" t="n">
        <x:v>96.93</x:v>
      </x:c>
      <x:c r="R404" s="44" t="n">
        <x:v>113.63</x:v>
      </x:c>
    </x:row>
    <x:row r="405">
      <x:c r="A405" s="32" t="str"/>
      <x:c r="B405" s="32" t="str">
        <x:v>vicuna-13b-v1.1</x:v>
      </x:c>
      <x:c r="C405" s="32" t="str"/>
      <x:c r="D405" s="32" t="str"/>
      <x:c r="E405" s="32" t="str"/>
      <x:c r="F405" s="34" t="n">
        <x:v>45028</x:v>
      </x:c>
      <x:c r="G405" s="32" t="str"/>
      <x:c r="H405" s="34"/>
      <x:c r="I405" s="52" t="str"/>
      <x:c r="J405" s="32" t="str">
        <x:v>Unverified</x:v>
      </x:c>
      <x:c r="K405" s="32" t="str"/>
      <x:c r="L405" s="32" t="str"/>
      <x:c r="M405" s="32" t="str"/>
      <x:c r="N405" s="32" t="str"/>
      <x:c r="O405" s="32" t="str">
        <x:v>vicuna-13b-v1-1</x:v>
      </x:c>
      <x:c r="P405" s="44" t="str"/>
      <x:c r="Q405" s="44" t="str"/>
      <x:c r="R405" s="44" t="str"/>
    </x:row>
    <x:row r="406">
      <x:c r="A406" s="32" t="str">
        <x:v>OPT-1.3B</x:v>
      </x:c>
      <x:c r="B406" s="32" t="str">
        <x:v>opt-1.3b</x:v>
      </x:c>
      <x:c r="C406" s="32" t="str"/>
      <x:c r="D406" s="32" t="str">
        <x:v>Meta AI</x:v>
      </x:c>
      <x:c r="E406" s="32" t="str">
        <x:v>United States of America</x:v>
      </x:c>
      <x:c r="F406" s="34" t="n">
        <x:v>44692</x:v>
      </x:c>
      <x:c r="G406" s="32" t="str">
        <x:v>Open weights (non-commercial)</x:v>
      </x:c>
      <x:c r="H406" s="34" t="n">
        <x:v>44733</x:v>
      </x:c>
      <x:c r="I406" s="52" t="str"/>
      <x:c r="J406" s="32" t="str">
        <x:v>Confident</x:v>
      </x:c>
      <x:c r="K406" s="32" t="str"/>
      <x:c r="L406" s="32" t="str"/>
      <x:c r="M406" s="32" t="str"/>
      <x:c r="N406" s="32" t="str">
        <x:v>OPT-1.3B</x:v>
      </x:c>
      <x:c r="O406" s="32" t="str">
        <x:v>opt-1-3b</x:v>
      </x:c>
      <x:c r="P406" s="44" t="str"/>
      <x:c r="Q406" s="44" t="str"/>
      <x:c r="R406" s="44" t="str"/>
    </x:row>
    <x:row r="407">
      <x:c r="A407" s="32" t="str">
        <x:v>GPT-Neo-2.7B</x:v>
      </x:c>
      <x:c r="B407" s="32" t="str">
        <x:v>gpt-neo-2.7B</x:v>
      </x:c>
      <x:c r="C407" s="32" t="str"/>
      <x:c r="D407" s="32" t="str">
        <x:v>EleutherAI</x:v>
      </x:c>
      <x:c r="E407" s="32" t="str">
        <x:v>United States of America</x:v>
      </x:c>
      <x:c r="F407" s="34" t="n">
        <x:v>45015</x:v>
      </x:c>
      <x:c r="G407" s="32" t="str">
        <x:v>Open weights (unrestricted)</x:v>
      </x:c>
      <x:c r="H407" s="34" t="n">
        <x:v>44276</x:v>
      </x:c>
      <x:c r="I407" s="52" t="n">
        <x:v>7.9e+21</x:v>
      </x:c>
      <x:c r="J407" s="32" t="str">
        <x:v>Confident</x:v>
      </x:c>
      <x:c r="K407" s="32" t="str"/>
      <x:c r="L407" s="32" t="str"/>
      <x:c r="M407" s="32" t="str"/>
      <x:c r="N407" s="32" t="str">
        <x:v>GPT-Neo-2.7B</x:v>
      </x:c>
      <x:c r="O407" s="32" t="str">
        <x:v>gpt-neo-2-7b</x:v>
      </x:c>
      <x:c r="P407" s="44" t="str"/>
      <x:c r="Q407" s="44" t="str"/>
      <x:c r="R407" s="44" t="str"/>
    </x:row>
    <x:row r="408">
      <x:c r="A408" s="32" t="str">
        <x:v>Inflection-1</x:v>
      </x:c>
      <x:c r="B408" s="32" t="str">
        <x:v>Inflection-1</x:v>
      </x:c>
      <x:c r="C408" s="32" t="str"/>
      <x:c r="D408" s="32" t="str">
        <x:v>Inflection AI</x:v>
      </x:c>
      <x:c r="E408" s="32" t="str">
        <x:v>United States of America</x:v>
      </x:c>
      <x:c r="F408" s="34" t="n">
        <x:v>45099</x:v>
      </x:c>
      <x:c r="G408" s="32" t="str">
        <x:v>Hosted access (no API)</x:v>
      </x:c>
      <x:c r="H408" s="34" t="n">
        <x:v>45100</x:v>
      </x:c>
      <x:c r="I408" s="52" t="n">
        <x:v>1.0001e+24</x:v>
      </x:c>
      <x:c r="J408" s="32" t="str">
        <x:v>Speculative</x:v>
      </x:c>
      <x:c r="K408" s="32" t="str"/>
      <x:c r="L408" s="32" t="str"/>
      <x:c r="M408" s="32" t="str"/>
      <x:c r="N408" s="32" t="str">
        <x:v>Inflection-1</x:v>
      </x:c>
      <x:c r="O408" s="32" t="str">
        <x:v>inflection-1</x:v>
      </x:c>
      <x:c r="P408" s="44" t="str"/>
      <x:c r="Q408" s="44" t="str"/>
      <x:c r="R408" s="44" t="str"/>
    </x:row>
    <x:row r="409">
      <x:c r="A409" s="32" t="str">
        <x:v>Falcon-180B</x:v>
      </x:c>
      <x:c r="B409" s="32" t="str">
        <x:v>falcon-180B</x:v>
      </x:c>
      <x:c r="C409" s="32" t="str"/>
      <x:c r="D409" s="32" t="str">
        <x:v>Technology Innovation Institute</x:v>
      </x:c>
      <x:c r="E409" s="32" t="str">
        <x:v>United Arab Emirates</x:v>
      </x:c>
      <x:c r="F409" s="34" t="n">
        <x:v>45175</x:v>
      </x:c>
      <x:c r="G409" s="32" t="str">
        <x:v>Open weights (restricted use)</x:v>
      </x:c>
      <x:c r="H409" s="34" t="n">
        <x:v>45175</x:v>
      </x:c>
      <x:c r="I409" s="52" t="n">
        <x:v>3.76e+24</x:v>
      </x:c>
      <x:c r="J409" s="32" t="str">
        <x:v>Confident</x:v>
      </x:c>
      <x:c r="K409" s="32" t="str">
        <x:v>The 180 billion-parameter model in the Falcon series.</x:v>
      </x:c>
      <x:c r="L409" s="32" t="str"/>
      <x:c r="M409" s="32" t="str"/>
      <x:c r="N409" s="32" t="str">
        <x:v>Falcon-180B</x:v>
      </x:c>
      <x:c r="O409" s="32" t="str">
        <x:v>falcon-180b</x:v>
      </x:c>
      <x:c r="P409" s="44" t="n">
        <x:v>111.92</x:v>
      </x:c>
      <x:c r="Q409" s="44" t="n">
        <x:v>102.04</x:v>
      </x:c>
      <x:c r="R409" s="44" t="n">
        <x:v>119.45</x:v>
      </x:c>
    </x:row>
    <x:row r="410">
      <x:c r="A410" s="32" t="str">
        <x:v>XGen-7B</x:v>
      </x:c>
      <x:c r="B410" s="32" t="str">
        <x:v>xgen-7b-8k-base</x:v>
      </x:c>
      <x:c r="C410" s="32" t="str"/>
      <x:c r="D410" s="32" t="str">
        <x:v>Salesforce</x:v>
      </x:c>
      <x:c r="E410" s="32" t="str">
        <x:v>United States of America</x:v>
      </x:c>
      <x:c r="F410" s="34" t="n">
        <x:v>45104</x:v>
      </x:c>
      <x:c r="G410" s="32" t="str">
        <x:v>Open weights (unrestricted)</x:v>
      </x:c>
      <x:c r="H410" s="34" t="n">
        <x:v>45176</x:v>
      </x:c>
      <x:c r="I410" s="52" t="n">
        <x:v>8.02e+22</x:v>
      </x:c>
      <x:c r="J410" s="32" t="str">
        <x:v>Confident</x:v>
      </x:c>
      <x:c r="K410" s="32" t="str"/>
      <x:c r="L410" s="32" t="str">
        <x:v>XGen-7B</x:v>
      </x:c>
      <x:c r="M410" s="32" t="str"/>
      <x:c r="N410" s="32" t="str">
        <x:v>XGen-7B</x:v>
      </x:c>
      <x:c r="O410" s="32" t="str">
        <x:v>xgen-7b</x:v>
      </x:c>
      <x:c r="P410" s="44" t="n">
        <x:v>93.11</x:v>
      </x:c>
      <x:c r="Q410" s="44" t="n">
        <x:v>79.82</x:v>
      </x:c>
      <x:c r="R410" s="44" t="n">
        <x:v>101.25</x:v>
      </x:c>
    </x:row>
    <x:row r="411">
      <x:c r="A411" s="32" t="str"/>
      <x:c r="B411" s="32" t="str">
        <x:v>open_llama_7b</x:v>
      </x:c>
      <x:c r="C411" s="32" t="str"/>
      <x:c r="D411" s="32" t="str"/>
      <x:c r="E411" s="32" t="str"/>
      <x:c r="F411" s="34" t="n">
        <x:v>45084</x:v>
      </x:c>
      <x:c r="G411" s="32" t="str"/>
      <x:c r="H411" s="34"/>
      <x:c r="I411" s="52" t="str"/>
      <x:c r="J411" s="32" t="str">
        <x:v>Unverified</x:v>
      </x:c>
      <x:c r="K411" s="32" t="str"/>
      <x:c r="L411" s="32" t="str"/>
      <x:c r="M411" s="32" t="str"/>
      <x:c r="N411" s="32" t="str"/>
      <x:c r="O411" s="32" t="str">
        <x:v>open-llama-7b</x:v>
      </x:c>
      <x:c r="P411" s="44" t="str"/>
      <x:c r="Q411" s="44" t="str"/>
      <x:c r="R411" s="44" t="str"/>
    </x:row>
    <x:row r="412">
      <x:c r="A412" s="32" t="str"/>
      <x:c r="B412" s="32" t="str">
        <x:v>RedPajama-INCITE-7B-Base</x:v>
      </x:c>
      <x:c r="C412" s="32" t="str"/>
      <x:c r="D412" s="32" t="str"/>
      <x:c r="E412" s="32" t="str"/>
      <x:c r="F412" s="34" t="n">
        <x:v>45050</x:v>
      </x:c>
      <x:c r="G412" s="32" t="str"/>
      <x:c r="H412" s="34"/>
      <x:c r="I412" s="52" t="str"/>
      <x:c r="J412" s="32" t="str">
        <x:v>Unverified</x:v>
      </x:c>
      <x:c r="K412" s="32" t="str"/>
      <x:c r="L412" s="32" t="str"/>
      <x:c r="M412" s="32" t="str"/>
      <x:c r="N412" s="32" t="str"/>
      <x:c r="O412" s="32" t="str">
        <x:v>redpajama-incite-7b-base</x:v>
      </x:c>
      <x:c r="P412" s="44" t="str"/>
      <x:c r="Q412" s="44" t="str"/>
      <x:c r="R412" s="44" t="str"/>
    </x:row>
    <x:row r="413">
      <x:c r="A413" s="32" t="str">
        <x:v>GPT-NeoX-20B</x:v>
      </x:c>
      <x:c r="B413" s="32" t="str">
        <x:v>gpt-neox-20b</x:v>
      </x:c>
      <x:c r="C413" s="32" t="str"/>
      <x:c r="D413" s="32" t="str">
        <x:v>EleutherAI</x:v>
      </x:c>
      <x:c r="E413" s="32" t="str">
        <x:v>United States of America</x:v>
      </x:c>
      <x:c r="F413" s="34" t="n">
        <x:v>44658</x:v>
      </x:c>
      <x:c r="G413" s="32" t="str">
        <x:v>Open weights (unrestricted)</x:v>
      </x:c>
      <x:c r="H413" s="34" t="n">
        <x:v>44601</x:v>
      </x:c>
      <x:c r="I413" s="52" t="n">
        <x:v>9.31627008e+22</x:v>
      </x:c>
      <x:c r="J413" s="32" t="str">
        <x:v>Confident</x:v>
      </x:c>
      <x:c r="K413" s="32" t="str"/>
      <x:c r="L413" s="32" t="str"/>
      <x:c r="M413" s="32" t="str"/>
      <x:c r="N413" s="32" t="str">
        <x:v>GPT-NeoX-20B</x:v>
      </x:c>
      <x:c r="O413" s="32" t="str">
        <x:v>gpt-neox-20b</x:v>
      </x:c>
      <x:c r="P413" s="44" t="str"/>
      <x:c r="Q413" s="44" t="str"/>
      <x:c r="R413" s="44" t="str"/>
    </x:row>
    <x:row r="414">
      <x:c r="A414" s="32" t="str"/>
      <x:c r="B414" s="32" t="str">
        <x:v>opt-13b</x:v>
      </x:c>
      <x:c r="C414" s="32" t="str"/>
      <x:c r="D414" s="32" t="str"/>
      <x:c r="E414" s="32" t="str"/>
      <x:c r="F414" s="34" t="n">
        <x:v>44692</x:v>
      </x:c>
      <x:c r="G414" s="32" t="str"/>
      <x:c r="H414" s="34"/>
      <x:c r="I414" s="52" t="str"/>
      <x:c r="J414" s="32" t="str">
        <x:v>Unverified</x:v>
      </x:c>
      <x:c r="K414" s="32" t="str"/>
      <x:c r="L414" s="32" t="str"/>
      <x:c r="M414" s="32" t="str"/>
      <x:c r="N414" s="32" t="str"/>
      <x:c r="O414" s="32" t="str">
        <x:v>opt-13b</x:v>
      </x:c>
      <x:c r="P414" s="44" t="str"/>
      <x:c r="Q414" s="44" t="str"/>
      <x:c r="R414" s="44" t="str"/>
    </x:row>
    <x:row r="415">
      <x:c r="A415" s="32" t="str">
        <x:v>GPT-J-6B</x:v>
      </x:c>
      <x:c r="B415" s="32" t="str">
        <x:v>gpt-j-6b</x:v>
      </x:c>
      <x:c r="C415" s="32" t="str"/>
      <x:c r="D415" s="32" t="str">
        <x:v>EleutherAI,LAION</x:v>
      </x:c>
      <x:c r="E415" s="32" t="str">
        <x:v>United States of America,Germany</x:v>
      </x:c>
      <x:c r="F415" s="34" t="n">
        <x:v>44413</x:v>
      </x:c>
      <x:c r="G415" s="32" t="str">
        <x:v>Open weights (unrestricted)</x:v>
      </x:c>
      <x:c r="H415" s="34" t="n">
        <x:v>44317</x:v>
      </x:c>
      <x:c r="I415" s="52" t="n">
        <x:v>1.5e+22</x:v>
      </x:c>
      <x:c r="J415" s="32" t="str">
        <x:v>Confident</x:v>
      </x:c>
      <x:c r="K415" s="32" t="str"/>
      <x:c r="L415" s="32" t="str"/>
      <x:c r="M415" s="32" t="str"/>
      <x:c r="N415" s="32" t="str">
        <x:v>GPT-J-6B</x:v>
      </x:c>
      <x:c r="O415" s="32" t="str">
        <x:v>gpt-j-6b</x:v>
      </x:c>
      <x:c r="P415" s="44" t="str"/>
      <x:c r="Q415" s="44" t="str"/>
      <x:c r="R415" s="44" t="str"/>
    </x:row>
    <x:row r="416">
      <x:c r="A416" s="32" t="str">
        <x:v>Dolly 2.0-12b</x:v>
      </x:c>
      <x:c r="B416" s="32" t="str">
        <x:v>dolly-v2-12b</x:v>
      </x:c>
      <x:c r="C416" s="32" t="str"/>
      <x:c r="D416" s="32" t="str">
        <x:v>Databricks</x:v>
      </x:c>
      <x:c r="E416" s="32" t="str">
        <x:v>United States of America</x:v>
      </x:c>
      <x:c r="F416" s="34" t="n">
        <x:v>45027</x:v>
      </x:c>
      <x:c r="G416" s="32" t="str">
        <x:v>Open weights (unrestricted)</x:v>
      </x:c>
      <x:c r="H416" s="34" t="n">
        <x:v>45028</x:v>
      </x:c>
      <x:c r="I416" s="52" t="str"/>
      <x:c r="J416" s="32" t="str">
        <x:v>Confident</x:v>
      </x:c>
      <x:c r="K416" s="32" t="str"/>
      <x:c r="L416" s="32" t="str"/>
      <x:c r="M416" s="32" t="str"/>
      <x:c r="N416" s="32" t="str">
        <x:v>Dolly 2.0-12b</x:v>
      </x:c>
      <x:c r="O416" s="32" t="str">
        <x:v>dolly-2-0-12b</x:v>
      </x:c>
      <x:c r="P416" s="44" t="n">
        <x:v>89.37</x:v>
      </x:c>
      <x:c r="Q416" s="44" t="n">
        <x:v>74.42</x:v>
      </x:c>
      <x:c r="R416" s="44" t="n">
        <x:v>98.45</x:v>
      </x:c>
    </x:row>
    <x:row r="417">
      <x:c r="A417" s="32" t="str">
        <x:v>Cerebras-GPT-13B</x:v>
      </x:c>
      <x:c r="B417" s="32" t="str">
        <x:v>Cerebras-GPT-13B</x:v>
      </x:c>
      <x:c r="C417" s="32" t="str"/>
      <x:c r="D417" s="32" t="str">
        <x:v>Cerebras Systems</x:v>
      </x:c>
      <x:c r="E417" s="32" t="str">
        <x:v>United States of America</x:v>
      </x:c>
      <x:c r="F417" s="34" t="n">
        <x:v>45005</x:v>
      </x:c>
      <x:c r="G417" s="32" t="str">
        <x:v>Open weights (unrestricted)</x:v>
      </x:c>
      <x:c r="H417" s="34" t="n">
        <x:v>45022</x:v>
      </x:c>
      <x:c r="I417" s="52" t="n">
        <x:v>2.3e+22</x:v>
      </x:c>
      <x:c r="J417" s="32" t="str">
        <x:v>Confident</x:v>
      </x:c>
      <x:c r="K417" s="32" t="str"/>
      <x:c r="L417" s="32" t="str"/>
      <x:c r="M417" s="32" t="str"/>
      <x:c r="N417" s="32" t="str">
        <x:v>Cerebras-GPT-13B</x:v>
      </x:c>
      <x:c r="O417" s="32" t="str">
        <x:v>cerebras-gpt-13b</x:v>
      </x:c>
      <x:c r="P417" s="44" t="n">
        <x:v>82.95</x:v>
      </x:c>
      <x:c r="Q417" s="44" t="n">
        <x:v>67.22</x:v>
      </x:c>
      <x:c r="R417" s="44" t="n">
        <x:v>92.99</x:v>
      </x:c>
    </x:row>
    <x:row r="418">
      <x:c r="A418" s="32" t="str"/>
      <x:c r="B418" s="32" t="str">
        <x:v>stablelm-tuned-alpha-7b</x:v>
      </x:c>
      <x:c r="C418" s="32" t="str"/>
      <x:c r="D418" s="32" t="str"/>
      <x:c r="E418" s="32" t="str"/>
      <x:c r="F418" s="34" t="n">
        <x:v>45035</x:v>
      </x:c>
      <x:c r="G418" s="32" t="str"/>
      <x:c r="H418" s="34"/>
      <x:c r="I418" s="52" t="str"/>
      <x:c r="J418" s="32" t="str">
        <x:v>Unverified</x:v>
      </x:c>
      <x:c r="K418" s="32" t="str"/>
      <x:c r="L418" s="32" t="str"/>
      <x:c r="M418" s="32" t="str"/>
      <x:c r="N418" s="32" t="str"/>
      <x:c r="O418" s="32" t="str">
        <x:v>stablelm-tuned-alpha-7b</x:v>
      </x:c>
      <x:c r="P418" s="44" t="str"/>
      <x:c r="Q418" s="44" t="str"/>
      <x:c r="R418" s="44" t="str"/>
    </x:row>
    <x:row r="419">
      <x:c r="A419" s="32" t="str">
        <x:v>Claude Sonnet 5</x:v>
      </x:c>
      <x:c r="B419" s="32" t="str">
        <x:v>claude-sonnet-5_high</x:v>
      </x:c>
      <x:c r="C419" s="32" t="str">
        <x:v>Claude Sonnet 5 (high)</x:v>
      </x:c>
      <x:c r="D419" s="32" t="str">
        <x:v>Anthropic</x:v>
      </x:c>
      <x:c r="E419" s="32" t="str">
        <x:v>United States of America</x:v>
      </x:c>
      <x:c r="F419" s="34" t="n">
        <x:v>46203</x:v>
      </x:c>
      <x:c r="G419" s="32" t="str">
        <x:v>API access</x:v>
      </x:c>
      <x:c r="H419" s="34" t="n">
        <x:v>46203</x:v>
      </x:c>
      <x:c r="I419" s="52" t="str"/>
      <x:c r="J419" s="32" t="str">
        <x:v>Confident</x:v>
      </x:c>
      <x:c r="K419" s="32" t="str"/>
      <x:c r="L419" s="32" t="str">
        <x:v>Claude Sonnet 5 (high)</x:v>
      </x:c>
      <x:c r="M419" s="32" t="str"/>
      <x:c r="N419" s="32" t="str">
        <x:v>Claude Sonnet 5</x:v>
      </x:c>
      <x:c r="O419" s="32" t="str">
        <x:v>claude-sonnet-5</x:v>
      </x:c>
      <x:c r="P419" s="44" t="n">
        <x:v>153.2</x:v>
      </x:c>
      <x:c r="Q419" s="44" t="n">
        <x:v>150.47</x:v>
      </x:c>
      <x:c r="R419" s="44" t="n">
        <x:v>155.24</x:v>
      </x:c>
    </x:row>
    <x:row r="420">
      <x:c r="A420" s="32" t="str">
        <x:v>o3-pro</x:v>
      </x:c>
      <x:c r="B420" s="32" t="str">
        <x:v>o3-pro-2025-06-10_high</x:v>
      </x:c>
      <x:c r="C420" s="32" t="str"/>
      <x:c r="D420" s="32" t="str">
        <x:v>OpenAI</x:v>
      </x:c>
      <x:c r="E420" s="32" t="str">
        <x:v>United States of America</x:v>
      </x:c>
      <x:c r="F420" s="34" t="n">
        <x:v>45818</x:v>
      </x:c>
      <x:c r="G420" s="32" t="str"/>
      <x:c r="H420" s="34" t="n">
        <x:v>45818</x:v>
      </x:c>
      <x:c r="I420" s="52" t="str"/>
      <x:c r="J420" s="32" t="str">
        <x:v>Unknown</x:v>
      </x:c>
      <x:c r="K420" s="32" t="str">
        <x:v>An enhanced version of OpenAI's previous flagship reasoning model o3, evaluated with high reasoning effort.</x:v>
      </x:c>
      <x:c r="L420" s="32" t="str"/>
      <x:c r="M420" s="32" t="str"/>
      <x:c r="N420" s="32" t="str">
        <x:v>o3-pro</x:v>
      </x:c>
      <x:c r="O420" s="32" t="str">
        <x:v>o3-pro</x:v>
      </x:c>
      <x:c r="P420" s="44" t="n">
        <x:v>147.92</x:v>
      </x:c>
      <x:c r="Q420" s="44" t="n">
        <x:v>146.24</x:v>
      </x:c>
      <x:c r="R420" s="44" t="n">
        <x:v>150.45</x:v>
      </x:c>
    </x:row>
    <x:row r="421">
      <x:c r="A421" s="32" t="str">
        <x:v>GPT-5.4 Pro</x:v>
      </x:c>
      <x:c r="B421" s="32" t="str">
        <x:v>gpt-5.4-pro-2026-03-05_none</x:v>
      </x:c>
      <x:c r="C421" s="32" t="str">
        <x:v>GPT-5.4 Pro (no thinking)</x:v>
      </x:c>
      <x:c r="D421" s="32" t="str">
        <x:v>OpenAI</x:v>
      </x:c>
      <x:c r="E421" s="32" t="str">
        <x:v>United States of America</x:v>
      </x:c>
      <x:c r="F421" s="34" t="n">
        <x:v>46086</x:v>
      </x:c>
      <x:c r="G421" s="32" t="str">
        <x:v>API access</x:v>
      </x:c>
      <x:c r="H421" s="34" t="n">
        <x:v>46086</x:v>
      </x:c>
      <x:c r="I421" s="52" t="str"/>
      <x:c r="J421" s="32" t="str">
        <x:v>Likely</x:v>
      </x:c>
      <x:c r="K421" s="32" t="str"/>
      <x:c r="L421" s="32" t="str">
        <x:v>GPT-5.4 Pro (no thinking)</x:v>
      </x:c>
      <x:c r="M421" s="32" t="str"/>
      <x:c r="N421" s="32" t="str">
        <x:v>GPT-5.4 Pro</x:v>
      </x:c>
      <x:c r="O421" s="32" t="str">
        <x:v>gpt-5-4-pro</x:v>
      </x:c>
      <x:c r="P421" s="44" t="n">
        <x:v>157.83</x:v>
      </x:c>
      <x:c r="Q421" s="44" t="n">
        <x:v>155.96</x:v>
      </x:c>
      <x:c r="R421" s="44" t="n">
        <x:v>160.88</x:v>
      </x:c>
    </x:row>
    <x:row r="422">
      <x:c r="A422" s="32" t="str">
        <x:v>GPT‑5-Codex</x:v>
      </x:c>
      <x:c r="B422" s="32" t="str">
        <x:v>gpt-5-codex</x:v>
      </x:c>
      <x:c r="C422" s="32" t="str">
        <x:v>GPT-5-codex</x:v>
      </x:c>
      <x:c r="D422" s="32" t="str">
        <x:v>OpenAI</x:v>
      </x:c>
      <x:c r="E422" s="32" t="str">
        <x:v>United States of America</x:v>
      </x:c>
      <x:c r="F422" s="34" t="n">
        <x:v>45915</x:v>
      </x:c>
      <x:c r="G422" s="32" t="str">
        <x:v>API access</x:v>
      </x:c>
      <x:c r="H422" s="34" t="n">
        <x:v>45915</x:v>
      </x:c>
      <x:c r="I422" s="52" t="str"/>
      <x:c r="J422" s="32" t="str">
        <x:v>Unknown</x:v>
      </x:c>
      <x:c r="K422" s="32" t="str"/>
      <x:c r="L422" s="32" t="str">
        <x:v>GPT-5-codex</x:v>
      </x:c>
      <x:c r="M422" s="32" t="str"/>
      <x:c r="N422" s="32" t="str">
        <x:v>GPT‑5-Codex</x:v>
      </x:c>
      <x:c r="O422" s="32" t="str">
        <x:v>gpt5-codex</x:v>
      </x:c>
      <x:c r="P422" s="44" t="str"/>
      <x:c r="Q422" s="44" t="str"/>
      <x:c r="R422" s="44" t="str"/>
    </x:row>
    <x:row r="423">
      <x:c r="A423" s="32" t="str">
        <x:v>GPT‑5-Codex</x:v>
      </x:c>
      <x:c r="B423" s="32" t="str">
        <x:v>gpt-5-codex_high</x:v>
      </x:c>
      <x:c r="C423" s="32" t="str">
        <x:v>GPT-5-codex (high)</x:v>
      </x:c>
      <x:c r="D423" s="32" t="str">
        <x:v>OpenAI</x:v>
      </x:c>
      <x:c r="E423" s="32" t="str">
        <x:v>United States of America</x:v>
      </x:c>
      <x:c r="F423" s="34" t="n">
        <x:v>45915</x:v>
      </x:c>
      <x:c r="G423" s="32" t="str">
        <x:v>API access</x:v>
      </x:c>
      <x:c r="H423" s="34" t="n">
        <x:v>45915</x:v>
      </x:c>
      <x:c r="I423" s="52" t="str"/>
      <x:c r="J423" s="32" t="str">
        <x:v>Unknown</x:v>
      </x:c>
      <x:c r="K423" s="32" t="str"/>
      <x:c r="L423" s="32" t="str">
        <x:v>GPT-5-codex</x:v>
      </x:c>
      <x:c r="M423" s="32" t="str"/>
      <x:c r="N423" s="32" t="str">
        <x:v>GPT‑5-Codex</x:v>
      </x:c>
      <x:c r="O423" s="32" t="str">
        <x:v>gpt5-codex</x:v>
      </x:c>
      <x:c r="P423" s="44" t="str"/>
      <x:c r="Q423" s="44" t="str"/>
      <x:c r="R423" s="44" t="str"/>
    </x:row>
    <x:row r="424">
      <x:c r="A424" s="32" t="str">
        <x:v>Gemini 2.5 Pro (Jun 2025)</x:v>
      </x:c>
      <x:c r="B424" s="32" t="str">
        <x:v>gemini-2.5-pro_16K</x:v>
      </x:c>
      <x:c r="C424" s="32" t="str"/>
      <x:c r="D424" s="32" t="str">
        <x:v>Google DeepMind</x:v>
      </x:c>
      <x:c r="E424" s="32" t="str">
        <x:v>United States of America</x:v>
      </x:c>
      <x:c r="F424" s="34" t="n">
        <x:v>45825</x:v>
      </x:c>
      <x:c r="G424" s="32" t="str">
        <x:v>API access</x:v>
      </x:c>
      <x:c r="H424" s="34" t="n">
        <x:v>45813</x:v>
      </x:c>
      <x:c r="I424" s="52" t="str"/>
      <x:c r="J424" s="32" t="str">
        <x:v>Unknown</x:v>
      </x:c>
      <x:c r="K424" s="32" t="str">
        <x:v>Google’s general-purpose frontier reasoning model, evaluated with up to 16,000 reasoning tokens.</x:v>
      </x:c>
      <x:c r="L424" s="32" t="str">
        <x:v>Gemini 2.5 Pro (16k thinking)</x:v>
      </x:c>
      <x:c r="M424" s="32" t="str">
        <x:v>Gemini 2.5 Pro (Jun 2025)</x:v>
      </x:c>
      <x:c r="N424" s="32" t="str">
        <x:v>Gemini 2.5 Pro (Jun 2025)</x:v>
      </x:c>
      <x:c r="O424" s="32" t="str">
        <x:v>gemini-2-5-pro-jun-2025</x:v>
      </x:c>
      <x:c r="P424" s="44" t="n">
        <x:v>146.08</x:v>
      </x:c>
      <x:c r="Q424" s="44" t="n">
        <x:v>144.33</x:v>
      </x:c>
      <x:c r="R424" s="44" t="n">
        <x:v>147.72</x:v>
      </x:c>
    </x:row>
    <x:row r="425">
      <x:c r="A425" s="32" t="str">
        <x:v>gpt-oss-120b</x:v>
      </x:c>
      <x:c r="B425" s="32" t="str">
        <x:v>gpt-oss-120b_high</x:v>
      </x:c>
      <x:c r="C425" s="32" t="str"/>
      <x:c r="D425" s="32" t="str">
        <x:v>OpenAI</x:v>
      </x:c>
      <x:c r="E425" s="32" t="str">
        <x:v>United States of America</x:v>
      </x:c>
      <x:c r="F425" s="34" t="n">
        <x:v>45874</x:v>
      </x:c>
      <x:c r="G425" s="32" t="str">
        <x:v>Open weights (unrestricted)</x:v>
      </x:c>
      <x:c r="H425" s="34" t="n">
        <x:v>45874</x:v>
      </x:c>
      <x:c r="I425" s="52" t="n">
        <x:v>4.94e+24</x:v>
      </x:c>
      <x:c r="J425" s="32" t="str">
        <x:v>Confident</x:v>
      </x:c>
      <x:c r="K425" s="32" t="str">
        <x:v>The larger one of OpenAI's two latest open source language models, evaluated with high reasoning effort.</x:v>
      </x:c>
      <x:c r="L425" s="32" t="str"/>
      <x:c r="M425" s="32" t="str"/>
      <x:c r="N425" s="32" t="str">
        <x:v>gpt-oss-120b</x:v>
      </x:c>
      <x:c r="O425" s="32" t="str">
        <x:v>gpt-oss-120b</x:v>
      </x:c>
      <x:c r="P425" s="44" t="n">
        <x:v>140.57</x:v>
      </x:c>
      <x:c r="Q425" s="44" t="n">
        <x:v>136.18</x:v>
      </x:c>
      <x:c r="R425" s="44" t="n">
        <x:v>143.08</x:v>
      </x:c>
    </x:row>
    <x:row r="426">
      <x:c r="A426" s="32" t="str">
        <x:v>DeepSeek-V3.2</x:v>
      </x:c>
      <x:c r="B426" s="32" t="str">
        <x:v>DeepSeek-V3.2-Speciale</x:v>
      </x:c>
      <x:c r="C426" s="32" t="str"/>
      <x:c r="D426" s="32" t="str">
        <x:v>DeepSeek</x:v>
      </x:c>
      <x:c r="E426" s="32" t="str">
        <x:v>China</x:v>
      </x:c>
      <x:c r="F426" s="34" t="n">
        <x:v>45992</x:v>
      </x:c>
      <x:c r="G426" s="32" t="str">
        <x:v>Open weights (unrestricted)</x:v>
      </x:c>
      <x:c r="H426" s="34" t="n">
        <x:v>45992</x:v>
      </x:c>
      <x:c r="I426" s="52" t="n">
        <x:v>4.1999999999999997e+24</x:v>
      </x:c>
      <x:c r="J426" s="32" t="str">
        <x:v>Likely</x:v>
      </x:c>
      <x:c r="K426" s="32" t="str"/>
      <x:c r="L426" s="32" t="str"/>
      <x:c r="M426" s="32" t="str">
        <x:v>DeepSeek-V3.2-Speciale</x:v>
      </x:c>
      <x:c r="N426" s="32" t="str">
        <x:v>DeepSeek-V3.2-Speciale</x:v>
      </x:c>
      <x:c r="O426" s="32" t="str">
        <x:v>deepseek-v3-2-speciale</x:v>
      </x:c>
      <x:c r="P426" s="44" t="str"/>
      <x:c r="Q426" s="44" t="str"/>
      <x:c r="R426" s="44" t="str"/>
    </x:row>
    <x:row r="427">
      <x:c r="A427" s="32" t="str">
        <x:v>DeepSeek-V4-Flash</x:v>
      </x:c>
      <x:c r="B427" s="32" t="str">
        <x:v>deepseek-v4-flash_max</x:v>
      </x:c>
      <x:c r="C427" s="32" t="str">
        <x:v>DeepSeek v4 Flash (max)</x:v>
      </x:c>
      <x:c r="D427" s="32" t="str">
        <x:v>DeepSeek</x:v>
      </x:c>
      <x:c r="E427" s="32" t="str">
        <x:v>China</x:v>
      </x:c>
      <x:c r="F427" s="34" t="n">
        <x:v>46136</x:v>
      </x:c>
      <x:c r="G427" s="32" t="str">
        <x:v>Open weights (unrestricted)</x:v>
      </x:c>
      <x:c r="H427" s="34" t="n">
        <x:v>46136</x:v>
      </x:c>
      <x:c r="I427" s="52" t="n">
        <x:v>2.496e+24</x:v>
      </x:c>
      <x:c r="J427" s="32" t="str">
        <x:v>Likely</x:v>
      </x:c>
      <x:c r="K427" s="32" t="str"/>
      <x:c r="L427" s="32" t="str">
        <x:v>DeepSeek v4 (max)</x:v>
      </x:c>
      <x:c r="M427" s="32" t="str"/>
      <x:c r="N427" s="32" t="str">
        <x:v>DeepSeek-V4-Flash</x:v>
      </x:c>
      <x:c r="O427" s="32" t="str">
        <x:v>deepseek-v4-flash</x:v>
      </x:c>
      <x:c r="P427" s="44" t="str"/>
      <x:c r="Q427" s="44" t="str"/>
      <x:c r="R427" s="44" t="str"/>
    </x:row>
    <x:row r="428">
      <x:c r="A428" s="32" t="str">
        <x:v>Claude Haiku 4.5</x:v>
      </x:c>
      <x:c r="B428" s="32" t="str">
        <x:v>claude-haiku-4-5-20251001_16K</x:v>
      </x:c>
      <x:c r="C428" s="32" t="str"/>
      <x:c r="D428" s="32" t="str">
        <x:v>Anthropic</x:v>
      </x:c>
      <x:c r="E428" s="32" t="str">
        <x:v>United States of America</x:v>
      </x:c>
      <x:c r="F428" s="34" t="n">
        <x:v>45945</x:v>
      </x:c>
      <x:c r="G428" s="32" t="str">
        <x:v>API access</x:v>
      </x:c>
      <x:c r="H428" s="34" t="n">
        <x:v>45945</x:v>
      </x:c>
      <x:c r="I428" s="52" t="str"/>
      <x:c r="J428" s="32" t="str">
        <x:v>Unknown</x:v>
      </x:c>
      <x:c r="K428" s="32" t="str"/>
      <x:c r="L428" s="32" t="str">
        <x:v>Claude Haiku 4.5 (16k thinking)</x:v>
      </x:c>
      <x:c r="M428" s="32" t="str"/>
      <x:c r="N428" s="32" t="str">
        <x:v>Claude Haiku 4.5</x:v>
      </x:c>
      <x:c r="O428" s="32" t="str">
        <x:v>claude-haiku-4-5</x:v>
      </x:c>
      <x:c r="P428" s="44" t="n">
        <x:v>142.86</x:v>
      </x:c>
      <x:c r="Q428" s="44" t="n">
        <x:v>139.6</x:v>
      </x:c>
      <x:c r="R428" s="44" t="n">
        <x:v>144.62</x:v>
      </x:c>
    </x:row>
    <x:row r="429">
      <x:c r="A429" s="32" t="str">
        <x:v>Nemotron 3 Ultra</x:v>
      </x:c>
      <x:c r="B429" s="32" t="str">
        <x:v>nemotron-3-ultra</x:v>
      </x:c>
      <x:c r="C429" s="32" t="str"/>
      <x:c r="D429" s="32" t="str">
        <x:v>NVIDIA</x:v>
      </x:c>
      <x:c r="E429" s="32" t="str">
        <x:v>United States of America</x:v>
      </x:c>
      <x:c r="F429" s="34" t="n">
        <x:v>46177</x:v>
      </x:c>
      <x:c r="G429" s="32" t="str">
        <x:v>Open weights (unrestricted)</x:v>
      </x:c>
      <x:c r="H429" s="34" t="n">
        <x:v>46177</x:v>
      </x:c>
      <x:c r="I429" s="52" t="n">
        <x:v>6.6e+24</x:v>
      </x:c>
      <x:c r="J429" s="32" t="str">
        <x:v>Likely</x:v>
      </x:c>
      <x:c r="K429" s="32" t="str"/>
      <x:c r="L429" s="32" t="str"/>
      <x:c r="M429" s="32" t="str"/>
      <x:c r="N429" s="32" t="str">
        <x:v>Nemotron 3 Ultra</x:v>
      </x:c>
      <x:c r="O429" s="32" t="str">
        <x:v>nemotron-3-ultra</x:v>
      </x:c>
      <x:c r="P429" s="44" t="str"/>
      <x:c r="Q429" s="44" t="str"/>
      <x:c r="R429" s="44" t="str"/>
    </x:row>
    <x:row r="430">
      <x:c r="A430" s="32" t="str">
        <x:v>Grok-3 mini</x:v>
      </x:c>
      <x:c r="B430" s="32" t="str">
        <x:v>grok-3-mini_high</x:v>
      </x:c>
      <x:c r="C430" s="32" t="str">
        <x:v>Grok 3 mini</x:v>
      </x:c>
      <x:c r="D430" s="32" t="str">
        <x:v>xAI</x:v>
      </x:c>
      <x:c r="E430" s="32" t="str">
        <x:v>United States of America</x:v>
      </x:c>
      <x:c r="F430" s="34" t="n">
        <x:v>45832</x:v>
      </x:c>
      <x:c r="G430" s="32" t="str">
        <x:v>API access</x:v>
      </x:c>
      <x:c r="H430" s="34" t="n">
        <x:v>45707</x:v>
      </x:c>
      <x:c r="I430" s="52" t="str"/>
      <x:c r="J430" s="32" t="str">
        <x:v>Unknown</x:v>
      </x:c>
      <x:c r="K430" s="32" t="str"/>
      <x:c r="L430" s="32" t="str">
        <x:v>Grok 3 mini (high)</x:v>
      </x:c>
      <x:c r="M430" s="32" t="str"/>
      <x:c r="N430" s="32" t="str">
        <x:v>Grok-3 mini</x:v>
      </x:c>
      <x:c r="O430" s="32" t="str">
        <x:v>grok-3-mini</x:v>
      </x:c>
      <x:c r="P430" s="44" t="n">
        <x:v>141.01</x:v>
      </x:c>
      <x:c r="Q430" s="44" t="n">
        <x:v>137.89</x:v>
      </x:c>
      <x:c r="R430" s="44" t="n">
        <x:v>142.63</x:v>
      </x:c>
    </x:row>
    <x:row r="431">
      <x:c r="A431" s="32" t="str">
        <x:v>Gemini 2.5 Flash</x:v>
      </x:c>
      <x:c r="B431" s="32" t="str">
        <x:v>gemini-2.5-flash-preview-09-2025_16k</x:v>
      </x:c>
      <x:c r="C431" s="32" t="str"/>
      <x:c r="D431" s="32" t="str">
        <x:v>Google DeepMind</x:v>
      </x:c>
      <x:c r="E431" s="32" t="str">
        <x:v>United States of America</x:v>
      </x:c>
      <x:c r="F431" s="34" t="n">
        <x:v>45925</x:v>
      </x:c>
      <x:c r="G431" s="32" t="str">
        <x:v>API access</x:v>
      </x:c>
      <x:c r="H431" s="34" t="n">
        <x:v>45764</x:v>
      </x:c>
      <x:c r="I431" s="52" t="str"/>
      <x:c r="J431" s="32" t="str">
        <x:v>Unknown</x:v>
      </x:c>
      <x:c r="K431" s="32" t="str"/>
      <x:c r="L431" s="32" t="str">
        <x:v>Gemini 2.5 Flash-Lite (Sep 2025, 16k thinking)</x:v>
      </x:c>
      <x:c r="M431" s="32" t="str">
        <x:v>Gemini 2.5 Flash (Sep 2025)</x:v>
      </x:c>
      <x:c r="N431" s="32" t="str">
        <x:v>Gemini 2.5 Flash (Sep 2025)</x:v>
      </x:c>
      <x:c r="O431" s="32" t="str">
        <x:v>gemini-2-5-flash-sep-2025</x:v>
      </x:c>
      <x:c r="P431" s="44" t="n">
        <x:v>143.1</x:v>
      </x:c>
      <x:c r="Q431" s="44" t="n">
        <x:v>138.81</x:v>
      </x:c>
      <x:c r="R431" s="44" t="n">
        <x:v>146.24</x:v>
      </x:c>
    </x:row>
    <x:row r="432">
      <x:c r="A432" s="32" t="str">
        <x:v>gpt-oss-120b</x:v>
      </x:c>
      <x:c r="B432" s="32" t="str">
        <x:v>gpt-oss-120b_medium</x:v>
      </x:c>
      <x:c r="C432" s="32" t="str"/>
      <x:c r="D432" s="32" t="str">
        <x:v>OpenAI</x:v>
      </x:c>
      <x:c r="E432" s="32" t="str">
        <x:v>United States of America</x:v>
      </x:c>
      <x:c r="F432" s="34" t="n">
        <x:v>45874</x:v>
      </x:c>
      <x:c r="G432" s="32" t="str">
        <x:v>Open weights (unrestricted)</x:v>
      </x:c>
      <x:c r="H432" s="34" t="n">
        <x:v>45874</x:v>
      </x:c>
      <x:c r="I432" s="52" t="n">
        <x:v>4.94e+24</x:v>
      </x:c>
      <x:c r="J432" s="32" t="str">
        <x:v>Confident</x:v>
      </x:c>
      <x:c r="K432" s="32" t="str">
        <x:v>The larger one of OpenAI's two latest open source language models, evaluated with medium reasoning effort.</x:v>
      </x:c>
      <x:c r="L432" s="32" t="str"/>
      <x:c r="M432" s="32" t="str"/>
      <x:c r="N432" s="32" t="str">
        <x:v>gpt-oss-120b</x:v>
      </x:c>
      <x:c r="O432" s="32" t="str">
        <x:v>gpt-oss-120b</x:v>
      </x:c>
      <x:c r="P432" s="44" t="n">
        <x:v>140.57</x:v>
      </x:c>
      <x:c r="Q432" s="44" t="n">
        <x:v>136.18</x:v>
      </x:c>
      <x:c r="R432" s="44" t="n">
        <x:v>143.08</x:v>
      </x:c>
    </x:row>
    <x:row r="433">
      <x:c r="A433" s="32" t="str">
        <x:v>Gemini 2.5 Flash</x:v>
      </x:c>
      <x:c r="B433" s="32" t="str">
        <x:v>gemini-2.5-flash-preview-04-17 (16K thinking)</x:v>
      </x:c>
      <x:c r="C433" s="32" t="str"/>
      <x:c r="D433" s="32" t="str">
        <x:v>Google DeepMind</x:v>
      </x:c>
      <x:c r="E433" s="32" t="str">
        <x:v>United States of America</x:v>
      </x:c>
      <x:c r="F433" s="34" t="n">
        <x:v>45764</x:v>
      </x:c>
      <x:c r="G433" s="32" t="str">
        <x:v>API access</x:v>
      </x:c>
      <x:c r="H433" s="34" t="n">
        <x:v>45764</x:v>
      </x:c>
      <x:c r="I433" s="52" t="str"/>
      <x:c r="J433" s="32" t="str">
        <x:v>Unknown</x:v>
      </x:c>
      <x:c r="K433" s="32" t="str">
        <x:v>An April 2025 preview version of Gemini 2.5 Flash, a small reasoning model in the Gemini 2.5 series from DeepMind, evaluated with up to 16,000 reasoning tokens.</x:v>
      </x:c>
      <x:c r="L433" s="32" t="str"/>
      <x:c r="M433" s="32" t="str">
        <x:v>Gemini 2.5 Flash (Apr 2025)</x:v>
      </x:c>
      <x:c r="N433" s="32" t="str">
        <x:v>Gemini 2.5 Flash (Apr 2025)</x:v>
      </x:c>
      <x:c r="O433" s="32" t="str">
        <x:v>gemini-2-5-flash-apr-2025</x:v>
      </x:c>
      <x:c r="P433" s="44" t="n">
        <x:v>140.61</x:v>
      </x:c>
      <x:c r="Q433" s="44" t="n">
        <x:v>135.95</x:v>
      </x:c>
      <x:c r="R433" s="44" t="n">
        <x:v>142.64</x:v>
      </x:c>
    </x:row>
    <x:row r="434">
      <x:c r="A434" s="32" t="str">
        <x:v>Gemini 2.5 Flash</x:v>
      </x:c>
      <x:c r="B434" s="32" t="str">
        <x:v>gemini-2.5-flash-preview-05-20_16K</x:v>
      </x:c>
      <x:c r="C434" s="32" t="str"/>
      <x:c r="D434" s="32" t="str">
        <x:v>Google DeepMind</x:v>
      </x:c>
      <x:c r="E434" s="32" t="str">
        <x:v>United States of America</x:v>
      </x:c>
      <x:c r="F434" s="34" t="n">
        <x:v>45797</x:v>
      </x:c>
      <x:c r="G434" s="32" t="str">
        <x:v>API access</x:v>
      </x:c>
      <x:c r="H434" s="34" t="n">
        <x:v>45764</x:v>
      </x:c>
      <x:c r="I434" s="52" t="str"/>
      <x:c r="J434" s="32" t="str">
        <x:v>Unknown</x:v>
      </x:c>
      <x:c r="K434" s="32" t="str">
        <x:v>An April 2025 preview version of Gemini 2.5 Flash, a small reasoning model in the Gemini 2.5 series from DeepMind, evaluated with up to 16,000 reasoning tokens.</x:v>
      </x:c>
      <x:c r="L434" s="32" t="str"/>
      <x:c r="M434" s="32" t="str">
        <x:v>Gemini 2.5 Flash (May 2025)</x:v>
      </x:c>
      <x:c r="N434" s="32" t="str">
        <x:v>Gemini 2.5 Flash (May 2025)</x:v>
      </x:c>
      <x:c r="O434" s="32" t="str">
        <x:v>gemini-2-5-flash-may-2025</x:v>
      </x:c>
      <x:c r="P434" s="44" t="n">
        <x:v>142.24</x:v>
      </x:c>
      <x:c r="Q434" s="44" t="n">
        <x:v>139.89</x:v>
      </x:c>
      <x:c r="R434" s="44" t="n">
        <x:v>143.54</x:v>
      </x:c>
    </x:row>
    <x:row r="435">
      <x:c r="A435" s="32" t="str">
        <x:v>gpt-oss-20b</x:v>
      </x:c>
      <x:c r="B435" s="32" t="str">
        <x:v>gpt-oss-20b_high</x:v>
      </x:c>
      <x:c r="C435" s="32" t="str"/>
      <x:c r="D435" s="32" t="str">
        <x:v>OpenAI</x:v>
      </x:c>
      <x:c r="E435" s="32" t="str">
        <x:v>United States of America</x:v>
      </x:c>
      <x:c r="F435" s="34" t="n">
        <x:v>45874</x:v>
      </x:c>
      <x:c r="G435" s="32" t="str">
        <x:v>Open weights (unrestricted)</x:v>
      </x:c>
      <x:c r="H435" s="34" t="n">
        <x:v>45874</x:v>
      </x:c>
      <x:c r="I435" s="52" t="n">
        <x:v>5.49e+23</x:v>
      </x:c>
      <x:c r="J435" s="32" t="str">
        <x:v>Confident</x:v>
      </x:c>
      <x:c r="K435" s="32" t="str">
        <x:v>The smaller one of OpenAI's two latest open source language models, evaluated with high reasoning effort.</x:v>
      </x:c>
      <x:c r="L435" s="32" t="str"/>
      <x:c r="M435" s="32" t="str"/>
      <x:c r="N435" s="32" t="str">
        <x:v>gpt-oss-20b</x:v>
      </x:c>
      <x:c r="O435" s="32" t="str">
        <x:v>gpt-oss-20b</x:v>
      </x:c>
      <x:c r="P435" s="44" t="str"/>
      <x:c r="Q435" s="44" t="str"/>
      <x:c r="R435" s="44" t="str"/>
    </x:row>
    <x:row r="436">
      <x:c r="A436" s="32" t="str">
        <x:v>GLM-4.5</x:v>
      </x:c>
      <x:c r="B436" s="32" t="str">
        <x:v>glm-4.5_thinking</x:v>
      </x:c>
      <x:c r="C436" s="32" t="str">
        <x:v>GLM-4.5 Thinking</x:v>
      </x:c>
      <x:c r="D436" s="32" t="str">
        <x:v>Z.ai (Zhipu AI),Tsinghua University</x:v>
      </x:c>
      <x:c r="E436" s="32" t="str">
        <x:v>China</x:v>
      </x:c>
      <x:c r="F436" s="34" t="n">
        <x:v>45874</x:v>
      </x:c>
      <x:c r="G436" s="32" t="str">
        <x:v>Open weights (unrestricted)</x:v>
      </x:c>
      <x:c r="H436" s="34" t="n">
        <x:v>45874</x:v>
      </x:c>
      <x:c r="I436" s="52" t="n">
        <x:v>4.42e+24</x:v>
      </x:c>
      <x:c r="J436" s="32" t="str">
        <x:v>Confident</x:v>
      </x:c>
      <x:c r="K436" s="32" t="str"/>
      <x:c r="L436" s="32" t="str"/>
      <x:c r="M436" s="32" t="str"/>
      <x:c r="N436" s="32" t="str">
        <x:v>GLM-4.5</x:v>
      </x:c>
      <x:c r="O436" s="32" t="str">
        <x:v>glm-4-5</x:v>
      </x:c>
      <x:c r="P436" s="44" t="str"/>
      <x:c r="Q436" s="44" t="str"/>
      <x:c r="R436" s="44" t="str"/>
    </x:row>
    <x:row r="437">
      <x:c r="A437" s="32" t="str">
        <x:v>GPT-5</x:v>
      </x:c>
      <x:c r="B437" s="32" t="str">
        <x:v>gpt-5-chat</x:v>
      </x:c>
      <x:c r="C437" s="32" t="str"/>
      <x:c r="D437" s="32" t="str">
        <x:v>OpenAI</x:v>
      </x:c>
      <x:c r="E437" s="32" t="str">
        <x:v>United States of America</x:v>
      </x:c>
      <x:c r="F437" s="34"/>
      <x:c r="G437" s="32" t="str">
        <x:v>API access</x:v>
      </x:c>
      <x:c r="H437" s="34" t="n">
        <x:v>45876</x:v>
      </x:c>
      <x:c r="I437" s="52" t="n">
        <x:v>6.6e+25</x:v>
      </x:c>
      <x:c r="J437" s="32" t="str">
        <x:v>Speculative</x:v>
      </x:c>
      <x:c r="K437" s="32" t="str"/>
      <x:c r="L437" s="32" t="str"/>
      <x:c r="M437" s="32" t="str"/>
      <x:c r="N437" s="32" t="str">
        <x:v>GPT-5</x:v>
      </x:c>
      <x:c r="O437" s="32" t="str">
        <x:v>gpt-5</x:v>
      </x:c>
      <x:c r="P437" s="44" t="n">
        <x:v>150</x:v>
      </x:c>
      <x:c r="Q437" s="44" t="str"/>
      <x:c r="R437" s="44" t="str"/>
    </x:row>
    <x:row r="438">
      <x:c r="A438" s="32" t="str">
        <x:v>Kimi K2</x:v>
      </x:c>
      <x:c r="B438" s="32" t="str">
        <x:v>kimi-k2-0711-preview</x:v>
      </x:c>
      <x:c r="C438" s="32" t="str"/>
      <x:c r="D438" s="32" t="str">
        <x:v>Moonshot</x:v>
      </x:c>
      <x:c r="E438" s="32" t="str">
        <x:v>China</x:v>
      </x:c>
      <x:c r="F438" s="34" t="n">
        <x:v>45850</x:v>
      </x:c>
      <x:c r="G438" s="32" t="str">
        <x:v>Open weights (restricted use)</x:v>
      </x:c>
      <x:c r="H438" s="34" t="n">
        <x:v>45849</x:v>
      </x:c>
      <x:c r="I438" s="52" t="n">
        <x:v>2.976e+24</x:v>
      </x:c>
      <x:c r="J438" s="32" t="str">
        <x:v>Confident</x:v>
      </x:c>
      <x:c r="K438" s="32" t="str">
        <x:v>A preview of an updated version of Kimi K2.</x:v>
      </x:c>
      <x:c r="L438" s="32" t="str"/>
      <x:c r="M438" s="32" t="str">
        <x:v>Kimi K2 (Jul 2025)</x:v>
      </x:c>
      <x:c r="N438" s="32" t="str">
        <x:v>Kimi K2 (Jul 2025)</x:v>
      </x:c>
      <x:c r="O438" s="32" t="str">
        <x:v>kimi-k2-jul-2025</x:v>
      </x:c>
      <x:c r="P438" s="44" t="n">
        <x:v>140.45</x:v>
      </x:c>
      <x:c r="Q438" s="44" t="n">
        <x:v>137</x:v>
      </x:c>
      <x:c r="R438" s="44" t="n">
        <x:v>142.06</x:v>
      </x:c>
    </x:row>
    <x:row r="439">
      <x:c r="A439" s="32" t="str">
        <x:v>Qwen3-235B-A22B (Jul 2025)</x:v>
      </x:c>
      <x:c r="B439" s="32" t="str">
        <x:v>Qwen3-235B-A22B-Instruct-2507</x:v>
      </x:c>
      <x:c r="C439" s="32" t="str"/>
      <x:c r="D439" s="32" t="str">
        <x:v>Alibaba</x:v>
      </x:c>
      <x:c r="E439" s="32" t="str">
        <x:v>China</x:v>
      </x:c>
      <x:c r="F439" s="34" t="n">
        <x:v>45863</x:v>
      </x:c>
      <x:c r="G439" s="32" t="str">
        <x:v>Open weights (unrestricted)</x:v>
      </x:c>
      <x:c r="H439" s="34" t="n">
        <x:v>45863</x:v>
      </x:c>
      <x:c r="I439" s="52" t="n">
        <x:v>4.752e+24</x:v>
      </x:c>
      <x:c r="J439" s="32" t="str">
        <x:v>Likely</x:v>
      </x:c>
      <x:c r="K439" s="32" t="str">
        <x:v>A 22 billion active (235 billion total)-parameter mixture-of-experts instruction-tuned model in the Qwen 3 series.</x:v>
      </x:c>
      <x:c r="L439" s="32" t="str">
        <x:v>Qwen3 Non-thinking (Jul 2025)</x:v>
      </x:c>
      <x:c r="M439" s="32" t="str">
        <x:v>Qwen3-235B-A22B-Instruct (Jul 2025)</x:v>
      </x:c>
      <x:c r="N439" s="32" t="str">
        <x:v>Qwen3-235B-A22B-Instruct (Jul 2025)</x:v>
      </x:c>
      <x:c r="O439" s="32" t="str">
        <x:v>qwen3-235b-a22b-instruct-jul-2025</x:v>
      </x:c>
      <x:c r="P439" s="44" t="n">
        <x:v>138.96</x:v>
      </x:c>
      <x:c r="Q439" s="44" t="n">
        <x:v>135.35</x:v>
      </x:c>
      <x:c r="R439" s="44" t="n">
        <x:v>140.84</x:v>
      </x:c>
    </x:row>
    <x:row r="440">
      <x:c r="A440" s="32" t="str">
        <x:v>Qwen3-235B-A22B (Jul 2025)</x:v>
      </x:c>
      <x:c r="B440" s="32" t="str">
        <x:v>qwen/qwen3-235b-a22b-thinking-2507</x:v>
      </x:c>
      <x:c r="C440" s="32" t="str">
        <x:v>Qwen3-235B-A22B-Thinking-2507</x:v>
      </x:c>
      <x:c r="D440" s="32" t="str">
        <x:v>Alibaba</x:v>
      </x:c>
      <x:c r="E440" s="32" t="str">
        <x:v>China</x:v>
      </x:c>
      <x:c r="F440" s="34" t="n">
        <x:v>45863</x:v>
      </x:c>
      <x:c r="G440" s="32" t="str">
        <x:v>Open weights (unrestricted)</x:v>
      </x:c>
      <x:c r="H440" s="34" t="n">
        <x:v>45863</x:v>
      </x:c>
      <x:c r="I440" s="52" t="n">
        <x:v>4.752e+24</x:v>
      </x:c>
      <x:c r="J440" s="32" t="str">
        <x:v>Likely</x:v>
      </x:c>
      <x:c r="K440" s="32" t="str"/>
      <x:c r="L440" s="32" t="str"/>
      <x:c r="M440" s="32" t="str">
        <x:v>Qwen3-235B-A22B-Thinking (Jul 2025)</x:v>
      </x:c>
      <x:c r="N440" s="32" t="str">
        <x:v>Qwen3-235B-A22B-Thinking (Jul 2025)</x:v>
      </x:c>
      <x:c r="O440" s="32" t="str">
        <x:v>qwen3-235b-a22b-thinking-jul-2025</x:v>
      </x:c>
      <x:c r="P440" s="44" t="n">
        <x:v>144.78</x:v>
      </x:c>
      <x:c r="Q440" s="44" t="n">
        <x:v>142.35</x:v>
      </x:c>
      <x:c r="R440" s="44" t="n">
        <x:v>147.4</x:v>
      </x:c>
    </x:row>
    <x:row r="441">
      <x:c r="A441" s="32" t="str">
        <x:v>DeepSeek-V3.1</x:v>
      </x:c>
      <x:c r="B441" s="32" t="str">
        <x:v>DeepSeek-V3.1_thinking</x:v>
      </x:c>
      <x:c r="C441" s="32" t="str"/>
      <x:c r="D441" s="32" t="str">
        <x:v>DeepSeek</x:v>
      </x:c>
      <x:c r="E441" s="32" t="str">
        <x:v>China</x:v>
      </x:c>
      <x:c r="F441" s="34" t="n">
        <x:v>45890</x:v>
      </x:c>
      <x:c r="G441" s="32" t="str">
        <x:v>Open weights (unrestricted)</x:v>
      </x:c>
      <x:c r="H441" s="34" t="n">
        <x:v>45890</x:v>
      </x:c>
      <x:c r="I441" s="52" t="n">
        <x:v>3.594058e+24</x:v>
      </x:c>
      <x:c r="J441" s="32" t="str">
        <x:v>Confident</x:v>
      </x:c>
      <x:c r="K441" s="32" t="str"/>
      <x:c r="L441" s="32" t="str">
        <x:v>DeepSeek-V3.1 (thinking)</x:v>
      </x:c>
      <x:c r="M441" s="32" t="str"/>
      <x:c r="N441" s="32" t="str">
        <x:v>DeepSeek-V3.1</x:v>
      </x:c>
      <x:c r="O441" s="32" t="str">
        <x:v>deepseek-v3-1</x:v>
      </x:c>
      <x:c r="P441" s="44" t="n">
        <x:v>138.68</x:v>
      </x:c>
      <x:c r="Q441" s="44" t="n">
        <x:v>135.73</x:v>
      </x:c>
      <x:c r="R441" s="44" t="n">
        <x:v>142.57</x:v>
      </x:c>
    </x:row>
    <x:row r="442">
      <x:c r="A442" s="32" t="str">
        <x:v>GPT-5.4 Nano</x:v>
      </x:c>
      <x:c r="B442" s="32" t="str">
        <x:v>gpt-5.4-nano-2026-03-17_none</x:v>
      </x:c>
      <x:c r="C442" s="32" t="str">
        <x:v>GPT-5.4 nano (no thinking)</x:v>
      </x:c>
      <x:c r="D442" s="32" t="str">
        <x:v>OpenAI</x:v>
      </x:c>
      <x:c r="E442" s="32" t="str">
        <x:v>United States of America</x:v>
      </x:c>
      <x:c r="F442" s="34" t="n">
        <x:v>46098</x:v>
      </x:c>
      <x:c r="G442" s="32" t="str">
        <x:v>API access</x:v>
      </x:c>
      <x:c r="H442" s="34" t="n">
        <x:v>46098</x:v>
      </x:c>
      <x:c r="I442" s="52" t="str"/>
      <x:c r="J442" s="32" t="str">
        <x:v>Likely</x:v>
      </x:c>
      <x:c r="K442" s="32" t="str"/>
      <x:c r="L442" s="32" t="str">
        <x:v>GPT-5.4 nano (no thinking)</x:v>
      </x:c>
      <x:c r="M442" s="32" t="str"/>
      <x:c r="N442" s="32" t="str">
        <x:v>GPT-5.4 Nano</x:v>
      </x:c>
      <x:c r="O442" s="32" t="str">
        <x:v>gpt-5-4-nano</x:v>
      </x:c>
      <x:c r="P442" s="44" t="n">
        <x:v>146.64</x:v>
      </x:c>
      <x:c r="Q442" s="44" t="n">
        <x:v>144.07</x:v>
      </x:c>
      <x:c r="R442" s="44" t="n">
        <x:v>148.4</x:v>
      </x:c>
    </x:row>
    <x:row r="443">
      <x:c r="A443" s="32" t="str">
        <x:v>GPT-5.4 Mini</x:v>
      </x:c>
      <x:c r="B443" s="32" t="str">
        <x:v>gpt-5.4-mini-2026-03-17_none</x:v>
      </x:c>
      <x:c r="C443" s="32" t="str">
        <x:v>GPT-5.4 mini (none)</x:v>
      </x:c>
      <x:c r="D443" s="32" t="str">
        <x:v>OpenAI</x:v>
      </x:c>
      <x:c r="E443" s="32" t="str">
        <x:v>United States of America</x:v>
      </x:c>
      <x:c r="F443" s="34" t="n">
        <x:v>46098</x:v>
      </x:c>
      <x:c r="G443" s="32" t="str">
        <x:v>API access</x:v>
      </x:c>
      <x:c r="H443" s="34" t="n">
        <x:v>46098</x:v>
      </x:c>
      <x:c r="I443" s="52" t="str"/>
      <x:c r="J443" s="32" t="str">
        <x:v>Likely</x:v>
      </x:c>
      <x:c r="K443" s="32" t="str"/>
      <x:c r="L443" s="32" t="str">
        <x:v>GPT-5.4 mini (none)</x:v>
      </x:c>
      <x:c r="M443" s="32" t="str"/>
      <x:c r="N443" s="32" t="str">
        <x:v>GPT-5.4 Mini</x:v>
      </x:c>
      <x:c r="O443" s="32" t="str">
        <x:v>gpt-5-4-mini</x:v>
      </x:c>
      <x:c r="P443" s="44" t="n">
        <x:v>148.9</x:v>
      </x:c>
      <x:c r="Q443" s="44" t="n">
        <x:v>147.11</x:v>
      </x:c>
      <x:c r="R443" s="44" t="n">
        <x:v>150.06</x:v>
      </x:c>
    </x:row>
    <x:row r="444">
      <x:c r="A444" s="32" t="str">
        <x:v>Qwen3-235B-A22B</x:v>
      </x:c>
      <x:c r="B444" s="32" t="str">
        <x:v>Qwen3-235B-A22B</x:v>
      </x:c>
      <x:c r="C444" s="32" t="str"/>
      <x:c r="D444" s="32" t="str">
        <x:v>Alibaba</x:v>
      </x:c>
      <x:c r="E444" s="32" t="str">
        <x:v>China</x:v>
      </x:c>
      <x:c r="F444" s="34" t="n">
        <x:v>45776</x:v>
      </x:c>
      <x:c r="G444" s="32" t="str">
        <x:v>Open weights (unrestricted)</x:v>
      </x:c>
      <x:c r="H444" s="34" t="n">
        <x:v>45776</x:v>
      </x:c>
      <x:c r="I444" s="52" t="n">
        <x:v>4.752e+24</x:v>
      </x:c>
      <x:c r="J444" s="32" t="str">
        <x:v>Likely</x:v>
      </x:c>
      <x:c r="K444" s="32" t="str"/>
      <x:c r="L444" s="32" t="str">
        <x:v>Qwen3 (Apr 2025)</x:v>
      </x:c>
      <x:c r="M444" s="32" t="str"/>
      <x:c r="N444" s="32" t="str">
        <x:v>Qwen3-235B-A22B</x:v>
      </x:c>
      <x:c r="O444" s="32" t="str">
        <x:v>qwen3-235b-a22b</x:v>
      </x:c>
      <x:c r="P444" s="44" t="n">
        <x:v>139.58</x:v>
      </x:c>
      <x:c r="Q444" s="44" t="n">
        <x:v>134.79</x:v>
      </x:c>
      <x:c r="R444" s="44" t="n">
        <x:v>141.08</x:v>
      </x:c>
    </x:row>
    <x:row r="445">
      <x:c r="A445" s="32" t="str">
        <x:v>Grok 3</x:v>
      </x:c>
      <x:c r="B445" s="32" t="str">
        <x:v>grok-3</x:v>
      </x:c>
      <x:c r="C445" s="32" t="str"/>
      <x:c r="D445" s="32" t="str">
        <x:v>xAI</x:v>
      </x:c>
      <x:c r="E445" s="32" t="str">
        <x:v>United States of America</x:v>
      </x:c>
      <x:c r="F445" s="34" t="n">
        <x:v>45756</x:v>
      </x:c>
      <x:c r="G445" s="32" t="str">
        <x:v>API access</x:v>
      </x:c>
      <x:c r="H445" s="34" t="n">
        <x:v>45705</x:v>
      </x:c>
      <x:c r="I445" s="52" t="n">
        <x:v>3.5000000000000006e+26</x:v>
      </x:c>
      <x:c r="J445" s="32" t="str">
        <x:v>Likely</x:v>
      </x:c>
      <x:c r="K445" s="32" t="str">
        <x:v>XAI's third generation flagship model.</x:v>
      </x:c>
      <x:c r="L445" s="32" t="str">
        <x:v>Grok 3</x:v>
      </x:c>
      <x:c r="M445" s="32" t="str"/>
      <x:c r="N445" s="32" t="str">
        <x:v>Grok 3</x:v>
      </x:c>
      <x:c r="O445" s="32" t="str">
        <x:v>grok-3</x:v>
      </x:c>
      <x:c r="P445" s="44" t="n">
        <x:v>139.02</x:v>
      </x:c>
      <x:c r="Q445" s="44" t="n">
        <x:v>136.17</x:v>
      </x:c>
      <x:c r="R445" s="44" t="n">
        <x:v>140.24</x:v>
      </x:c>
    </x:row>
    <x:row r="446">
      <x:c r="A446" s="32" t="str">
        <x:v>gpt-oss-20b</x:v>
      </x:c>
      <x:c r="B446" s="32" t="str">
        <x:v>gpt-oss-20b_medium</x:v>
      </x:c>
      <x:c r="C446" s="32" t="str"/>
      <x:c r="D446" s="32" t="str">
        <x:v>OpenAI</x:v>
      </x:c>
      <x:c r="E446" s="32" t="str">
        <x:v>United States of America</x:v>
      </x:c>
      <x:c r="F446" s="34" t="n">
        <x:v>45874</x:v>
      </x:c>
      <x:c r="G446" s="32" t="str">
        <x:v>Open weights (unrestricted)</x:v>
      </x:c>
      <x:c r="H446" s="34" t="n">
        <x:v>45874</x:v>
      </x:c>
      <x:c r="I446" s="52" t="n">
        <x:v>5.49e+23</x:v>
      </x:c>
      <x:c r="J446" s="32" t="str">
        <x:v>Confident</x:v>
      </x:c>
      <x:c r="K446" s="32" t="str">
        <x:v>The smaller one of OpenAI's two latest open source language models, evaluated with medium reasoning effort.</x:v>
      </x:c>
      <x:c r="L446" s="32" t="str"/>
      <x:c r="M446" s="32" t="str"/>
      <x:c r="N446" s="32" t="str">
        <x:v>gpt-oss-20b</x:v>
      </x:c>
      <x:c r="O446" s="32" t="str">
        <x:v>gpt-oss-20b</x:v>
      </x:c>
      <x:c r="P446" s="44" t="str"/>
      <x:c r="Q446" s="44" t="str"/>
      <x:c r="R446" s="44" t="str"/>
    </x:row>
    <x:row r="447">
      <x:c r="A447" s="32" t="str">
        <x:v>Kimi K2</x:v>
      </x:c>
      <x:c r="B447" s="32" t="str">
        <x:v>Kimi-K2-Instruct-0905</x:v>
      </x:c>
      <x:c r="C447" s="32" t="str"/>
      <x:c r="D447" s="32" t="str">
        <x:v>Moonshot</x:v>
      </x:c>
      <x:c r="E447" s="32" t="str">
        <x:v>China</x:v>
      </x:c>
      <x:c r="F447" s="34" t="n">
        <x:v>45905</x:v>
      </x:c>
      <x:c r="G447" s="32" t="str">
        <x:v>Open weights (restricted use)</x:v>
      </x:c>
      <x:c r="H447" s="34" t="n">
        <x:v>45849</x:v>
      </x:c>
      <x:c r="I447" s="52" t="n">
        <x:v>2.976e+24</x:v>
      </x:c>
      <x:c r="J447" s="32" t="str">
        <x:v>Confident</x:v>
      </x:c>
      <x:c r="K447" s="32" t="str"/>
      <x:c r="L447" s="32" t="str"/>
      <x:c r="M447" s="32" t="str">
        <x:v>Kimi K2 (Sep 2025)</x:v>
      </x:c>
      <x:c r="N447" s="32" t="str">
        <x:v>Kimi K2 (Sep 2025)</x:v>
      </x:c>
      <x:c r="O447" s="32" t="str">
        <x:v>kimi-k2-sep-2025</x:v>
      </x:c>
      <x:c r="P447" s="44" t="n">
        <x:v>140.98</x:v>
      </x:c>
      <x:c r="Q447" s="44" t="n">
        <x:v>138.39</x:v>
      </x:c>
      <x:c r="R447" s="44" t="n">
        <x:v>142.27</x:v>
      </x:c>
    </x:row>
    <x:row r="448">
      <x:c r="A448" s="32" t="str">
        <x:v>Gemini 2.5 Flash-Lite</x:v>
      </x:c>
      <x:c r="B448" s="32" t="str">
        <x:v>gemini-2.5-flash-lite-preview-06-17_16K</x:v>
      </x:c>
      <x:c r="C448" s="32" t="str"/>
      <x:c r="D448" s="32" t="str">
        <x:v>Google DeepMind</x:v>
      </x:c>
      <x:c r="E448" s="32" t="str">
        <x:v>United States of America</x:v>
      </x:c>
      <x:c r="F448" s="34" t="n">
        <x:v>45825</x:v>
      </x:c>
      <x:c r="G448" s="32" t="str">
        <x:v>API access</x:v>
      </x:c>
      <x:c r="H448" s="34" t="n">
        <x:v>45823</x:v>
      </x:c>
      <x:c r="I448" s="52" t="str"/>
      <x:c r="J448" s="32" t="str">
        <x:v>Unknown</x:v>
      </x:c>
      <x:c r="K448" s="32" t="str">
        <x:v>A June 2025 preview of Gemini 2.5 Flash Lite, evaluated with up to 16,000 reasoning tokens.</x:v>
      </x:c>
      <x:c r="L448" s="32" t="str">
        <x:v>Gemini 2.5 Flash-Lite (Jun 2025, 16k thinking)</x:v>
      </x:c>
      <x:c r="M448" s="32" t="str">
        <x:v>Gemini 2.5 Flash-Lite (Jun 2025)</x:v>
      </x:c>
      <x:c r="N448" s="32" t="str">
        <x:v>Gemini 2.5 Flash-Lite (Jun 2025)</x:v>
      </x:c>
      <x:c r="O448" s="32" t="str">
        <x:v>gemini-2-5-flash-lite-jun-2025</x:v>
      </x:c>
      <x:c r="P448" s="44" t="str"/>
      <x:c r="Q448" s="44" t="str"/>
      <x:c r="R448" s="44" t="str"/>
    </x:row>
    <x:row r="449">
      <x:c r="A449" s="32" t="str">
        <x:v>Qwen 3.6 35B-A3B</x:v>
      </x:c>
      <x:c r="B449" s="32" t="str">
        <x:v>qwen3.6-35b-a3b</x:v>
      </x:c>
      <x:c r="C449" s="32" t="str"/>
      <x:c r="D449" s="32" t="str">
        <x:v>Alibaba</x:v>
      </x:c>
      <x:c r="E449" s="32" t="str">
        <x:v>China</x:v>
      </x:c>
      <x:c r="F449" s="34" t="n">
        <x:v>46126</x:v>
      </x:c>
      <x:c r="G449" s="32" t="str">
        <x:v>Open weights (unrestricted)</x:v>
      </x:c>
      <x:c r="H449" s="34" t="n">
        <x:v>46126</x:v>
      </x:c>
      <x:c r="I449" s="52" t="str"/>
      <x:c r="J449" s="32" t="str">
        <x:v>Unverified</x:v>
      </x:c>
      <x:c r="K449" s="32" t="str"/>
      <x:c r="L449" s="32" t="str"/>
      <x:c r="M449" s="32" t="str"/>
      <x:c r="N449" s="32" t="str">
        <x:v>Qwen 3.6 35B-A3B</x:v>
      </x:c>
      <x:c r="O449" s="32" t="str">
        <x:v>qwen-3-6-35b-a3b</x:v>
      </x:c>
      <x:c r="P449" s="44" t="str"/>
      <x:c r="Q449" s="44" t="str"/>
      <x:c r="R449" s="44" t="str"/>
    </x:row>
    <x:row r="450">
      <x:c r="A450" s="32" t="str"/>
      <x:c r="B450" s="32" t="str">
        <x:v>qwen3-coder-next</x:v>
      </x:c>
      <x:c r="C450" s="32" t="str"/>
      <x:c r="D450" s="32" t="str"/>
      <x:c r="E450" s="32" t="str"/>
      <x:c r="F450" s="34" t="n">
        <x:v>46055</x:v>
      </x:c>
      <x:c r="G450" s="32" t="str"/>
      <x:c r="H450" s="34"/>
      <x:c r="I450" s="52" t="str"/>
      <x:c r="J450" s="32" t="str">
        <x:v>Unverified</x:v>
      </x:c>
      <x:c r="K450" s="32" t="str"/>
      <x:c r="L450" s="32" t="str"/>
      <x:c r="M450" s="32" t="str"/>
      <x:c r="N450" s="32" t="str"/>
      <x:c r="O450" s="32" t="str">
        <x:v>qwen3-coder-next</x:v>
      </x:c>
      <x:c r="P450" s="44" t="str"/>
      <x:c r="Q450" s="44" t="str"/>
      <x:c r="R450" s="44" t="str"/>
    </x:row>
    <x:row r="451">
      <x:c r="A451" s="32" t="str">
        <x:v>Qwen3-30B-A3B</x:v>
      </x:c>
      <x:c r="B451" s="32" t="str">
        <x:v>Qwen3-30B-A3B</x:v>
      </x:c>
      <x:c r="C451" s="32" t="str"/>
      <x:c r="D451" s="32" t="str">
        <x:v>Alibaba</x:v>
      </x:c>
      <x:c r="E451" s="32" t="str">
        <x:v>China</x:v>
      </x:c>
      <x:c r="F451" s="34" t="n">
        <x:v>45776</x:v>
      </x:c>
      <x:c r="G451" s="32" t="str">
        <x:v>Open weights (unrestricted)</x:v>
      </x:c>
      <x:c r="H451" s="34" t="n">
        <x:v>45776</x:v>
      </x:c>
      <x:c r="I451" s="52" t="n">
        <x:v>6.48e+23</x:v>
      </x:c>
      <x:c r="J451" s="32" t="str">
        <x:v>Likely</x:v>
      </x:c>
      <x:c r="K451" s="32" t="str"/>
      <x:c r="L451" s="32" t="str">
        <x:v>Qwen3-30B-A3B</x:v>
      </x:c>
      <x:c r="M451" s="32" t="str"/>
      <x:c r="N451" s="32" t="str">
        <x:v>Qwen3-30B-A3B</x:v>
      </x:c>
      <x:c r="O451" s="32" t="str">
        <x:v>qwen3-30b-a3b</x:v>
      </x:c>
      <x:c r="P451" s="44" t="str"/>
      <x:c r="Q451" s="44" t="str"/>
      <x:c r="R451" s="44" t="str"/>
    </x:row>
    <x:row r="452">
      <x:c r="A452" s="32" t="str">
        <x:v>GPT-5 nano</x:v>
      </x:c>
      <x:c r="B452" s="32" t="str">
        <x:v>gpt-5-nano-2025-08-07_low</x:v>
      </x:c>
      <x:c r="C452" s="32" t="str">
        <x:v>GPT-5 nano (low)</x:v>
      </x:c>
      <x:c r="D452" s="32" t="str">
        <x:v>OpenAI</x:v>
      </x:c>
      <x:c r="E452" s="32" t="str">
        <x:v>United States of America</x:v>
      </x:c>
      <x:c r="F452" s="34" t="n">
        <x:v>45876</x:v>
      </x:c>
      <x:c r="G452" s="32" t="str">
        <x:v>API access</x:v>
      </x:c>
      <x:c r="H452" s="34" t="n">
        <x:v>45876</x:v>
      </x:c>
      <x:c r="I452" s="52" t="str"/>
      <x:c r="J452" s="32" t="str">
        <x:v>Unknown</x:v>
      </x:c>
      <x:c r="K452" s="32" t="str">
        <x:v>The smallest version of OpenAI's latest flagship frontier model, benchmarked using medium reasoning effort.</x:v>
      </x:c>
      <x:c r="L452" s="32" t="str">
        <x:v>GPT-5 nano (low)</x:v>
      </x:c>
      <x:c r="M452" s="32" t="str"/>
      <x:c r="N452" s="32" t="str">
        <x:v>GPT-5 nano</x:v>
      </x:c>
      <x:c r="O452" s="32" t="str">
        <x:v>gpt-5-nano</x:v>
      </x:c>
      <x:c r="P452" s="44" t="n">
        <x:v>140.85</x:v>
      </x:c>
      <x:c r="Q452" s="44" t="n">
        <x:v>136.43</x:v>
      </x:c>
      <x:c r="R452" s="44" t="n">
        <x:v>142.54</x:v>
      </x:c>
    </x:row>
    <x:row r="453">
      <x:c r="A453" s="32" t="str">
        <x:v>Mixtral 8x22B</x:v>
      </x:c>
      <x:c r="B453" s="32" t="str">
        <x:v>Mixtral-8x22B-Instruct-v0.1</x:v>
      </x:c>
      <x:c r="C453" s="32" t="str"/>
      <x:c r="D453" s="32" t="str">
        <x:v>Mistral AI</x:v>
      </x:c>
      <x:c r="E453" s="32" t="str">
        <x:v>France</x:v>
      </x:c>
      <x:c r="F453" s="34" t="n">
        <x:v>45399</x:v>
      </x:c>
      <x:c r="G453" s="32" t="str">
        <x:v>Open weights (unrestricted)</x:v>
      </x:c>
      <x:c r="H453" s="34" t="n">
        <x:v>45399</x:v>
      </x:c>
      <x:c r="I453" s="52" t="n">
        <x:v>2.34e+24</x:v>
      </x:c>
      <x:c r="J453" s="32" t="str">
        <x:v>Speculative</x:v>
      </x:c>
      <x:c r="K453" s="32" t="str">
        <x:v>An instruction-tuned version of Mistral's 8 billion active (176 billion total)-parameter mixture-of-experts model</x:v>
      </x:c>
      <x:c r="L453" s="32" t="str"/>
      <x:c r="M453" s="32" t="str"/>
      <x:c r="N453" s="32" t="str">
        <x:v>Mixtral 8x22B</x:v>
      </x:c>
      <x:c r="O453" s="32" t="str">
        <x:v>mixtral-8x22b</x:v>
      </x:c>
      <x:c r="P453" s="44" t="n">
        <x:v>121.28</x:v>
      </x:c>
      <x:c r="Q453" s="44" t="n">
        <x:v>112.48</x:v>
      </x:c>
      <x:c r="R453" s="44" t="n">
        <x:v>123.4</x:v>
      </x:c>
    </x:row>
    <x:row r="454">
      <x:c r="A454" s="32" t="str">
        <x:v>Yi 6B</x:v>
      </x:c>
      <x:c r="B454" s="32" t="str">
        <x:v>Yi-6B</x:v>
      </x:c>
      <x:c r="C454" s="32" t="str"/>
      <x:c r="D454" s="32" t="str">
        <x:v>01.AI</x:v>
      </x:c>
      <x:c r="E454" s="32" t="str">
        <x:v>China</x:v>
      </x:c>
      <x:c r="F454" s="34" t="n">
        <x:v>45232</x:v>
      </x:c>
      <x:c r="G454" s="32" t="str">
        <x:v>Open weights (restricted use)</x:v>
      </x:c>
      <x:c r="H454" s="34" t="n">
        <x:v>45232</x:v>
      </x:c>
      <x:c r="I454" s="52" t="n">
        <x:v>1.26e+23</x:v>
      </x:c>
      <x:c r="J454" s="32" t="str">
        <x:v>Confident</x:v>
      </x:c>
      <x:c r="K454" s="32" t="str"/>
      <x:c r="L454" s="32" t="str">
        <x:v>Yi-6B (chat)</x:v>
      </x:c>
      <x:c r="M454" s="32" t="str"/>
      <x:c r="N454" s="32" t="str">
        <x:v>Yi 6B</x:v>
      </x:c>
      <x:c r="O454" s="32" t="str">
        <x:v>yi-6b</x:v>
      </x:c>
      <x:c r="P454" s="44" t="n">
        <x:v>104.51</x:v>
      </x:c>
      <x:c r="Q454" s="44" t="n">
        <x:v>93.1</x:v>
      </x:c>
      <x:c r="R454" s="44" t="n">
        <x:v>110.55</x:v>
      </x:c>
    </x:row>
    <x:row r="455">
      <x:c r="A455" s="32" t="str"/>
      <x:c r="B455" s="32" t="str">
        <x:v>Yi-9B</x:v>
      </x:c>
      <x:c r="C455" s="32" t="str"/>
      <x:c r="D455" s="32" t="str"/>
      <x:c r="E455" s="32" t="str"/>
      <x:c r="F455" s="34" t="n">
        <x:v>45352</x:v>
      </x:c>
      <x:c r="G455" s="32" t="str"/>
      <x:c r="H455" s="34"/>
      <x:c r="I455" s="52" t="str"/>
      <x:c r="J455" s="32" t="str">
        <x:v>Unverified</x:v>
      </x:c>
      <x:c r="K455" s="32" t="str"/>
      <x:c r="L455" s="32" t="str"/>
      <x:c r="M455" s="32" t="str"/>
      <x:c r="N455" s="32" t="str"/>
      <x:c r="O455" s="32" t="str">
        <x:v>yi-9b</x:v>
      </x:c>
      <x:c r="P455" s="44" t="str"/>
      <x:c r="Q455" s="44" t="str"/>
      <x:c r="R455" s="44" t="str"/>
    </x:row>
    <x:row r="456">
      <x:c r="A456" s="32" t="str"/>
      <x:c r="B456" s="32" t="str">
        <x:v>PaLM 2-S</x:v>
      </x:c>
      <x:c r="C456" s="32" t="str"/>
      <x:c r="D456" s="32" t="str"/>
      <x:c r="E456" s="32" t="str"/>
      <x:c r="F456" s="34" t="n">
        <x:v>45063</x:v>
      </x:c>
      <x:c r="G456" s="32" t="str"/>
      <x:c r="H456" s="34"/>
      <x:c r="I456" s="52" t="str"/>
      <x:c r="J456" s="32" t="str">
        <x:v>Unverified</x:v>
      </x:c>
      <x:c r="K456" s="32" t="str">
        <x:v>DeepMind's smallest model in the PaLM 2 series.</x:v>
      </x:c>
      <x:c r="L456" s="32" t="str"/>
      <x:c r="M456" s="32" t="str"/>
      <x:c r="N456" s="32" t="str"/>
      <x:c r="O456" s="32" t="str">
        <x:v>palm-2-s</x:v>
      </x:c>
      <x:c r="P456" s="44" t="str"/>
      <x:c r="Q456" s="44" t="str"/>
      <x:c r="R456" s="44" t="str"/>
    </x:row>
    <x:row r="457">
      <x:c r="A457" s="32" t="str"/>
      <x:c r="B457" s="32" t="str">
        <x:v>PaLM 2-M</x:v>
      </x:c>
      <x:c r="C457" s="32" t="str"/>
      <x:c r="D457" s="32" t="str"/>
      <x:c r="E457" s="32" t="str"/>
      <x:c r="F457" s="34" t="n">
        <x:v>45063</x:v>
      </x:c>
      <x:c r="G457" s="32" t="str"/>
      <x:c r="H457" s="34"/>
      <x:c r="I457" s="52" t="str"/>
      <x:c r="J457" s="32" t="str">
        <x:v>Unverified</x:v>
      </x:c>
      <x:c r="K457" s="32" t="str">
        <x:v>DeepMind's mid-sized model in the PaLM 2 series.</x:v>
      </x:c>
      <x:c r="L457" s="32" t="str"/>
      <x:c r="M457" s="32" t="str"/>
      <x:c r="N457" s="32" t="str"/>
      <x:c r="O457" s="32" t="str">
        <x:v>palm-2-m</x:v>
      </x:c>
      <x:c r="P457" s="44" t="str"/>
      <x:c r="Q457" s="44" t="str"/>
      <x:c r="R457" s="44" t="str"/>
    </x:row>
    <x:row r="458">
      <x:c r="A458" s="32" t="str"/>
      <x:c r="B458" s="32" t="str">
        <x:v>PaLM 2-L</x:v>
      </x:c>
      <x:c r="C458" s="32" t="str"/>
      <x:c r="D458" s="32" t="str"/>
      <x:c r="E458" s="32" t="str"/>
      <x:c r="F458" s="34" t="n">
        <x:v>45063</x:v>
      </x:c>
      <x:c r="G458" s="32" t="str"/>
      <x:c r="H458" s="34"/>
      <x:c r="I458" s="52" t="str"/>
      <x:c r="J458" s="32" t="str">
        <x:v>Unverified</x:v>
      </x:c>
      <x:c r="K458" s="32" t="str">
        <x:v>DeepMind's largest model in the PaLM 2 series.</x:v>
      </x:c>
      <x:c r="L458" s="32" t="str"/>
      <x:c r="M458" s="32" t="str"/>
      <x:c r="N458" s="32" t="str"/>
      <x:c r="O458" s="32" t="str">
        <x:v>palm-2-l</x:v>
      </x:c>
      <x:c r="P458" s="44" t="str"/>
      <x:c r="Q458" s="44" t="str"/>
      <x:c r="R458" s="44" t="str"/>
    </x:row>
    <x:row r="459">
      <x:c r="A459" s="32" t="str">
        <x:v>Baichuan 2-7B</x:v>
      </x:c>
      <x:c r="B459" s="32" t="str">
        <x:v>Baichuan-2-7B-Base</x:v>
      </x:c>
      <x:c r="C459" s="32" t="str"/>
      <x:c r="D459" s="32" t="str">
        <x:v>Baichuan</x:v>
      </x:c>
      <x:c r="E459" s="32" t="str">
        <x:v>China</x:v>
      </x:c>
      <x:c r="F459" s="34" t="n">
        <x:v>45189</x:v>
      </x:c>
      <x:c r="G459" s="32" t="str">
        <x:v>Open weights (restricted use)</x:v>
      </x:c>
      <x:c r="H459" s="34" t="n">
        <x:v>45189</x:v>
      </x:c>
      <x:c r="I459" s="52" t="n">
        <x:v>1.092e+23</x:v>
      </x:c>
      <x:c r="J459" s="32" t="str">
        <x:v>Confident</x:v>
      </x:c>
      <x:c r="K459" s="32" t="str"/>
      <x:c r="L459" s="32" t="str"/>
      <x:c r="M459" s="32" t="str"/>
      <x:c r="N459" s="32" t="str">
        <x:v>Baichuan 2-7B</x:v>
      </x:c>
      <x:c r="O459" s="32" t="str">
        <x:v>baichuan-2-7b</x:v>
      </x:c>
      <x:c r="P459" s="44" t="n">
        <x:v>96.04</x:v>
      </x:c>
      <x:c r="Q459" s="44" t="n">
        <x:v>84.33</x:v>
      </x:c>
      <x:c r="R459" s="44" t="n">
        <x:v>104.53</x:v>
      </x:c>
    </x:row>
    <x:row r="460">
      <x:c r="A460" s="32" t="str">
        <x:v>phi-3-mini 3.8B</x:v>
      </x:c>
      <x:c r="B460" s="32" t="str">
        <x:v>Phi-3-mini-4k-instruct</x:v>
      </x:c>
      <x:c r="C460" s="32" t="str"/>
      <x:c r="D460" s="32" t="str">
        <x:v>Microsoft</x:v>
      </x:c>
      <x:c r="E460" s="32" t="str">
        <x:v>United States of America</x:v>
      </x:c>
      <x:c r="F460" s="34" t="n">
        <x:v>45405</x:v>
      </x:c>
      <x:c r="G460" s="32" t="str">
        <x:v>Open weights (unrestricted)</x:v>
      </x:c>
      <x:c r="H460" s="34" t="n">
        <x:v>45405</x:v>
      </x:c>
      <x:c r="I460" s="52" t="n">
        <x:v>7.524e+22</x:v>
      </x:c>
      <x:c r="J460" s="32" t="str">
        <x:v>Confident</x:v>
      </x:c>
      <x:c r="K460" s="32" t="str">
        <x:v>A 4 billion-parameter model in Microsoft's Phi-3 open source model series with a 4000-token context length.</x:v>
      </x:c>
      <x:c r="L460" s="32" t="str"/>
      <x:c r="M460" s="32" t="str"/>
      <x:c r="N460" s="32" t="str">
        <x:v>phi-3-mini 3.8B</x:v>
      </x:c>
      <x:c r="O460" s="32" t="str">
        <x:v>phi-3-mini-3-8b</x:v>
      </x:c>
      <x:c r="P460" s="44" t="n">
        <x:v>117.14</x:v>
      </x:c>
      <x:c r="Q460" s="44" t="n">
        <x:v>107.43</x:v>
      </x:c>
      <x:c r="R460" s="44" t="n">
        <x:v>120.17</x:v>
      </x:c>
    </x:row>
    <x:row r="461">
      <x:c r="A461" s="32" t="str">
        <x:v>phi-3-small 7.4B</x:v>
      </x:c>
      <x:c r="B461" s="32" t="str">
        <x:v>Phi-3-small-8k-instruct</x:v>
      </x:c>
      <x:c r="C461" s="32" t="str"/>
      <x:c r="D461" s="32" t="str">
        <x:v>Microsoft</x:v>
      </x:c>
      <x:c r="E461" s="32" t="str">
        <x:v>United States of America</x:v>
      </x:c>
      <x:c r="F461" s="34" t="n">
        <x:v>45405</x:v>
      </x:c>
      <x:c r="G461" s="32" t="str">
        <x:v>Open weights (unrestricted)</x:v>
      </x:c>
      <x:c r="H461" s="34" t="n">
        <x:v>45405</x:v>
      </x:c>
      <x:c r="I461" s="52" t="n">
        <x:v>2.1312e+23</x:v>
      </x:c>
      <x:c r="J461" s="32" t="str">
        <x:v>Confident</x:v>
      </x:c>
      <x:c r="K461" s="32" t="str">
        <x:v>A 7 billion-parameter model in Microsoft's Phi-3 open source model series with a 8000-token context length.</x:v>
      </x:c>
      <x:c r="L461" s="32" t="str"/>
      <x:c r="M461" s="32" t="str"/>
      <x:c r="N461" s="32" t="str">
        <x:v>phi-3-small 7.4B</x:v>
      </x:c>
      <x:c r="O461" s="32" t="str">
        <x:v>phi-3-small-7-4b</x:v>
      </x:c>
      <x:c r="P461" s="44" t="n">
        <x:v>121.64</x:v>
      </x:c>
      <x:c r="Q461" s="44" t="n">
        <x:v>113.57</x:v>
      </x:c>
      <x:c r="R461" s="44" t="n">
        <x:v>124.38</x:v>
      </x:c>
    </x:row>
    <x:row r="462">
      <x:c r="A462" s="32" t="str">
        <x:v>Phi-2</x:v>
      </x:c>
      <x:c r="B462" s="32" t="str">
        <x:v>phi-2</x:v>
      </x:c>
      <x:c r="C462" s="32" t="str"/>
      <x:c r="D462" s="32" t="str">
        <x:v>Microsoft</x:v>
      </x:c>
      <x:c r="E462" s="32" t="str">
        <x:v>United States of America</x:v>
      </x:c>
      <x:c r="F462" s="34" t="n">
        <x:v>45272</x:v>
      </x:c>
      <x:c r="G462" s="32" t="str">
        <x:v>Open weights (unrestricted)</x:v>
      </x:c>
      <x:c r="H462" s="34" t="n">
        <x:v>45272</x:v>
      </x:c>
      <x:c r="I462" s="52" t="n">
        <x:v>2.27e+22</x:v>
      </x:c>
      <x:c r="J462" s="32" t="str">
        <x:v>Confident</x:v>
      </x:c>
      <x:c r="K462" s="32" t="str"/>
      <x:c r="L462" s="32" t="str"/>
      <x:c r="M462" s="32" t="str"/>
      <x:c r="N462" s="32" t="str">
        <x:v>Phi-2</x:v>
      </x:c>
      <x:c r="O462" s="32" t="str">
        <x:v>phi-2</x:v>
      </x:c>
      <x:c r="P462" s="44" t="n">
        <x:v>107.66</x:v>
      </x:c>
      <x:c r="Q462" s="44" t="n">
        <x:v>85.19</x:v>
      </x:c>
      <x:c r="R462" s="44" t="n">
        <x:v>113.86</x:v>
      </x:c>
    </x:row>
    <x:row r="463">
      <x:c r="A463" s="32" t="str"/>
      <x:c r="B463" s="32" t="str">
        <x:v>Qwen2.5-Coder-0.5B</x:v>
      </x:c>
      <x:c r="C463" s="32" t="str"/>
      <x:c r="D463" s="32" t="str"/>
      <x:c r="E463" s="32" t="str"/>
      <x:c r="F463" s="34" t="n">
        <x:v>45553</x:v>
      </x:c>
      <x:c r="G463" s="32" t="str"/>
      <x:c r="H463" s="34"/>
      <x:c r="I463" s="52" t="str"/>
      <x:c r="J463" s="32" t="str">
        <x:v>Unverified</x:v>
      </x:c>
      <x:c r="K463" s="32" t="str">
        <x:v>Qwen's 500 million-parameter model in the Qwen 2.5 Coder series of open source models.</x:v>
      </x:c>
      <x:c r="L463" s="32" t="str"/>
      <x:c r="M463" s="32" t="str"/>
      <x:c r="N463" s="32" t="str"/>
      <x:c r="O463" s="32" t="str">
        <x:v>qwen2-5-coder-0-5b</x:v>
      </x:c>
      <x:c r="P463" s="44" t="str"/>
      <x:c r="Q463" s="44" t="str"/>
      <x:c r="R463" s="44" t="str"/>
    </x:row>
    <x:row r="464">
      <x:c r="A464" s="32" t="str">
        <x:v>DeepSeek Coder 1.3B</x:v>
      </x:c>
      <x:c r="B464" s="32" t="str">
        <x:v>deepseek-coder-1.3b-base</x:v>
      </x:c>
      <x:c r="C464" s="32" t="str"/>
      <x:c r="D464" s="32" t="str">
        <x:v>DeepSeek,Peking University</x:v>
      </x:c>
      <x:c r="E464" s="32" t="str">
        <x:v>China</x:v>
      </x:c>
      <x:c r="F464" s="34" t="n">
        <x:v>45232</x:v>
      </x:c>
      <x:c r="G464" s="32" t="str">
        <x:v>Open weights (restricted use)</x:v>
      </x:c>
      <x:c r="H464" s="34" t="n">
        <x:v>45316</x:v>
      </x:c>
      <x:c r="I464" s="52" t="n">
        <x:v>1.56e+22</x:v>
      </x:c>
      <x:c r="J464" s="32" t="str">
        <x:v>Likely</x:v>
      </x:c>
      <x:c r="K464" s="32" t="str"/>
      <x:c r="L464" s="32" t="str">
        <x:v>DeepSeek Coder 1.3B (base)</x:v>
      </x:c>
      <x:c r="M464" s="32" t="str"/>
      <x:c r="N464" s="32" t="str">
        <x:v>DeepSeek Coder 1.3B</x:v>
      </x:c>
      <x:c r="O464" s="32" t="str">
        <x:v>deepseek-coder-1-3b</x:v>
      </x:c>
      <x:c r="P464" s="44" t="n">
        <x:v>64.01</x:v>
      </x:c>
      <x:c r="Q464" s="44" t="n">
        <x:v>44.11</x:v>
      </x:c>
      <x:c r="R464" s="44" t="n">
        <x:v>79.87</x:v>
      </x:c>
    </x:row>
    <x:row r="465">
      <x:c r="A465" s="32" t="str">
        <x:v>Qwen2.5-Coder (1.5B)</x:v>
      </x:c>
      <x:c r="B465" s="32" t="str">
        <x:v>Qwen2.5-Coder-1.5B</x:v>
      </x:c>
      <x:c r="C465" s="32" t="str"/>
      <x:c r="D465" s="32" t="str">
        <x:v>Alibaba</x:v>
      </x:c>
      <x:c r="E465" s="32" t="str">
        <x:v>China</x:v>
      </x:c>
      <x:c r="F465" s="34" t="n">
        <x:v>45553</x:v>
      </x:c>
      <x:c r="G465" s="32" t="str">
        <x:v>Open weights (unrestricted)</x:v>
      </x:c>
      <x:c r="H465" s="34" t="n">
        <x:v>45553</x:v>
      </x:c>
      <x:c r="I465" s="52" t="n">
        <x:v>5.082e+22</x:v>
      </x:c>
      <x:c r="J465" s="32" t="str">
        <x:v>Confident</x:v>
      </x:c>
      <x:c r="K465" s="32" t="str">
        <x:v>Qwen's 1.5 billion-parameter model in the Qwen 2.5 Coder series of open source models.</x:v>
      </x:c>
      <x:c r="L465" s="32" t="str">
        <x:v>Qwen2.5-Coder-1.5B</x:v>
      </x:c>
      <x:c r="M465" s="32" t="str"/>
      <x:c r="N465" s="32" t="str">
        <x:v>Qwen2.5-Coder (1.5B)</x:v>
      </x:c>
      <x:c r="O465" s="32" t="str">
        <x:v>qwen2-5-coder-1-5b</x:v>
      </x:c>
      <x:c r="P465" s="44" t="n">
        <x:v>102.72</x:v>
      </x:c>
      <x:c r="Q465" s="44" t="n">
        <x:v>86.18</x:v>
      </x:c>
      <x:c r="R465" s="44" t="n">
        <x:v>110.55</x:v>
      </x:c>
    </x:row>
    <x:row r="466">
      <x:c r="A466" s="32" t="str">
        <x:v>StarCoder 2 3B</x:v>
      </x:c>
      <x:c r="B466" s="32" t="str">
        <x:v>starcoder2-3b</x:v>
      </x:c>
      <x:c r="C466" s="32" t="str"/>
      <x:c r="D466" s="32" t="str">
        <x:v>Hugging Face,ServiceNow,NVIDIA,BigCode</x:v>
      </x:c>
      <x:c r="E466" s="32" t="str">
        <x:v>United States of America</x:v>
      </x:c>
      <x:c r="F466" s="34" t="n">
        <x:v>45344</x:v>
      </x:c>
      <x:c r="G466" s="32" t="str">
        <x:v>Open weights (restricted use)</x:v>
      </x:c>
      <x:c r="H466" s="34" t="n">
        <x:v>45351</x:v>
      </x:c>
      <x:c r="I466" s="52" t="n">
        <x:v>5.94e+22</x:v>
      </x:c>
      <x:c r="J466" s="32" t="str">
        <x:v>Confident</x:v>
      </x:c>
      <x:c r="K466" s="32" t="str"/>
      <x:c r="L466" s="32" t="str">
        <x:v>StarCoder 2 3B</x:v>
      </x:c>
      <x:c r="M466" s="32" t="str"/>
      <x:c r="N466" s="32" t="str">
        <x:v>StarCoder 2 3B</x:v>
      </x:c>
      <x:c r="O466" s="32" t="str">
        <x:v>starcoder-2-3b</x:v>
      </x:c>
      <x:c r="P466" s="44" t="n">
        <x:v>88.47</x:v>
      </x:c>
      <x:c r="Q466" s="44" t="n">
        <x:v>73.81</x:v>
      </x:c>
      <x:c r="R466" s="44" t="n">
        <x:v>98.03</x:v>
      </x:c>
    </x:row>
    <x:row r="467">
      <x:c r="A467" s="32" t="str"/>
      <x:c r="B467" s="32" t="str">
        <x:v>Qwen2.5-Coder-3B</x:v>
      </x:c>
      <x:c r="C467" s="32" t="str"/>
      <x:c r="D467" s="32" t="str"/>
      <x:c r="E467" s="32" t="str"/>
      <x:c r="F467" s="34" t="n">
        <x:v>45553</x:v>
      </x:c>
      <x:c r="G467" s="32" t="str"/>
      <x:c r="H467" s="34"/>
      <x:c r="I467" s="52" t="str"/>
      <x:c r="J467" s="32" t="str">
        <x:v>Unverified</x:v>
      </x:c>
      <x:c r="K467" s="32" t="str">
        <x:v>Qwen's 3 billion-parameter model in the Qwen 2.5 Coder series of open source models.</x:v>
      </x:c>
      <x:c r="L467" s="32" t="str"/>
      <x:c r="M467" s="32" t="str"/>
      <x:c r="N467" s="32" t="str"/>
      <x:c r="O467" s="32" t="str">
        <x:v>qwen2-5-coder-3b</x:v>
      </x:c>
      <x:c r="P467" s="44" t="str"/>
      <x:c r="Q467" s="44" t="str"/>
      <x:c r="R467" s="44" t="str"/>
    </x:row>
    <x:row r="468">
      <x:c r="A468" s="32" t="str">
        <x:v>StarCoder 2 7B</x:v>
      </x:c>
      <x:c r="B468" s="32" t="str">
        <x:v>starcoder2-7b</x:v>
      </x:c>
      <x:c r="C468" s="32" t="str"/>
      <x:c r="D468" s="32" t="str">
        <x:v>Hugging Face,ServiceNow,NVIDIA,BigCode</x:v>
      </x:c>
      <x:c r="E468" s="32" t="str">
        <x:v>United States of America</x:v>
      </x:c>
      <x:c r="F468" s="34" t="n">
        <x:v>45342</x:v>
      </x:c>
      <x:c r="G468" s="32" t="str">
        <x:v>Open weights (restricted use)</x:v>
      </x:c>
      <x:c r="H468" s="34" t="n">
        <x:v>45351</x:v>
      </x:c>
      <x:c r="I468" s="52" t="n">
        <x:v>1.55e+23</x:v>
      </x:c>
      <x:c r="J468" s="32" t="str">
        <x:v>Confident</x:v>
      </x:c>
      <x:c r="K468" s="32" t="str"/>
      <x:c r="L468" s="32" t="str">
        <x:v>StarCoder 2 7B</x:v>
      </x:c>
      <x:c r="M468" s="32" t="str"/>
      <x:c r="N468" s="32" t="str">
        <x:v>StarCoder 2 7B</x:v>
      </x:c>
      <x:c r="O468" s="32" t="str">
        <x:v>starcoder-2-7b</x:v>
      </x:c>
      <x:c r="P468" s="44" t="n">
        <x:v>93.25</x:v>
      </x:c>
      <x:c r="Q468" s="44" t="n">
        <x:v>76.05</x:v>
      </x:c>
      <x:c r="R468" s="44" t="n">
        <x:v>102.02</x:v>
      </x:c>
    </x:row>
    <x:row r="469">
      <x:c r="A469" s="32" t="str">
        <x:v>DeepSeek Coder 6.7B</x:v>
      </x:c>
      <x:c r="B469" s="32" t="str">
        <x:v>deepseek-coder-6.7b-base</x:v>
      </x:c>
      <x:c r="C469" s="32" t="str"/>
      <x:c r="D469" s="32" t="str">
        <x:v>DeepSeek,Peking University</x:v>
      </x:c>
      <x:c r="E469" s="32" t="str">
        <x:v>China</x:v>
      </x:c>
      <x:c r="F469" s="34" t="n">
        <x:v>45232</x:v>
      </x:c>
      <x:c r="G469" s="32" t="str">
        <x:v>Open weights (restricted use)</x:v>
      </x:c>
      <x:c r="H469" s="34" t="n">
        <x:v>45316</x:v>
      </x:c>
      <x:c r="I469" s="52" t="n">
        <x:v>8.04e+22</x:v>
      </x:c>
      <x:c r="J469" s="32" t="str">
        <x:v>Likely</x:v>
      </x:c>
      <x:c r="K469" s="32" t="str"/>
      <x:c r="L469" s="32" t="str">
        <x:v>DeepSeek Coder 6.7B (base)</x:v>
      </x:c>
      <x:c r="M469" s="32" t="str"/>
      <x:c r="N469" s="32" t="str">
        <x:v>DeepSeek Coder 6.7B</x:v>
      </x:c>
      <x:c r="O469" s="32" t="str">
        <x:v>deepseek-coder-6-7b</x:v>
      </x:c>
      <x:c r="P469" s="44" t="n">
        <x:v>89.32</x:v>
      </x:c>
      <x:c r="Q469" s="44" t="n">
        <x:v>72.08</x:v>
      </x:c>
      <x:c r="R469" s="44" t="n">
        <x:v>98.6</x:v>
      </x:c>
    </x:row>
    <x:row r="470">
      <x:c r="A470" s="32" t="str"/>
      <x:c r="B470" s="32" t="str">
        <x:v>DeepSeek-Coder-V2-Lite-Base</x:v>
      </x:c>
      <x:c r="C470" s="32" t="str"/>
      <x:c r="D470" s="32" t="str"/>
      <x:c r="E470" s="32" t="str"/>
      <x:c r="F470" s="34" t="n">
        <x:v>45456</x:v>
      </x:c>
      <x:c r="G470" s="32" t="str"/>
      <x:c r="H470" s="34"/>
      <x:c r="I470" s="52" t="str"/>
      <x:c r="J470" s="32" t="str">
        <x:v>Unverified</x:v>
      </x:c>
      <x:c r="K470" s="32" t="str"/>
      <x:c r="L470" s="32" t="str"/>
      <x:c r="M470" s="32" t="str"/>
      <x:c r="N470" s="32" t="str"/>
      <x:c r="O470" s="32" t="str">
        <x:v>deepseek-coder-v2-lite-base</x:v>
      </x:c>
      <x:c r="P470" s="44" t="str"/>
      <x:c r="Q470" s="44" t="str"/>
      <x:c r="R470" s="44" t="str"/>
    </x:row>
    <x:row r="471">
      <x:c r="A471" s="32" t="str"/>
      <x:c r="B471" s="32" t="str">
        <x:v>CodeQwen1.5-7B</x:v>
      </x:c>
      <x:c r="C471" s="32" t="str"/>
      <x:c r="D471" s="32" t="str"/>
      <x:c r="E471" s="32" t="str"/>
      <x:c r="F471" s="34" t="n">
        <x:v>45397</x:v>
      </x:c>
      <x:c r="G471" s="32" t="str"/>
      <x:c r="H471" s="34"/>
      <x:c r="I471" s="52" t="str"/>
      <x:c r="J471" s="32" t="str">
        <x:v>Unverified</x:v>
      </x:c>
      <x:c r="K471" s="32" t="str"/>
      <x:c r="L471" s="32" t="str"/>
      <x:c r="M471" s="32" t="str"/>
      <x:c r="N471" s="32" t="str"/>
      <x:c r="O471" s="32" t="str">
        <x:v>codeqwen1-5-7b</x:v>
      </x:c>
      <x:c r="P471" s="44" t="str"/>
      <x:c r="Q471" s="44" t="str"/>
      <x:c r="R471" s="44" t="str"/>
    </x:row>
    <x:row r="472">
      <x:c r="A472" s="32" t="str">
        <x:v>Qwen2.5-Coder (7B)</x:v>
      </x:c>
      <x:c r="B472" s="32" t="str">
        <x:v>Qwen2.5-Coder-7B</x:v>
      </x:c>
      <x:c r="C472" s="32" t="str"/>
      <x:c r="D472" s="32" t="str">
        <x:v>Alibaba</x:v>
      </x:c>
      <x:c r="E472" s="32" t="str">
        <x:v>China</x:v>
      </x:c>
      <x:c r="F472" s="34" t="n">
        <x:v>45553</x:v>
      </x:c>
      <x:c r="G472" s="32" t="str">
        <x:v>Open weights (unrestricted)</x:v>
      </x:c>
      <x:c r="H472" s="34" t="n">
        <x:v>45553</x:v>
      </x:c>
      <x:c r="I472" s="52" t="n">
        <x:v>2.5113e+23</x:v>
      </x:c>
      <x:c r="J472" s="32" t="str">
        <x:v>Confident</x:v>
      </x:c>
      <x:c r="K472" s="32" t="str">
        <x:v>Qwen's 7 billion-parameter model in the Qwen 2.5 Coder series of open source models.</x:v>
      </x:c>
      <x:c r="L472" s="32" t="str">
        <x:v>Qwen2.5-Coder-7B</x:v>
      </x:c>
      <x:c r="M472" s="32" t="str"/>
      <x:c r="N472" s="32" t="str">
        <x:v>Qwen2.5-Coder (7B)</x:v>
      </x:c>
      <x:c r="O472" s="32" t="str">
        <x:v>qwen2-5-coder-7b</x:v>
      </x:c>
      <x:c r="P472" s="44" t="n">
        <x:v>112.91</x:v>
      </x:c>
      <x:c r="Q472" s="44" t="n">
        <x:v>102.1</x:v>
      </x:c>
      <x:c r="R472" s="44" t="n">
        <x:v>118.64</x:v>
      </x:c>
    </x:row>
    <x:row r="473">
      <x:c r="A473" s="32" t="str">
        <x:v>StarCoder 2 15B</x:v>
      </x:c>
      <x:c r="B473" s="32" t="str">
        <x:v>starcoder2-15b</x:v>
      </x:c>
      <x:c r="C473" s="32" t="str"/>
      <x:c r="D473" s="32" t="str">
        <x:v>Hugging Face,ServiceNow,NVIDIA,BigCode</x:v>
      </x:c>
      <x:c r="E473" s="32" t="str">
        <x:v>United States of America</x:v>
      </x:c>
      <x:c r="F473" s="34" t="n">
        <x:v>45342</x:v>
      </x:c>
      <x:c r="G473" s="32" t="str">
        <x:v>Open weights (restricted use)</x:v>
      </x:c>
      <x:c r="H473" s="34" t="n">
        <x:v>45351</x:v>
      </x:c>
      <x:c r="I473" s="52" t="n">
        <x:v>3.87e+23</x:v>
      </x:c>
      <x:c r="J473" s="32" t="str">
        <x:v>Confident</x:v>
      </x:c>
      <x:c r="K473" s="32" t="str"/>
      <x:c r="L473" s="32" t="str">
        <x:v>StarCoder 2 15B</x:v>
      </x:c>
      <x:c r="M473" s="32" t="str"/>
      <x:c r="N473" s="32" t="str">
        <x:v>StarCoder 2 15B</x:v>
      </x:c>
      <x:c r="O473" s="32" t="str">
        <x:v>starcoder-2-15b</x:v>
      </x:c>
      <x:c r="P473" s="44" t="n">
        <x:v>104.74</x:v>
      </x:c>
      <x:c r="Q473" s="44" t="n">
        <x:v>92.4</x:v>
      </x:c>
      <x:c r="R473" s="44" t="n">
        <x:v>112.13</x:v>
      </x:c>
    </x:row>
    <x:row r="474">
      <x:c r="A474" s="32" t="str"/>
      <x:c r="B474" s="32" t="str">
        <x:v>Qwen2.5-Coder-14B</x:v>
      </x:c>
      <x:c r="C474" s="32" t="str"/>
      <x:c r="D474" s="32" t="str"/>
      <x:c r="E474" s="32" t="str"/>
      <x:c r="F474" s="34" t="n">
        <x:v>45553</x:v>
      </x:c>
      <x:c r="G474" s="32" t="str"/>
      <x:c r="H474" s="34"/>
      <x:c r="I474" s="52" t="str"/>
      <x:c r="J474" s="32" t="str">
        <x:v>Unverified</x:v>
      </x:c>
      <x:c r="K474" s="32" t="str">
        <x:v>Qwen's 14 billion-parameter model in the Qwen 2.5 Coder series of open source models.</x:v>
      </x:c>
      <x:c r="L474" s="32" t="str"/>
      <x:c r="M474" s="32" t="str"/>
      <x:c r="N474" s="32" t="str"/>
      <x:c r="O474" s="32" t="str">
        <x:v>qwen2-5-coder-14b</x:v>
      </x:c>
      <x:c r="P474" s="44" t="str"/>
      <x:c r="Q474" s="44" t="str"/>
      <x:c r="R474" s="44" t="str"/>
    </x:row>
    <x:row r="475">
      <x:c r="A475" s="32" t="str">
        <x:v>DeepSeek Coder 33B</x:v>
      </x:c>
      <x:c r="B475" s="32" t="str">
        <x:v>deepseek-coder-33b-base</x:v>
      </x:c>
      <x:c r="C475" s="32" t="str"/>
      <x:c r="D475" s="32" t="str">
        <x:v>DeepSeek,Peking University</x:v>
      </x:c>
      <x:c r="E475" s="32" t="str">
        <x:v>China</x:v>
      </x:c>
      <x:c r="F475" s="34" t="n">
        <x:v>45232</x:v>
      </x:c>
      <x:c r="G475" s="32" t="str">
        <x:v>Open weights (restricted use)</x:v>
      </x:c>
      <x:c r="H475" s="34" t="n">
        <x:v>45316</x:v>
      </x:c>
      <x:c r="I475" s="52" t="n">
        <x:v>3.96e+23</x:v>
      </x:c>
      <x:c r="J475" s="32" t="str">
        <x:v>Likely</x:v>
      </x:c>
      <x:c r="K475" s="32" t="str"/>
      <x:c r="L475" s="32" t="str">
        <x:v>DeepSeek Coder 33B (base)</x:v>
      </x:c>
      <x:c r="M475" s="32" t="str"/>
      <x:c r="N475" s="32" t="str">
        <x:v>DeepSeek Coder 33B</x:v>
      </x:c>
      <x:c r="O475" s="32" t="str">
        <x:v>deepseek-coder-33b</x:v>
      </x:c>
      <x:c r="P475" s="44" t="n">
        <x:v>96.02</x:v>
      </x:c>
      <x:c r="Q475" s="44" t="n">
        <x:v>82.39</x:v>
      </x:c>
      <x:c r="R475" s="44" t="n">
        <x:v>103.58</x:v>
      </x:c>
    </x:row>
    <x:row r="476">
      <x:c r="A476" s="32" t="str">
        <x:v>DeepSeek-Coder-V2 236B</x:v>
      </x:c>
      <x:c r="B476" s="32" t="str">
        <x:v>DeepSeek-Coder-V2-Base</x:v>
      </x:c>
      <x:c r="C476" s="32" t="str"/>
      <x:c r="D476" s="32" t="str">
        <x:v>DeepSeek</x:v>
      </x:c>
      <x:c r="E476" s="32" t="str">
        <x:v>China</x:v>
      </x:c>
      <x:c r="F476" s="34" t="n">
        <x:v>45460</x:v>
      </x:c>
      <x:c r="G476" s="32" t="str">
        <x:v>Open weights (restricted use)</x:v>
      </x:c>
      <x:c r="H476" s="34" t="n">
        <x:v>45460</x:v>
      </x:c>
      <x:c r="I476" s="52" t="n">
        <x:v>1.2852e+24</x:v>
      </x:c>
      <x:c r="J476" s="32" t="str">
        <x:v>Confident</x:v>
      </x:c>
      <x:c r="K476" s="32" t="str"/>
      <x:c r="L476" s="32" t="str">
        <x:v>DeepSeek-Coder-V2 (base)</x:v>
      </x:c>
      <x:c r="M476" s="32" t="str"/>
      <x:c r="N476" s="32" t="str">
        <x:v>DeepSeek-Coder-V2 236B</x:v>
      </x:c>
      <x:c r="O476" s="32" t="str">
        <x:v>deepseek-coder-v2-236b</x:v>
      </x:c>
      <x:c r="P476" s="44" t="str"/>
      <x:c r="Q476" s="44" t="str"/>
      <x:c r="R476" s="44" t="str"/>
    </x:row>
    <x:row r="477">
      <x:c r="A477" s="32" t="str">
        <x:v>Qwen2.5-Coder (32B)</x:v>
      </x:c>
      <x:c r="B477" s="32" t="str">
        <x:v>Qwen2.5-Coder-32B</x:v>
      </x:c>
      <x:c r="C477" s="32" t="str"/>
      <x:c r="D477" s="32" t="str">
        <x:v>Alibaba</x:v>
      </x:c>
      <x:c r="E477" s="32" t="str">
        <x:v>China</x:v>
      </x:c>
      <x:c r="F477" s="34" t="n">
        <x:v>45553</x:v>
      </x:c>
      <x:c r="G477" s="32" t="str">
        <x:v>Open weights (unrestricted)</x:v>
      </x:c>
      <x:c r="H477" s="34" t="n">
        <x:v>45608</x:v>
      </x:c>
      <x:c r="I477" s="52" t="n">
        <x:v>1.0725e+24</x:v>
      </x:c>
      <x:c r="J477" s="32" t="str">
        <x:v>Confident</x:v>
      </x:c>
      <x:c r="K477" s="32" t="str">
        <x:v>Qwen's 32 billion-parameter model in the Qwen 2.5 Coder series of open source models.</x:v>
      </x:c>
      <x:c r="L477" s="32" t="str">
        <x:v>Qwen2.5-Coder-32B</x:v>
      </x:c>
      <x:c r="M477" s="32" t="str">
        <x:v>Qwen2.5-Coder-32B</x:v>
      </x:c>
      <x:c r="N477" s="32" t="str">
        <x:v>Qwen2.5-Coder-32B</x:v>
      </x:c>
      <x:c r="O477" s="32" t="str">
        <x:v>qwen2-5-coder-32b</x:v>
      </x:c>
      <x:c r="P477" s="44" t="n">
        <x:v>119.27</x:v>
      </x:c>
      <x:c r="Q477" s="44" t="n">
        <x:v>110.01</x:v>
      </x:c>
      <x:c r="R477" s="44" t="n">
        <x:v>124.64</x:v>
      </x:c>
    </x:row>
    <x:row r="478">
      <x:c r="A478" s="32" t="str">
        <x:v>Phi-1.5</x:v>
      </x:c>
      <x:c r="B478" s="32" t="str">
        <x:v>phi-1_5</x:v>
      </x:c>
      <x:c r="C478" s="32" t="str"/>
      <x:c r="D478" s="32" t="str">
        <x:v>Microsoft</x:v>
      </x:c>
      <x:c r="E478" s="32" t="str">
        <x:v>United States of America</x:v>
      </x:c>
      <x:c r="F478" s="34" t="n">
        <x:v>45180</x:v>
      </x:c>
      <x:c r="G478" s="32" t="str">
        <x:v>Open weights (unrestricted)</x:v>
      </x:c>
      <x:c r="H478" s="34" t="n">
        <x:v>45180</x:v>
      </x:c>
      <x:c r="I478" s="52" t="n">
        <x:v>1.17e+21</x:v>
      </x:c>
      <x:c r="J478" s="32" t="str">
        <x:v>Confident</x:v>
      </x:c>
      <x:c r="K478" s="32" t="str"/>
      <x:c r="L478" s="32" t="str"/>
      <x:c r="M478" s="32" t="str"/>
      <x:c r="N478" s="32" t="str">
        <x:v>Phi-1.5</x:v>
      </x:c>
      <x:c r="O478" s="32" t="str">
        <x:v>phi-1-5</x:v>
      </x:c>
      <x:c r="P478" s="44" t="n">
        <x:v>91.26</x:v>
      </x:c>
      <x:c r="Q478" s="44" t="n">
        <x:v>72.29</x:v>
      </x:c>
      <x:c r="R478" s="44" t="n">
        <x:v>101.39</x:v>
      </x:c>
    </x:row>
    <x:row r="479">
      <x:c r="A479" s="32" t="str">
        <x:v>GPT-3.5 (davinci-002)
</x:v>
      </x:c>
      <x:c r="B479" s="32" t="str">
        <x:v>text-davinci-002</x:v>
      </x:c>
      <x:c r="C479" s="32" t="str"/>
      <x:c r="D479" s="32" t="str">
        <x:v>OpenAI</x:v>
      </x:c>
      <x:c r="E479" s="32" t="str">
        <x:v>United States of America</x:v>
      </x:c>
      <x:c r="F479" s="34" t="n">
        <x:v>44635</x:v>
      </x:c>
      <x:c r="G479" s="32" t="str">
        <x:v>API access</x:v>
      </x:c>
      <x:c r="H479" s="34" t="n">
        <x:v>44635</x:v>
      </x:c>
      <x:c r="I479" s="52" t="n">
        <x:v>2.578e+24</x:v>
      </x:c>
      <x:c r="J479" s="32" t="str">
        <x:v>Speculative</x:v>
      </x:c>
      <x:c r="K479" s="32" t="str"/>
      <x:c r="L479" s="32" t="str"/>
      <x:c r="M479" s="32" t="str">
        <x:v>davinci-002</x:v>
      </x:c>
      <x:c r="N479" s="32" t="str">
        <x:v>davinci-002</x:v>
      </x:c>
      <x:c r="O479" s="32" t="str">
        <x:v>davinci-002</x:v>
      </x:c>
      <x:c r="P479" s="44" t="str"/>
      <x:c r="Q479" s="44" t="str"/>
      <x:c r="R479" s="44" t="str"/>
    </x:row>
    <x:row r="480">
      <x:c r="A480" s="32" t="str">
        <x:v>Claude Instant</x:v>
      </x:c>
      <x:c r="B480" s="32" t="str">
        <x:v>claude-instant-1.1</x:v>
      </x:c>
      <x:c r="C480" s="32" t="str"/>
      <x:c r="D480" s="32" t="str">
        <x:v>Anthropic</x:v>
      </x:c>
      <x:c r="E480" s="32" t="str">
        <x:v>United States of America</x:v>
      </x:c>
      <x:c r="F480" s="34"/>
      <x:c r="G480" s="32" t="str">
        <x:v>API access</x:v>
      </x:c>
      <x:c r="H480" s="34" t="n">
        <x:v>45147</x:v>
      </x:c>
      <x:c r="I480" s="52" t="str"/>
      <x:c r="J480" s="32" t="str">
        <x:v>Unknown</x:v>
      </x:c>
      <x:c r="K480" s="32" t="str"/>
      <x:c r="L480" s="32" t="str"/>
      <x:c r="M480" s="32" t="str"/>
      <x:c r="N480" s="32" t="str">
        <x:v>Claude Instant</x:v>
      </x:c>
      <x:c r="O480" s="32" t="str">
        <x:v>claude-instant</x:v>
      </x:c>
      <x:c r="P480" s="44" t="n">
        <x:v>121.11</x:v>
      </x:c>
      <x:c r="Q480" s="44" t="n">
        <x:v>113.87</x:v>
      </x:c>
      <x:c r="R480" s="44" t="n">
        <x:v>123.96</x:v>
      </x:c>
    </x:row>
    <x:row r="481">
      <x:c r="A481" s="32" t="str">
        <x:v>Claude Instant</x:v>
      </x:c>
      <x:c r="B481" s="32" t="str">
        <x:v>claude-instant-1.2</x:v>
      </x:c>
      <x:c r="C481" s="32" t="str"/>
      <x:c r="D481" s="32" t="str">
        <x:v>Anthropic</x:v>
      </x:c>
      <x:c r="E481" s="32" t="str">
        <x:v>United States of America</x:v>
      </x:c>
      <x:c r="F481" s="34" t="n">
        <x:v>45147</x:v>
      </x:c>
      <x:c r="G481" s="32" t="str">
        <x:v>API access</x:v>
      </x:c>
      <x:c r="H481" s="34" t="n">
        <x:v>45147</x:v>
      </x:c>
      <x:c r="I481" s="52" t="str"/>
      <x:c r="J481" s="32" t="str">
        <x:v>Unknown</x:v>
      </x:c>
      <x:c r="K481" s="32" t="str"/>
      <x:c r="L481" s="32" t="str"/>
      <x:c r="M481" s="32" t="str"/>
      <x:c r="N481" s="32" t="str">
        <x:v>Claude Instant</x:v>
      </x:c>
      <x:c r="O481" s="32" t="str">
        <x:v>claude-instant</x:v>
      </x:c>
      <x:c r="P481" s="44" t="n">
        <x:v>121.11</x:v>
      </x:c>
      <x:c r="Q481" s="44" t="n">
        <x:v>113.87</x:v>
      </x:c>
      <x:c r="R481" s="44" t="n">
        <x:v>123.96</x:v>
      </x:c>
    </x:row>
    <x:row r="482">
      <x:c r="A482" s="32" t="str">
        <x:v>INTELLECT-1</x:v>
      </x:c>
      <x:c r="B482" s="32" t="str">
        <x:v>INTELLECT-1-Instruct</x:v>
      </x:c>
      <x:c r="C482" s="32" t="str"/>
      <x:c r="D482" s="32" t="str">
        <x:v>Prime Intellect,Hugging Face,Arcee AI</x:v>
      </x:c>
      <x:c r="E482" s="32" t="str">
        <x:v>United States of America</x:v>
      </x:c>
      <x:c r="F482" s="34" t="n">
        <x:v>45625</x:v>
      </x:c>
      <x:c r="G482" s="32" t="str"/>
      <x:c r="H482" s="34" t="n">
        <x:v>45625</x:v>
      </x:c>
      <x:c r="I482" s="52" t="n">
        <x:v>6.000001e+22</x:v>
      </x:c>
      <x:c r="J482" s="32" t="str">
        <x:v>Confident</x:v>
      </x:c>
      <x:c r="K482" s="32" t="str"/>
      <x:c r="L482" s="32" t="str"/>
      <x:c r="M482" s="32" t="str"/>
      <x:c r="N482" s="32" t="str">
        <x:v>INTELLECT-1</x:v>
      </x:c>
      <x:c r="O482" s="32" t="str">
        <x:v>intellect-1</x:v>
      </x:c>
      <x:c r="P482" s="44" t="n">
        <x:v>100.58</x:v>
      </x:c>
      <x:c r="Q482" s="44" t="n">
        <x:v>88.56</x:v>
      </x:c>
      <x:c r="R482" s="44" t="n">
        <x:v>107.05</x:v>
      </x:c>
    </x:row>
    <x:row r="483">
      <x:c r="A483" s="32" t="str">
        <x:v>GPT-5.6 Sol</x:v>
      </x:c>
      <x:c r="B483" s="32" t="str">
        <x:v>gpt-5.6-sol_xhigh</x:v>
      </x:c>
      <x:c r="C483" s="32" t="str">
        <x:v>GPT-5.6 Sol (xhigh)</x:v>
      </x:c>
      <x:c r="D483" s="32" t="str">
        <x:v>OpenAI</x:v>
      </x:c>
      <x:c r="E483" s="32" t="str">
        <x:v>United States of America</x:v>
      </x:c>
      <x:c r="F483" s="34" t="n">
        <x:v>46212</x:v>
      </x:c>
      <x:c r="G483" s="32" t="str">
        <x:v>API access</x:v>
      </x:c>
      <x:c r="H483" s="34" t="n">
        <x:v>46212</x:v>
      </x:c>
      <x:c r="I483" s="52" t="str"/>
      <x:c r="J483" s="32" t="str">
        <x:v>Unverified</x:v>
      </x:c>
      <x:c r="K483" s="32" t="str"/>
      <x:c r="L483" s="32" t="str">
        <x:v>GPT-5.6 Sol (xhigh)</x:v>
      </x:c>
      <x:c r="M483" s="32" t="str"/>
      <x:c r="N483" s="32" t="str">
        <x:v>GPT-5.6 Sol</x:v>
      </x:c>
      <x:c r="O483" s="32" t="str">
        <x:v>gpt-5-6-sol</x:v>
      </x:c>
      <x:c r="P483" s="44" t="n">
        <x:v>161.77</x:v>
      </x:c>
      <x:c r="Q483" s="44" t="n">
        <x:v>159.26</x:v>
      </x:c>
      <x:c r="R483" s="44" t="n">
        <x:v>166.01</x:v>
      </x:c>
    </x:row>
    <x:row r="484">
      <x:c r="A484" s="32" t="str">
        <x:v>GPT-5.6 Terra</x:v>
      </x:c>
      <x:c r="B484" s="32" t="str">
        <x:v>gpt-5.6-terra_xhigh</x:v>
      </x:c>
      <x:c r="C484" s="32" t="str">
        <x:v>GPT-5.6 Terra (xhigh)</x:v>
      </x:c>
      <x:c r="D484" s="32" t="str">
        <x:v>OpenAI</x:v>
      </x:c>
      <x:c r="E484" s="32" t="str">
        <x:v>United States of America</x:v>
      </x:c>
      <x:c r="F484" s="34" t="n">
        <x:v>46212</x:v>
      </x:c>
      <x:c r="G484" s="32" t="str">
        <x:v>API access</x:v>
      </x:c>
      <x:c r="H484" s="34" t="n">
        <x:v>46212</x:v>
      </x:c>
      <x:c r="I484" s="52" t="str"/>
      <x:c r="J484" s="32" t="str">
        <x:v>Unverified</x:v>
      </x:c>
      <x:c r="K484" s="32" t="str"/>
      <x:c r="L484" s="32" t="str">
        <x:v>GPT-5.6 Terra (xhigh)</x:v>
      </x:c>
      <x:c r="M484" s="32" t="str"/>
      <x:c r="N484" s="32" t="str">
        <x:v>GPT-5.6 Terra</x:v>
      </x:c>
      <x:c r="O484" s="32" t="str">
        <x:v>gpt-5-6-terra</x:v>
      </x:c>
      <x:c r="P484" s="44" t="n">
        <x:v>158.25</x:v>
      </x:c>
      <x:c r="Q484" s="44" t="n">
        <x:v>155.39</x:v>
      </x:c>
      <x:c r="R484" s="44" t="n">
        <x:v>161.26</x:v>
      </x:c>
    </x:row>
    <x:row r="485">
      <x:c r="A485" s="32" t="str">
        <x:v>GPT-5.6 Luna</x:v>
      </x:c>
      <x:c r="B485" s="32" t="str">
        <x:v>gpt-5.6-luna_medium</x:v>
      </x:c>
      <x:c r="C485" s="32" t="str">
        <x:v>GPT-5.6 Luna (medium)</x:v>
      </x:c>
      <x:c r="D485" s="32" t="str">
        <x:v>OpenAI</x:v>
      </x:c>
      <x:c r="E485" s="32" t="str">
        <x:v>United States of America</x:v>
      </x:c>
      <x:c r="F485" s="34" t="n">
        <x:v>46212</x:v>
      </x:c>
      <x:c r="G485" s="32" t="str">
        <x:v>API access</x:v>
      </x:c>
      <x:c r="H485" s="34" t="n">
        <x:v>46212</x:v>
      </x:c>
      <x:c r="I485" s="52" t="str"/>
      <x:c r="J485" s="32" t="str">
        <x:v>Unverified</x:v>
      </x:c>
      <x:c r="K485" s="32" t="str"/>
      <x:c r="L485" s="32" t="str">
        <x:v>GPT-5.6 Luna (medium)</x:v>
      </x:c>
      <x:c r="M485" s="32" t="str"/>
      <x:c r="N485" s="32" t="str">
        <x:v>GPT-5.6 Luna</x:v>
      </x:c>
      <x:c r="O485" s="32" t="str">
        <x:v>gpt-5-6-luna</x:v>
      </x:c>
      <x:c r="P485" s="44" t="n">
        <x:v>155.62</x:v>
      </x:c>
      <x:c r="Q485" s="44" t="n">
        <x:v>152.89</x:v>
      </x:c>
      <x:c r="R485" s="44" t="n">
        <x:v>158.51</x:v>
      </x:c>
    </x:row>
    <x:row r="486">
      <x:c r="A486" s="32" t="str">
        <x:v>GLaM</x:v>
      </x:c>
      <x:c r="B486" s="32" t="str">
        <x:v>GLaM (MoE)</x:v>
      </x:c>
      <x:c r="C486" s="32" t="str"/>
      <x:c r="D486" s="32" t="str">
        <x:v>Google</x:v>
      </x:c>
      <x:c r="E486" s="32" t="str">
        <x:v>United States of America</x:v>
      </x:c>
      <x:c r="F486" s="34" t="n">
        <x:v>44543</x:v>
      </x:c>
      <x:c r="G486" s="32" t="str">
        <x:v>Unreleased</x:v>
      </x:c>
      <x:c r="H486" s="34" t="n">
        <x:v>44543</x:v>
      </x:c>
      <x:c r="I486" s="52" t="n">
        <x:v>3.6363112434e+23</x:v>
      </x:c>
      <x:c r="J486" s="32" t="str">
        <x:v>Confident</x:v>
      </x:c>
      <x:c r="K486" s="32" t="str"/>
      <x:c r="L486" s="32" t="str"/>
      <x:c r="M486" s="32" t="str"/>
      <x:c r="N486" s="32" t="str">
        <x:v>GLaM</x:v>
      </x:c>
      <x:c r="O486" s="32" t="str">
        <x:v>glam</x:v>
      </x:c>
      <x:c r="P486" s="44" t="str"/>
      <x:c r="Q486" s="44" t="str"/>
      <x:c r="R486" s="44" t="str"/>
    </x:row>
    <x:row r="487">
      <x:c r="A487" s="32" t="str">
        <x:v>GPT-5.6 Sol</x:v>
      </x:c>
      <x:c r="B487" s="32" t="str">
        <x:v>gpt-5.6-sol_medium</x:v>
      </x:c>
      <x:c r="C487" s="32" t="str">
        <x:v>GPT-5.6 Sol (medium)</x:v>
      </x:c>
      <x:c r="D487" s="32" t="str">
        <x:v>OpenAI</x:v>
      </x:c>
      <x:c r="E487" s="32" t="str">
        <x:v>United States of America</x:v>
      </x:c>
      <x:c r="F487" s="34" t="n">
        <x:v>46212</x:v>
      </x:c>
      <x:c r="G487" s="32" t="str">
        <x:v>API access</x:v>
      </x:c>
      <x:c r="H487" s="34" t="n">
        <x:v>46212</x:v>
      </x:c>
      <x:c r="I487" s="52" t="str"/>
      <x:c r="J487" s="32" t="str">
        <x:v>Unverified</x:v>
      </x:c>
      <x:c r="K487" s="32" t="str"/>
      <x:c r="L487" s="32" t="str">
        <x:v>GPT-5.6 Sol (medium)</x:v>
      </x:c>
      <x:c r="M487" s="32" t="str"/>
      <x:c r="N487" s="32" t="str">
        <x:v>GPT-5.6 Sol</x:v>
      </x:c>
      <x:c r="O487" s="32" t="str">
        <x:v>gpt-5-6-sol</x:v>
      </x:c>
      <x:c r="P487" s="44" t="n">
        <x:v>161.77</x:v>
      </x:c>
      <x:c r="Q487" s="44" t="n">
        <x:v>159.26</x:v>
      </x:c>
      <x:c r="R487" s="44" t="n">
        <x:v>166.01</x:v>
      </x:c>
    </x:row>
    <x:row r="488">
      <x:c r="A488" s="32" t="str">
        <x:v>GPT-5.6 Luna</x:v>
      </x:c>
      <x:c r="B488" s="32" t="str">
        <x:v>gpt-5.6-luna_xhigh</x:v>
      </x:c>
      <x:c r="C488" s="32" t="str">
        <x:v>GPT-5.6 Luna (xhigh)</x:v>
      </x:c>
      <x:c r="D488" s="32" t="str">
        <x:v>OpenAI</x:v>
      </x:c>
      <x:c r="E488" s="32" t="str">
        <x:v>United States of America</x:v>
      </x:c>
      <x:c r="F488" s="34" t="n">
        <x:v>46212</x:v>
      </x:c>
      <x:c r="G488" s="32" t="str">
        <x:v>API access</x:v>
      </x:c>
      <x:c r="H488" s="34" t="n">
        <x:v>46212</x:v>
      </x:c>
      <x:c r="I488" s="52" t="str"/>
      <x:c r="J488" s="32" t="str">
        <x:v>Unverified</x:v>
      </x:c>
      <x:c r="K488" s="32" t="str"/>
      <x:c r="L488" s="32" t="str">
        <x:v>GPT-5.6 Luna (xhigh)</x:v>
      </x:c>
      <x:c r="M488" s="32" t="str"/>
      <x:c r="N488" s="32" t="str">
        <x:v>GPT-5.6 Luna</x:v>
      </x:c>
      <x:c r="O488" s="32" t="str">
        <x:v>gpt-5-6-luna</x:v>
      </x:c>
      <x:c r="P488" s="44" t="n">
        <x:v>155.62</x:v>
      </x:c>
      <x:c r="Q488" s="44" t="n">
        <x:v>152.89</x:v>
      </x:c>
      <x:c r="R488" s="44" t="n">
        <x:v>158.51</x:v>
      </x:c>
    </x:row>
    <x:row r="489">
      <x:c r="A489" s="32" t="str">
        <x:v>GPT-5.6 Terra</x:v>
      </x:c>
      <x:c r="B489" s="32" t="str">
        <x:v>gpt-5.6-terra_high</x:v>
      </x:c>
      <x:c r="C489" s="32" t="str">
        <x:v>GPT-5.6 Terra (high)</x:v>
      </x:c>
      <x:c r="D489" s="32" t="str">
        <x:v>OpenAI</x:v>
      </x:c>
      <x:c r="E489" s="32" t="str">
        <x:v>United States of America</x:v>
      </x:c>
      <x:c r="F489" s="34" t="n">
        <x:v>46212</x:v>
      </x:c>
      <x:c r="G489" s="32" t="str">
        <x:v>API access</x:v>
      </x:c>
      <x:c r="H489" s="34" t="n">
        <x:v>46212</x:v>
      </x:c>
      <x:c r="I489" s="52" t="str"/>
      <x:c r="J489" s="32" t="str">
        <x:v>Unverified</x:v>
      </x:c>
      <x:c r="K489" s="32" t="str"/>
      <x:c r="L489" s="32" t="str">
        <x:v>GPT-5.6 Terra (high)</x:v>
      </x:c>
      <x:c r="M489" s="32" t="str"/>
      <x:c r="N489" s="32" t="str">
        <x:v>GPT-5.6 Terra</x:v>
      </x:c>
      <x:c r="O489" s="32" t="str">
        <x:v>gpt-5-6-terra</x:v>
      </x:c>
      <x:c r="P489" s="44" t="n">
        <x:v>158.25</x:v>
      </x:c>
      <x:c r="Q489" s="44" t="n">
        <x:v>155.39</x:v>
      </x:c>
      <x:c r="R489" s="44" t="n">
        <x:v>161.26</x:v>
      </x:c>
    </x:row>
    <x:row r="490">
      <x:c r="A490" s="32" t="str">
        <x:v>Muse Spark 1.1</x:v>
      </x:c>
      <x:c r="B490" s="32" t="str">
        <x:v>muse-spark-1.1</x:v>
      </x:c>
      <x:c r="C490" s="32" t="str">
        <x:v>Muse Spark 1.1</x:v>
      </x:c>
      <x:c r="D490" s="32" t="str">
        <x:v>Meta AI</x:v>
      </x:c>
      <x:c r="E490" s="32" t="str">
        <x:v>United States of America</x:v>
      </x:c>
      <x:c r="F490" s="34" t="n">
        <x:v>46212</x:v>
      </x:c>
      <x:c r="G490" s="32" t="str">
        <x:v>API access</x:v>
      </x:c>
      <x:c r="H490" s="34" t="n">
        <x:v>46212</x:v>
      </x:c>
      <x:c r="I490" s="52" t="str"/>
      <x:c r="J490" s="32" t="str">
        <x:v>Unverified</x:v>
      </x:c>
      <x:c r="K490" s="32" t="str"/>
      <x:c r="L490" s="32" t="str">
        <x:v>Muse Spark 1.1</x:v>
      </x:c>
      <x:c r="M490" s="32" t="str"/>
      <x:c r="N490" s="32" t="str">
        <x:v>Muse Spark 1.1</x:v>
      </x:c>
      <x:c r="O490" s="32" t="str">
        <x:v>muse-spark-1-1</x:v>
      </x:c>
      <x:c r="P490" s="44" t="str"/>
      <x:c r="Q490" s="44" t="str"/>
      <x:c r="R490" s="44" t="str"/>
    </x:row>
    <x:row r="491">
      <x:c r="A491" s="32" t="str">
        <x:v>GPT-5.6 Sol</x:v>
      </x:c>
      <x:c r="B491" s="32" t="str">
        <x:v>gpt-5.6-sol_low</x:v>
      </x:c>
      <x:c r="C491" s="32" t="str">
        <x:v>GPT-5.6 Sol (low)</x:v>
      </x:c>
      <x:c r="D491" s="32" t="str">
        <x:v>OpenAI</x:v>
      </x:c>
      <x:c r="E491" s="32" t="str">
        <x:v>United States of America</x:v>
      </x:c>
      <x:c r="F491" s="34" t="n">
        <x:v>46212</x:v>
      </x:c>
      <x:c r="G491" s="32" t="str">
        <x:v>API access</x:v>
      </x:c>
      <x:c r="H491" s="34" t="n">
        <x:v>46212</x:v>
      </x:c>
      <x:c r="I491" s="52" t="str"/>
      <x:c r="J491" s="32" t="str">
        <x:v>Unverified</x:v>
      </x:c>
      <x:c r="K491" s="32" t="str"/>
      <x:c r="L491" s="32" t="str">
        <x:v>GPT-5.6 Sol (low)</x:v>
      </x:c>
      <x:c r="M491" s="32" t="str"/>
      <x:c r="N491" s="32" t="str">
        <x:v>GPT-5.6 Sol</x:v>
      </x:c>
      <x:c r="O491" s="32" t="str">
        <x:v>gpt-5-6-sol</x:v>
      </x:c>
      <x:c r="P491" s="44" t="n">
        <x:v>161.77</x:v>
      </x:c>
      <x:c r="Q491" s="44" t="n">
        <x:v>159.26</x:v>
      </x:c>
      <x:c r="R491" s="44" t="n">
        <x:v>166.01</x:v>
      </x:c>
    </x:row>
    <x:row r="492">
      <x:c r="A492" s="32" t="str">
        <x:v>GPT-5.6 Luna</x:v>
      </x:c>
      <x:c r="B492" s="32" t="str">
        <x:v>gpt-5.6-luna_high</x:v>
      </x:c>
      <x:c r="C492" s="32" t="str">
        <x:v>GPT-5.6 Luna (high)</x:v>
      </x:c>
      <x:c r="D492" s="32" t="str">
        <x:v>OpenAI</x:v>
      </x:c>
      <x:c r="E492" s="32" t="str">
        <x:v>United States of America</x:v>
      </x:c>
      <x:c r="F492" s="34" t="n">
        <x:v>46212</x:v>
      </x:c>
      <x:c r="G492" s="32" t="str">
        <x:v>API access</x:v>
      </x:c>
      <x:c r="H492" s="34" t="n">
        <x:v>46212</x:v>
      </x:c>
      <x:c r="I492" s="52" t="str"/>
      <x:c r="J492" s="32" t="str">
        <x:v>Unverified</x:v>
      </x:c>
      <x:c r="K492" s="32" t="str"/>
      <x:c r="L492" s="32" t="str">
        <x:v>GPT-5.6 Luna (high)</x:v>
      </x:c>
      <x:c r="M492" s="32" t="str"/>
      <x:c r="N492" s="32" t="str">
        <x:v>GPT-5.6 Luna</x:v>
      </x:c>
      <x:c r="O492" s="32" t="str">
        <x:v>gpt-5-6-luna</x:v>
      </x:c>
      <x:c r="P492" s="44" t="n">
        <x:v>155.62</x:v>
      </x:c>
      <x:c r="Q492" s="44" t="n">
        <x:v>152.89</x:v>
      </x:c>
      <x:c r="R492" s="44" t="n">
        <x:v>158.51</x:v>
      </x:c>
    </x:row>
    <x:row r="493">
      <x:c r="A493" s="32" t="str">
        <x:v>GPT-5.6 Terra</x:v>
      </x:c>
      <x:c r="B493" s="32" t="str">
        <x:v>gpt-5.6-terra_medium</x:v>
      </x:c>
      <x:c r="C493" s="32" t="str">
        <x:v>GPT-5.6 Terra (medium)</x:v>
      </x:c>
      <x:c r="D493" s="32" t="str">
        <x:v>OpenAI</x:v>
      </x:c>
      <x:c r="E493" s="32" t="str">
        <x:v>United States of America</x:v>
      </x:c>
      <x:c r="F493" s="34" t="n">
        <x:v>46212</x:v>
      </x:c>
      <x:c r="G493" s="32" t="str">
        <x:v>API access</x:v>
      </x:c>
      <x:c r="H493" s="34" t="n">
        <x:v>46212</x:v>
      </x:c>
      <x:c r="I493" s="52" t="str"/>
      <x:c r="J493" s="32" t="str">
        <x:v>Unverified</x:v>
      </x:c>
      <x:c r="K493" s="32" t="str"/>
      <x:c r="L493" s="32" t="str">
        <x:v>GPT-5.6 Terra (medium)</x:v>
      </x:c>
      <x:c r="M493" s="32" t="str"/>
      <x:c r="N493" s="32" t="str">
        <x:v>GPT-5.6 Terra</x:v>
      </x:c>
      <x:c r="O493" s="32" t="str">
        <x:v>gpt-5-6-terra</x:v>
      </x:c>
      <x:c r="P493" s="44" t="n">
        <x:v>158.25</x:v>
      </x:c>
      <x:c r="Q493" s="44" t="n">
        <x:v>155.39</x:v>
      </x:c>
      <x:c r="R493" s="44" t="n">
        <x:v>161.26</x:v>
      </x:c>
    </x:row>
    <x:row r="494">
      <x:c r="A494" s="32" t="str">
        <x:v>GPT-5.6 Terra</x:v>
      </x:c>
      <x:c r="B494" s="32" t="str">
        <x:v>gpt-5.6-terra_low</x:v>
      </x:c>
      <x:c r="C494" s="32" t="str">
        <x:v>GPT-5.6 Terra (low)</x:v>
      </x:c>
      <x:c r="D494" s="32" t="str">
        <x:v>OpenAI</x:v>
      </x:c>
      <x:c r="E494" s="32" t="str">
        <x:v>United States of America</x:v>
      </x:c>
      <x:c r="F494" s="34" t="n">
        <x:v>46212</x:v>
      </x:c>
      <x:c r="G494" s="32" t="str">
        <x:v>API access</x:v>
      </x:c>
      <x:c r="H494" s="34" t="n">
        <x:v>46212</x:v>
      </x:c>
      <x:c r="I494" s="52" t="str"/>
      <x:c r="J494" s="32" t="str">
        <x:v>Unverified</x:v>
      </x:c>
      <x:c r="K494" s="32" t="str"/>
      <x:c r="L494" s="32" t="str">
        <x:v>GPT-5.6 Terra (low)</x:v>
      </x:c>
      <x:c r="M494" s="32" t="str"/>
      <x:c r="N494" s="32" t="str">
        <x:v>GPT-5.6 Terra</x:v>
      </x:c>
      <x:c r="O494" s="32" t="str">
        <x:v>gpt-5-6-terra</x:v>
      </x:c>
      <x:c r="P494" s="44" t="n">
        <x:v>158.25</x:v>
      </x:c>
      <x:c r="Q494" s="44" t="n">
        <x:v>155.39</x:v>
      </x:c>
      <x:c r="R494" s="44" t="n">
        <x:v>161.26</x:v>
      </x:c>
    </x:row>
    <x:row r="495">
      <x:c r="A495" s="32" t="str">
        <x:v>GPT-5.6 Luna</x:v>
      </x:c>
      <x:c r="B495" s="32" t="str">
        <x:v>gpt-5.6-luna_low</x:v>
      </x:c>
      <x:c r="C495" s="32" t="str">
        <x:v>GPT-5.6 Luna (low)</x:v>
      </x:c>
      <x:c r="D495" s="32" t="str">
        <x:v>OpenAI</x:v>
      </x:c>
      <x:c r="E495" s="32" t="str">
        <x:v>United States of America</x:v>
      </x:c>
      <x:c r="F495" s="34" t="n">
        <x:v>46212</x:v>
      </x:c>
      <x:c r="G495" s="32" t="str">
        <x:v>API access</x:v>
      </x:c>
      <x:c r="H495" s="34" t="n">
        <x:v>46212</x:v>
      </x:c>
      <x:c r="I495" s="52" t="str"/>
      <x:c r="J495" s="32" t="str">
        <x:v>Unverified</x:v>
      </x:c>
      <x:c r="K495" s="32" t="str"/>
      <x:c r="L495" s="32" t="str">
        <x:v>GPT-5.6 Luna (low)</x:v>
      </x:c>
      <x:c r="M495" s="32" t="str"/>
      <x:c r="N495" s="32" t="str">
        <x:v>GPT-5.6 Luna</x:v>
      </x:c>
      <x:c r="O495" s="32" t="str">
        <x:v>gpt-5-6-luna</x:v>
      </x:c>
      <x:c r="P495" s="44" t="n">
        <x:v>155.62</x:v>
      </x:c>
      <x:c r="Q495" s="44" t="n">
        <x:v>152.89</x:v>
      </x:c>
      <x:c r="R495" s="44" t="n">
        <x:v>158.51</x:v>
      </x:c>
    </x:row>
    <x:row r="496">
      <x:c r="A496" s="32" t="str">
        <x:v>Gemma 3 12B</x:v>
      </x:c>
      <x:c r="B496" s="32" t="str">
        <x:v>gemma-3-12b-it</x:v>
      </x:c>
      <x:c r="C496" s="32" t="str"/>
      <x:c r="D496" s="32" t="str">
        <x:v>Google DeepMind</x:v>
      </x:c>
      <x:c r="E496" s="32" t="str">
        <x:v>United States of America</x:v>
      </x:c>
      <x:c r="F496" s="34" t="n">
        <x:v>45728</x:v>
      </x:c>
      <x:c r="G496" s="32" t="str">
        <x:v>Open weights (restricted use)</x:v>
      </x:c>
      <x:c r="H496" s="34" t="n">
        <x:v>45728</x:v>
      </x:c>
      <x:c r="I496" s="52" t="n">
        <x:v>8.64e+23</x:v>
      </x:c>
      <x:c r="J496" s="32" t="str">
        <x:v>Confident</x:v>
      </x:c>
      <x:c r="K496" s="32" t="str">
        <x:v>An instruction-tuned version of the 12 billion-parameter model Google DeepMind's Gemma 3 series.</x:v>
      </x:c>
      <x:c r="L496" s="32" t="str"/>
      <x:c r="M496" s="32" t="str"/>
      <x:c r="N496" s="32" t="str">
        <x:v>Gemma 3 12B</x:v>
      </x:c>
      <x:c r="O496" s="32" t="str">
        <x:v>gemma-3-12b</x:v>
      </x:c>
      <x:c r="P496" s="44" t="str"/>
      <x:c r="Q496" s="44" t="str"/>
      <x:c r="R496" s="44" t="str"/>
    </x:row>
    <x:row r="497">
      <x:c r="A497" s="32" t="str"/>
      <x:c r="B497" s="32" t="str">
        <x:v>mPLUG-Owl3-7B-241101</x:v>
      </x:c>
      <x:c r="C497" s="32" t="str"/>
      <x:c r="D497" s="32" t="str"/>
      <x:c r="E497" s="32" t="str"/>
      <x:c r="F497" s="34" t="n">
        <x:v>45622</x:v>
      </x:c>
      <x:c r="G497" s="32" t="str"/>
      <x:c r="H497" s="34"/>
      <x:c r="I497" s="52" t="str"/>
      <x:c r="J497" s="32" t="str">
        <x:v>Unverified</x:v>
      </x:c>
      <x:c r="K497" s="32" t="str"/>
      <x:c r="L497" s="32" t="str"/>
      <x:c r="M497" s="32" t="str"/>
      <x:c r="N497" s="32" t="str"/>
      <x:c r="O497" s="32" t="str">
        <x:v>mplug-owl3-7b-241101</x:v>
      </x:c>
      <x:c r="P497" s="44" t="str"/>
      <x:c r="Q497" s="44" t="str"/>
      <x:c r="R497" s="44" t="str"/>
    </x:row>
    <x:row r="498">
      <x:c r="A498" s="32" t="str"/>
      <x:c r="B498" s="32" t="str">
        <x:v>LLaVA-Video-7B-Qwen2</x:v>
      </x:c>
      <x:c r="C498" s="32" t="str"/>
      <x:c r="D498" s="32" t="str"/>
      <x:c r="E498" s="32" t="str"/>
      <x:c r="F498" s="34" t="n">
        <x:v>45537</x:v>
      </x:c>
      <x:c r="G498" s="32" t="str"/>
      <x:c r="H498" s="34"/>
      <x:c r="I498" s="52" t="str"/>
      <x:c r="J498" s="32" t="str">
        <x:v>Unverified</x:v>
      </x:c>
      <x:c r="K498" s="32" t="str"/>
      <x:c r="L498" s="32" t="str"/>
      <x:c r="M498" s="32" t="str"/>
      <x:c r="N498" s="32" t="str"/>
      <x:c r="O498" s="32" t="str">
        <x:v>llava-video-7b-qwen2</x:v>
      </x:c>
      <x:c r="P498" s="44" t="str"/>
      <x:c r="Q498" s="44" t="str"/>
      <x:c r="R498" s="44" t="str"/>
    </x:row>
    <x:row r="499">
      <x:c r="A499" s="32" t="str"/>
      <x:c r="B499" s="32" t="str">
        <x:v>LongVA-7B</x:v>
      </x:c>
      <x:c r="C499" s="32" t="str"/>
      <x:c r="D499" s="32" t="str"/>
      <x:c r="E499" s="32" t="str"/>
      <x:c r="F499" s="34" t="n">
        <x:v>45456</x:v>
      </x:c>
      <x:c r="G499" s="32" t="str"/>
      <x:c r="H499" s="34"/>
      <x:c r="I499" s="52" t="str"/>
      <x:c r="J499" s="32" t="str">
        <x:v>Unverified</x:v>
      </x:c>
      <x:c r="K499" s="32" t="str"/>
      <x:c r="L499" s="32" t="str"/>
      <x:c r="M499" s="32" t="str"/>
      <x:c r="N499" s="32" t="str"/>
      <x:c r="O499" s="32" t="str">
        <x:v>longva-7b</x:v>
      </x:c>
      <x:c r="P499" s="44" t="str"/>
      <x:c r="Q499" s="44" t="str"/>
      <x:c r="R499" s="44" t="str"/>
    </x:row>
    <x:row r="500">
      <x:c r="A500" s="32" t="str"/>
      <x:c r="B500" s="32" t="str">
        <x:v>gemini-3-deep-think-preview</x:v>
      </x:c>
      <x:c r="C500" s="32" t="str"/>
      <x:c r="D500" s="32" t="str"/>
      <x:c r="E500" s="32" t="str"/>
      <x:c r="F500" s="34" t="n">
        <x:v>46065</x:v>
      </x:c>
      <x:c r="G500" s="32" t="str"/>
      <x:c r="H500" s="34"/>
      <x:c r="I500" s="52" t="str"/>
      <x:c r="J500" s="32" t="str">
        <x:v>Unverified</x:v>
      </x:c>
      <x:c r="K500" s="32" t="str"/>
      <x:c r="L500" s="32" t="str"/>
      <x:c r="M500" s="32" t="str"/>
      <x:c r="N500" s="32" t="str"/>
      <x:c r="O500" s="32" t="str">
        <x:v>gemini-3-deep-think-preview</x:v>
      </x:c>
      <x:c r="P500" s="44" t="str"/>
      <x:c r="Q500" s="44" t="str"/>
      <x:c r="R500" s="44" t="str"/>
    </x:row>
    <x:row r="501">
      <x:c r="A501" s="32" t="str">
        <x:v>GPT-5.5 Pro</x:v>
      </x:c>
      <x:c r="B501" s="32" t="str">
        <x:v>gpt-5.5-pro_high</x:v>
      </x:c>
      <x:c r="C501" s="32" t="str">
        <x:v>GPT-5.5 Pro (high)</x:v>
      </x:c>
      <x:c r="D501" s="32" t="str">
        <x:v>OpenAI</x:v>
      </x:c>
      <x:c r="E501" s="32" t="str">
        <x:v>United States of America</x:v>
      </x:c>
      <x:c r="F501" s="34" t="n">
        <x:v>46135</x:v>
      </x:c>
      <x:c r="G501" s="32" t="str">
        <x:v>API access</x:v>
      </x:c>
      <x:c r="H501" s="34" t="n">
        <x:v>46135</x:v>
      </x:c>
      <x:c r="I501" s="52" t="str"/>
      <x:c r="J501" s="32" t="str">
        <x:v>Likely</x:v>
      </x:c>
      <x:c r="K501" s="32" t="str"/>
      <x:c r="L501" s="32" t="str"/>
      <x:c r="M501" s="32" t="str"/>
      <x:c r="N501" s="32" t="str">
        <x:v>GPT-5.5 Pro</x:v>
      </x:c>
      <x:c r="O501" s="32" t="str">
        <x:v>gpt-5-5-pro</x:v>
      </x:c>
      <x:c r="P501" s="44" t="n">
        <x:v>160.73</x:v>
      </x:c>
      <x:c r="Q501" s="44" t="n">
        <x:v>158.24</x:v>
      </x:c>
      <x:c r="R501" s="44" t="n">
        <x:v>164.36</x:v>
      </x:c>
    </x:row>
    <x:row r="502">
      <x:c r="A502" s="32" t="str">
        <x:v>GPT-5.2 Pro</x:v>
      </x:c>
      <x:c r="B502" s="32" t="str">
        <x:v>gpt-5.2-pro-2025-12-11_high</x:v>
      </x:c>
      <x:c r="C502" s="32" t="str">
        <x:v>GPT-5.2 Pro</x:v>
      </x:c>
      <x:c r="D502" s="32" t="str">
        <x:v>OpenAI</x:v>
      </x:c>
      <x:c r="E502" s="32" t="str">
        <x:v>United States of America</x:v>
      </x:c>
      <x:c r="F502" s="34" t="n">
        <x:v>46002</x:v>
      </x:c>
      <x:c r="G502" s="32" t="str">
        <x:v>API access</x:v>
      </x:c>
      <x:c r="H502" s="34" t="n">
        <x:v>46002</x:v>
      </x:c>
      <x:c r="I502" s="52" t="str"/>
      <x:c r="J502" s="32" t="str">
        <x:v>Likely</x:v>
      </x:c>
      <x:c r="K502" s="32" t="str"/>
      <x:c r="L502" s="32" t="str">
        <x:v>GPT-5.2 Pro (high)</x:v>
      </x:c>
      <x:c r="M502" s="32" t="str"/>
      <x:c r="N502" s="32" t="str">
        <x:v>GPT-5.2 Pro</x:v>
      </x:c>
      <x:c r="O502" s="32" t="str">
        <x:v>gpt-5-2-pro</x:v>
      </x:c>
      <x:c r="P502" s="44" t="n">
        <x:v>154.65</x:v>
      </x:c>
      <x:c r="Q502" s="44" t="n">
        <x:v>152.88</x:v>
      </x:c>
      <x:c r="R502" s="44" t="n">
        <x:v>157.03</x:v>
      </x:c>
    </x:row>
    <x:row r="503">
      <x:c r="A503" s="32" t="str">
        <x:v>GPT-5.2 Pro</x:v>
      </x:c>
      <x:c r="B503" s="32" t="str">
        <x:v>gpt-5.2-pro-2025-12-11_medium</x:v>
      </x:c>
      <x:c r="C503" s="32" t="str">
        <x:v>GPT-5.2 Pro</x:v>
      </x:c>
      <x:c r="D503" s="32" t="str">
        <x:v>OpenAI</x:v>
      </x:c>
      <x:c r="E503" s="32" t="str">
        <x:v>United States of America</x:v>
      </x:c>
      <x:c r="F503" s="34" t="n">
        <x:v>46002</x:v>
      </x:c>
      <x:c r="G503" s="32" t="str">
        <x:v>API access</x:v>
      </x:c>
      <x:c r="H503" s="34" t="n">
        <x:v>46002</x:v>
      </x:c>
      <x:c r="I503" s="52" t="str"/>
      <x:c r="J503" s="32" t="str">
        <x:v>Likely</x:v>
      </x:c>
      <x:c r="K503" s="32" t="str"/>
      <x:c r="L503" s="32" t="str">
        <x:v>GPT-5.2 Pro (medium)</x:v>
      </x:c>
      <x:c r="M503" s="32" t="str"/>
      <x:c r="N503" s="32" t="str">
        <x:v>GPT-5.2 Pro</x:v>
      </x:c>
      <x:c r="O503" s="32" t="str">
        <x:v>gpt-5-2-pro</x:v>
      </x:c>
      <x:c r="P503" s="44" t="n">
        <x:v>154.65</x:v>
      </x:c>
      <x:c r="Q503" s="44" t="n">
        <x:v>152.88</x:v>
      </x:c>
      <x:c r="R503" s="44" t="n">
        <x:v>157.03</x:v>
      </x:c>
    </x:row>
    <x:row r="504">
      <x:c r="A504" s="32" t="str">
        <x:v>Claude Opus 4.5</x:v>
      </x:c>
      <x:c r="B504" s="32" t="str">
        <x:v>claude-opus-4-5-20251101_64K</x:v>
      </x:c>
      <x:c r="C504" s="32" t="str">
        <x:v>Claude Opus 4.5 (64k thinking)</x:v>
      </x:c>
      <x:c r="D504" s="32" t="str">
        <x:v>Anthropic</x:v>
      </x:c>
      <x:c r="E504" s="32" t="str">
        <x:v>United States of America</x:v>
      </x:c>
      <x:c r="F504" s="34" t="n">
        <x:v>45985</x:v>
      </x:c>
      <x:c r="G504" s="32" t="str">
        <x:v>API access</x:v>
      </x:c>
      <x:c r="H504" s="34" t="n">
        <x:v>45985</x:v>
      </x:c>
      <x:c r="I504" s="52" t="str"/>
      <x:c r="J504" s="32" t="str">
        <x:v>Unknown</x:v>
      </x:c>
      <x:c r="K504" s="32" t="str"/>
      <x:c r="L504" s="32" t="str">
        <x:v>Claude Opus 4.5 (64k thinking)</x:v>
      </x:c>
      <x:c r="M504" s="32" t="str"/>
      <x:c r="N504" s="32" t="str">
        <x:v>Claude Opus 4.5</x:v>
      </x:c>
      <x:c r="O504" s="32" t="str">
        <x:v>claude-opus-4-5</x:v>
      </x:c>
      <x:c r="P504" s="44" t="n">
        <x:v>149.53</x:v>
      </x:c>
      <x:c r="Q504" s="44" t="n">
        <x:v>147.66</x:v>
      </x:c>
      <x:c r="R504" s="44" t="n">
        <x:v>151.99</x:v>
      </x:c>
    </x:row>
    <x:row r="505">
      <x:c r="A505" s="32" t="str">
        <x:v>GPT-5.4</x:v>
      </x:c>
      <x:c r="B505" s="32" t="str">
        <x:v>gpt-5.4-2026-03-05_low</x:v>
      </x:c>
      <x:c r="C505" s="32" t="str">
        <x:v>GPT-5.4 (low)</x:v>
      </x:c>
      <x:c r="D505" s="32" t="str">
        <x:v>OpenAI</x:v>
      </x:c>
      <x:c r="E505" s="32" t="str">
        <x:v>United States of America</x:v>
      </x:c>
      <x:c r="F505" s="34" t="n">
        <x:v>46086</x:v>
      </x:c>
      <x:c r="G505" s="32" t="str">
        <x:v>API access</x:v>
      </x:c>
      <x:c r="H505" s="34" t="n">
        <x:v>46086</x:v>
      </x:c>
      <x:c r="I505" s="52" t="str"/>
      <x:c r="J505" s="32" t="str">
        <x:v>Likely</x:v>
      </x:c>
      <x:c r="K505" s="32" t="str"/>
      <x:c r="L505" s="32" t="str">
        <x:v>GPT-5.4 (low)</x:v>
      </x:c>
      <x:c r="M505" s="32" t="str"/>
      <x:c r="N505" s="32" t="str">
        <x:v>GPT-5.4</x:v>
      </x:c>
      <x:c r="O505" s="32" t="str">
        <x:v>gpt-5-4</x:v>
      </x:c>
      <x:c r="P505" s="44" t="n">
        <x:v>156.03</x:v>
      </x:c>
      <x:c r="Q505" s="44" t="n">
        <x:v>154.45</x:v>
      </x:c>
      <x:c r="R505" s="44" t="n">
        <x:v>158.37</x:v>
      </x:c>
    </x:row>
    <x:row r="506">
      <x:c r="A506" s="32" t="str">
        <x:v>Claude Opus 4.5</x:v>
      </x:c>
      <x:c r="B506" s="32" t="str">
        <x:v>claude-opus-4-5-20251101_8K</x:v>
      </x:c>
      <x:c r="C506" s="32" t="str">
        <x:v>Claude Opus 4.5 (8k thinking)</x:v>
      </x:c>
      <x:c r="D506" s="32" t="str">
        <x:v>Anthropic</x:v>
      </x:c>
      <x:c r="E506" s="32" t="str">
        <x:v>United States of America</x:v>
      </x:c>
      <x:c r="F506" s="34" t="n">
        <x:v>45985</x:v>
      </x:c>
      <x:c r="G506" s="32" t="str">
        <x:v>API access</x:v>
      </x:c>
      <x:c r="H506" s="34" t="n">
        <x:v>45985</x:v>
      </x:c>
      <x:c r="I506" s="52" t="str"/>
      <x:c r="J506" s="32" t="str">
        <x:v>Unknown</x:v>
      </x:c>
      <x:c r="K506" s="32" t="str"/>
      <x:c r="L506" s="32" t="str">
        <x:v>Claude Opus 4.5 (8k thinking)</x:v>
      </x:c>
      <x:c r="M506" s="32" t="str"/>
      <x:c r="N506" s="32" t="str">
        <x:v>Claude Opus 4.5</x:v>
      </x:c>
      <x:c r="O506" s="32" t="str">
        <x:v>claude-opus-4-5</x:v>
      </x:c>
      <x:c r="P506" s="44" t="n">
        <x:v>149.53</x:v>
      </x:c>
      <x:c r="Q506" s="44" t="n">
        <x:v>147.66</x:v>
      </x:c>
      <x:c r="R506" s="44" t="n">
        <x:v>151.99</x:v>
      </x:c>
    </x:row>
    <x:row r="507">
      <x:c r="A507" s="32" t="str">
        <x:v>Gemini 3.5 Flash</x:v>
      </x:c>
      <x:c r="B507" s="32" t="str">
        <x:v>gemini-3.5-flash_minimal</x:v>
      </x:c>
      <x:c r="C507" s="32" t="str">
        <x:v>Gemini 3.5 Flash (minimal)</x:v>
      </x:c>
      <x:c r="D507" s="32" t="str">
        <x:v>Google</x:v>
      </x:c>
      <x:c r="E507" s="32" t="str">
        <x:v>United States of America</x:v>
      </x:c>
      <x:c r="F507" s="34" t="n">
        <x:v>46161</x:v>
      </x:c>
      <x:c r="G507" s="32" t="str">
        <x:v>API access</x:v>
      </x:c>
      <x:c r="H507" s="34"/>
      <x:c r="I507" s="52" t="str"/>
      <x:c r="J507" s="32" t="str">
        <x:v>Confident</x:v>
      </x:c>
      <x:c r="K507" s="32" t="str"/>
      <x:c r="L507" s="32" t="str"/>
      <x:c r="M507" s="32" t="str"/>
      <x:c r="N507" s="32" t="str">
        <x:v>Gemini 3.5 Flash</x:v>
      </x:c>
      <x:c r="O507" s="32" t="str">
        <x:v>gemini-3-5-flash</x:v>
      </x:c>
      <x:c r="P507" s="44" t="n">
        <x:v>154.58</x:v>
      </x:c>
      <x:c r="Q507" s="44" t="n">
        <x:v>152.84</x:v>
      </x:c>
      <x:c r="R507" s="44" t="n">
        <x:v>157.2</x:v>
      </x:c>
    </x:row>
    <x:row r="508">
      <x:c r="A508" s="32" t="str">
        <x:v>Claude Sonnet 4.5</x:v>
      </x:c>
      <x:c r="B508" s="32" t="str">
        <x:v>claude-sonnet-4-5-20250929_8K</x:v>
      </x:c>
      <x:c r="C508" s="32" t="str">
        <x:v>Claude Sonnet 4.5 (8k thinking)</x:v>
      </x:c>
      <x:c r="D508" s="32" t="str">
        <x:v>Anthropic</x:v>
      </x:c>
      <x:c r="E508" s="32" t="str">
        <x:v>United States of America</x:v>
      </x:c>
      <x:c r="F508" s="34" t="n">
        <x:v>45929</x:v>
      </x:c>
      <x:c r="G508" s="32" t="str">
        <x:v>API access</x:v>
      </x:c>
      <x:c r="H508" s="34" t="n">
        <x:v>45929</x:v>
      </x:c>
      <x:c r="I508" s="52" t="str"/>
      <x:c r="J508" s="32" t="str">
        <x:v>Unknown</x:v>
      </x:c>
      <x:c r="K508" s="32" t="str"/>
      <x:c r="L508" s="32" t="str">
        <x:v>Claude Sonnet 4.5 (2k thinking)</x:v>
      </x:c>
      <x:c r="M508" s="32" t="str"/>
      <x:c r="N508" s="32" t="str">
        <x:v>Claude Sonnet 4.5</x:v>
      </x:c>
      <x:c r="O508" s="32" t="str">
        <x:v>claude-sonnet-4-5</x:v>
      </x:c>
      <x:c r="P508" s="44" t="n">
        <x:v>146.75</x:v>
      </x:c>
      <x:c r="Q508" s="44" t="n">
        <x:v>144.71</x:v>
      </x:c>
      <x:c r="R508" s="44" t="n">
        <x:v>148.07</x:v>
      </x:c>
    </x:row>
    <x:row r="509">
      <x:c r="A509" s="32" t="str"/>
      <x:c r="B509" s="32" t="str">
        <x:v>tiny-recursion-model</x:v>
      </x:c>
      <x:c r="C509" s="32" t="str"/>
      <x:c r="D509" s="32" t="str"/>
      <x:c r="E509" s="32" t="str"/>
      <x:c r="F509" s="34" t="n">
        <x:v>45936</x:v>
      </x:c>
      <x:c r="G509" s="32" t="str"/>
      <x:c r="H509" s="34"/>
      <x:c r="I509" s="52" t="str"/>
      <x:c r="J509" s="32" t="str">
        <x:v>Unverified</x:v>
      </x:c>
      <x:c r="K509" s="32" t="str"/>
      <x:c r="L509" s="32" t="str"/>
      <x:c r="M509" s="32" t="str"/>
      <x:c r="N509" s="32" t="str"/>
      <x:c r="O509" s="32" t="str">
        <x:v>tiny-recursion-model</x:v>
      </x:c>
      <x:c r="P509" s="44" t="str"/>
      <x:c r="Q509" s="44" t="str"/>
      <x:c r="R509" s="44" t="str"/>
    </x:row>
    <x:row r="510">
      <x:c r="A510" s="32" t="str">
        <x:v>Claude Sonnet 4.5</x:v>
      </x:c>
      <x:c r="B510" s="32" t="str">
        <x:v>claude-sonnet-4-5-20250929_1K</x:v>
      </x:c>
      <x:c r="C510" s="32" t="str">
        <x:v>Claude Sonnet 4.5 (1k thinking)</x:v>
      </x:c>
      <x:c r="D510" s="32" t="str">
        <x:v>Anthropic</x:v>
      </x:c>
      <x:c r="E510" s="32" t="str">
        <x:v>United States of America</x:v>
      </x:c>
      <x:c r="F510" s="34" t="n">
        <x:v>45929</x:v>
      </x:c>
      <x:c r="G510" s="32" t="str">
        <x:v>API access</x:v>
      </x:c>
      <x:c r="H510" s="34" t="n">
        <x:v>45929</x:v>
      </x:c>
      <x:c r="I510" s="52" t="str"/>
      <x:c r="J510" s="32" t="str">
        <x:v>Unknown</x:v>
      </x:c>
      <x:c r="K510" s="32" t="str"/>
      <x:c r="L510" s="32" t="str">
        <x:v>Claude Sonnet 4.5 (2k thinking)</x:v>
      </x:c>
      <x:c r="M510" s="32" t="str"/>
      <x:c r="N510" s="32" t="str">
        <x:v>Claude Sonnet 4.5</x:v>
      </x:c>
      <x:c r="O510" s="32" t="str">
        <x:v>claude-sonnet-4-5</x:v>
      </x:c>
      <x:c r="P510" s="44" t="n">
        <x:v>146.75</x:v>
      </x:c>
      <x:c r="Q510" s="44" t="n">
        <x:v>144.71</x:v>
      </x:c>
      <x:c r="R510" s="44" t="n">
        <x:v>148.07</x:v>
      </x:c>
    </x:row>
    <x:row r="511">
      <x:c r="A511" s="32" t="str">
        <x:v>GPT-5.4 Nano</x:v>
      </x:c>
      <x:c r="B511" s="32" t="str">
        <x:v>gpt-5.4-nano-2026-03-17_xhigh</x:v>
      </x:c>
      <x:c r="C511" s="32" t="str">
        <x:v>GPT-5.4 nano (xhigh)</x:v>
      </x:c>
      <x:c r="D511" s="32" t="str">
        <x:v>OpenAI</x:v>
      </x:c>
      <x:c r="E511" s="32" t="str">
        <x:v>United States of America</x:v>
      </x:c>
      <x:c r="F511" s="34" t="n">
        <x:v>46098</x:v>
      </x:c>
      <x:c r="G511" s="32" t="str">
        <x:v>API access</x:v>
      </x:c>
      <x:c r="H511" s="34" t="n">
        <x:v>46098</x:v>
      </x:c>
      <x:c r="I511" s="52" t="str"/>
      <x:c r="J511" s="32" t="str">
        <x:v>Likely</x:v>
      </x:c>
      <x:c r="K511" s="32" t="str"/>
      <x:c r="L511" s="32" t="str">
        <x:v>GPT-5.4 nano (xhigh)</x:v>
      </x:c>
      <x:c r="M511" s="32" t="str"/>
      <x:c r="N511" s="32" t="str">
        <x:v>GPT-5.4 Nano</x:v>
      </x:c>
      <x:c r="O511" s="32" t="str">
        <x:v>gpt-5-4-nano</x:v>
      </x:c>
      <x:c r="P511" s="44" t="n">
        <x:v>146.64</x:v>
      </x:c>
      <x:c r="Q511" s="44" t="n">
        <x:v>144.07</x:v>
      </x:c>
      <x:c r="R511" s="44" t="n">
        <x:v>148.4</x:v>
      </x:c>
    </x:row>
    <x:row r="512">
      <x:c r="A512" s="32" t="str">
        <x:v>Claude Opus 4</x:v>
      </x:c>
      <x:c r="B512" s="32" t="str">
        <x:v>claude-opus-4-20250514_8K</x:v>
      </x:c>
      <x:c r="C512" s="32" t="str">
        <x:v>Claude Opus 4</x:v>
      </x:c>
      <x:c r="D512" s="32" t="str">
        <x:v>Anthropic</x:v>
      </x:c>
      <x:c r="E512" s="32" t="str">
        <x:v>United States of America</x:v>
      </x:c>
      <x:c r="F512" s="34" t="n">
        <x:v>45799</x:v>
      </x:c>
      <x:c r="G512" s="32" t="str">
        <x:v>API access</x:v>
      </x:c>
      <x:c r="H512" s="34" t="n">
        <x:v>45799</x:v>
      </x:c>
      <x:c r="I512" s="52" t="str"/>
      <x:c r="J512" s="32" t="str">
        <x:v>Unknown</x:v>
      </x:c>
      <x:c r="K512" s="32" t="str">
        <x:v>Anthropic's largest model in the Claude 4 series (superseded by Claude Opus 4.1), benchmarked with up to 8,000 reasoning tokens.</x:v>
      </x:c>
      <x:c r="L512" s="32" t="str">
        <x:v>Claude Opus 4 (8k thinking)</x:v>
      </x:c>
      <x:c r="M512" s="32" t="str"/>
      <x:c r="N512" s="32" t="str">
        <x:v>Claude Opus 4</x:v>
      </x:c>
      <x:c r="O512" s="32" t="str">
        <x:v>claude-opus-4</x:v>
      </x:c>
      <x:c r="P512" s="44" t="n">
        <x:v>142.89</x:v>
      </x:c>
      <x:c r="Q512" s="44" t="n">
        <x:v>140.36</x:v>
      </x:c>
      <x:c r="R512" s="44" t="n">
        <x:v>144.3</x:v>
      </x:c>
    </x:row>
    <x:row r="513">
      <x:c r="A513" s="32" t="str">
        <x:v>GPT-5.4 Mini</x:v>
      </x:c>
      <x:c r="B513" s="32" t="str">
        <x:v>gpt-5.4-mini-2026-03-17_medium</x:v>
      </x:c>
      <x:c r="C513" s="32" t="str">
        <x:v>GPT-5.4 mini (medium)</x:v>
      </x:c>
      <x:c r="D513" s="32" t="str">
        <x:v>OpenAI</x:v>
      </x:c>
      <x:c r="E513" s="32" t="str">
        <x:v>United States of America</x:v>
      </x:c>
      <x:c r="F513" s="34" t="n">
        <x:v>46098</x:v>
      </x:c>
      <x:c r="G513" s="32" t="str">
        <x:v>API access</x:v>
      </x:c>
      <x:c r="H513" s="34" t="n">
        <x:v>46098</x:v>
      </x:c>
      <x:c r="I513" s="52" t="str"/>
      <x:c r="J513" s="32" t="str">
        <x:v>Likely</x:v>
      </x:c>
      <x:c r="K513" s="32" t="str"/>
      <x:c r="L513" s="32" t="str">
        <x:v>GPT-5.4 mini (medium)</x:v>
      </x:c>
      <x:c r="M513" s="32" t="str"/>
      <x:c r="N513" s="32" t="str">
        <x:v>GPT-5.4 Mini</x:v>
      </x:c>
      <x:c r="O513" s="32" t="str">
        <x:v>gpt-5-4-mini</x:v>
      </x:c>
      <x:c r="P513" s="44" t="n">
        <x:v>148.9</x:v>
      </x:c>
      <x:c r="Q513" s="44" t="n">
        <x:v>147.11</x:v>
      </x:c>
      <x:c r="R513" s="44" t="n">
        <x:v>150.06</x:v>
      </x:c>
    </x:row>
    <x:row r="514">
      <x:c r="A514" s="32" t="str">
        <x:v>Gemini 2.5 Pro (Jun 2025)</x:v>
      </x:c>
      <x:c r="B514" s="32" t="str">
        <x:v>gemini-2.5-pro_8K</x:v>
      </x:c>
      <x:c r="C514" s="32" t="str"/>
      <x:c r="D514" s="32" t="str">
        <x:v>Google DeepMind</x:v>
      </x:c>
      <x:c r="E514" s="32" t="str">
        <x:v>United States of America</x:v>
      </x:c>
      <x:c r="F514" s="34" t="n">
        <x:v>45825</x:v>
      </x:c>
      <x:c r="G514" s="32" t="str">
        <x:v>API access</x:v>
      </x:c>
      <x:c r="H514" s="34" t="n">
        <x:v>45813</x:v>
      </x:c>
      <x:c r="I514" s="52" t="str"/>
      <x:c r="J514" s="32" t="str">
        <x:v>Unknown</x:v>
      </x:c>
      <x:c r="K514" s="32" t="str">
        <x:v>Google’s general-purpose frontier reasoning model, evaluated with up to 8,000 reasoning tokens.</x:v>
      </x:c>
      <x:c r="L514" s="32" t="str">
        <x:v>Gemini 2.5 Pro (8k thinking)</x:v>
      </x:c>
      <x:c r="M514" s="32" t="str">
        <x:v>Gemini 2.5 Pro (Jun 2025)</x:v>
      </x:c>
      <x:c r="N514" s="32" t="str">
        <x:v>Gemini 2.5 Pro (Jun 2025)</x:v>
      </x:c>
      <x:c r="O514" s="32" t="str">
        <x:v>gemini-2-5-pro-jun-2025</x:v>
      </x:c>
      <x:c r="P514" s="44" t="n">
        <x:v>146.08</x:v>
      </x:c>
      <x:c r="Q514" s="44" t="n">
        <x:v>144.33</x:v>
      </x:c>
      <x:c r="R514" s="44" t="n">
        <x:v>147.72</x:v>
      </x:c>
    </x:row>
    <x:row r="515">
      <x:c r="A515" s="32" t="str">
        <x:v>Gemini 2.5 Flash</x:v>
      </x:c>
      <x:c r="B515" s="32" t="str">
        <x:v>gemini-2.5-flash-preview-05-20_23K</x:v>
      </x:c>
      <x:c r="C515" s="32" t="str"/>
      <x:c r="D515" s="32" t="str">
        <x:v>Google DeepMind</x:v>
      </x:c>
      <x:c r="E515" s="32" t="str">
        <x:v>United States of America</x:v>
      </x:c>
      <x:c r="F515" s="34" t="n">
        <x:v>45797</x:v>
      </x:c>
      <x:c r="G515" s="32" t="str">
        <x:v>API access</x:v>
      </x:c>
      <x:c r="H515" s="34" t="n">
        <x:v>45764</x:v>
      </x:c>
      <x:c r="I515" s="52" t="str"/>
      <x:c r="J515" s="32" t="str">
        <x:v>Unknown</x:v>
      </x:c>
      <x:c r="K515" s="32" t="str">
        <x:v>A May 2025 preview version of Gemini 2.5 Flash, a small model in Google DeepMind's Gemini 2.5 series, evaluated with up to 23,000 reasoning tokens.</x:v>
      </x:c>
      <x:c r="L515" s="32" t="str"/>
      <x:c r="M515" s="32" t="str">
        <x:v>Gemini 2.5 Flash (May 2025)</x:v>
      </x:c>
      <x:c r="N515" s="32" t="str">
        <x:v>Gemini 2.5 Flash (May 2025)</x:v>
      </x:c>
      <x:c r="O515" s="32" t="str">
        <x:v>gemini-2-5-flash-may-2025</x:v>
      </x:c>
      <x:c r="P515" s="44" t="n">
        <x:v>142.24</x:v>
      </x:c>
      <x:c r="Q515" s="44" t="n">
        <x:v>139.89</x:v>
      </x:c>
      <x:c r="R515" s="44" t="n">
        <x:v>143.54</x:v>
      </x:c>
    </x:row>
    <x:row r="516">
      <x:c r="A516" s="32" t="str">
        <x:v>Gemini 2.5 Flash</x:v>
      </x:c>
      <x:c r="B516" s="32" t="str">
        <x:v>gemini-2.5-flash-preview-05-20_1K</x:v>
      </x:c>
      <x:c r="C516" s="32" t="str"/>
      <x:c r="D516" s="32" t="str">
        <x:v>Google DeepMind</x:v>
      </x:c>
      <x:c r="E516" s="32" t="str">
        <x:v>United States of America</x:v>
      </x:c>
      <x:c r="F516" s="34" t="n">
        <x:v>45797</x:v>
      </x:c>
      <x:c r="G516" s="32" t="str">
        <x:v>API access</x:v>
      </x:c>
      <x:c r="H516" s="34" t="n">
        <x:v>45764</x:v>
      </x:c>
      <x:c r="I516" s="52" t="str"/>
      <x:c r="J516" s="32" t="str">
        <x:v>Unknown</x:v>
      </x:c>
      <x:c r="K516" s="32" t="str">
        <x:v>An April 2025 preview version of Gemini 2.5 Flash, a small reasoning model in the Gemini 2.5 series from DeepMind, evaluated with up to 1,000 reasoning tokens.</x:v>
      </x:c>
      <x:c r="L516" s="32" t="str"/>
      <x:c r="M516" s="32" t="str">
        <x:v>Gemini 2.5 Flash (May 2025)</x:v>
      </x:c>
      <x:c r="N516" s="32" t="str">
        <x:v>Gemini 2.5 Flash (May 2025)</x:v>
      </x:c>
      <x:c r="O516" s="32" t="str">
        <x:v>gemini-2-5-flash-may-2025</x:v>
      </x:c>
      <x:c r="P516" s="44" t="n">
        <x:v>142.24</x:v>
      </x:c>
      <x:c r="Q516" s="44" t="n">
        <x:v>139.89</x:v>
      </x:c>
      <x:c r="R516" s="44" t="n">
        <x:v>143.54</x:v>
      </x:c>
    </x:row>
    <x:row r="517">
      <x:c r="A517" s="32" t="str">
        <x:v>Gemini 2.5 Flash</x:v>
      </x:c>
      <x:c r="B517" s="32" t="str">
        <x:v>gemini-2.5-flash-preview-05-20_8K</x:v>
      </x:c>
      <x:c r="C517" s="32" t="str"/>
      <x:c r="D517" s="32" t="str">
        <x:v>Google DeepMind</x:v>
      </x:c>
      <x:c r="E517" s="32" t="str">
        <x:v>United States of America</x:v>
      </x:c>
      <x:c r="F517" s="34" t="n">
        <x:v>45797</x:v>
      </x:c>
      <x:c r="G517" s="32" t="str">
        <x:v>API access</x:v>
      </x:c>
      <x:c r="H517" s="34" t="n">
        <x:v>45764</x:v>
      </x:c>
      <x:c r="I517" s="52" t="str"/>
      <x:c r="J517" s="32" t="str">
        <x:v>Unknown</x:v>
      </x:c>
      <x:c r="K517" s="32" t="str">
        <x:v>An April 2025 preview version of Gemini 2.5 Flash, a small reasoning model in the Gemini 2.5 series from DeepMind, evaluated with up to 8,000 reasoning tokens.</x:v>
      </x:c>
      <x:c r="L517" s="32" t="str"/>
      <x:c r="M517" s="32" t="str">
        <x:v>Gemini 2.5 Flash (May 2025)</x:v>
      </x:c>
      <x:c r="N517" s="32" t="str">
        <x:v>Gemini 2.5 Flash (May 2025)</x:v>
      </x:c>
      <x:c r="O517" s="32" t="str">
        <x:v>gemini-2-5-flash-may-2025</x:v>
      </x:c>
      <x:c r="P517" s="44" t="n">
        <x:v>142.24</x:v>
      </x:c>
      <x:c r="Q517" s="44" t="n">
        <x:v>139.89</x:v>
      </x:c>
      <x:c r="R517" s="44" t="n">
        <x:v>143.54</x:v>
      </x:c>
    </x:row>
    <x:row r="518">
      <x:c r="A518" s="32" t="str">
        <x:v>Claude Sonnet 4</x:v>
      </x:c>
      <x:c r="B518" s="32" t="str">
        <x:v>claude-sonnet-4-20250514_8K</x:v>
      </x:c>
      <x:c r="C518" s="32" t="str"/>
      <x:c r="D518" s="32" t="str">
        <x:v>Anthropic</x:v>
      </x:c>
      <x:c r="E518" s="32" t="str">
        <x:v>United States of America</x:v>
      </x:c>
      <x:c r="F518" s="34" t="n">
        <x:v>45799</x:v>
      </x:c>
      <x:c r="G518" s="32" t="str">
        <x:v>API access</x:v>
      </x:c>
      <x:c r="H518" s="34" t="n">
        <x:v>45799</x:v>
      </x:c>
      <x:c r="I518" s="52" t="str"/>
      <x:c r="J518" s="32" t="str">
        <x:v>Unknown</x:v>
      </x:c>
      <x:c r="K518" s="32" t="str"/>
      <x:c r="L518" s="32" t="str">
        <x:v>Claude Sonnet 4 (8k thinking)</x:v>
      </x:c>
      <x:c r="M518" s="32" t="str"/>
      <x:c r="N518" s="32" t="str">
        <x:v>Claude Sonnet 4</x:v>
      </x:c>
      <x:c r="O518" s="32" t="str">
        <x:v>claude-sonnet-4</x:v>
      </x:c>
      <x:c r="P518" s="44" t="n">
        <x:v>142.15</x:v>
      </x:c>
      <x:c r="Q518" s="44" t="n">
        <x:v>139.04</x:v>
      </x:c>
      <x:c r="R518" s="44" t="n">
        <x:v>143.61</x:v>
      </x:c>
    </x:row>
    <x:row r="519">
      <x:c r="A519" s="32" t="str">
        <x:v>o3-pro</x:v>
      </x:c>
      <x:c r="B519" s="32" t="str">
        <x:v>o3-pro-2025-06-10_low</x:v>
      </x:c>
      <x:c r="C519" s="32" t="str"/>
      <x:c r="D519" s="32" t="str">
        <x:v>OpenAI</x:v>
      </x:c>
      <x:c r="E519" s="32" t="str">
        <x:v>United States of America</x:v>
      </x:c>
      <x:c r="F519" s="34" t="n">
        <x:v>45818</x:v>
      </x:c>
      <x:c r="G519" s="32" t="str"/>
      <x:c r="H519" s="34" t="n">
        <x:v>45818</x:v>
      </x:c>
      <x:c r="I519" s="52" t="str"/>
      <x:c r="J519" s="32" t="str">
        <x:v>Unknown</x:v>
      </x:c>
      <x:c r="K519" s="32" t="str">
        <x:v>An enhanced version of OpenAI's previous flagship reasoning model o3, evaluated with low reasoning effort.</x:v>
      </x:c>
      <x:c r="L519" s="32" t="str"/>
      <x:c r="M519" s="32" t="str"/>
      <x:c r="N519" s="32" t="str">
        <x:v>o3-pro</x:v>
      </x:c>
      <x:c r="O519" s="32" t="str">
        <x:v>o3-pro</x:v>
      </x:c>
      <x:c r="P519" s="44" t="n">
        <x:v>147.92</x:v>
      </x:c>
      <x:c r="Q519" s="44" t="n">
        <x:v>146.24</x:v>
      </x:c>
      <x:c r="R519" s="44" t="n">
        <x:v>150.45</x:v>
      </x:c>
    </x:row>
    <x:row r="520">
      <x:c r="A520" s="32" t="str">
        <x:v>GPT-5</x:v>
      </x:c>
      <x:c r="B520" s="32" t="str">
        <x:v>gpt-5-2025-08-07_low</x:v>
      </x:c>
      <x:c r="C520" s="32" t="str">
        <x:v>GPT-5 (low)</x:v>
      </x:c>
      <x:c r="D520" s="32" t="str">
        <x:v>OpenAI</x:v>
      </x:c>
      <x:c r="E520" s="32" t="str">
        <x:v>United States of America</x:v>
      </x:c>
      <x:c r="F520" s="34" t="n">
        <x:v>45876</x:v>
      </x:c>
      <x:c r="G520" s="32" t="str">
        <x:v>API access</x:v>
      </x:c>
      <x:c r="H520" s="34" t="n">
        <x:v>45876</x:v>
      </x:c>
      <x:c r="I520" s="52" t="n">
        <x:v>6.6e+25</x:v>
      </x:c>
      <x:c r="J520" s="32" t="str">
        <x:v>Speculative</x:v>
      </x:c>
      <x:c r="K520" s="32" t="str">
        <x:v>OpenAI's latest flagship frontier model, benchmarked using low reasoning effort.</x:v>
      </x:c>
      <x:c r="L520" s="32" t="str">
        <x:v>GPT-5 (low)</x:v>
      </x:c>
      <x:c r="M520" s="32" t="str"/>
      <x:c r="N520" s="32" t="str">
        <x:v>GPT-5</x:v>
      </x:c>
      <x:c r="O520" s="32" t="str">
        <x:v>gpt-5</x:v>
      </x:c>
      <x:c r="P520" s="44" t="n">
        <x:v>150</x:v>
      </x:c>
      <x:c r="Q520" s="44" t="str"/>
      <x:c r="R520" s="44" t="str"/>
    </x:row>
    <x:row r="521">
      <x:c r="A521" s="32" t="str">
        <x:v>GPT-5.4 Nano</x:v>
      </x:c>
      <x:c r="B521" s="32" t="str">
        <x:v>gpt-5.4-nano-2026-03-17_medium</x:v>
      </x:c>
      <x:c r="C521" s="32" t="str">
        <x:v>GPT-5.4 nano (medium)</x:v>
      </x:c>
      <x:c r="D521" s="32" t="str">
        <x:v>OpenAI</x:v>
      </x:c>
      <x:c r="E521" s="32" t="str">
        <x:v>United States of America</x:v>
      </x:c>
      <x:c r="F521" s="34" t="n">
        <x:v>46098</x:v>
      </x:c>
      <x:c r="G521" s="32" t="str">
        <x:v>API access</x:v>
      </x:c>
      <x:c r="H521" s="34" t="n">
        <x:v>46098</x:v>
      </x:c>
      <x:c r="I521" s="52" t="str"/>
      <x:c r="J521" s="32" t="str">
        <x:v>Likely</x:v>
      </x:c>
      <x:c r="K521" s="32" t="str"/>
      <x:c r="L521" s="32" t="str">
        <x:v>GPT-5.4 nano (medium)</x:v>
      </x:c>
      <x:c r="M521" s="32" t="str"/>
      <x:c r="N521" s="32" t="str">
        <x:v>GPT-5.4 Nano</x:v>
      </x:c>
      <x:c r="O521" s="32" t="str">
        <x:v>gpt-5-4-nano</x:v>
      </x:c>
      <x:c r="P521" s="44" t="n">
        <x:v>146.64</x:v>
      </x:c>
      <x:c r="Q521" s="44" t="n">
        <x:v>144.07</x:v>
      </x:c>
      <x:c r="R521" s="44" t="n">
        <x:v>148.4</x:v>
      </x:c>
    </x:row>
    <x:row r="522">
      <x:c r="A522" s="32" t="str">
        <x:v>GPT-5 mini</x:v>
      </x:c>
      <x:c r="B522" s="32" t="str">
        <x:v>gpt-5-mini-2025-08-07_minimal</x:v>
      </x:c>
      <x:c r="C522" s="32" t="str">
        <x:v>GPT-5 mini (minimal)</x:v>
      </x:c>
      <x:c r="D522" s="32" t="str">
        <x:v>OpenAI</x:v>
      </x:c>
      <x:c r="E522" s="32" t="str">
        <x:v>United States of America</x:v>
      </x:c>
      <x:c r="F522" s="34" t="n">
        <x:v>45876</x:v>
      </x:c>
      <x:c r="G522" s="32" t="str">
        <x:v>API access</x:v>
      </x:c>
      <x:c r="H522" s="34" t="n">
        <x:v>45876</x:v>
      </x:c>
      <x:c r="I522" s="52" t="str"/>
      <x:c r="J522" s="32" t="str">
        <x:v>Unknown</x:v>
      </x:c>
      <x:c r="K522" s="32" t="str">
        <x:v>A smaller version of OpenAI's latest flagship frontier model, benchmarked using medium reasoning effort.</x:v>
      </x:c>
      <x:c r="L522" s="32" t="str">
        <x:v>GPT-5 mini (medium)</x:v>
      </x:c>
      <x:c r="M522" s="32" t="str"/>
      <x:c r="N522" s="32" t="str">
        <x:v>GPT-5 mini</x:v>
      </x:c>
      <x:c r="O522" s="32" t="str">
        <x:v>gpt-5-mini</x:v>
      </x:c>
      <x:c r="P522" s="44" t="n">
        <x:v>145.79</x:v>
      </x:c>
      <x:c r="Q522" s="44" t="n">
        <x:v>143.69</x:v>
      </x:c>
      <x:c r="R522" s="44" t="n">
        <x:v>147.21</x:v>
      </x:c>
    </x:row>
    <x:row r="523">
      <x:c r="A523" s="32" t="str">
        <x:v>Claude Haiku 4.5</x:v>
      </x:c>
      <x:c r="B523" s="32" t="str">
        <x:v>claude-haiku-4-5-20251001_8K</x:v>
      </x:c>
      <x:c r="C523" s="32" t="str"/>
      <x:c r="D523" s="32" t="str">
        <x:v>Anthropic</x:v>
      </x:c>
      <x:c r="E523" s="32" t="str">
        <x:v>United States of America</x:v>
      </x:c>
      <x:c r="F523" s="34" t="n">
        <x:v>45945</x:v>
      </x:c>
      <x:c r="G523" s="32" t="str">
        <x:v>API access</x:v>
      </x:c>
      <x:c r="H523" s="34" t="n">
        <x:v>45945</x:v>
      </x:c>
      <x:c r="I523" s="52" t="str"/>
      <x:c r="J523" s="32" t="str">
        <x:v>Unknown</x:v>
      </x:c>
      <x:c r="K523" s="32" t="str"/>
      <x:c r="L523" s="32" t="str">
        <x:v>Claude Haiku 4.5 (8k thinking)</x:v>
      </x:c>
      <x:c r="M523" s="32" t="str"/>
      <x:c r="N523" s="32" t="str">
        <x:v>Claude Haiku 4.5</x:v>
      </x:c>
      <x:c r="O523" s="32" t="str">
        <x:v>claude-haiku-4-5</x:v>
      </x:c>
      <x:c r="P523" s="44" t="n">
        <x:v>142.86</x:v>
      </x:c>
      <x:c r="Q523" s="44" t="n">
        <x:v>139.6</x:v>
      </x:c>
      <x:c r="R523" s="44" t="n">
        <x:v>144.62</x:v>
      </x:c>
    </x:row>
    <x:row r="524">
      <x:c r="A524" s="32" t="str">
        <x:v>GPT-5.4 Nano</x:v>
      </x:c>
      <x:c r="B524" s="32" t="str">
        <x:v>gpt-5.4-nano-2026-03-17_low</x:v>
      </x:c>
      <x:c r="C524" s="32" t="str">
        <x:v>GPT-5.4 nano (low)</x:v>
      </x:c>
      <x:c r="D524" s="32" t="str">
        <x:v>OpenAI</x:v>
      </x:c>
      <x:c r="E524" s="32" t="str">
        <x:v>United States of America</x:v>
      </x:c>
      <x:c r="F524" s="34" t="n">
        <x:v>46098</x:v>
      </x:c>
      <x:c r="G524" s="32" t="str">
        <x:v>API access</x:v>
      </x:c>
      <x:c r="H524" s="34" t="n">
        <x:v>46098</x:v>
      </x:c>
      <x:c r="I524" s="52" t="str"/>
      <x:c r="J524" s="32" t="str">
        <x:v>Likely</x:v>
      </x:c>
      <x:c r="K524" s="32" t="str"/>
      <x:c r="L524" s="32" t="str">
        <x:v>GPT-5.4 nano (low)</x:v>
      </x:c>
      <x:c r="M524" s="32" t="str"/>
      <x:c r="N524" s="32" t="str">
        <x:v>GPT-5.4 Nano</x:v>
      </x:c>
      <x:c r="O524" s="32" t="str">
        <x:v>gpt-5-4-nano</x:v>
      </x:c>
      <x:c r="P524" s="44" t="n">
        <x:v>146.64</x:v>
      </x:c>
      <x:c r="Q524" s="44" t="n">
        <x:v>144.07</x:v>
      </x:c>
      <x:c r="R524" s="44" t="n">
        <x:v>148.4</x:v>
      </x:c>
    </x:row>
    <x:row r="525">
      <x:c r="A525" s="32" t="str"/>
      <x:c r="B525" s="32" t="str">
        <x:v>codex-mini-2025-05-16</x:v>
      </x:c>
      <x:c r="C525" s="32" t="str"/>
      <x:c r="D525" s="32" t="str"/>
      <x:c r="E525" s="32" t="str"/>
      <x:c r="F525" s="34" t="n">
        <x:v>45793</x:v>
      </x:c>
      <x:c r="G525" s="32" t="str"/>
      <x:c r="H525" s="34"/>
      <x:c r="I525" s="52" t="str"/>
      <x:c r="J525" s="32" t="str">
        <x:v>Unverified</x:v>
      </x:c>
      <x:c r="K525" s="32" t="str"/>
      <x:c r="L525" s="32" t="str"/>
      <x:c r="M525" s="32" t="str"/>
      <x:c r="N525" s="32" t="str"/>
      <x:c r="O525" s="32" t="str">
        <x:v>codex-mini-2025-05-16</x:v>
      </x:c>
      <x:c r="P525" s="44" t="str"/>
      <x:c r="Q525" s="44" t="str"/>
      <x:c r="R525" s="44" t="str"/>
    </x:row>
    <x:row r="526">
      <x:c r="A526" s="32" t="str">
        <x:v>Claude Haiku 4.5</x:v>
      </x:c>
      <x:c r="B526" s="32" t="str">
        <x:v>claude-haiku-4-5-20251001_1K</x:v>
      </x:c>
      <x:c r="C526" s="32" t="str"/>
      <x:c r="D526" s="32" t="str">
        <x:v>Anthropic</x:v>
      </x:c>
      <x:c r="E526" s="32" t="str">
        <x:v>United States of America</x:v>
      </x:c>
      <x:c r="F526" s="34" t="n">
        <x:v>45945</x:v>
      </x:c>
      <x:c r="G526" s="32" t="str">
        <x:v>API access</x:v>
      </x:c>
      <x:c r="H526" s="34" t="n">
        <x:v>45945</x:v>
      </x:c>
      <x:c r="I526" s="52" t="str"/>
      <x:c r="J526" s="32" t="str">
        <x:v>Unknown</x:v>
      </x:c>
      <x:c r="K526" s="32" t="str"/>
      <x:c r="L526" s="32" t="str">
        <x:v>Claude Haiku 4.5 (1k thinking)</x:v>
      </x:c>
      <x:c r="M526" s="32" t="str"/>
      <x:c r="N526" s="32" t="str">
        <x:v>Claude Haiku 4.5</x:v>
      </x:c>
      <x:c r="O526" s="32" t="str">
        <x:v>claude-haiku-4-5</x:v>
      </x:c>
      <x:c r="P526" s="44" t="n">
        <x:v>142.86</x:v>
      </x:c>
      <x:c r="Q526" s="44" t="n">
        <x:v>139.6</x:v>
      </x:c>
      <x:c r="R526" s="44" t="n">
        <x:v>144.62</x:v>
      </x:c>
    </x:row>
    <x:row r="527">
      <x:c r="A527" s="32" t="str">
        <x:v>GPT-5.4 Mini</x:v>
      </x:c>
      <x:c r="B527" s="32" t="str">
        <x:v>gpt-5.4-mini-2026-03-17_low</x:v>
      </x:c>
      <x:c r="C527" s="32" t="str">
        <x:v>GPT-5.4 mini (low)</x:v>
      </x:c>
      <x:c r="D527" s="32" t="str">
        <x:v>OpenAI</x:v>
      </x:c>
      <x:c r="E527" s="32" t="str">
        <x:v>United States of America</x:v>
      </x:c>
      <x:c r="F527" s="34" t="n">
        <x:v>46098</x:v>
      </x:c>
      <x:c r="G527" s="32" t="str">
        <x:v>API access</x:v>
      </x:c>
      <x:c r="H527" s="34" t="n">
        <x:v>46098</x:v>
      </x:c>
      <x:c r="I527" s="52" t="str"/>
      <x:c r="J527" s="32" t="str">
        <x:v>Likely</x:v>
      </x:c>
      <x:c r="K527" s="32" t="str"/>
      <x:c r="L527" s="32" t="str">
        <x:v>GPT-5.4 mini (low)</x:v>
      </x:c>
      <x:c r="M527" s="32" t="str"/>
      <x:c r="N527" s="32" t="str">
        <x:v>GPT-5.4 Mini</x:v>
      </x:c>
      <x:c r="O527" s="32" t="str">
        <x:v>gpt-5-4-mini</x:v>
      </x:c>
      <x:c r="P527" s="44" t="n">
        <x:v>148.9</x:v>
      </x:c>
      <x:c r="Q527" s="44" t="n">
        <x:v>147.11</x:v>
      </x:c>
      <x:c r="R527" s="44" t="n">
        <x:v>150.06</x:v>
      </x:c>
    </x:row>
    <x:row r="528">
      <x:c r="A528" s="32" t="str">
        <x:v>Claude Sonnet 4</x:v>
      </x:c>
      <x:c r="B528" s="32" t="str">
        <x:v>claude-sonnet-4-20250514_1K</x:v>
      </x:c>
      <x:c r="C528" s="32" t="str"/>
      <x:c r="D528" s="32" t="str">
        <x:v>Anthropic</x:v>
      </x:c>
      <x:c r="E528" s="32" t="str">
        <x:v>United States of America</x:v>
      </x:c>
      <x:c r="F528" s="34" t="n">
        <x:v>45799</x:v>
      </x:c>
      <x:c r="G528" s="32" t="str">
        <x:v>API access</x:v>
      </x:c>
      <x:c r="H528" s="34" t="n">
        <x:v>45799</x:v>
      </x:c>
      <x:c r="I528" s="52" t="str"/>
      <x:c r="J528" s="32" t="str">
        <x:v>Unknown</x:v>
      </x:c>
      <x:c r="K528" s="32" t="str">
        <x:v>Anthropic's mid-sized Claude 4 series model, evaluated at up to 1,000 reasoning tokens.</x:v>
      </x:c>
      <x:c r="L528" s="32" t="str">
        <x:v>Claude Sonnet 4 (1k thinking)</x:v>
      </x:c>
      <x:c r="M528" s="32" t="str"/>
      <x:c r="N528" s="32" t="str">
        <x:v>Claude Sonnet 4</x:v>
      </x:c>
      <x:c r="O528" s="32" t="str">
        <x:v>claude-sonnet-4</x:v>
      </x:c>
      <x:c r="P528" s="44" t="n">
        <x:v>142.15</x:v>
      </x:c>
      <x:c r="Q528" s="44" t="n">
        <x:v>139.04</x:v>
      </x:c>
      <x:c r="R528" s="44" t="n">
        <x:v>143.61</x:v>
      </x:c>
    </x:row>
    <x:row r="529">
      <x:c r="A529" s="32" t="str">
        <x:v>o1-mini</x:v>
      </x:c>
      <x:c r="B529" s="32" t="str">
        <x:v>o1-mini-2024-09-12_unknown</x:v>
      </x:c>
      <x:c r="C529" s="32" t="str">
        <x:v>o1-mini (unknown thinking)</x:v>
      </x:c>
      <x:c r="D529" s="32" t="str">
        <x:v>OpenAI</x:v>
      </x:c>
      <x:c r="E529" s="32" t="str">
        <x:v>United States of America</x:v>
      </x:c>
      <x:c r="F529" s="34" t="n">
        <x:v>45547</x:v>
      </x:c>
      <x:c r="G529" s="32" t="str">
        <x:v>API access</x:v>
      </x:c>
      <x:c r="H529" s="34" t="n">
        <x:v>45547</x:v>
      </x:c>
      <x:c r="I529" s="52" t="str"/>
      <x:c r="J529" s="32" t="str">
        <x:v>Unknown</x:v>
      </x:c>
      <x:c r="K529" s="32" t="str">
        <x:v>A smaller version of OpenAI’s first reasoning model, o1, evaluated with high reasoning effort.</x:v>
      </x:c>
      <x:c r="L529" s="32" t="str"/>
      <x:c r="M529" s="32" t="str"/>
      <x:c r="N529" s="32" t="str">
        <x:v>o1-mini</x:v>
      </x:c>
      <x:c r="O529" s="32" t="str">
        <x:v>o1-mini</x:v>
      </x:c>
      <x:c r="P529" s="44" t="n">
        <x:v>136.56</x:v>
      </x:c>
      <x:c r="Q529" s="44" t="n">
        <x:v>132.78</x:v>
      </x:c>
      <x:c r="R529" s="44" t="n">
        <x:v>138</x:v>
      </x:c>
    </x:row>
    <x:row r="530">
      <x:c r="A530" s="32" t="str">
        <x:v>GPT-5 mini</x:v>
      </x:c>
      <x:c r="B530" s="32" t="str">
        <x:v>gpt-5-mini-2025-08-07_low</x:v>
      </x:c>
      <x:c r="C530" s="32" t="str">
        <x:v>GPT-5 mini (low)</x:v>
      </x:c>
      <x:c r="D530" s="32" t="str">
        <x:v>OpenAI</x:v>
      </x:c>
      <x:c r="E530" s="32" t="str">
        <x:v>United States of America</x:v>
      </x:c>
      <x:c r="F530" s="34" t="n">
        <x:v>45876</x:v>
      </x:c>
      <x:c r="G530" s="32" t="str">
        <x:v>API access</x:v>
      </x:c>
      <x:c r="H530" s="34" t="n">
        <x:v>45876</x:v>
      </x:c>
      <x:c r="I530" s="52" t="str"/>
      <x:c r="J530" s="32" t="str">
        <x:v>Unknown</x:v>
      </x:c>
      <x:c r="K530" s="32" t="str">
        <x:v>A smaller version of OpenAI's latest flagship frontier model, benchmarked using medium reasoning effort.</x:v>
      </x:c>
      <x:c r="L530" s="32" t="str">
        <x:v>GPT-5 mini (medium)</x:v>
      </x:c>
      <x:c r="M530" s="32" t="str"/>
      <x:c r="N530" s="32" t="str">
        <x:v>GPT-5 mini</x:v>
      </x:c>
      <x:c r="O530" s="32" t="str">
        <x:v>gpt-5-mini</x:v>
      </x:c>
      <x:c r="P530" s="44" t="n">
        <x:v>145.79</x:v>
      </x:c>
      <x:c r="Q530" s="44" t="n">
        <x:v>143.69</x:v>
      </x:c>
      <x:c r="R530" s="44" t="n">
        <x:v>147.21</x:v>
      </x:c>
    </x:row>
    <x:row r="531">
      <x:c r="A531" s="32" t="str">
        <x:v>Grok-3 mini</x:v>
      </x:c>
      <x:c r="B531" s="32" t="str">
        <x:v>grok-3-mini_low</x:v>
      </x:c>
      <x:c r="C531" s="32" t="str">
        <x:v>Grok 3 mini</x:v>
      </x:c>
      <x:c r="D531" s="32" t="str">
        <x:v>xAI</x:v>
      </x:c>
      <x:c r="E531" s="32" t="str">
        <x:v>United States of America</x:v>
      </x:c>
      <x:c r="F531" s="34" t="n">
        <x:v>45832</x:v>
      </x:c>
      <x:c r="G531" s="32" t="str">
        <x:v>API access</x:v>
      </x:c>
      <x:c r="H531" s="34" t="n">
        <x:v>45707</x:v>
      </x:c>
      <x:c r="I531" s="52" t="str"/>
      <x:c r="J531" s="32" t="str">
        <x:v>Unknown</x:v>
      </x:c>
      <x:c r="K531" s="32" t="str"/>
      <x:c r="L531" s="32" t="str">
        <x:v>Grok 3 mini (low)</x:v>
      </x:c>
      <x:c r="M531" s="32" t="str"/>
      <x:c r="N531" s="32" t="str">
        <x:v>Grok-3 mini</x:v>
      </x:c>
      <x:c r="O531" s="32" t="str">
        <x:v>grok-3-mini</x:v>
      </x:c>
      <x:c r="P531" s="44" t="n">
        <x:v>141.01</x:v>
      </x:c>
      <x:c r="Q531" s="44" t="n">
        <x:v>137.89</x:v>
      </x:c>
      <x:c r="R531" s="44" t="n">
        <x:v>142.63</x:v>
      </x:c>
    </x:row>
    <x:row r="532">
      <x:c r="A532" s="32" t="str">
        <x:v>Claude 3.7 Sonnet</x:v>
      </x:c>
      <x:c r="B532" s="32" t="str">
        <x:v>claude-3-7-sonnet-20250219_1K</x:v>
      </x:c>
      <x:c r="C532" s="32" t="str">
        <x:v>Claude 3.7 Sonnet (1k thinking)</x:v>
      </x:c>
      <x:c r="D532" s="32" t="str">
        <x:v>Anthropic</x:v>
      </x:c>
      <x:c r="E532" s="32" t="str">
        <x:v>United States of America</x:v>
      </x:c>
      <x:c r="F532" s="34" t="n">
        <x:v>45712</x:v>
      </x:c>
      <x:c r="G532" s="32" t="str">
        <x:v>API access</x:v>
      </x:c>
      <x:c r="H532" s="34" t="n">
        <x:v>45712</x:v>
      </x:c>
      <x:c r="I532" s="52" t="n">
        <x:v>3.3499999999999998e+25</x:v>
      </x:c>
      <x:c r="J532" s="32" t="str">
        <x:v>Likely</x:v>
      </x:c>
      <x:c r="K532" s="32" t="str">
        <x:v>A previous flagship reasoning model from Anthropic, benchmarked with up to 1,000 reasoning tokens allowed.</x:v>
      </x:c>
      <x:c r="L532" s="32" t="str">
        <x:v>Claude 3.7 Sonnet (1k thinking)</x:v>
      </x:c>
      <x:c r="M532" s="32" t="str"/>
      <x:c r="N532" s="32" t="str">
        <x:v>Claude 3.7 Sonnet</x:v>
      </x:c>
      <x:c r="O532" s="32" t="str">
        <x:v>claude-3-7-sonnet</x:v>
      </x:c>
      <x:c r="P532" s="44" t="n">
        <x:v>141.7</x:v>
      </x:c>
      <x:c r="Q532" s="44" t="n">
        <x:v>139.28</x:v>
      </x:c>
      <x:c r="R532" s="44" t="n">
        <x:v>143.27</x:v>
      </x:c>
    </x:row>
    <x:row r="533">
      <x:c r="A533" s="32" t="str">
        <x:v>Claude Opus 4</x:v>
      </x:c>
      <x:c r="B533" s="32" t="str">
        <x:v>claude-opus-4-20250514_1K</x:v>
      </x:c>
      <x:c r="C533" s="32" t="str">
        <x:v>Claude Opus 4</x:v>
      </x:c>
      <x:c r="D533" s="32" t="str">
        <x:v>Anthropic</x:v>
      </x:c>
      <x:c r="E533" s="32" t="str">
        <x:v>United States of America</x:v>
      </x:c>
      <x:c r="F533" s="34" t="n">
        <x:v>45799</x:v>
      </x:c>
      <x:c r="G533" s="32" t="str">
        <x:v>API access</x:v>
      </x:c>
      <x:c r="H533" s="34" t="n">
        <x:v>45799</x:v>
      </x:c>
      <x:c r="I533" s="52" t="str"/>
      <x:c r="J533" s="32" t="str">
        <x:v>Unknown</x:v>
      </x:c>
      <x:c r="K533" s="32" t="str">
        <x:v>Anthropic's largest model in the Claude 4 series (superseded by Claude Opus 4.1), benchmarked with up to 1,000 reasoning tokens.</x:v>
      </x:c>
      <x:c r="L533" s="32" t="str">
        <x:v>Claude Opus 4 (1k thinking)</x:v>
      </x:c>
      <x:c r="M533" s="32" t="str"/>
      <x:c r="N533" s="32" t="str">
        <x:v>Claude Opus 4</x:v>
      </x:c>
      <x:c r="O533" s="32" t="str">
        <x:v>claude-opus-4</x:v>
      </x:c>
      <x:c r="P533" s="44" t="n">
        <x:v>142.89</x:v>
      </x:c>
      <x:c r="Q533" s="44" t="n">
        <x:v>140.36</x:v>
      </x:c>
      <x:c r="R533" s="44" t="n">
        <x:v>144.3</x:v>
      </x:c>
    </x:row>
    <x:row r="534">
      <x:c r="A534" s="32" t="str">
        <x:v>Magistral Medium 1.1</x:v>
      </x:c>
      <x:c r="B534" s="32" t="str">
        <x:v>magistral-medium-2506</x:v>
      </x:c>
      <x:c r="C534" s="32" t="str"/>
      <x:c r="D534" s="32" t="str">
        <x:v>Mistral AI</x:v>
      </x:c>
      <x:c r="E534" s="32" t="str">
        <x:v>France</x:v>
      </x:c>
      <x:c r="F534" s="34" t="n">
        <x:v>45818</x:v>
      </x:c>
      <x:c r="G534" s="32" t="str">
        <x:v>API access</x:v>
      </x:c>
      <x:c r="H534" s="34" t="n">
        <x:v>45818</x:v>
      </x:c>
      <x:c r="I534" s="52" t="str"/>
      <x:c r="J534" s="32" t="str">
        <x:v>Unknown</x:v>
      </x:c>
      <x:c r="K534" s="32" t="str"/>
      <x:c r="L534" s="32" t="str"/>
      <x:c r="M534" s="32" t="str"/>
      <x:c r="N534" s="32" t="str">
        <x:v>Magistral Medium 1.1</x:v>
      </x:c>
      <x:c r="O534" s="32" t="str">
        <x:v>magistral-medium-1-1</x:v>
      </x:c>
      <x:c r="P534" s="44" t="str"/>
      <x:c r="Q534" s="44" t="str"/>
      <x:c r="R534" s="44" t="str"/>
    </x:row>
    <x:row r="535">
      <x:c r="A535" s="32" t="str">
        <x:v>Gemini 2.5 Pro (Jun 2025)</x:v>
      </x:c>
      <x:c r="B535" s="32" t="str">
        <x:v>gemini-2.5-pro-preview-06-05_1K</x:v>
      </x:c>
      <x:c r="C535" s="32" t="str">
        <x:v>Gemini 2.5 Pro Preview (Jun 2025)</x:v>
      </x:c>
      <x:c r="D535" s="32" t="str">
        <x:v>Google DeepMind</x:v>
      </x:c>
      <x:c r="E535" s="32" t="str">
        <x:v>United States of America</x:v>
      </x:c>
      <x:c r="F535" s="34" t="n">
        <x:v>45813</x:v>
      </x:c>
      <x:c r="G535" s="32" t="str">
        <x:v>API access</x:v>
      </x:c>
      <x:c r="H535" s="34" t="n">
        <x:v>45813</x:v>
      </x:c>
      <x:c r="I535" s="52" t="str"/>
      <x:c r="J535" s="32" t="str">
        <x:v>Unknown</x:v>
      </x:c>
      <x:c r="K535" s="32" t="str">
        <x:v>A June 2025 preview version of Gemini 2.5 Pro, Google DeepMind's flagship frontier model, evaluated with up to 1,000 reasoning tokens.</x:v>
      </x:c>
      <x:c r="L535" s="32" t="str">
        <x:v>Gemini 2.5 Pro Preview (Jun 2025, 1k thinking)</x:v>
      </x:c>
      <x:c r="M535" s="32" t="str">
        <x:v>Gemini 2.5 Pro (Jun 2025)</x:v>
      </x:c>
      <x:c r="N535" s="32" t="str">
        <x:v>Gemini 2.5 Pro (Jun 2025)</x:v>
      </x:c>
      <x:c r="O535" s="32" t="str">
        <x:v>gemini-2-5-pro-jun-2025</x:v>
      </x:c>
      <x:c r="P535" s="44" t="n">
        <x:v>146.08</x:v>
      </x:c>
      <x:c r="Q535" s="44" t="n">
        <x:v>144.33</x:v>
      </x:c>
      <x:c r="R535" s="44" t="n">
        <x:v>147.72</x:v>
      </x:c>
    </x:row>
    <x:row r="536">
      <x:c r="A536" s="32" t="str">
        <x:v>GPT-5 nano</x:v>
      </x:c>
      <x:c r="B536" s="32" t="str">
        <x:v>gpt-5-nano-2025-08-07_minimal</x:v>
      </x:c>
      <x:c r="C536" s="32" t="str">
        <x:v>GPT-5 nano (minimal)</x:v>
      </x:c>
      <x:c r="D536" s="32" t="str">
        <x:v>OpenAI</x:v>
      </x:c>
      <x:c r="E536" s="32" t="str">
        <x:v>United States of America</x:v>
      </x:c>
      <x:c r="F536" s="34" t="n">
        <x:v>45876</x:v>
      </x:c>
      <x:c r="G536" s="32" t="str">
        <x:v>API access</x:v>
      </x:c>
      <x:c r="H536" s="34" t="n">
        <x:v>45876</x:v>
      </x:c>
      <x:c r="I536" s="52" t="str"/>
      <x:c r="J536" s="32" t="str">
        <x:v>Unknown</x:v>
      </x:c>
      <x:c r="K536" s="32" t="str">
        <x:v>The smallest version of OpenAI's latest flagship frontier model, benchmarked using medium reasoning effort.</x:v>
      </x:c>
      <x:c r="L536" s="32" t="str">
        <x:v>GPT-5 nano (low)</x:v>
      </x:c>
      <x:c r="M536" s="32" t="str"/>
      <x:c r="N536" s="32" t="str">
        <x:v>GPT-5 nano</x:v>
      </x:c>
      <x:c r="O536" s="32" t="str">
        <x:v>gpt-5-nano</x:v>
      </x:c>
      <x:c r="P536" s="44" t="n">
        <x:v>140.85</x:v>
      </x:c>
      <x:c r="Q536" s="44" t="n">
        <x:v>136.43</x:v>
      </x:c>
      <x:c r="R536" s="44" t="n">
        <x:v>142.54</x:v>
      </x:c>
    </x:row>
    <x:row r="537">
      <x:c r="A537" s="32" t="str">
        <x:v>Yi-34B</x:v>
      </x:c>
      <x:c r="B537" s="32" t="str">
        <x:v>Yi-34B</x:v>
      </x:c>
      <x:c r="C537" s="32" t="str"/>
      <x:c r="D537" s="32" t="str">
        <x:v>01.AI</x:v>
      </x:c>
      <x:c r="E537" s="32" t="str">
        <x:v>China</x:v>
      </x:c>
      <x:c r="F537" s="34" t="n">
        <x:v>45232</x:v>
      </x:c>
      <x:c r="G537" s="32" t="str">
        <x:v>Open weights (restricted use)</x:v>
      </x:c>
      <x:c r="H537" s="34" t="n">
        <x:v>45232</x:v>
      </x:c>
      <x:c r="I537" s="52" t="n">
        <x:v>6.1e+23</x:v>
      </x:c>
      <x:c r="J537" s="32" t="str">
        <x:v>Confident</x:v>
      </x:c>
      <x:c r="K537" s="32" t="str"/>
      <x:c r="L537" s="32" t="str">
        <x:v>Yi-34B</x:v>
      </x:c>
      <x:c r="M537" s="32" t="str">
        <x:v>Yi-34B</x:v>
      </x:c>
      <x:c r="N537" s="32" t="str">
        <x:v>Yi-34B</x:v>
      </x:c>
      <x:c r="O537" s="32" t="str">
        <x:v>yi-34b</x:v>
      </x:c>
      <x:c r="P537" s="44" t="n">
        <x:v>117.14</x:v>
      </x:c>
      <x:c r="Q537" s="44" t="n">
        <x:v>109.02</x:v>
      </x:c>
      <x:c r="R537" s="44" t="n">
        <x:v>120.55</x:v>
      </x:c>
    </x:row>
    <x:row r="538">
      <x:c r="A538" s="32" t="str">
        <x:v>GPT-3.5 Turbo</x:v>
      </x:c>
      <x:c r="B538" s="32" t="str">
        <x:v>gpt-3.5-turbo-0613</x:v>
      </x:c>
      <x:c r="C538" s="32" t="str">
        <x:v>GPT-3.5 Turbo (June 2023)</x:v>
      </x:c>
      <x:c r="D538" s="32" t="str">
        <x:v>OpenAI</x:v>
      </x:c>
      <x:c r="E538" s="32" t="str">
        <x:v>United States of America</x:v>
      </x:c>
      <x:c r="F538" s="34" t="n">
        <x:v>45090</x:v>
      </x:c>
      <x:c r="G538" s="32" t="str">
        <x:v>API access</x:v>
      </x:c>
      <x:c r="H538" s="34" t="n">
        <x:v>45090</x:v>
      </x:c>
      <x:c r="I538" s="52" t="str"/>
      <x:c r="J538" s="32" t="str">
        <x:v>Likely</x:v>
      </x:c>
      <x:c r="K538" s="32" t="str"/>
      <x:c r="L538" s="32" t="str">
        <x:v>GPT-3.5 Turbo (June 2023)</x:v>
      </x:c>
      <x:c r="M538" s="32" t="str">
        <x:v>GPT-3.5 Turbo (Jun 2023)</x:v>
      </x:c>
      <x:c r="N538" s="32" t="str">
        <x:v>GPT-3.5 Turbo (Jun 2023)</x:v>
      </x:c>
      <x:c r="O538" s="32" t="str">
        <x:v>gpt-3-5-turbo-jun-2023</x:v>
      </x:c>
      <x:c r="P538" s="44" t="n">
        <x:v>113.13</x:v>
      </x:c>
      <x:c r="Q538" s="44" t="n">
        <x:v>104.69</x:v>
      </x:c>
      <x:c r="R538" s="44" t="n">
        <x:v>118.18</x:v>
      </x:c>
    </x:row>
    <x:row r="539">
      <x:c r="A539" s="32" t="str">
        <x:v>Baichuan 1-13B</x:v>
      </x:c>
      <x:c r="B539" s="32" t="str">
        <x:v>Baichuan-13B-Base</x:v>
      </x:c>
      <x:c r="C539" s="32" t="str"/>
      <x:c r="D539" s="32" t="str">
        <x:v>Baichuan</x:v>
      </x:c>
      <x:c r="E539" s="32" t="str">
        <x:v>China</x:v>
      </x:c>
      <x:c r="F539" s="34" t="n">
        <x:v>45118</x:v>
      </x:c>
      <x:c r="G539" s="32" t="str">
        <x:v>Open weights (restricted use)</x:v>
      </x:c>
      <x:c r="H539" s="34" t="n">
        <x:v>45118</x:v>
      </x:c>
      <x:c r="I539" s="52" t="n">
        <x:v>9.36e+22</x:v>
      </x:c>
      <x:c r="J539" s="32" t="str">
        <x:v>Confident</x:v>
      </x:c>
      <x:c r="K539" s="32" t="str"/>
      <x:c r="L539" s="32" t="str"/>
      <x:c r="M539" s="32" t="str"/>
      <x:c r="N539" s="32" t="str">
        <x:v>Baichuan 1-13B</x:v>
      </x:c>
      <x:c r="O539" s="32" t="str">
        <x:v>baichuan-1-13b</x:v>
      </x:c>
      <x:c r="P539" s="44" t="str"/>
      <x:c r="Q539" s="44" t="str"/>
      <x:c r="R539" s="44" t="str"/>
    </x:row>
    <x:row r="540">
      <x:c r="A540" s="32" t="str">
        <x:v>Llama 2-13B</x:v>
      </x:c>
      <x:c r="B540" s="32" t="str">
        <x:v>Llama-2-13b-chat</x:v>
      </x:c>
      <x:c r="C540" s="32" t="str"/>
      <x:c r="D540" s="32" t="str">
        <x:v>Meta AI</x:v>
      </x:c>
      <x:c r="E540" s="32" t="str">
        <x:v>United States of America</x:v>
      </x:c>
      <x:c r="F540" s="34" t="n">
        <x:v>45125</x:v>
      </x:c>
      <x:c r="G540" s="32" t="str">
        <x:v>Open weights (restricted use)</x:v>
      </x:c>
      <x:c r="H540" s="34" t="n">
        <x:v>45125</x:v>
      </x:c>
      <x:c r="I540" s="52" t="n">
        <x:v>1.6e+23</x:v>
      </x:c>
      <x:c r="J540" s="32" t="str">
        <x:v>Confident</x:v>
      </x:c>
      <x:c r="K540" s="32" t="str">
        <x:v>A chat-optimized version of Meta's 13 billion-parameter model in the Llama 2 series.</x:v>
      </x:c>
      <x:c r="L540" s="32" t="str"/>
      <x:c r="M540" s="32" t="str"/>
      <x:c r="N540" s="32" t="str">
        <x:v>Llama 2-13B</x:v>
      </x:c>
      <x:c r="O540" s="32" t="str">
        <x:v>llama-2-13b</x:v>
      </x:c>
      <x:c r="P540" s="44" t="n">
        <x:v>105.91</x:v>
      </x:c>
      <x:c r="Q540" s="44" t="n">
        <x:v>95.41</x:v>
      </x:c>
      <x:c r="R540" s="44" t="n">
        <x:v>111.37</x:v>
      </x:c>
    </x:row>
    <x:row r="541">
      <x:c r="A541" s="32" t="str">
        <x:v>Llama 2-70B</x:v>
      </x:c>
      <x:c r="B541" s="32" t="str">
        <x:v>Llama-2-70b-chat</x:v>
      </x:c>
      <x:c r="C541" s="32" t="str"/>
      <x:c r="D541" s="32" t="str">
        <x:v>Meta AI</x:v>
      </x:c>
      <x:c r="E541" s="32" t="str">
        <x:v>United States of America</x:v>
      </x:c>
      <x:c r="F541" s="34" t="n">
        <x:v>45125</x:v>
      </x:c>
      <x:c r="G541" s="32" t="str">
        <x:v>Open weights (restricted use)</x:v>
      </x:c>
      <x:c r="H541" s="34" t="n">
        <x:v>45125</x:v>
      </x:c>
      <x:c r="I541" s="52" t="n">
        <x:v>8.1e+23</x:v>
      </x:c>
      <x:c r="J541" s="32" t="str">
        <x:v>Confident</x:v>
      </x:c>
      <x:c r="K541" s="32" t="str">
        <x:v>A chat-optimized version of Meta's 70 billion-parameter model in the Llama 2 series.</x:v>
      </x:c>
      <x:c r="L541" s="32" t="str"/>
      <x:c r="M541" s="32" t="str"/>
      <x:c r="N541" s="32" t="str">
        <x:v>Llama 2-70B</x:v>
      </x:c>
      <x:c r="O541" s="32" t="str">
        <x:v>llama-2-70b</x:v>
      </x:c>
      <x:c r="P541" s="44" t="n">
        <x:v>113.72</x:v>
      </x:c>
      <x:c r="Q541" s="44" t="n">
        <x:v>104.07</x:v>
      </x:c>
      <x:c r="R541" s="44" t="n">
        <x:v>117.82</x:v>
      </x:c>
    </x:row>
    <x:row r="542">
      <x:c r="A542" s="32" t="str"/>
      <x:c r="B542" s="32" t="str">
        <x:v>Baichuan2-13B-Chat</x:v>
      </x:c>
      <x:c r="C542" s="32" t="str"/>
      <x:c r="D542" s="32" t="str"/>
      <x:c r="E542" s="32" t="str"/>
      <x:c r="F542" s="34" t="n">
        <x:v>45175</x:v>
      </x:c>
      <x:c r="G542" s="32" t="str"/>
      <x:c r="H542" s="34"/>
      <x:c r="I542" s="52" t="str"/>
      <x:c r="J542" s="32" t="str">
        <x:v>Unverified</x:v>
      </x:c>
      <x:c r="K542" s="32" t="str">
        <x:v>A chat-optimized version of Baichuan's 13 billion-parameter model in the Baichuan 2 series.</x:v>
      </x:c>
      <x:c r="L542" s="32" t="str"/>
      <x:c r="M542" s="32" t="str"/>
      <x:c r="N542" s="32" t="str"/>
      <x:c r="O542" s="32" t="str">
        <x:v>baichuan2-13b-chat</x:v>
      </x:c>
      <x:c r="P542" s="44" t="str"/>
      <x:c r="Q542" s="44" t="str"/>
      <x:c r="R542" s="44" t="str"/>
    </x:row>
    <x:row r="543">
      <x:c r="A543" s="32" t="str">
        <x:v>Qwen-14B</x:v>
      </x:c>
      <x:c r="B543" s="32" t="str">
        <x:v>Qwen-14B-Chat</x:v>
      </x:c>
      <x:c r="C543" s="32" t="str"/>
      <x:c r="D543" s="32" t="str">
        <x:v>Alibaba</x:v>
      </x:c>
      <x:c r="E543" s="32" t="str">
        <x:v>China</x:v>
      </x:c>
      <x:c r="F543" s="34" t="n">
        <x:v>45193</x:v>
      </x:c>
      <x:c r="G543" s="32" t="str">
        <x:v>Open weights (restricted use)</x:v>
      </x:c>
      <x:c r="H543" s="34" t="n">
        <x:v>45197</x:v>
      </x:c>
      <x:c r="I543" s="52" t="n">
        <x:v>2.5e+23</x:v>
      </x:c>
      <x:c r="J543" s="32" t="str">
        <x:v>Confident</x:v>
      </x:c>
      <x:c r="K543" s="32" t="str">
        <x:v>A chat-optimized version of Qwen's first-generation 14 billion-parameter model.</x:v>
      </x:c>
      <x:c r="L543" s="32" t="str">
        <x:v>Qwen-14B (chat)</x:v>
      </x:c>
      <x:c r="M543" s="32" t="str"/>
      <x:c r="N543" s="32" t="str">
        <x:v>Qwen-14B</x:v>
      </x:c>
      <x:c r="O543" s="32" t="str">
        <x:v>qwen-14b</x:v>
      </x:c>
      <x:c r="P543" s="44" t="n">
        <x:v>112.8</x:v>
      </x:c>
      <x:c r="Q543" s="44" t="n">
        <x:v>103.39</x:v>
      </x:c>
      <x:c r="R543" s="44" t="n">
        <x:v>117.54</x:v>
      </x:c>
    </x:row>
    <x:row r="544">
      <x:c r="A544" s="32" t="str"/>
      <x:c r="B544" s="32" t="str">
        <x:v>internlm-chat-20b</x:v>
      </x:c>
      <x:c r="C544" s="32" t="str"/>
      <x:c r="D544" s="32" t="str"/>
      <x:c r="E544" s="32" t="str"/>
      <x:c r="F544" s="34" t="n">
        <x:v>45186</x:v>
      </x:c>
      <x:c r="G544" s="32" t="str"/>
      <x:c r="H544" s="34"/>
      <x:c r="I544" s="52" t="str"/>
      <x:c r="J544" s="32" t="str">
        <x:v>Unverified</x:v>
      </x:c>
      <x:c r="K544" s="32" t="str"/>
      <x:c r="L544" s="32" t="str"/>
      <x:c r="M544" s="32" t="str"/>
      <x:c r="N544" s="32" t="str"/>
      <x:c r="O544" s="32" t="str">
        <x:v>internlm-chat-20b</x:v>
      </x:c>
      <x:c r="P544" s="44" t="str"/>
      <x:c r="Q544" s="44" t="str"/>
      <x:c r="R544" s="44" t="str"/>
    </x:row>
    <x:row r="545">
      <x:c r="A545" s="32" t="str">
        <x:v>Yi 6B</x:v>
      </x:c>
      <x:c r="B545" s="32" t="str">
        <x:v>Yi-6B-Chat</x:v>
      </x:c>
      <x:c r="C545" s="32" t="str"/>
      <x:c r="D545" s="32" t="str">
        <x:v>01.AI</x:v>
      </x:c>
      <x:c r="E545" s="32" t="str">
        <x:v>China</x:v>
      </x:c>
      <x:c r="F545" s="34" t="n">
        <x:v>45252</x:v>
      </x:c>
      <x:c r="G545" s="32" t="str">
        <x:v>Open weights (restricted use)</x:v>
      </x:c>
      <x:c r="H545" s="34" t="n">
        <x:v>45232</x:v>
      </x:c>
      <x:c r="I545" s="52" t="n">
        <x:v>1.26e+23</x:v>
      </x:c>
      <x:c r="J545" s="32" t="str">
        <x:v>Confident</x:v>
      </x:c>
      <x:c r="K545" s="32" t="str"/>
      <x:c r="L545" s="32" t="str">
        <x:v>Yi-6B</x:v>
      </x:c>
      <x:c r="M545" s="32" t="str"/>
      <x:c r="N545" s="32" t="str">
        <x:v>Yi 6B</x:v>
      </x:c>
      <x:c r="O545" s="32" t="str">
        <x:v>yi-6b</x:v>
      </x:c>
      <x:c r="P545" s="44" t="n">
        <x:v>104.51</x:v>
      </x:c>
      <x:c r="Q545" s="44" t="n">
        <x:v>93.1</x:v>
      </x:c>
      <x:c r="R545" s="44" t="n">
        <x:v>110.55</x:v>
      </x:c>
    </x:row>
    <x:row r="546">
      <x:c r="A546" s="32" t="str">
        <x:v>Gemini 1.5 Pro</x:v>
      </x:c>
      <x:c r="B546" s="32" t="str">
        <x:v>gemini-1.5-pro-001-feb24</x:v>
      </x:c>
      <x:c r="C546" s="32" t="str"/>
      <x:c r="D546" s="32" t="str">
        <x:v>Google DeepMind</x:v>
      </x:c>
      <x:c r="E546" s="32" t="str">
        <x:v>United States of America</x:v>
      </x:c>
      <x:c r="F546" s="34" t="n">
        <x:v>45337</x:v>
      </x:c>
      <x:c r="G546" s="32" t="str">
        <x:v>API access</x:v>
      </x:c>
      <x:c r="H546" s="34" t="n">
        <x:v>45337</x:v>
      </x:c>
      <x:c r="I546" s="52" t="str"/>
      <x:c r="J546" s="32" t="str">
        <x:v>Speculative</x:v>
      </x:c>
      <x:c r="K546" s="32" t="str">
        <x:v>The first of two versions of a previous flagship model from Google DeepMind, Gemini 1.5 Pro.</x:v>
      </x:c>
      <x:c r="L546" s="32" t="str"/>
      <x:c r="M546" s="32" t="str">
        <x:v>Gemini 1.5 Pro (Feb 2024)</x:v>
      </x:c>
      <x:c r="N546" s="32" t="str">
        <x:v>Gemini 1.5 Pro (Feb 2024)</x:v>
      </x:c>
      <x:c r="O546" s="32" t="str">
        <x:v>gemini-1-5-pro-feb-2024</x:v>
      </x:c>
      <x:c r="P546" s="44" t="str"/>
      <x:c r="Q546" s="44" t="str"/>
      <x:c r="R546" s="44" t="str"/>
    </x:row>
    <x:row r="547">
      <x:c r="A547" s="32" t="str">
        <x:v>Amazon Nova Pro</x:v>
      </x:c>
      <x:c r="B547" s="32" t="str">
        <x:v>amazon.nova-pro-v1:0</x:v>
      </x:c>
      <x:c r="C547" s="32" t="str"/>
      <x:c r="D547" s="32" t="str">
        <x:v>Amazon</x:v>
      </x:c>
      <x:c r="E547" s="32" t="str">
        <x:v>United States of America</x:v>
      </x:c>
      <x:c r="F547" s="34" t="n">
        <x:v>45629</x:v>
      </x:c>
      <x:c r="G547" s="32" t="str">
        <x:v>API access</x:v>
      </x:c>
      <x:c r="H547" s="34" t="n">
        <x:v>45629</x:v>
      </x:c>
      <x:c r="I547" s="52" t="n">
        <x:v>6.000010000000001e+24</x:v>
      </x:c>
      <x:c r="J547" s="32" t="str">
        <x:v>Speculative</x:v>
      </x:c>
      <x:c r="K547" s="32" t="str"/>
      <x:c r="L547" s="32" t="str"/>
      <x:c r="M547" s="32" t="str"/>
      <x:c r="N547" s="32" t="str">
        <x:v>Amazon Nova Pro</x:v>
      </x:c>
      <x:c r="O547" s="32" t="str">
        <x:v>amazon-nova-pro</x:v>
      </x:c>
      <x:c r="P547" s="44" t="n">
        <x:v>123.88</x:v>
      </x:c>
      <x:c r="Q547" s="44" t="n">
        <x:v>110.76</x:v>
      </x:c>
      <x:c r="R547" s="44" t="n">
        <x:v>126.58</x:v>
      </x:c>
    </x:row>
    <x:row r="548">
      <x:c r="A548" s="32" t="str">
        <x:v>Gemini 2.5 Flash</x:v>
      </x:c>
      <x:c r="B548" s="32" t="str">
        <x:v>gemini-2.5-flash-preview-09-2025</x:v>
      </x:c>
      <x:c r="C548" s="32" t="str"/>
      <x:c r="D548" s="32" t="str">
        <x:v>Google DeepMind</x:v>
      </x:c>
      <x:c r="E548" s="32" t="str">
        <x:v>United States of America</x:v>
      </x:c>
      <x:c r="F548" s="34" t="n">
        <x:v>45925</x:v>
      </x:c>
      <x:c r="G548" s="32" t="str">
        <x:v>API access</x:v>
      </x:c>
      <x:c r="H548" s="34" t="n">
        <x:v>45764</x:v>
      </x:c>
      <x:c r="I548" s="52" t="str"/>
      <x:c r="J548" s="32" t="str">
        <x:v>Unknown</x:v>
      </x:c>
      <x:c r="K548" s="32" t="str"/>
      <x:c r="L548" s="32" t="str">
        <x:v>Gemini 2.5 Flash (Sep 2025)</x:v>
      </x:c>
      <x:c r="M548" s="32" t="str">
        <x:v>Gemini 2.5 Flash (Sep 2025)</x:v>
      </x:c>
      <x:c r="N548" s="32" t="str">
        <x:v>Gemini 2.5 Flash (Sep 2025)</x:v>
      </x:c>
      <x:c r="O548" s="32" t="str">
        <x:v>gemini-2-5-flash-sep-2025</x:v>
      </x:c>
      <x:c r="P548" s="44" t="n">
        <x:v>143.1</x:v>
      </x:c>
      <x:c r="Q548" s="44" t="n">
        <x:v>138.81</x:v>
      </x:c>
      <x:c r="R548" s="44" t="n">
        <x:v>146.24</x:v>
      </x:c>
    </x:row>
    <x:row r="549">
      <x:c r="A549" s="32" t="str">
        <x:v>BLIP-2 (Q-Former)</x:v>
      </x:c>
      <x:c r="B549" s="32" t="str">
        <x:v>blip2-opt-2.7b</x:v>
      </x:c>
      <x:c r="C549" s="32" t="str"/>
      <x:c r="D549" s="32" t="str">
        <x:v>Salesforce Research</x:v>
      </x:c>
      <x:c r="E549" s="32" t="str">
        <x:v>United States of America</x:v>
      </x:c>
      <x:c r="F549" s="34" t="n">
        <x:v>44963</x:v>
      </x:c>
      <x:c r="G549" s="32" t="str">
        <x:v>Open weights (unrestricted)</x:v>
      </x:c>
      <x:c r="H549" s="34" t="n">
        <x:v>44956</x:v>
      </x:c>
      <x:c r="I549" s="52" t="n">
        <x:v>1.20000000001e+21</x:v>
      </x:c>
      <x:c r="J549" s="32" t="str">
        <x:v>Confident</x:v>
      </x:c>
      <x:c r="K549" s="32" t="str"/>
      <x:c r="L549" s="32" t="str"/>
      <x:c r="M549" s="32" t="str"/>
      <x:c r="N549" s="32" t="str">
        <x:v>BLIP-2 (Q-Former)</x:v>
      </x:c>
      <x:c r="O549" s="32" t="str">
        <x:v>blip-2-q-former</x:v>
      </x:c>
      <x:c r="P549" s="44" t="str"/>
      <x:c r="Q549" s="44" t="str"/>
      <x:c r="R549" s="44" t="str"/>
    </x:row>
    <x:row r="550">
      <x:c r="A550" s="32" t="str"/>
      <x:c r="B550" s="32" t="str">
        <x:v>Phi-3.5-vision-instruct</x:v>
      </x:c>
      <x:c r="C550" s="32" t="str"/>
      <x:c r="D550" s="32" t="str"/>
      <x:c r="E550" s="32" t="str"/>
      <x:c r="F550" s="34" t="n">
        <x:v>45520</x:v>
      </x:c>
      <x:c r="G550" s="32" t="str"/>
      <x:c r="H550" s="34"/>
      <x:c r="I550" s="52" t="str"/>
      <x:c r="J550" s="32" t="str">
        <x:v>Unverified</x:v>
      </x:c>
      <x:c r="K550" s="32" t="str">
        <x:v>An multimodal version in Microsoft's Phi-3.5 series of open source models.</x:v>
      </x:c>
      <x:c r="L550" s="32" t="str"/>
      <x:c r="M550" s="32" t="str"/>
      <x:c r="N550" s="32" t="str"/>
      <x:c r="O550" s="32" t="str">
        <x:v>phi-3-5-vision-instruct</x:v>
      </x:c>
      <x:c r="P550" s="44" t="str"/>
      <x:c r="Q550" s="44" t="str"/>
      <x:c r="R550" s="44" t="str"/>
    </x:row>
    <x:row r="551">
      <x:c r="A551" s="32" t="str"/>
      <x:c r="B551" s="32" t="str">
        <x:v>MM1-3B-Chat</x:v>
      </x:c>
      <x:c r="C551" s="32" t="str"/>
      <x:c r="D551" s="32" t="str"/>
      <x:c r="E551" s="32" t="str"/>
      <x:c r="F551" s="34" t="n">
        <x:v>45365</x:v>
      </x:c>
      <x:c r="G551" s="32" t="str"/>
      <x:c r="H551" s="34"/>
      <x:c r="I551" s="52" t="str"/>
      <x:c r="J551" s="32" t="str">
        <x:v>Unverified</x:v>
      </x:c>
      <x:c r="K551" s="32" t="str"/>
      <x:c r="L551" s="32" t="str"/>
      <x:c r="M551" s="32" t="str"/>
      <x:c r="N551" s="32" t="str"/>
      <x:c r="O551" s="32" t="str">
        <x:v>mm1-3b-chat</x:v>
      </x:c>
      <x:c r="P551" s="44" t="str"/>
      <x:c r="Q551" s="44" t="str"/>
      <x:c r="R551" s="44" t="str"/>
    </x:row>
    <x:row r="552">
      <x:c r="A552" s="32" t="str"/>
      <x:c r="B552" s="32" t="str">
        <x:v>MM1-7B-Chat</x:v>
      </x:c>
      <x:c r="C552" s="32" t="str"/>
      <x:c r="D552" s="32" t="str"/>
      <x:c r="E552" s="32" t="str"/>
      <x:c r="F552" s="34" t="n">
        <x:v>45365</x:v>
      </x:c>
      <x:c r="G552" s="32" t="str"/>
      <x:c r="H552" s="34"/>
      <x:c r="I552" s="52" t="str"/>
      <x:c r="J552" s="32" t="str">
        <x:v>Unverified</x:v>
      </x:c>
      <x:c r="K552" s="32" t="str"/>
      <x:c r="L552" s="32" t="str"/>
      <x:c r="M552" s="32" t="str"/>
      <x:c r="N552" s="32" t="str"/>
      <x:c r="O552" s="32" t="str">
        <x:v>mm1-7b-chat</x:v>
      </x:c>
      <x:c r="P552" s="44" t="str"/>
      <x:c r="Q552" s="44" t="str"/>
      <x:c r="R552" s="44" t="str"/>
    </x:row>
    <x:row r="553">
      <x:c r="A553" s="32" t="str"/>
      <x:c r="B553" s="32" t="str">
        <x:v>llava-v1.6-vicuna-7b</x:v>
      </x:c>
      <x:c r="C553" s="32" t="str"/>
      <x:c r="D553" s="32" t="str"/>
      <x:c r="E553" s="32" t="str"/>
      <x:c r="F553" s="34" t="n">
        <x:v>45322</x:v>
      </x:c>
      <x:c r="G553" s="32" t="str"/>
      <x:c r="H553" s="34"/>
      <x:c r="I553" s="52" t="str"/>
      <x:c r="J553" s="32" t="str">
        <x:v>Unverified</x:v>
      </x:c>
      <x:c r="K553" s="32" t="str"/>
      <x:c r="L553" s="32" t="str"/>
      <x:c r="M553" s="32" t="str"/>
      <x:c r="N553" s="32" t="str"/>
      <x:c r="O553" s="32" t="str">
        <x:v>llava-v1-6-vicuna-7b</x:v>
      </x:c>
      <x:c r="P553" s="44" t="str"/>
      <x:c r="Q553" s="44" t="str"/>
      <x:c r="R553" s="44" t="str"/>
    </x:row>
    <x:row r="554">
      <x:c r="A554" s="32" t="str"/>
      <x:c r="B554" s="32" t="str">
        <x:v>llama3-llava-next-8b</x:v>
      </x:c>
      <x:c r="C554" s="32" t="str"/>
      <x:c r="D554" s="32" t="str"/>
      <x:c r="E554" s="32" t="str"/>
      <x:c r="F554" s="34" t="n">
        <x:v>45402</x:v>
      </x:c>
      <x:c r="G554" s="32" t="str"/>
      <x:c r="H554" s="34"/>
      <x:c r="I554" s="52" t="str"/>
      <x:c r="J554" s="32" t="str">
        <x:v>Unverified</x:v>
      </x:c>
      <x:c r="K554" s="32" t="str"/>
      <x:c r="L554" s="32" t="str"/>
      <x:c r="M554" s="32" t="str"/>
      <x:c r="N554" s="32" t="str"/>
      <x:c r="O554" s="32" t="str">
        <x:v>llama3-llava-next-8b</x:v>
      </x:c>
      <x:c r="P554" s="44" t="str"/>
      <x:c r="Q554" s="44" t="str"/>
      <x:c r="R554" s="44" t="str"/>
    </x:row>
    <x:row r="555">
      <x:c r="A555" s="32" t="str"/>
      <x:c r="B555" s="32" t="str">
        <x:v>Qwen-VL-Chat</x:v>
      </x:c>
      <x:c r="C555" s="32" t="str"/>
      <x:c r="D555" s="32" t="str"/>
      <x:c r="E555" s="32" t="str"/>
      <x:c r="F555" s="34" t="n">
        <x:v>45158</x:v>
      </x:c>
      <x:c r="G555" s="32" t="str"/>
      <x:c r="H555" s="34"/>
      <x:c r="I555" s="52" t="str"/>
      <x:c r="J555" s="32" t="str">
        <x:v>Unverified</x:v>
      </x:c>
      <x:c r="K555" s="32" t="str"/>
      <x:c r="L555" s="32" t="str"/>
      <x:c r="M555" s="32" t="str"/>
      <x:c r="N555" s="32" t="str"/>
      <x:c r="O555" s="32" t="str">
        <x:v>qwen-vl-chat</x:v>
      </x:c>
      <x:c r="P555" s="44" t="str"/>
      <x:c r="Q555" s="44" t="str"/>
      <x:c r="R555" s="44" t="str"/>
    </x:row>
    <x:row r="556">
      <x:c r="A556" s="32" t="str">
        <x:v>Gemini 1.0 Pro Vision</x:v>
      </x:c>
      <x:c r="B556" s="32" t="str">
        <x:v>gemini-1.0-pro-vision</x:v>
      </x:c>
      <x:c r="C556" s="32" t="str"/>
      <x:c r="D556" s="32" t="str">
        <x:v>Google DeepMind</x:v>
      </x:c>
      <x:c r="E556" s="32" t="str">
        <x:v>United States of America</x:v>
      </x:c>
      <x:c r="F556" s="34" t="n">
        <x:v>45295</x:v>
      </x:c>
      <x:c r="G556" s="32" t="str">
        <x:v>API access</x:v>
      </x:c>
      <x:c r="H556" s="34" t="n">
        <x:v>45337</x:v>
      </x:c>
      <x:c r="I556" s="52" t="str"/>
      <x:c r="J556" s="32" t="str">
        <x:v>Unknown</x:v>
      </x:c>
      <x:c r="K556" s="32" t="str">
        <x:v>A vision language model from Google DeepMind.</x:v>
      </x:c>
      <x:c r="L556" s="32" t="str"/>
      <x:c r="M556" s="32" t="str"/>
      <x:c r="N556" s="32" t="str">
        <x:v>Gemini 1.0 Pro Vision</x:v>
      </x:c>
      <x:c r="O556" s="32" t="str">
        <x:v>gemini-1-0-pro-vision</x:v>
      </x:c>
      <x:c r="P556" s="44" t="str"/>
      <x:c r="Q556" s="44" t="str"/>
      <x:c r="R556" s="44" t="str"/>
    </x:row>
    <x:row r="557">
      <x:c r="A557" s="32" t="str"/>
      <x:c r="B557" s="32" t="str">
        <x:v>falcon-11B-vlm</x:v>
      </x:c>
      <x:c r="C557" s="32" t="str"/>
      <x:c r="D557" s="32" t="str"/>
      <x:c r="E557" s="32" t="str"/>
      <x:c r="F557" s="34" t="n">
        <x:v>45433</x:v>
      </x:c>
      <x:c r="G557" s="32" t="str"/>
      <x:c r="H557" s="34"/>
      <x:c r="I557" s="52" t="str"/>
      <x:c r="J557" s="32" t="str">
        <x:v>Unverified</x:v>
      </x:c>
      <x:c r="K557" s="32" t="str"/>
      <x:c r="L557" s="32" t="str"/>
      <x:c r="M557" s="32" t="str"/>
      <x:c r="N557" s="32" t="str"/>
      <x:c r="O557" s="32" t="str">
        <x:v>falcon-11b-vlm</x:v>
      </x:c>
      <x:c r="P557" s="44" t="str"/>
      <x:c r="Q557" s="44" t="str"/>
      <x:c r="R557" s="44" t="str"/>
    </x:row>
    <x:row r="558">
      <x:c r="A558" s="32" t="str"/>
      <x:c r="B558" s="32" t="str">
        <x:v>llava-v1.6-vicuna-13b</x:v>
      </x:c>
      <x:c r="C558" s="32" t="str"/>
      <x:c r="D558" s="32" t="str"/>
      <x:c r="E558" s="32" t="str"/>
      <x:c r="F558" s="34" t="n">
        <x:v>45322</x:v>
      </x:c>
      <x:c r="G558" s="32" t="str"/>
      <x:c r="H558" s="34"/>
      <x:c r="I558" s="52" t="str"/>
      <x:c r="J558" s="32" t="str">
        <x:v>Unverified</x:v>
      </x:c>
      <x:c r="K558" s="32" t="str"/>
      <x:c r="L558" s="32" t="str"/>
      <x:c r="M558" s="32" t="str"/>
      <x:c r="N558" s="32" t="str"/>
      <x:c r="O558" s="32" t="str">
        <x:v>llava-v1-6-vicuna-13b</x:v>
      </x:c>
      <x:c r="P558" s="44" t="str"/>
      <x:c r="Q558" s="44" t="str"/>
      <x:c r="R558" s="44" t="str"/>
    </x:row>
    <x:row r="559">
      <x:c r="A559" s="32" t="str"/>
      <x:c r="B559" s="32" t="str">
        <x:v>llava-v1.6-mistral-7b</x:v>
      </x:c>
      <x:c r="C559" s="32" t="str"/>
      <x:c r="D559" s="32" t="str"/>
      <x:c r="E559" s="32" t="str"/>
      <x:c r="F559" s="34" t="n">
        <x:v>45322</x:v>
      </x:c>
      <x:c r="G559" s="32" t="str"/>
      <x:c r="H559" s="34"/>
      <x:c r="I559" s="52" t="str"/>
      <x:c r="J559" s="32" t="str">
        <x:v>Unverified</x:v>
      </x:c>
      <x:c r="K559" s="32" t="str"/>
      <x:c r="L559" s="32" t="str"/>
      <x:c r="M559" s="32" t="str"/>
      <x:c r="N559" s="32" t="str"/>
      <x:c r="O559" s="32" t="str">
        <x:v>llava-v1-6-mistral-7b</x:v>
      </x:c>
      <x:c r="P559" s="44" t="str"/>
      <x:c r="Q559" s="44" t="str"/>
      <x:c r="R559" s="44" t="str"/>
    </x:row>
    <x:row r="560">
      <x:c r="A560" s="32" t="str"/>
      <x:c r="B560" s="32" t="str">
        <x:v>instructblip-vicuna-7b</x:v>
      </x:c>
      <x:c r="C560" s="32" t="str"/>
      <x:c r="D560" s="32" t="str"/>
      <x:c r="E560" s="32" t="str"/>
      <x:c r="F560" s="34" t="n">
        <x:v>45068</x:v>
      </x:c>
      <x:c r="G560" s="32" t="str"/>
      <x:c r="H560" s="34"/>
      <x:c r="I560" s="52" t="str"/>
      <x:c r="J560" s="32" t="str">
        <x:v>Unverified</x:v>
      </x:c>
      <x:c r="K560" s="32" t="str"/>
      <x:c r="L560" s="32" t="str"/>
      <x:c r="M560" s="32" t="str"/>
      <x:c r="N560" s="32" t="str"/>
      <x:c r="O560" s="32" t="str">
        <x:v>instructblip-vicuna-7b</x:v>
      </x:c>
      <x:c r="P560" s="44" t="str"/>
      <x:c r="Q560" s="44" t="str"/>
      <x:c r="R560" s="44" t="str"/>
    </x:row>
    <x:row r="561">
      <x:c r="A561" s="32" t="str"/>
      <x:c r="B561" s="32" t="str">
        <x:v>instructblip-vicuna-13b</x:v>
      </x:c>
      <x:c r="C561" s="32" t="str"/>
      <x:c r="D561" s="32" t="str"/>
      <x:c r="E561" s="32" t="str"/>
      <x:c r="F561" s="34" t="n">
        <x:v>45285</x:v>
      </x:c>
      <x:c r="G561" s="32" t="str"/>
      <x:c r="H561" s="34"/>
      <x:c r="I561" s="52" t="str"/>
      <x:c r="J561" s="32" t="str">
        <x:v>Unverified</x:v>
      </x:c>
      <x:c r="K561" s="32" t="str"/>
      <x:c r="L561" s="32" t="str"/>
      <x:c r="M561" s="32" t="str"/>
      <x:c r="N561" s="32" t="str"/>
      <x:c r="O561" s="32" t="str">
        <x:v>instructblip-vicuna-13b</x:v>
      </x:c>
      <x:c r="P561" s="44" t="str"/>
      <x:c r="Q561" s="44" t="str"/>
      <x:c r="R561" s="44" t="str"/>
    </x:row>
    <x:row r="562">
      <x:c r="A562" s="32" t="str"/>
      <x:c r="B562" s="32" t="str">
        <x:v>InternVL-Chat-ViT-6B-Vicuna-7B</x:v>
      </x:c>
      <x:c r="C562" s="32" t="str"/>
      <x:c r="D562" s="32" t="str"/>
      <x:c r="E562" s="32" t="str"/>
      <x:c r="F562" s="34" t="n">
        <x:v>45285</x:v>
      </x:c>
      <x:c r="G562" s="32" t="str"/>
      <x:c r="H562" s="34"/>
      <x:c r="I562" s="52" t="str"/>
      <x:c r="J562" s="32" t="str">
        <x:v>Unverified</x:v>
      </x:c>
      <x:c r="K562" s="32" t="str"/>
      <x:c r="L562" s="32" t="str"/>
      <x:c r="M562" s="32" t="str"/>
      <x:c r="N562" s="32" t="str"/>
      <x:c r="O562" s="32" t="str">
        <x:v>internvl-chat-vit-6b-vicuna-7b</x:v>
      </x:c>
      <x:c r="P562" s="44" t="str"/>
      <x:c r="Q562" s="44" t="str"/>
      <x:c r="R562" s="44" t="str"/>
    </x:row>
    <x:row r="563">
      <x:c r="A563" s="32" t="str"/>
      <x:c r="B563" s="32" t="str">
        <x:v>InternVL-Chat-ViT-6B-Vicuna-13B</x:v>
      </x:c>
      <x:c r="C563" s="32" t="str"/>
      <x:c r="D563" s="32" t="str"/>
      <x:c r="E563" s="32" t="str"/>
      <x:c r="F563" s="34" t="n">
        <x:v>45520</x:v>
      </x:c>
      <x:c r="G563" s="32" t="str"/>
      <x:c r="H563" s="34"/>
      <x:c r="I563" s="52" t="str"/>
      <x:c r="J563" s="32" t="str">
        <x:v>Unverified</x:v>
      </x:c>
      <x:c r="K563" s="32" t="str"/>
      <x:c r="L563" s="32" t="str"/>
      <x:c r="M563" s="32" t="str"/>
      <x:c r="N563" s="32" t="str"/>
      <x:c r="O563" s="32" t="str">
        <x:v>internvl-chat-vit-6b-vicuna-13b</x:v>
      </x:c>
      <x:c r="P563" s="44" t="str"/>
      <x:c r="Q563" s="44" t="str"/>
      <x:c r="R563" s="44" t="str"/>
    </x:row>
    <x:row r="564">
      <x:c r="A564" s="32" t="str"/>
      <x:c r="B564" s="32" t="str">
        <x:v>llava-v1.5-7b</x:v>
      </x:c>
      <x:c r="C564" s="32" t="str"/>
      <x:c r="D564" s="32" t="str"/>
      <x:c r="E564" s="32" t="str"/>
      <x:c r="F564" s="34" t="n">
        <x:v>45204</x:v>
      </x:c>
      <x:c r="G564" s="32" t="str"/>
      <x:c r="H564" s="34"/>
      <x:c r="I564" s="52" t="str"/>
      <x:c r="J564" s="32" t="str">
        <x:v>Unverified</x:v>
      </x:c>
      <x:c r="K564" s="32" t="str"/>
      <x:c r="L564" s="32" t="str"/>
      <x:c r="M564" s="32" t="str"/>
      <x:c r="N564" s="32" t="str"/>
      <x:c r="O564" s="32" t="str">
        <x:v>llava-v1-5-7b</x:v>
      </x:c>
      <x:c r="P564" s="44" t="str"/>
      <x:c r="Q564" s="44" t="str"/>
      <x:c r="R564" s="44" t="str"/>
    </x:row>
    <x:row r="565">
      <x:c r="A565" s="32" t="str">
        <x:v>Claude Fable 5</x:v>
      </x:c>
      <x:c r="B565" s="32" t="str">
        <x:v>claude-fable-5_unknown</x:v>
      </x:c>
      <x:c r="C565" s="32" t="str">
        <x:v>Claude Fable 5 (unknown)</x:v>
      </x:c>
      <x:c r="D565" s="32" t="str">
        <x:v>Anthropic</x:v>
      </x:c>
      <x:c r="E565" s="32" t="str">
        <x:v>United States of America</x:v>
      </x:c>
      <x:c r="F565" s="34" t="n">
        <x:v>46182</x:v>
      </x:c>
      <x:c r="G565" s="32" t="str">
        <x:v>API access</x:v>
      </x:c>
      <x:c r="H565" s="34" t="n">
        <x:v>46182</x:v>
      </x:c>
      <x:c r="I565" s="52" t="str"/>
      <x:c r="J565" s="32" t="str">
        <x:v>Confident</x:v>
      </x:c>
      <x:c r="K565" s="32" t="str"/>
      <x:c r="L565" s="32" t="str">
        <x:v>Claude Fable 5 (unknown)</x:v>
      </x:c>
      <x:c r="M565" s="32" t="str"/>
      <x:c r="N565" s="32" t="str">
        <x:v>Claude Fable 5</x:v>
      </x:c>
      <x:c r="O565" s="32" t="str">
        <x:v>claude-fable-5</x:v>
      </x:c>
      <x:c r="P565" s="44" t="n">
        <x:v>160.44</x:v>
      </x:c>
      <x:c r="Q565" s="44" t="n">
        <x:v>158.05</x:v>
      </x:c>
      <x:c r="R565" s="44" t="n">
        <x:v>164.61</x:v>
      </x:c>
    </x:row>
    <x:row r="566">
      <x:c r="A566" s="32" t="str"/>
      <x:c r="B566" s="32" t="str">
        <x:v>openhands-lm-32b-v0.1</x:v>
      </x:c>
      <x:c r="C566" s="32" t="str"/>
      <x:c r="D566" s="32" t="str"/>
      <x:c r="E566" s="32" t="str"/>
      <x:c r="F566" s="34" t="n">
        <x:v>45377</x:v>
      </x:c>
      <x:c r="G566" s="32" t="str"/>
      <x:c r="H566" s="34"/>
      <x:c r="I566" s="52" t="str"/>
      <x:c r="J566" s="32" t="str">
        <x:v>Unverified</x:v>
      </x:c>
      <x:c r="K566" s="32" t="str"/>
      <x:c r="L566" s="32" t="str"/>
      <x:c r="M566" s="32" t="str"/>
      <x:c r="N566" s="32" t="str"/>
      <x:c r="O566" s="32" t="str">
        <x:v>openhands-lm-32b-v0-1</x:v>
      </x:c>
      <x:c r="P566" s="44" t="str"/>
      <x:c r="Q566" s="44" t="str"/>
      <x:c r="R566" s="44" t="str"/>
    </x:row>
    <x:row r="567">
      <x:c r="A567" s="32" t="str">
        <x:v>Gemini 2.5 Pro (Jun 2025)</x:v>
      </x:c>
      <x:c r="B567" s="32" t="str">
        <x:v>gemini-2.5-pro-preview-06-05_32K</x:v>
      </x:c>
      <x:c r="C567" s="32" t="str">
        <x:v>Gemini 2.5 Pro Preview (Jun 2025)</x:v>
      </x:c>
      <x:c r="D567" s="32" t="str">
        <x:v>Google DeepMind</x:v>
      </x:c>
      <x:c r="E567" s="32" t="str">
        <x:v>United States of America</x:v>
      </x:c>
      <x:c r="F567" s="34" t="n">
        <x:v>45813</x:v>
      </x:c>
      <x:c r="G567" s="32" t="str">
        <x:v>API access</x:v>
      </x:c>
      <x:c r="H567" s="34" t="n">
        <x:v>45813</x:v>
      </x:c>
      <x:c r="I567" s="52" t="str"/>
      <x:c r="J567" s="32" t="str">
        <x:v>Unknown</x:v>
      </x:c>
      <x:c r="K567" s="32" t="str">
        <x:v>A June 2025 preview version of Gemini 2.5 Pro, Google DeepMind's flagship frontier model, evaluated with up to 32,000 reasoning tokens.</x:v>
      </x:c>
      <x:c r="L567" s="32" t="str">
        <x:v>Gemini 2.5 Pro Preview (Jun 2025, 32k thinking)</x:v>
      </x:c>
      <x:c r="M567" s="32" t="str">
        <x:v>Gemini 2.5 Pro (Jun 2025)</x:v>
      </x:c>
      <x:c r="N567" s="32" t="str">
        <x:v>Gemini 2.5 Pro (Jun 2025)</x:v>
      </x:c>
      <x:c r="O567" s="32" t="str">
        <x:v>gemini-2-5-pro-jun-2025</x:v>
      </x:c>
      <x:c r="P567" s="44" t="n">
        <x:v>146.08</x:v>
      </x:c>
      <x:c r="Q567" s="44" t="n">
        <x:v>144.33</x:v>
      </x:c>
      <x:c r="R567" s="44" t="n">
        <x:v>147.72</x:v>
      </x:c>
    </x:row>
    <x:row r="568">
      <x:c r="A568" s="32" t="str">
        <x:v>Claude Opus 4</x:v>
      </x:c>
      <x:c r="B568" s="32" t="str">
        <x:v>claude-opus-4-20250514_32K</x:v>
      </x:c>
      <x:c r="C568" s="32" t="str">
        <x:v>Claude Opus 4</x:v>
      </x:c>
      <x:c r="D568" s="32" t="str">
        <x:v>Anthropic</x:v>
      </x:c>
      <x:c r="E568" s="32" t="str">
        <x:v>United States of America</x:v>
      </x:c>
      <x:c r="F568" s="34" t="n">
        <x:v>45799</x:v>
      </x:c>
      <x:c r="G568" s="32" t="str">
        <x:v>API access</x:v>
      </x:c>
      <x:c r="H568" s="34" t="n">
        <x:v>45799</x:v>
      </x:c>
      <x:c r="I568" s="52" t="str"/>
      <x:c r="J568" s="32" t="str">
        <x:v>Unknown</x:v>
      </x:c>
      <x:c r="K568" s="32" t="str">
        <x:v>Anthropic's largest model in the Claude 4 series (superseded by Claude Opus 4.1), benchmarked with up to 32,000 reasoning tokens.</x:v>
      </x:c>
      <x:c r="L568" s="32" t="str">
        <x:v>Claude Opus 4 (32k thinking)</x:v>
      </x:c>
      <x:c r="M568" s="32" t="str"/>
      <x:c r="N568" s="32" t="str">
        <x:v>Claude Opus 4</x:v>
      </x:c>
      <x:c r="O568" s="32" t="str">
        <x:v>claude-opus-4</x:v>
      </x:c>
      <x:c r="P568" s="44" t="n">
        <x:v>142.89</x:v>
      </x:c>
      <x:c r="Q568" s="44" t="n">
        <x:v>140.36</x:v>
      </x:c>
      <x:c r="R568" s="44" t="n">
        <x:v>144.3</x:v>
      </x:c>
    </x:row>
    <x:row r="569">
      <x:c r="A569" s="32" t="str">
        <x:v>Qwen3-32B</x:v>
      </x:c>
      <x:c r="B569" s="32" t="str">
        <x:v>Qwen3-32B</x:v>
      </x:c>
      <x:c r="C569" s="32" t="str"/>
      <x:c r="D569" s="32" t="str">
        <x:v>Alibaba</x:v>
      </x:c>
      <x:c r="E569" s="32" t="str">
        <x:v>China</x:v>
      </x:c>
      <x:c r="F569" s="34" t="n">
        <x:v>45776</x:v>
      </x:c>
      <x:c r="G569" s="32" t="str">
        <x:v>Open weights (unrestricted)</x:v>
      </x:c>
      <x:c r="H569" s="34" t="n">
        <x:v>45776</x:v>
      </x:c>
      <x:c r="I569" s="52" t="n">
        <x:v>7.0848e+24</x:v>
      </x:c>
      <x:c r="J569" s="32" t="str">
        <x:v>Confident</x:v>
      </x:c>
      <x:c r="K569" s="32" t="str">
        <x:v>The 32 billion-parameter model in the Qwen 3 series.</x:v>
      </x:c>
      <x:c r="L569" s="32" t="str">
        <x:v>Qwen3 32B</x:v>
      </x:c>
      <x:c r="M569" s="32" t="str"/>
      <x:c r="N569" s="32" t="str">
        <x:v>Qwen3-32B</x:v>
      </x:c>
      <x:c r="O569" s="32" t="str">
        <x:v>qwen3-32b</x:v>
      </x:c>
      <x:c r="P569" s="44" t="str"/>
      <x:c r="Q569" s="44" t="str"/>
      <x:c r="R569" s="44" t="str"/>
    </x:row>
    <x:row r="570">
      <x:c r="A570" s="32" t="str">
        <x:v>GPT-4o</x:v>
      </x:c>
      <x:c r="B570" s="32" t="str">
        <x:v>chatgpt-4o-03-27-2025</x:v>
      </x:c>
      <x:c r="C570" s="32" t="str"/>
      <x:c r="D570" s="32" t="str">
        <x:v>OpenAI</x:v>
      </x:c>
      <x:c r="E570" s="32" t="str">
        <x:v>United States of America</x:v>
      </x:c>
      <x:c r="F570" s="34" t="n">
        <x:v>45743</x:v>
      </x:c>
      <x:c r="G570" s="32" t="str">
        <x:v>API access</x:v>
      </x:c>
      <x:c r="H570" s="34" t="n">
        <x:v>45425</x:v>
      </x:c>
      <x:c r="I570" s="52" t="str"/>
      <x:c r="J570" s="32" t="str">
        <x:v>Speculative</x:v>
      </x:c>
      <x:c r="K570" s="32" t="str">
        <x:v>A version of GPT-4o that was behind the ChatGPT interface, released in March 2025.</x:v>
      </x:c>
      <x:c r="L570" s="32" t="str">
        <x:v>ChatGPT-4o (Mar 2025)</x:v>
      </x:c>
      <x:c r="M570" s="32" t="str">
        <x:v>GPT-4o (Mar 2025)</x:v>
      </x:c>
      <x:c r="N570" s="32" t="str">
        <x:v>GPT-4o (Mar 2025)</x:v>
      </x:c>
      <x:c r="O570" s="32" t="str">
        <x:v>gpt-4o-mar-2025</x:v>
      </x:c>
      <x:c r="P570" s="44" t="str"/>
      <x:c r="Q570" s="44" t="str"/>
      <x:c r="R570" s="44" t="str"/>
    </x:row>
    <x:row r="571">
      <x:c r="A571" s="32" t="str">
        <x:v>Qwen2.5-Coder (32B)</x:v>
      </x:c>
      <x:c r="B571" s="32" t="str">
        <x:v>Qwen2.5-Coder-32B-Instruct</x:v>
      </x:c>
      <x:c r="C571" s="32" t="str"/>
      <x:c r="D571" s="32" t="str">
        <x:v>Alibaba</x:v>
      </x:c>
      <x:c r="E571" s="32" t="str">
        <x:v>China</x:v>
      </x:c>
      <x:c r="F571" s="34" t="n">
        <x:v>45617</x:v>
      </x:c>
      <x:c r="G571" s="32" t="str">
        <x:v>Open weights (unrestricted)</x:v>
      </x:c>
      <x:c r="H571" s="34" t="n">
        <x:v>45608</x:v>
      </x:c>
      <x:c r="I571" s="52" t="n">
        <x:v>1.0725e+24</x:v>
      </x:c>
      <x:c r="J571" s="32" t="str">
        <x:v>Confident</x:v>
      </x:c>
      <x:c r="K571" s="32" t="str">
        <x:v>An instruction-tuned and coding-optimized 32 billion-parameter model in the Qwen 2.5 series.</x:v>
      </x:c>
      <x:c r="L571" s="32" t="str">
        <x:v>Qwen2.5-Coder-32B (instruct)</x:v>
      </x:c>
      <x:c r="M571" s="32" t="str">
        <x:v>Qwen2.5-Coder-32B-Instruct</x:v>
      </x:c>
      <x:c r="N571" s="32" t="str">
        <x:v>Qwen2.5-Coder-32B-Instruct</x:v>
      </x:c>
      <x:c r="O571" s="32" t="str">
        <x:v>qwen2-5-coder-32b-instruct</x:v>
      </x:c>
      <x:c r="P571" s="44" t="str"/>
      <x:c r="Q571" s="44" t="str"/>
      <x:c r="R571" s="44" t="str"/>
    </x:row>
    <x:row r="572">
      <x:c r="A572" s="32" t="str">
        <x:v>Gemini 2.0 Flash</x:v>
      </x:c>
      <x:c r="B572" s="32" t="str">
        <x:v>gemini-exp-1206</x:v>
      </x:c>
      <x:c r="C572" s="32" t="str"/>
      <x:c r="D572" s="32" t="str">
        <x:v>Google DeepMind,Google</x:v>
      </x:c>
      <x:c r="E572" s="32" t="str">
        <x:v>United States of America</x:v>
      </x:c>
      <x:c r="F572" s="34" t="n">
        <x:v>45632</x:v>
      </x:c>
      <x:c r="G572" s="32" t="str">
        <x:v>API access</x:v>
      </x:c>
      <x:c r="H572" s="34" t="n">
        <x:v>45637</x:v>
      </x:c>
      <x:c r="I572" s="52" t="str"/>
      <x:c r="J572" s="32" t="str">
        <x:v>Unknown</x:v>
      </x:c>
      <x:c r="K572" s="32" t="str">
        <x:v>A December 2024 experimental version of Gemini 2.0 Flash, a small langauge model from Google DeepMind.</x:v>
      </x:c>
      <x:c r="L572" s="32" t="str"/>
      <x:c r="M572" s="32" t="str">
        <x:v>Gemini 2.0 Flash (Dec 2024)</x:v>
      </x:c>
      <x:c r="N572" s="32" t="str">
        <x:v>Gemini 2.0 Flash (Dec 2024)</x:v>
      </x:c>
      <x:c r="O572" s="32" t="str">
        <x:v>gemini-2-0-flash-dec-2024</x:v>
      </x:c>
      <x:c r="P572" s="44" t="n">
        <x:v>135.06</x:v>
      </x:c>
      <x:c r="Q572" s="44" t="n">
        <x:v>123.87</x:v>
      </x:c>
      <x:c r="R572" s="44" t="n">
        <x:v>136.77</x:v>
      </x:c>
    </x:row>
    <x:row r="573">
      <x:c r="A573" s="32" t="str">
        <x:v>QwQ-32B</x:v>
      </x:c>
      <x:c r="B573" s="32" t="str">
        <x:v>QwQ-32B</x:v>
      </x:c>
      <x:c r="C573" s="32" t="str"/>
      <x:c r="D573" s="32" t="str">
        <x:v>Alibaba</x:v>
      </x:c>
      <x:c r="E573" s="32" t="str">
        <x:v>China</x:v>
      </x:c>
      <x:c r="F573" s="34" t="n">
        <x:v>45721</x:v>
      </x:c>
      <x:c r="G573" s="32" t="str">
        <x:v>Open weights (unrestricted)</x:v>
      </x:c>
      <x:c r="H573" s="34" t="n">
        <x:v>45722</x:v>
      </x:c>
      <x:c r="I573" s="52" t="n">
        <x:v>3.51e+24</x:v>
      </x:c>
      <x:c r="J573" s="32" t="str">
        <x:v>Speculative</x:v>
      </x:c>
      <x:c r="K573" s="32" t="str"/>
      <x:c r="L573" s="32" t="str">
        <x:v>QwQ 32B</x:v>
      </x:c>
      <x:c r="M573" s="32" t="str">
        <x:v>QwQ-32B</x:v>
      </x:c>
      <x:c r="N573" s="32" t="str">
        <x:v>QwQ-32B</x:v>
      </x:c>
      <x:c r="O573" s="32" t="str">
        <x:v>qwq-32b</x:v>
      </x:c>
      <x:c r="P573" s="44" t="str"/>
      <x:c r="Q573" s="44" t="str"/>
      <x:c r="R573" s="44" t="str"/>
    </x:row>
    <x:row r="574">
      <x:c r="A574" s="32" t="str">
        <x:v>Cohere Command A</x:v>
      </x:c>
      <x:c r="B574" s="32" t="str">
        <x:v>c4ai-command-a-03-2025</x:v>
      </x:c>
      <x:c r="C574" s="32" t="str"/>
      <x:c r="D574" s="32" t="str">
        <x:v>Cohere</x:v>
      </x:c>
      <x:c r="E574" s="32" t="str">
        <x:v>Canada</x:v>
      </x:c>
      <x:c r="F574" s="34" t="n">
        <x:v>45729</x:v>
      </x:c>
      <x:c r="G574" s="32" t="str">
        <x:v>Open weights (non-commercial)</x:v>
      </x:c>
      <x:c r="H574" s="34" t="n">
        <x:v>45729</x:v>
      </x:c>
      <x:c r="I574" s="52" t="str"/>
      <x:c r="J574" s="32" t="str">
        <x:v>Confident</x:v>
      </x:c>
      <x:c r="K574" s="32" t="str"/>
      <x:c r="L574" s="32" t="str">
        <x:v>Command A</x:v>
      </x:c>
      <x:c r="M574" s="32" t="str"/>
      <x:c r="N574" s="32" t="str">
        <x:v>Cohere Command A</x:v>
      </x:c>
      <x:c r="O574" s="32" t="str">
        <x:v>cohere-command-a</x:v>
      </x:c>
      <x:c r="P574" s="44" t="str"/>
      <x:c r="Q574" s="44" t="str"/>
      <x:c r="R574" s="44" t="str"/>
    </x:row>
    <x:row r="575">
      <x:c r="A575" s="32" t="str">
        <x:v>Gemini 2.0 Flash</x:v>
      </x:c>
      <x:c r="B575" s="32" t="str">
        <x:v>gemini-2.0-flash-exp</x:v>
      </x:c>
      <x:c r="C575" s="32" t="str"/>
      <x:c r="D575" s="32" t="str">
        <x:v>Google DeepMind,Google</x:v>
      </x:c>
      <x:c r="E575" s="32" t="str">
        <x:v>United States of America</x:v>
      </x:c>
      <x:c r="F575" s="34" t="n">
        <x:v>45637</x:v>
      </x:c>
      <x:c r="G575" s="32" t="str">
        <x:v>API access</x:v>
      </x:c>
      <x:c r="H575" s="34" t="n">
        <x:v>45637</x:v>
      </x:c>
      <x:c r="I575" s="52" t="str"/>
      <x:c r="J575" s="32" t="str">
        <x:v>Unknown</x:v>
      </x:c>
      <x:c r="K575" s="32" t="str">
        <x:v>A December 2024 experimental version of Gemini 2.0 Flash, a small langauge model from Google DeepMind.</x:v>
      </x:c>
      <x:c r="L575" s="32" t="str"/>
      <x:c r="M575" s="32" t="str">
        <x:v>Gemini 2.0 Flash (Dec 2024)</x:v>
      </x:c>
      <x:c r="N575" s="32" t="str">
        <x:v>Gemini 2.0 Flash (Dec 2024)</x:v>
      </x:c>
      <x:c r="O575" s="32" t="str">
        <x:v>gemini-2-0-flash-dec-2024</x:v>
      </x:c>
      <x:c r="P575" s="44" t="n">
        <x:v>135.06</x:v>
      </x:c>
      <x:c r="Q575" s="44" t="n">
        <x:v>123.87</x:v>
      </x:c>
      <x:c r="R575" s="44" t="n">
        <x:v>136.77</x:v>
      </x:c>
    </x:row>
    <x:row r="576">
      <x:c r="A576" s="32" t="str">
        <x:v>DeepSeek-V2.5</x:v>
      </x:c>
      <x:c r="B576" s="32" t="str">
        <x:v>DeepSeek-V2.5</x:v>
      </x:c>
      <x:c r="C576" s="32" t="str"/>
      <x:c r="D576" s="32" t="str">
        <x:v>DeepSeek</x:v>
      </x:c>
      <x:c r="E576" s="32" t="str">
        <x:v>China</x:v>
      </x:c>
      <x:c r="F576" s="34" t="n">
        <x:v>45541</x:v>
      </x:c>
      <x:c r="G576" s="32" t="str">
        <x:v>Open weights (restricted use)</x:v>
      </x:c>
      <x:c r="H576" s="34" t="n">
        <x:v>45541</x:v>
      </x:c>
      <x:c r="I576" s="52" t="n">
        <x:v>1.7892e+24</x:v>
      </x:c>
      <x:c r="J576" s="32" t="str">
        <x:v>Confident</x:v>
      </x:c>
      <x:c r="K576" s="32" t="str"/>
      <x:c r="L576" s="32" t="str">
        <x:v>DeepSeek-V2.5 (Sept 2024)</x:v>
      </x:c>
      <x:c r="M576" s="32" t="str">
        <x:v>DeepSeek-V2.5 (Sep 2024)</x:v>
      </x:c>
      <x:c r="N576" s="32" t="str">
        <x:v>DeepSeek-V2.5 (Sep 2024)</x:v>
      </x:c>
      <x:c r="O576" s="32" t="str">
        <x:v>deepseek-v2-5-sep-2024</x:v>
      </x:c>
      <x:c r="P576" s="44" t="str"/>
      <x:c r="Q576" s="44" t="str"/>
      <x:c r="R576" s="44" t="str"/>
    </x:row>
    <x:row r="577">
      <x:c r="A577" s="32" t="str">
        <x:v>Codestral</x:v>
      </x:c>
      <x:c r="B577" s="32" t="str">
        <x:v>codestral-2501</x:v>
      </x:c>
      <x:c r="C577" s="32" t="str"/>
      <x:c r="D577" s="32" t="str">
        <x:v>Mistral AI</x:v>
      </x:c>
      <x:c r="E577" s="32" t="str">
        <x:v>France</x:v>
      </x:c>
      <x:c r="F577" s="34" t="n">
        <x:v>45670</x:v>
      </x:c>
      <x:c r="G577" s="32" t="str">
        <x:v>Open weights (non-commercial)</x:v>
      </x:c>
      <x:c r="H577" s="34" t="n">
        <x:v>45441</x:v>
      </x:c>
      <x:c r="I577" s="52" t="str"/>
      <x:c r="J577" s="32" t="str">
        <x:v>Confident</x:v>
      </x:c>
      <x:c r="K577" s="32" t="str">
        <x:v>A January 2025 version of a 2024 coding-optimized model from Mistral.</x:v>
      </x:c>
      <x:c r="L577" s="32" t="str"/>
      <x:c r="M577" s="32" t="str"/>
      <x:c r="N577" s="32" t="str">
        <x:v>Codestral</x:v>
      </x:c>
      <x:c r="O577" s="32" t="str">
        <x:v>codestral</x:v>
      </x:c>
      <x:c r="P577" s="44" t="str"/>
      <x:c r="Q577" s="44" t="str"/>
      <x:c r="R577" s="44" t="str"/>
    </x:row>
    <x:row r="578">
      <x:c r="A578" s="32" t="str">
        <x:v>Yi-Lightning</x:v>
      </x:c>
      <x:c r="B578" s="32" t="str">
        <x:v>yi-lightning</x:v>
      </x:c>
      <x:c r="C578" s="32" t="str"/>
      <x:c r="D578" s="32" t="str">
        <x:v>01.AI</x:v>
      </x:c>
      <x:c r="E578" s="32" t="str">
        <x:v>China</x:v>
      </x:c>
      <x:c r="F578" s="34" t="n">
        <x:v>45628</x:v>
      </x:c>
      <x:c r="G578" s="32" t="str">
        <x:v>API access</x:v>
      </x:c>
      <x:c r="H578" s="34" t="n">
        <x:v>45583</x:v>
      </x:c>
      <x:c r="I578" s="52" t="n">
        <x:v>1.5e+24</x:v>
      </x:c>
      <x:c r="J578" s="32" t="str">
        <x:v>Confident</x:v>
      </x:c>
      <x:c r="K578" s="32" t="str"/>
      <x:c r="L578" s="32" t="str">
        <x:v>Yi-Lightning</x:v>
      </x:c>
      <x:c r="M578" s="32" t="str"/>
      <x:c r="N578" s="32" t="str">
        <x:v>Yi-Lightning</x:v>
      </x:c>
      <x:c r="O578" s="32" t="str">
        <x:v>yi-lightning</x:v>
      </x:c>
      <x:c r="P578" s="44" t="str"/>
      <x:c r="Q578" s="44" t="str"/>
      <x:c r="R578" s="44" t="str"/>
    </x:row>
    <x:row r="579">
      <x:c r="A579" s="32" t="str">
        <x:v>Grok 4</x:v>
      </x:c>
      <x:c r="B579" s="32" t="str">
        <x:v>grok-4-0709_high</x:v>
      </x:c>
      <x:c r="C579" s="32" t="str"/>
      <x:c r="D579" s="32" t="str">
        <x:v>xAI</x:v>
      </x:c>
      <x:c r="E579" s="32" t="str">
        <x:v>United States of America</x:v>
      </x:c>
      <x:c r="F579" s="34" t="n">
        <x:v>45847</x:v>
      </x:c>
      <x:c r="G579" s="32" t="str">
        <x:v>API access</x:v>
      </x:c>
      <x:c r="H579" s="34" t="n">
        <x:v>45847</x:v>
      </x:c>
      <x:c r="I579" s="52" t="n">
        <x:v>5.0000000000001e+26</x:v>
      </x:c>
      <x:c r="J579" s="32" t="str">
        <x:v>Speculative</x:v>
      </x:c>
      <x:c r="K579" s="32" t="str"/>
      <x:c r="L579" s="32" t="str">
        <x:v>Grok 4</x:v>
      </x:c>
      <x:c r="M579" s="32" t="str"/>
      <x:c r="N579" s="32" t="str">
        <x:v>Grok 4</x:v>
      </x:c>
      <x:c r="O579" s="32" t="str">
        <x:v>grok-4</x:v>
      </x:c>
      <x:c r="P579" s="44" t="n">
        <x:v>147.04</x:v>
      </x:c>
      <x:c r="Q579" s="44" t="n">
        <x:v>144.92</x:v>
      </x:c>
      <x:c r="R579" s="44" t="n">
        <x:v>148.75</x:v>
      </x:c>
    </x:row>
    <x:row r="580">
      <x:c r="A580" s="32" t="str">
        <x:v>DeepSeek-V3.2</x:v>
      </x:c>
      <x:c r="B580" s="32" t="str">
        <x:v>deepseek-chat</x:v>
      </x:c>
      <x:c r="C580" s="32" t="str"/>
      <x:c r="D580" s="32" t="str">
        <x:v>DeepSeek</x:v>
      </x:c>
      <x:c r="E580" s="32" t="str">
        <x:v>China</x:v>
      </x:c>
      <x:c r="F580" s="34" t="n">
        <x:v>45992</x:v>
      </x:c>
      <x:c r="G580" s="32" t="str">
        <x:v>Open weights (unrestricted)</x:v>
      </x:c>
      <x:c r="H580" s="34" t="n">
        <x:v>45992</x:v>
      </x:c>
      <x:c r="I580" s="52" t="n">
        <x:v>4.1999999999999997e+24</x:v>
      </x:c>
      <x:c r="J580" s="32" t="str">
        <x:v>Likely</x:v>
      </x:c>
      <x:c r="K580" s="32" t="str"/>
      <x:c r="L580" s="32" t="str"/>
      <x:c r="M580" s="32" t="str"/>
      <x:c r="N580" s="32" t="str">
        <x:v>DeepSeek-V3.2</x:v>
      </x:c>
      <x:c r="O580" s="32" t="str">
        <x:v>deepseek-v3-2</x:v>
      </x:c>
      <x:c r="P580" s="44" t="n">
        <x:v>146.56</x:v>
      </x:c>
      <x:c r="Q580" s="44" t="n">
        <x:v>144.63</x:v>
      </x:c>
      <x:c r="R580" s="44" t="n">
        <x:v>147.62</x:v>
      </x:c>
    </x:row>
    <x:row r="581">
      <x:c r="A581" s="32" t="str"/>
      <x:c r="B581" s="32" t="str">
        <x:v>computer-use-preview-2025-03-11</x:v>
      </x:c>
      <x:c r="C581" s="32" t="str"/>
      <x:c r="D581" s="32" t="str"/>
      <x:c r="E581" s="32" t="str"/>
      <x:c r="F581" s="34" t="n">
        <x:v>45727</x:v>
      </x:c>
      <x:c r="G581" s="32" t="str"/>
      <x:c r="H581" s="34"/>
      <x:c r="I581" s="52" t="str"/>
      <x:c r="J581" s="32" t="str">
        <x:v>Unverified</x:v>
      </x:c>
      <x:c r="K581" s="32" t="str"/>
      <x:c r="L581" s="32" t="str"/>
      <x:c r="M581" s="32" t="str"/>
      <x:c r="N581" s="32" t="str"/>
      <x:c r="O581" s="32" t="str">
        <x:v>computer-use-preview-2025-03-11</x:v>
      </x:c>
      <x:c r="P581" s="44" t="str"/>
      <x:c r="Q581" s="44" t="str"/>
      <x:c r="R581" s="44" t="str"/>
    </x:row>
    <x:row r="582">
      <x:c r="A582" s="32" t="str">
        <x:v>Kimi K2.5</x:v>
      </x:c>
      <x:c r="B582" s="32" t="str">
        <x:v>kimi-k2.5_none</x:v>
      </x:c>
      <x:c r="C582" s="32" t="str">
        <x:v>Kimi K2.5 (instant)</x:v>
      </x:c>
      <x:c r="D582" s="32" t="str">
        <x:v>Moonshot</x:v>
      </x:c>
      <x:c r="E582" s="32" t="str">
        <x:v>China</x:v>
      </x:c>
      <x:c r="F582" s="34" t="n">
        <x:v>46049</x:v>
      </x:c>
      <x:c r="G582" s="32" t="str">
        <x:v>Open weights (unrestricted)</x:v>
      </x:c>
      <x:c r="H582" s="34" t="n">
        <x:v>46055</x:v>
      </x:c>
      <x:c r="I582" s="52" t="n">
        <x:v>5.8e+24</x:v>
      </x:c>
      <x:c r="J582" s="32" t="str">
        <x:v>Likely</x:v>
      </x:c>
      <x:c r="K582" s="32" t="str"/>
      <x:c r="L582" s="32" t="str"/>
      <x:c r="M582" s="32" t="str"/>
      <x:c r="N582" s="32" t="str">
        <x:v>Kimi K2.5</x:v>
      </x:c>
      <x:c r="O582" s="32" t="str">
        <x:v>kimi-k2-5</x:v>
      </x:c>
      <x:c r="P582" s="44" t="n">
        <x:v>148.24</x:v>
      </x:c>
      <x:c r="Q582" s="44" t="n">
        <x:v>146.58</x:v>
      </x:c>
      <x:c r="R582" s="44" t="n">
        <x:v>149.36</x:v>
      </x:c>
    </x:row>
    <x:row r="583">
      <x:c r="A583" s="32" t="str">
        <x:v>GPT-5.1-Codex-mini</x:v>
      </x:c>
      <x:c r="B583" s="32" t="str">
        <x:v>gpt-5.1-codex-mini</x:v>
      </x:c>
      <x:c r="C583" s="32" t="str">
        <x:v>GPT-5.1 Codex Mini</x:v>
      </x:c>
      <x:c r="D583" s="32" t="str">
        <x:v>OpenAI</x:v>
      </x:c>
      <x:c r="E583" s="32" t="str">
        <x:v>United States of America</x:v>
      </x:c>
      <x:c r="F583" s="34" t="n">
        <x:v>45973</x:v>
      </x:c>
      <x:c r="G583" s="32" t="str">
        <x:v>API access</x:v>
      </x:c>
      <x:c r="H583" s="34" t="n">
        <x:v>45973</x:v>
      </x:c>
      <x:c r="I583" s="52" t="str"/>
      <x:c r="J583" s="32" t="str">
        <x:v>Unknown</x:v>
      </x:c>
      <x:c r="K583" s="32" t="str"/>
      <x:c r="L583" s="32" t="str">
        <x:v>GPT-5.1-codex mini</x:v>
      </x:c>
      <x:c r="M583" s="32" t="str"/>
      <x:c r="N583" s="32" t="str">
        <x:v>GPT-5.1-Codex-mini</x:v>
      </x:c>
      <x:c r="O583" s="32" t="str">
        <x:v>gpt-5-1-codex-mini</x:v>
      </x:c>
      <x:c r="P583" s="44" t="str"/>
      <x:c r="Q583" s="44" t="str"/>
      <x:c r="R583" s="44" t="str"/>
    </x:row>
    <x:row r="584">
      <x:c r="A584" s="32" t="str">
        <x:v>Grok 4.1</x:v>
      </x:c>
      <x:c r="B584" s="32" t="str">
        <x:v>grok-4-1</x:v>
      </x:c>
      <x:c r="C584" s="32" t="str"/>
      <x:c r="D584" s="32" t="str">
        <x:v>xAI</x:v>
      </x:c>
      <x:c r="E584" s="32" t="str">
        <x:v>United States of America</x:v>
      </x:c>
      <x:c r="F584" s="34" t="n">
        <x:v>45978</x:v>
      </x:c>
      <x:c r="G584" s="32" t="str">
        <x:v>API access</x:v>
      </x:c>
      <x:c r="H584" s="34" t="n">
        <x:v>45978</x:v>
      </x:c>
      <x:c r="I584" s="52" t="str"/>
      <x:c r="J584" s="32" t="str">
        <x:v>Unknown</x:v>
      </x:c>
      <x:c r="K584" s="32" t="str"/>
      <x:c r="L584" s="32" t="str"/>
      <x:c r="M584" s="32" t="str"/>
      <x:c r="N584" s="32" t="str">
        <x:v>Grok 4.1</x:v>
      </x:c>
      <x:c r="O584" s="32" t="str">
        <x:v>grok-4-1</x:v>
      </x:c>
      <x:c r="P584" s="44" t="str"/>
      <x:c r="Q584" s="44" t="str"/>
      <x:c r="R584" s="44" t="str"/>
    </x:row>
    <x:row r="585">
      <x:c r="A585" s="32" t="str">
        <x:v>Claude 3.7 Sonnet</x:v>
      </x:c>
      <x:c r="B585" s="32" t="str">
        <x:v>claude-3-7-sonnet-20250219_15K</x:v>
      </x:c>
      <x:c r="C585" s="32" t="str">
        <x:v>Claude 3.7 Sonnet (15k thinking)</x:v>
      </x:c>
      <x:c r="D585" s="32" t="str">
        <x:v>Anthropic</x:v>
      </x:c>
      <x:c r="E585" s="32" t="str">
        <x:v>United States of America</x:v>
      </x:c>
      <x:c r="F585" s="34" t="n">
        <x:v>45712</x:v>
      </x:c>
      <x:c r="G585" s="32" t="str">
        <x:v>API access</x:v>
      </x:c>
      <x:c r="H585" s="34" t="n">
        <x:v>45712</x:v>
      </x:c>
      <x:c r="I585" s="52" t="n">
        <x:v>3.3499999999999998e+25</x:v>
      </x:c>
      <x:c r="J585" s="32" t="str">
        <x:v>Likely</x:v>
      </x:c>
      <x:c r="K585" s="32" t="str">
        <x:v>A previous flagship reasoning model from Anthropic, benchmarked with up to 15,000 reasoning tokens allowed.</x:v>
      </x:c>
      <x:c r="L585" s="32" t="str">
        <x:v>Claude 3.7 Sonnet (15k thinking)</x:v>
      </x:c>
      <x:c r="M585" s="32" t="str"/>
      <x:c r="N585" s="32" t="str">
        <x:v>Claude 3.7 Sonnet</x:v>
      </x:c>
      <x:c r="O585" s="32" t="str">
        <x:v>claude-3-7-sonnet</x:v>
      </x:c>
      <x:c r="P585" s="44" t="n">
        <x:v>141.7</x:v>
      </x:c>
      <x:c r="Q585" s="44" t="n">
        <x:v>139.28</x:v>
      </x:c>
      <x:c r="R585" s="44" t="n">
        <x:v>143.27</x:v>
      </x:c>
    </x:row>
    <x:row r="586">
      <x:c r="A586" s="32" t="str">
        <x:v>Pixtral 12B</x:v>
      </x:c>
      <x:c r="B586" s="32" t="str">
        <x:v>Pixtral-12B-2409</x:v>
      </x:c>
      <x:c r="C586" s="32" t="str"/>
      <x:c r="D586" s="32" t="str">
        <x:v>Mistral AI</x:v>
      </x:c>
      <x:c r="E586" s="32" t="str">
        <x:v>France</x:v>
      </x:c>
      <x:c r="F586" s="34" t="n">
        <x:v>45552</x:v>
      </x:c>
      <x:c r="G586" s="32" t="str">
        <x:v>Open weights (unrestricted)</x:v>
      </x:c>
      <x:c r="H586" s="34" t="n">
        <x:v>45552</x:v>
      </x:c>
      <x:c r="I586" s="52" t="str"/>
      <x:c r="J586" s="32" t="str">
        <x:v>Confident</x:v>
      </x:c>
      <x:c r="K586" s="32" t="str"/>
      <x:c r="L586" s="32" t="str"/>
      <x:c r="M586" s="32" t="str"/>
      <x:c r="N586" s="32" t="str">
        <x:v>Pixtral 12B</x:v>
      </x:c>
      <x:c r="O586" s="32" t="str">
        <x:v>pixtral-12b</x:v>
      </x:c>
      <x:c r="P586" s="44" t="str"/>
      <x:c r="Q586" s="44" t="str"/>
      <x:c r="R586" s="44" t="str"/>
    </x:row>
    <x:row r="587">
      <x:c r="A587" s="32" t="str">
        <x:v>video-SALMONN 2+</x:v>
      </x:c>
      <x:c r="B587" s="32" t="str">
        <x:v>video-SALMONN-2plus</x:v>
      </x:c>
      <x:c r="C587" s="32" t="str"/>
      <x:c r="D587" s="32" t="str">
        <x:v>ByteDance</x:v>
      </x:c>
      <x:c r="E587" s="32" t="str">
        <x:v>China</x:v>
      </x:c>
      <x:c r="F587" s="34" t="n">
        <x:v>45826</x:v>
      </x:c>
      <x:c r="G587" s="32" t="str"/>
      <x:c r="H587" s="34" t="n">
        <x:v>45826</x:v>
      </x:c>
      <x:c r="I587" s="52" t="str"/>
      <x:c r="J587" s="32" t="str">
        <x:v>Likely</x:v>
      </x:c>
      <x:c r="K587" s="32" t="str"/>
      <x:c r="L587" s="32" t="str"/>
      <x:c r="M587" s="32" t="str"/>
      <x:c r="N587" s="32" t="str">
        <x:v>video-SALMONN 2+</x:v>
      </x:c>
      <x:c r="O587" s="32" t="str">
        <x:v>video-salmonn-2</x:v>
      </x:c>
      <x:c r="P587" s="44" t="str"/>
      <x:c r="Q587" s="44" t="str"/>
      <x:c r="R587" s="44" t="str"/>
    </x:row>
    <x:row r="588">
      <x:c r="A588" s="32" t="str">
        <x:v>InternVL2_5-78B</x:v>
      </x:c>
      <x:c r="B588" s="32" t="str">
        <x:v>InternVL2_5-78B</x:v>
      </x:c>
      <x:c r="C588" s="32" t="str"/>
      <x:c r="D588" s="32" t="str">
        <x:v>Shanghai AI Lab,SenseTime,Tsinghua University,Nanjing University,Fudan University,Chinese University of Hong Kong (CUHK),Shanghai Jiao Tong University</x:v>
      </x:c>
      <x:c r="E588" s="32" t="str">
        <x:v>Hong Kong,China</x:v>
      </x:c>
      <x:c r="F588" s="34" t="n">
        <x:v>45632</x:v>
      </x:c>
      <x:c r="G588" s="32" t="str">
        <x:v>Open weights (restricted use)</x:v>
      </x:c>
      <x:c r="H588" s="34" t="n">
        <x:v>45632</x:v>
      </x:c>
      <x:c r="I588" s="52" t="str"/>
      <x:c r="J588" s="32" t="str">
        <x:v>Confident</x:v>
      </x:c>
      <x:c r="K588" s="32" t="str"/>
      <x:c r="L588" s="32" t="str"/>
      <x:c r="M588" s="32" t="str"/>
      <x:c r="N588" s="32" t="str">
        <x:v>InternVL2_5-78B</x:v>
      </x:c>
      <x:c r="O588" s="32" t="str">
        <x:v>internvl2-5-78b</x:v>
      </x:c>
      <x:c r="P588" s="44" t="str"/>
      <x:c r="Q588" s="44" t="str"/>
      <x:c r="R588" s="44" t="str"/>
    </x:row>
    <x:row r="589">
      <x:c r="A589" s="32" t="str"/>
      <x:c r="B589" s="32" t="str">
        <x:v>Qwen2-VL-72B-Instruct</x:v>
      </x:c>
      <x:c r="C589" s="32" t="str"/>
      <x:c r="D589" s="32" t="str"/>
      <x:c r="E589" s="32" t="str"/>
      <x:c r="F589" s="34" t="n">
        <x:v>45533</x:v>
      </x:c>
      <x:c r="G589" s="32" t="str"/>
      <x:c r="H589" s="34"/>
      <x:c r="I589" s="52" t="str"/>
      <x:c r="J589" s="32" t="str">
        <x:v>Unverified</x:v>
      </x:c>
      <x:c r="K589" s="32" t="str">
        <x:v>A 72 billion-parameter instruction-tuned vision language model in Qwen's Qwen 2 series.</x:v>
      </x:c>
      <x:c r="L589" s="32" t="str"/>
      <x:c r="M589" s="32" t="str"/>
      <x:c r="N589" s="32" t="str"/>
      <x:c r="O589" s="32" t="str">
        <x:v>qwen2-vl-72b-instruct</x:v>
      </x:c>
      <x:c r="P589" s="44" t="str"/>
      <x:c r="Q589" s="44" t="str"/>
      <x:c r="R589" s="44" t="str"/>
    </x:row>
    <x:row r="590">
      <x:c r="A590" s="32" t="str"/>
      <x:c r="B590" s="32" t="str">
        <x:v>LLaVA-Video-72B-Qwen2</x:v>
      </x:c>
      <x:c r="C590" s="32" t="str"/>
      <x:c r="D590" s="32" t="str"/>
      <x:c r="E590" s="32" t="str"/>
      <x:c r="F590" s="34" t="n">
        <x:v>45537</x:v>
      </x:c>
      <x:c r="G590" s="32" t="str"/>
      <x:c r="H590" s="34"/>
      <x:c r="I590" s="52" t="str"/>
      <x:c r="J590" s="32" t="str">
        <x:v>Unverified</x:v>
      </x:c>
      <x:c r="K590" s="32" t="str"/>
      <x:c r="L590" s="32" t="str"/>
      <x:c r="M590" s="32" t="str"/>
      <x:c r="N590" s="32" t="str"/>
      <x:c r="O590" s="32" t="str">
        <x:v>llava-video-72b-qwen2</x:v>
      </x:c>
      <x:c r="P590" s="44" t="str"/>
      <x:c r="Q590" s="44" t="str"/>
      <x:c r="R590" s="44" t="str"/>
    </x:row>
    <x:row r="591">
      <x:c r="A591" s="32" t="str"/>
      <x:c r="B591" s="32" t="str">
        <x:v>LinVT</x:v>
      </x:c>
      <x:c r="C591" s="32" t="str"/>
      <x:c r="D591" s="32" t="str"/>
      <x:c r="E591" s="32" t="str"/>
      <x:c r="F591" s="34" t="n">
        <x:v>45632</x:v>
      </x:c>
      <x:c r="G591" s="32" t="str"/>
      <x:c r="H591" s="34"/>
      <x:c r="I591" s="52" t="str"/>
      <x:c r="J591" s="32" t="str">
        <x:v>Unverified</x:v>
      </x:c>
      <x:c r="K591" s="32" t="str"/>
      <x:c r="L591" s="32" t="str"/>
      <x:c r="M591" s="32" t="str"/>
      <x:c r="N591" s="32" t="str"/>
      <x:c r="O591" s="32" t="str">
        <x:v>linvt</x:v>
      </x:c>
      <x:c r="P591" s="44" t="str"/>
      <x:c r="Q591" s="44" t="str"/>
      <x:c r="R591" s="44" t="str"/>
    </x:row>
    <x:row r="592">
      <x:c r="A592" s="32" t="str"/>
      <x:c r="B592" s="32" t="str">
        <x:v>Aria</x:v>
      </x:c>
      <x:c r="C592" s="32" t="str"/>
      <x:c r="D592" s="32" t="str"/>
      <x:c r="E592" s="32" t="str"/>
      <x:c r="F592" s="34" t="n">
        <x:v>45565</x:v>
      </x:c>
      <x:c r="G592" s="32" t="str"/>
      <x:c r="H592" s="34"/>
      <x:c r="I592" s="52" t="str"/>
      <x:c r="J592" s="32" t="str">
        <x:v>Unverified</x:v>
      </x:c>
      <x:c r="K592" s="32" t="str"/>
      <x:c r="L592" s="32" t="str"/>
      <x:c r="M592" s="32" t="str"/>
      <x:c r="N592" s="32" t="str"/>
      <x:c r="O592" s="32" t="str">
        <x:v>aria</x:v>
      </x:c>
      <x:c r="P592" s="44" t="str"/>
      <x:c r="Q592" s="44" t="str"/>
      <x:c r="R592" s="44" t="str"/>
    </x:row>
    <x:row r="593">
      <x:c r="A593" s="32" t="str"/>
      <x:c r="B593" s="32" t="str">
        <x:v>ViLAMP-llava-qwen</x:v>
      </x:c>
      <x:c r="C593" s="32" t="str"/>
      <x:c r="D593" s="32" t="str"/>
      <x:c r="E593" s="32" t="str"/>
      <x:c r="F593" s="34" t="n">
        <x:v>45778</x:v>
      </x:c>
      <x:c r="G593" s="32" t="str"/>
      <x:c r="H593" s="34"/>
      <x:c r="I593" s="52" t="str"/>
      <x:c r="J593" s="32" t="str">
        <x:v>Unverified</x:v>
      </x:c>
      <x:c r="K593" s="32" t="str"/>
      <x:c r="L593" s="32" t="str"/>
      <x:c r="M593" s="32" t="str"/>
      <x:c r="N593" s="32" t="str"/>
      <x:c r="O593" s="32" t="str">
        <x:v>vilamp-llava-qwen</x:v>
      </x:c>
      <x:c r="P593" s="44" t="str"/>
      <x:c r="Q593" s="44" t="str"/>
      <x:c r="R593" s="44" t="str"/>
    </x:row>
    <x:row r="594">
      <x:c r="A594" s="32" t="str"/>
      <x:c r="B594" s="32" t="str">
        <x:v>Oryx-1.5-32B</x:v>
      </x:c>
      <x:c r="C594" s="32" t="str"/>
      <x:c r="D594" s="32" t="str"/>
      <x:c r="E594" s="32" t="str"/>
      <x:c r="F594" s="34" t="n">
        <x:v>45587</x:v>
      </x:c>
      <x:c r="G594" s="32" t="str"/>
      <x:c r="H594" s="34"/>
      <x:c r="I594" s="52" t="str"/>
      <x:c r="J594" s="32" t="str">
        <x:v>Unverified</x:v>
      </x:c>
      <x:c r="K594" s="32" t="str"/>
      <x:c r="L594" s="32" t="str"/>
      <x:c r="M594" s="32" t="str"/>
      <x:c r="N594" s="32" t="str"/>
      <x:c r="O594" s="32" t="str">
        <x:v>oryx-1-5-32b</x:v>
      </x:c>
      <x:c r="P594" s="44" t="str"/>
      <x:c r="Q594" s="44" t="str"/>
      <x:c r="R594" s="44" t="str"/>
    </x:row>
    <x:row r="595">
      <x:c r="A595" s="32" t="str"/>
      <x:c r="B595" s="32" t="str">
        <x:v>LLaVA-OneVision 72B</x:v>
      </x:c>
      <x:c r="C595" s="32" t="str"/>
      <x:c r="D595" s="32" t="str"/>
      <x:c r="E595" s="32" t="str"/>
      <x:c r="F595" s="34" t="n">
        <x:v>45510</x:v>
      </x:c>
      <x:c r="G595" s="32" t="str"/>
      <x:c r="H595" s="34"/>
      <x:c r="I595" s="52" t="str"/>
      <x:c r="J595" s="32" t="str">
        <x:v>Unverified</x:v>
      </x:c>
      <x:c r="K595" s="32" t="str"/>
      <x:c r="L595" s="32" t="str"/>
      <x:c r="M595" s="32" t="str"/>
      <x:c r="N595" s="32" t="str"/>
      <x:c r="O595" s="32" t="str">
        <x:v>llava-onevision-72b</x:v>
      </x:c>
      <x:c r="P595" s="44" t="str"/>
      <x:c r="Q595" s="44" t="str"/>
      <x:c r="R595" s="44" t="str"/>
    </x:row>
    <x:row r="596">
      <x:c r="A596" s="32" t="str"/>
      <x:c r="B596" s="32" t="str">
        <x:v>VideoLLAMA3-7B</x:v>
      </x:c>
      <x:c r="C596" s="32" t="str"/>
      <x:c r="D596" s="32" t="str"/>
      <x:c r="E596" s="32" t="str"/>
      <x:c r="F596" s="34" t="n">
        <x:v>45313</x:v>
      </x:c>
      <x:c r="G596" s="32" t="str"/>
      <x:c r="H596" s="34"/>
      <x:c r="I596" s="52" t="str"/>
      <x:c r="J596" s="32" t="str">
        <x:v>Unverified</x:v>
      </x:c>
      <x:c r="K596" s="32" t="str"/>
      <x:c r="L596" s="32" t="str"/>
      <x:c r="M596" s="32" t="str"/>
      <x:c r="N596" s="32" t="str"/>
      <x:c r="O596" s="32" t="str">
        <x:v>videollama3-7b</x:v>
      </x:c>
      <x:c r="P596" s="44" t="str"/>
      <x:c r="Q596" s="44" t="str"/>
      <x:c r="R596" s="44" t="str"/>
    </x:row>
    <x:row r="597">
      <x:c r="A597" s="32" t="str"/>
      <x:c r="B597" s="32" t="str">
        <x:v>LLaVA-Video-7B-Qwen2-TPO</x:v>
      </x:c>
      <x:c r="C597" s="32" t="str"/>
      <x:c r="D597" s="32" t="str"/>
      <x:c r="E597" s="32" t="str"/>
      <x:c r="F597" s="34" t="n">
        <x:v>45676</x:v>
      </x:c>
      <x:c r="G597" s="32" t="str"/>
      <x:c r="H597" s="34"/>
      <x:c r="I597" s="52" t="str"/>
      <x:c r="J597" s="32" t="str">
        <x:v>Unverified</x:v>
      </x:c>
      <x:c r="K597" s="32" t="str"/>
      <x:c r="L597" s="32" t="str"/>
      <x:c r="M597" s="32" t="str"/>
      <x:c r="N597" s="32" t="str"/>
      <x:c r="O597" s="32" t="str">
        <x:v>llava-video-7b-qwen2-tpo</x:v>
      </x:c>
      <x:c r="P597" s="44" t="str"/>
      <x:c r="Q597" s="44" t="str"/>
      <x:c r="R597" s="44" t="str"/>
    </x:row>
    <x:row r="598">
      <x:c r="A598" s="32" t="str"/>
      <x:c r="B598" s="32" t="str">
        <x:v>VideoChat-Flash-Qwen2-7B_res448</x:v>
      </x:c>
      <x:c r="C598" s="32" t="str"/>
      <x:c r="D598" s="32" t="str"/>
      <x:c r="E598" s="32" t="str"/>
      <x:c r="F598" s="34" t="n">
        <x:v>45668</x:v>
      </x:c>
      <x:c r="G598" s="32" t="str"/>
      <x:c r="H598" s="34"/>
      <x:c r="I598" s="52" t="str"/>
      <x:c r="J598" s="32" t="str">
        <x:v>Unverified</x:v>
      </x:c>
      <x:c r="K598" s="32" t="str"/>
      <x:c r="L598" s="32" t="str"/>
      <x:c r="M598" s="32" t="str"/>
      <x:c r="N598" s="32" t="str"/>
      <x:c r="O598" s="32" t="str">
        <x:v>videochat-flash-qwen2-7b-res448</x:v>
      </x:c>
      <x:c r="P598" s="44" t="str"/>
      <x:c r="Q598" s="44" t="str"/>
      <x:c r="R598" s="44" t="str"/>
    </x:row>
    <x:row r="599">
      <x:c r="A599" s="32" t="str"/>
      <x:c r="B599" s="32" t="str">
        <x:v>ByteVideoLLM-14B</x:v>
      </x:c>
      <x:c r="C599" s="32" t="str"/>
      <x:c r="D599" s="32" t="str"/>
      <x:c r="E599" s="32" t="str"/>
      <x:c r="F599" s="34" t="n">
        <x:v>45578</x:v>
      </x:c>
      <x:c r="G599" s="32" t="str"/>
      <x:c r="H599" s="34"/>
      <x:c r="I599" s="52" t="str"/>
      <x:c r="J599" s="32" t="str">
        <x:v>Unverified</x:v>
      </x:c>
      <x:c r="K599" s="32" t="str"/>
      <x:c r="L599" s="32" t="str"/>
      <x:c r="M599" s="32" t="str"/>
      <x:c r="N599" s="32" t="str"/>
      <x:c r="O599" s="32" t="str">
        <x:v>bytevideollm-14b</x:v>
      </x:c>
      <x:c r="P599" s="44" t="str"/>
      <x:c r="Q599" s="44" t="str"/>
      <x:c r="R599" s="44" t="str"/>
    </x:row>
    <x:row r="600">
      <x:c r="A600" s="32" t="str">
        <x:v>NVILA 8B</x:v>
      </x:c>
      <x:c r="B600" s="32" t="str">
        <x:v>NVILA-8B</x:v>
      </x:c>
      <x:c r="C600" s="32" t="str"/>
      <x:c r="D600" s="32" t="str">
        <x:v>NVIDIA,Massachusetts Institute of Technology (MIT),University of California (UC) Berkeley,University of California San Diego,University of Washington,Tsinghua University</x:v>
      </x:c>
      <x:c r="E600" s="32" t="str">
        <x:v>United States of America,China</x:v>
      </x:c>
      <x:c r="F600" s="34" t="n">
        <x:v>45636</x:v>
      </x:c>
      <x:c r="G600" s="32" t="str">
        <x:v>Open weights (non-commercial)</x:v>
      </x:c>
      <x:c r="H600" s="34" t="n">
        <x:v>45631</x:v>
      </x:c>
      <x:c r="I600" s="52" t="n">
        <x:v>2.2794518e+21</x:v>
      </x:c>
      <x:c r="J600" s="32" t="str">
        <x:v>Likely</x:v>
      </x:c>
      <x:c r="K600" s="32" t="str"/>
      <x:c r="L600" s="32" t="str"/>
      <x:c r="M600" s="32" t="str"/>
      <x:c r="N600" s="32" t="str">
        <x:v>NVILA 8B</x:v>
      </x:c>
      <x:c r="O600" s="32" t="str">
        <x:v>nvila-8b</x:v>
      </x:c>
      <x:c r="P600" s="44" t="str"/>
      <x:c r="Q600" s="44" t="str"/>
      <x:c r="R600" s="44" t="str"/>
    </x:row>
    <x:row r="601">
      <x:c r="A601" s="32" t="str"/>
      <x:c r="B601" s="32" t="str">
        <x:v>LiveCC-7B-Instruct</x:v>
      </x:c>
      <x:c r="C601" s="32" t="str"/>
      <x:c r="D601" s="32" t="str"/>
      <x:c r="E601" s="32" t="str"/>
      <x:c r="F601" s="34" t="n">
        <x:v>45394</x:v>
      </x:c>
      <x:c r="G601" s="32" t="str"/>
      <x:c r="H601" s="34"/>
      <x:c r="I601" s="52" t="str"/>
      <x:c r="J601" s="32" t="str">
        <x:v>Unverified</x:v>
      </x:c>
      <x:c r="K601" s="32" t="str"/>
      <x:c r="L601" s="32" t="str"/>
      <x:c r="M601" s="32" t="str"/>
      <x:c r="N601" s="32" t="str"/>
      <x:c r="O601" s="32" t="str">
        <x:v>livecc-7b-instruct</x:v>
      </x:c>
      <x:c r="P601" s="44" t="str"/>
      <x:c r="Q601" s="44" t="str"/>
      <x:c r="R601" s="44" t="str"/>
    </x:row>
    <x:row r="602">
      <x:c r="A602" s="32" t="str"/>
      <x:c r="B602" s="32" t="str">
        <x:v>Qwen2-VL-7B-Instruct</x:v>
      </x:c>
      <x:c r="C602" s="32" t="str"/>
      <x:c r="D602" s="32" t="str"/>
      <x:c r="E602" s="32" t="str"/>
      <x:c r="F602" s="34" t="n">
        <x:v>45533</x:v>
      </x:c>
      <x:c r="G602" s="32" t="str"/>
      <x:c r="H602" s="34"/>
      <x:c r="I602" s="52" t="str"/>
      <x:c r="J602" s="32" t="str">
        <x:v>Unverified</x:v>
      </x:c>
      <x:c r="K602" s="32" t="str">
        <x:v>A 7 billion-parameter instruction-tuned vision language model in Qwen's Qwen 2 series.</x:v>
      </x:c>
      <x:c r="L602" s="32" t="str"/>
      <x:c r="M602" s="32" t="str"/>
      <x:c r="N602" s="32" t="str"/>
      <x:c r="O602" s="32" t="str">
        <x:v>qwen2-vl-7b-instruct</x:v>
      </x:c>
      <x:c r="P602" s="44" t="str"/>
      <x:c r="Q602" s="44" t="str"/>
      <x:c r="R602" s="44" t="str"/>
    </x:row>
    <x:row r="603">
      <x:c r="A603" s="32" t="str"/>
      <x:c r="B603" s="32" t="str">
        <x:v>MiniCPM-o-2_6</x:v>
      </x:c>
      <x:c r="C603" s="32" t="str"/>
      <x:c r="D603" s="32" t="str"/>
      <x:c r="E603" s="32" t="str"/>
      <x:c r="F603" s="34" t="n">
        <x:v>45669</x:v>
      </x:c>
      <x:c r="G603" s="32" t="str"/>
      <x:c r="H603" s="34"/>
      <x:c r="I603" s="52" t="str"/>
      <x:c r="J603" s="32" t="str">
        <x:v>Unverified</x:v>
      </x:c>
      <x:c r="K603" s="32" t="str"/>
      <x:c r="L603" s="32" t="str"/>
      <x:c r="M603" s="32" t="str"/>
      <x:c r="N603" s="32" t="str"/>
      <x:c r="O603" s="32" t="str">
        <x:v>minicpm-o-2-6</x:v>
      </x:c>
      <x:c r="P603" s="44" t="str"/>
      <x:c r="Q603" s="44" t="str"/>
      <x:c r="R603" s="44" t="str"/>
    </x:row>
    <x:row r="604">
      <x:c r="A604" s="32" t="str"/>
      <x:c r="B604" s="32" t="str">
        <x:v>VideoLLAMA2-7B</x:v>
      </x:c>
      <x:c r="C604" s="32" t="str"/>
      <x:c r="D604" s="32" t="str"/>
      <x:c r="E604" s="32" t="str"/>
      <x:c r="F604" s="34" t="n">
        <x:v>45455</x:v>
      </x:c>
      <x:c r="G604" s="32" t="str"/>
      <x:c r="H604" s="34"/>
      <x:c r="I604" s="52" t="str"/>
      <x:c r="J604" s="32" t="str">
        <x:v>Unverified</x:v>
      </x:c>
      <x:c r="K604" s="32" t="str"/>
      <x:c r="L604" s="32" t="str"/>
      <x:c r="M604" s="32" t="str"/>
      <x:c r="N604" s="32" t="str"/>
      <x:c r="O604" s="32" t="str">
        <x:v>videollama2-7b</x:v>
      </x:c>
      <x:c r="P604" s="44" t="str"/>
      <x:c r="Q604" s="44" t="str"/>
      <x:c r="R604" s="44" t="str"/>
    </x:row>
    <x:row r="605">
      <x:c r="A605" s="32" t="str">
        <x:v>InternVL2-40B</x:v>
      </x:c>
      <x:c r="B605" s="32" t="str">
        <x:v>InternVL2-40B</x:v>
      </x:c>
      <x:c r="C605" s="32" t="str"/>
      <x:c r="D605" s="32" t="str">
        <x:v>Shanghai AI Lab</x:v>
      </x:c>
      <x:c r="E605" s="32" t="str">
        <x:v>China</x:v>
      </x:c>
      <x:c r="F605" s="34" t="n">
        <x:v>45481</x:v>
      </x:c>
      <x:c r="G605" s="32" t="str">
        <x:v>Open weights (unrestricted)</x:v>
      </x:c>
      <x:c r="H605" s="34" t="n">
        <x:v>45477</x:v>
      </x:c>
      <x:c r="I605" s="52" t="str"/>
      <x:c r="J605" s="32" t="str">
        <x:v>Confident</x:v>
      </x:c>
      <x:c r="K605" s="32" t="str"/>
      <x:c r="L605" s="32" t="str"/>
      <x:c r="M605" s="32" t="str"/>
      <x:c r="N605" s="32" t="str">
        <x:v>InternVL2-40B</x:v>
      </x:c>
      <x:c r="O605" s="32" t="str">
        <x:v>internvl2-40b</x:v>
      </x:c>
      <x:c r="P605" s="44" t="str"/>
      <x:c r="Q605" s="44" t="str"/>
      <x:c r="R605" s="44" t="str"/>
    </x:row>
    <x:row r="606">
      <x:c r="A606" s="32" t="str"/>
      <x:c r="B606" s="32" t="str">
        <x:v>MiniCPM-V-2_6</x:v>
      </x:c>
      <x:c r="C606" s="32" t="str"/>
      <x:c r="D606" s="32" t="str"/>
      <x:c r="E606" s="32" t="str"/>
      <x:c r="F606" s="34" t="n">
        <x:v>45507</x:v>
      </x:c>
      <x:c r="G606" s="32" t="str"/>
      <x:c r="H606" s="34"/>
      <x:c r="I606" s="52" t="str"/>
      <x:c r="J606" s="32" t="str">
        <x:v>Unverified</x:v>
      </x:c>
      <x:c r="K606" s="32" t="str"/>
      <x:c r="L606" s="32" t="str"/>
      <x:c r="M606" s="32" t="str"/>
      <x:c r="N606" s="32" t="str"/>
      <x:c r="O606" s="32" t="str">
        <x:v>minicpm-v-2-6</x:v>
      </x:c>
      <x:c r="P606" s="44" t="str"/>
      <x:c r="Q606" s="44" t="str"/>
      <x:c r="R606" s="44" t="str"/>
    </x:row>
    <x:row r="607">
      <x:c r="A607" s="32" t="str">
        <x:v>GPT-4V</x:v>
      </x:c>
      <x:c r="B607" s="32" t="str">
        <x:v>gpt-4-1106-vision-preview</x:v>
      </x:c>
      <x:c r="C607" s="32" t="str"/>
      <x:c r="D607" s="32" t="str">
        <x:v>OpenAI</x:v>
      </x:c>
      <x:c r="E607" s="32" t="str">
        <x:v>United States of America</x:v>
      </x:c>
      <x:c r="F607" s="34" t="n">
        <x:v>45236</x:v>
      </x:c>
      <x:c r="G607" s="32" t="str">
        <x:v>API access</x:v>
      </x:c>
      <x:c r="H607" s="34" t="n">
        <x:v>45194</x:v>
      </x:c>
      <x:c r="I607" s="52" t="str"/>
      <x:c r="J607" s="32" t="str">
        <x:v>Unknown</x:v>
      </x:c>
      <x:c r="K607" s="32" t="str"/>
      <x:c r="L607" s="32" t="str"/>
      <x:c r="M607" s="32" t="str"/>
      <x:c r="N607" s="32" t="str">
        <x:v>GPT-4V</x:v>
      </x:c>
      <x:c r="O607" s="32" t="str">
        <x:v>gpt-4v</x:v>
      </x:c>
      <x:c r="P607" s="44" t="str"/>
      <x:c r="Q607" s="44" t="str"/>
      <x:c r="R607" s="44" t="str"/>
    </x:row>
    <x:row r="608">
      <x:c r="A608" s="32" t="str"/>
      <x:c r="B608" s="32" t="str">
        <x:v>TimeMarker</x:v>
      </x:c>
      <x:c r="C608" s="32" t="str"/>
      <x:c r="D608" s="32" t="str"/>
      <x:c r="E608" s="32" t="str"/>
      <x:c r="F608" s="34" t="n">
        <x:v>45623</x:v>
      </x:c>
      <x:c r="G608" s="32" t="str"/>
      <x:c r="H608" s="34"/>
      <x:c r="I608" s="52" t="str"/>
      <x:c r="J608" s="32" t="str">
        <x:v>Unverified</x:v>
      </x:c>
      <x:c r="K608" s="32" t="str"/>
      <x:c r="L608" s="32" t="str"/>
      <x:c r="M608" s="32" t="str"/>
      <x:c r="N608" s="32" t="str"/>
      <x:c r="O608" s="32" t="str">
        <x:v>timemarker</x:v>
      </x:c>
      <x:c r="P608" s="44" t="str"/>
      <x:c r="Q608" s="44" t="str"/>
      <x:c r="R608" s="44" t="str"/>
    </x:row>
    <x:row r="609">
      <x:c r="A609" s="32" t="str"/>
      <x:c r="B609" s="32" t="str">
        <x:v>VITA-1.5</x:v>
      </x:c>
      <x:c r="C609" s="32" t="str"/>
      <x:c r="D609" s="32" t="str"/>
      <x:c r="E609" s="32" t="str"/>
      <x:c r="F609" s="34" t="n">
        <x:v>45646</x:v>
      </x:c>
      <x:c r="G609" s="32" t="str"/>
      <x:c r="H609" s="34"/>
      <x:c r="I609" s="52" t="str"/>
      <x:c r="J609" s="32" t="str">
        <x:v>Unverified</x:v>
      </x:c>
      <x:c r="K609" s="32" t="str"/>
      <x:c r="L609" s="32" t="str"/>
      <x:c r="M609" s="32" t="str"/>
      <x:c r="N609" s="32" t="str"/>
      <x:c r="O609" s="32" t="str">
        <x:v>vita-1-5</x:v>
      </x:c>
      <x:c r="P609" s="44" t="str"/>
      <x:c r="Q609" s="44" t="str"/>
      <x:c r="R609" s="44" t="str"/>
    </x:row>
    <x:row r="610">
      <x:c r="A610" s="32" t="str"/>
      <x:c r="B610" s="32" t="str">
        <x:v>kangaroo</x:v>
      </x:c>
      <x:c r="C610" s="32" t="str"/>
      <x:c r="D610" s="32" t="str"/>
      <x:c r="E610" s="32" t="str"/>
      <x:c r="F610" s="34" t="n">
        <x:v>45609</x:v>
      </x:c>
      <x:c r="G610" s="32" t="str"/>
      <x:c r="H610" s="34"/>
      <x:c r="I610" s="52" t="str"/>
      <x:c r="J610" s="32" t="str">
        <x:v>Unverified</x:v>
      </x:c>
      <x:c r="K610" s="32" t="str"/>
      <x:c r="L610" s="32" t="str"/>
      <x:c r="M610" s="32" t="str"/>
      <x:c r="N610" s="32" t="str"/>
      <x:c r="O610" s="32" t="str">
        <x:v>kangaroo</x:v>
      </x:c>
      <x:c r="P610" s="44" t="str"/>
      <x:c r="Q610" s="44" t="str"/>
      <x:c r="R610" s="44" t="str"/>
    </x:row>
    <x:row r="611">
      <x:c r="A611" s="32" t="str"/>
      <x:c r="B611" s="32" t="str">
        <x:v>VITA</x:v>
      </x:c>
      <x:c r="C611" s="32" t="str"/>
      <x:c r="D611" s="32" t="str"/>
      <x:c r="E611" s="32" t="str"/>
      <x:c r="F611" s="34" t="n">
        <x:v>45516</x:v>
      </x:c>
      <x:c r="G611" s="32" t="str"/>
      <x:c r="H611" s="34"/>
      <x:c r="I611" s="52" t="str"/>
      <x:c r="J611" s="32" t="str">
        <x:v>Unverified</x:v>
      </x:c>
      <x:c r="K611" s="32" t="str"/>
      <x:c r="L611" s="32" t="str"/>
      <x:c r="M611" s="32" t="str"/>
      <x:c r="N611" s="32" t="str"/>
      <x:c r="O611" s="32" t="str">
        <x:v>vita</x:v>
      </x:c>
      <x:c r="P611" s="44" t="str"/>
      <x:c r="Q611" s="44" t="str"/>
      <x:c r="R611" s="44" t="str"/>
    </x:row>
    <x:row r="612">
      <x:c r="A612" s="32" t="str"/>
      <x:c r="B612" s="32" t="str">
        <x:v>Video-XL-7B</x:v>
      </x:c>
      <x:c r="C612" s="32" t="str"/>
      <x:c r="D612" s="32" t="str"/>
      <x:c r="E612" s="32" t="str"/>
      <x:c r="F612" s="34" t="n">
        <x:v>45582</x:v>
      </x:c>
      <x:c r="G612" s="32" t="str"/>
      <x:c r="H612" s="34"/>
      <x:c r="I612" s="52" t="str"/>
      <x:c r="J612" s="32" t="str">
        <x:v>Unverified</x:v>
      </x:c>
      <x:c r="K612" s="32" t="str"/>
      <x:c r="L612" s="32" t="str"/>
      <x:c r="M612" s="32" t="str"/>
      <x:c r="N612" s="32" t="str"/>
      <x:c r="O612" s="32" t="str">
        <x:v>video-xl-7b</x:v>
      </x:c>
      <x:c r="P612" s="44" t="str"/>
      <x:c r="Q612" s="44" t="str"/>
      <x:c r="R612" s="44" t="str"/>
    </x:row>
    <x:row r="613">
      <x:c r="A613" s="32" t="str"/>
      <x:c r="B613" s="32" t="str">
        <x:v>Video-CCAM-7B-v1.2</x:v>
      </x:c>
      <x:c r="C613" s="32" t="str"/>
      <x:c r="D613" s="32" t="str"/>
      <x:c r="E613" s="32" t="str"/>
      <x:c r="F613" s="34" t="n">
        <x:v>45564</x:v>
      </x:c>
      <x:c r="G613" s="32" t="str"/>
      <x:c r="H613" s="34"/>
      <x:c r="I613" s="52" t="str"/>
      <x:c r="J613" s="32" t="str">
        <x:v>Unverified</x:v>
      </x:c>
      <x:c r="K613" s="32" t="str"/>
      <x:c r="L613" s="32" t="str"/>
      <x:c r="M613" s="32" t="str"/>
      <x:c r="N613" s="32" t="str"/>
      <x:c r="O613" s="32" t="str">
        <x:v>video-ccam-7b-v1-2</x:v>
      </x:c>
      <x:c r="P613" s="44" t="str"/>
      <x:c r="Q613" s="44" t="str"/>
      <x:c r="R613" s="44" t="str"/>
    </x:row>
    <x:row r="614">
      <x:c r="A614" s="32" t="str"/>
      <x:c r="B614" s="32" t="str">
        <x:v>long-llava-qwen2-7b</x:v>
      </x:c>
      <x:c r="C614" s="32" t="str"/>
      <x:c r="D614" s="32" t="str"/>
      <x:c r="E614" s="32" t="str"/>
      <x:c r="F614" s="34" t="n">
        <x:v>45534</x:v>
      </x:c>
      <x:c r="G614" s="32" t="str"/>
      <x:c r="H614" s="34"/>
      <x:c r="I614" s="52" t="str"/>
      <x:c r="J614" s="32" t="str">
        <x:v>Unverified</x:v>
      </x:c>
      <x:c r="K614" s="32" t="str"/>
      <x:c r="L614" s="32" t="str"/>
      <x:c r="M614" s="32" t="str"/>
      <x:c r="N614" s="32" t="str"/>
      <x:c r="O614" s="32" t="str">
        <x:v>long-llava-qwen2-7b</x:v>
      </x:c>
      <x:c r="P614" s="44" t="str"/>
      <x:c r="Q614" s="44" t="str"/>
      <x:c r="R614" s="44" t="str"/>
    </x:row>
    <x:row r="615">
      <x:c r="A615" s="32" t="str"/>
      <x:c r="B615" s="32" t="str">
        <x:v>InternVL-Chat-V1-5</x:v>
      </x:c>
      <x:c r="C615" s="32" t="str"/>
      <x:c r="D615" s="32" t="str"/>
      <x:c r="E615" s="32" t="str"/>
      <x:c r="F615" s="34" t="n">
        <x:v>45400</x:v>
      </x:c>
      <x:c r="G615" s="32" t="str"/>
      <x:c r="H615" s="34"/>
      <x:c r="I615" s="52" t="str"/>
      <x:c r="J615" s="32" t="str">
        <x:v>Unverified</x:v>
      </x:c>
      <x:c r="K615" s="32" t="str"/>
      <x:c r="L615" s="32" t="str"/>
      <x:c r="M615" s="32" t="str"/>
      <x:c r="N615" s="32" t="str"/>
      <x:c r="O615" s="32" t="str">
        <x:v>internvl-chat-v1-5</x:v>
      </x:c>
      <x:c r="P615" s="44" t="str"/>
      <x:c r="Q615" s="44" t="str"/>
      <x:c r="R615" s="44" t="str"/>
    </x:row>
    <x:row r="616">
      <x:c r="A616" s="32" t="str"/>
      <x:c r="B616" s="32" t="str">
        <x:v>SliME-Llama3-8B</x:v>
      </x:c>
      <x:c r="C616" s="32" t="str"/>
      <x:c r="D616" s="32" t="str"/>
      <x:c r="E616" s="32" t="str"/>
      <x:c r="F616" s="34" t="n">
        <x:v>45445</x:v>
      </x:c>
      <x:c r="G616" s="32" t="str"/>
      <x:c r="H616" s="34"/>
      <x:c r="I616" s="52" t="str"/>
      <x:c r="J616" s="32" t="str">
        <x:v>Unverified</x:v>
      </x:c>
      <x:c r="K616" s="32" t="str"/>
      <x:c r="L616" s="32" t="str"/>
      <x:c r="M616" s="32" t="str"/>
      <x:c r="N616" s="32" t="str"/>
      <x:c r="O616" s="32" t="str">
        <x:v>slime-llama3-8b</x:v>
      </x:c>
      <x:c r="P616" s="44" t="str"/>
      <x:c r="Q616" s="44" t="str"/>
      <x:c r="R616" s="44" t="str"/>
    </x:row>
    <x:row r="617">
      <x:c r="A617" s="32" t="str"/>
      <x:c r="B617" s="32" t="str">
        <x:v>Chat-Uni-Vi-7B-v1.5 + 100k SG-WV</x:v>
      </x:c>
      <x:c r="C617" s="32" t="str"/>
      <x:c r="D617" s="32" t="str"/>
      <x:c r="E617" s="32" t="str"/>
      <x:c r="F617" s="34" t="n">
        <x:v>45463</x:v>
      </x:c>
      <x:c r="G617" s="32" t="str"/>
      <x:c r="H617" s="34"/>
      <x:c r="I617" s="52" t="str"/>
      <x:c r="J617" s="32" t="str">
        <x:v>Unverified</x:v>
      </x:c>
      <x:c r="K617" s="32" t="str"/>
      <x:c r="L617" s="32" t="str"/>
      <x:c r="M617" s="32" t="str"/>
      <x:c r="N617" s="32" t="str"/>
      <x:c r="O617" s="32" t="str">
        <x:v>chat-uni-vi-7b-v1-5--100k-sg-wv</x:v>
      </x:c>
      <x:c r="P617" s="44" t="str"/>
      <x:c r="Q617" s="44" t="str"/>
      <x:c r="R617" s="44" t="str"/>
    </x:row>
    <x:row r="618">
      <x:c r="A618" s="32" t="str"/>
      <x:c r="B618" s="32" t="str">
        <x:v>Chat-UniVi-7B-v1.5 </x:v>
      </x:c>
      <x:c r="C618" s="32" t="str"/>
      <x:c r="D618" s="32" t="str"/>
      <x:c r="E618" s="32" t="str"/>
      <x:c r="F618" s="34" t="n">
        <x:v>45405</x:v>
      </x:c>
      <x:c r="G618" s="32" t="str"/>
      <x:c r="H618" s="34"/>
      <x:c r="I618" s="52" t="str"/>
      <x:c r="J618" s="32" t="str">
        <x:v>Unverified</x:v>
      </x:c>
      <x:c r="K618" s="32" t="str"/>
      <x:c r="L618" s="32" t="str"/>
      <x:c r="M618" s="32" t="str"/>
      <x:c r="N618" s="32" t="str"/>
      <x:c r="O618" s="32" t="str">
        <x:v>chat-univi-7b-v1-5-</x:v>
      </x:c>
      <x:c r="P618" s="44" t="str"/>
      <x:c r="Q618" s="44" t="str"/>
      <x:c r="R618" s="44" t="str"/>
    </x:row>
    <x:row r="619">
      <x:c r="A619" s="32" t="str"/>
      <x:c r="B619" s="32" t="str">
        <x:v>sharegpt4video-8b</x:v>
      </x:c>
      <x:c r="C619" s="32" t="str"/>
      <x:c r="D619" s="32" t="str"/>
      <x:c r="E619" s="32" t="str"/>
      <x:c r="F619" s="34" t="n">
        <x:v>45439</x:v>
      </x:c>
      <x:c r="G619" s="32" t="str"/>
      <x:c r="H619" s="34"/>
      <x:c r="I619" s="52" t="str"/>
      <x:c r="J619" s="32" t="str">
        <x:v>Unverified</x:v>
      </x:c>
      <x:c r="K619" s="32" t="str"/>
      <x:c r="L619" s="32" t="str"/>
      <x:c r="M619" s="32" t="str"/>
      <x:c r="N619" s="32" t="str"/>
      <x:c r="O619" s="32" t="str">
        <x:v>sharegpt4video-8b</x:v>
      </x:c>
      <x:c r="P619" s="44" t="str"/>
      <x:c r="Q619" s="44" t="str"/>
      <x:c r="R619" s="44" t="str"/>
    </x:row>
    <x:row r="620">
      <x:c r="A620" s="32" t="str"/>
      <x:c r="B620" s="32" t="str">
        <x:v>Video-LLaVA-7B</x:v>
      </x:c>
      <x:c r="C620" s="32" t="str"/>
      <x:c r="D620" s="32" t="str"/>
      <x:c r="E620" s="32" t="str"/>
      <x:c r="F620" s="34" t="n">
        <x:v>45247</x:v>
      </x:c>
      <x:c r="G620" s="32" t="str"/>
      <x:c r="H620" s="34"/>
      <x:c r="I620" s="52" t="str"/>
      <x:c r="J620" s="32" t="str">
        <x:v>Unverified</x:v>
      </x:c>
      <x:c r="K620" s="32" t="str"/>
      <x:c r="L620" s="32" t="str"/>
      <x:c r="M620" s="32" t="str"/>
      <x:c r="N620" s="32" t="str"/>
      <x:c r="O620" s="32" t="str">
        <x:v>video-llava-7b</x:v>
      </x:c>
      <x:c r="P620" s="44" t="str"/>
      <x:c r="Q620" s="44" t="str"/>
      <x:c r="R620" s="44" t="str"/>
    </x:row>
    <x:row r="621">
      <x:c r="A621" s="32" t="str"/>
      <x:c r="B621" s="32" t="str">
        <x:v>video_chat2_mistral</x:v>
      </x:c>
      <x:c r="C621" s="32" t="str"/>
      <x:c r="D621" s="32" t="str"/>
      <x:c r="E621" s="32" t="str"/>
      <x:c r="F621" s="34" t="n">
        <x:v>45259</x:v>
      </x:c>
      <x:c r="G621" s="32" t="str"/>
      <x:c r="H621" s="34"/>
      <x:c r="I621" s="52" t="str"/>
      <x:c r="J621" s="32" t="str">
        <x:v>Unverified</x:v>
      </x:c>
      <x:c r="K621" s="32" t="str"/>
      <x:c r="L621" s="32" t="str"/>
      <x:c r="M621" s="32" t="str"/>
      <x:c r="N621" s="32" t="str"/>
      <x:c r="O621" s="32" t="str">
        <x:v>video-chat2-mistral</x:v>
      </x:c>
      <x:c r="P621" s="44" t="str"/>
      <x:c r="Q621" s="44" t="str"/>
      <x:c r="R621" s="44" t="str"/>
    </x:row>
    <x:row r="622">
      <x:c r="A622" s="32" t="str"/>
      <x:c r="B622" s="32" t="str">
        <x:v>ST-LLM</x:v>
      </x:c>
      <x:c r="C622" s="32" t="str"/>
      <x:c r="D622" s="32" t="str"/>
      <x:c r="E622" s="32" t="str"/>
      <x:c r="F622" s="34" t="n">
        <x:v>45379</x:v>
      </x:c>
      <x:c r="G622" s="32" t="str"/>
      <x:c r="H622" s="34"/>
      <x:c r="I622" s="52" t="str"/>
      <x:c r="J622" s="32" t="str">
        <x:v>Unverified</x:v>
      </x:c>
      <x:c r="K622" s="32" t="str"/>
      <x:c r="L622" s="32" t="str"/>
      <x:c r="M622" s="32" t="str"/>
      <x:c r="N622" s="32" t="str"/>
      <x:c r="O622" s="32" t="str">
        <x:v>st-llm</x:v>
      </x:c>
      <x:c r="P622" s="44" t="str"/>
      <x:c r="Q622" s="44" t="str"/>
      <x:c r="R622" s="44" t="str"/>
    </x:row>
    <x:row r="623">
      <x:c r="A623" s="32" t="str">
        <x:v>o4-mini</x:v>
      </x:c>
      <x:c r="B623" s="32" t="str">
        <x:v>o4-mini-2025-04-16_unknown</x:v>
      </x:c>
      <x:c r="C623" s="32" t="str">
        <x:v>o4-mini (unknown thinking)</x:v>
      </x:c>
      <x:c r="D623" s="32" t="str">
        <x:v>OpenAI</x:v>
      </x:c>
      <x:c r="E623" s="32" t="str">
        <x:v>United States of America</x:v>
      </x:c>
      <x:c r="F623" s="34" t="n">
        <x:v>45763</x:v>
      </x:c>
      <x:c r="G623" s="32" t="str">
        <x:v>API access</x:v>
      </x:c>
      <x:c r="H623" s="34" t="n">
        <x:v>45763</x:v>
      </x:c>
      <x:c r="I623" s="52" t="str"/>
      <x:c r="J623" s="32" t="str">
        <x:v>Unknown</x:v>
      </x:c>
      <x:c r="K623" s="32" t="str">
        <x:v>The latest smaller size o-series reasoning model from OpenAI, evaluated with high reasoning effort.</x:v>
      </x:c>
      <x:c r="L623" s="32" t="str"/>
      <x:c r="M623" s="32" t="str"/>
      <x:c r="N623" s="32" t="str">
        <x:v>o4-mini</x:v>
      </x:c>
      <x:c r="O623" s="32" t="str">
        <x:v>o4-mini</x:v>
      </x:c>
      <x:c r="P623" s="44" t="n">
        <x:v>146.54</x:v>
      </x:c>
      <x:c r="Q623" s="44" t="n">
        <x:v>144.05</x:v>
      </x:c>
      <x:c r="R623" s="44" t="n">
        <x:v>147.85</x:v>
      </x:c>
    </x:row>
    <x:row r="624">
      <x:c r="A624" s="32" t="str">
        <x:v>o3-mini</x:v>
      </x:c>
      <x:c r="B624" s="32" t="str">
        <x:v>o3-mini-2025-01-31_unknown</x:v>
      </x:c>
      <x:c r="C624" s="32" t="str">
        <x:v>o3-mini (unknown thinking)</x:v>
      </x:c>
      <x:c r="D624" s="32" t="str">
        <x:v>OpenAI</x:v>
      </x:c>
      <x:c r="E624" s="32" t="str">
        <x:v>United States of America</x:v>
      </x:c>
      <x:c r="F624" s="34" t="n">
        <x:v>45688</x:v>
      </x:c>
      <x:c r="G624" s="32" t="str">
        <x:v>API access</x:v>
      </x:c>
      <x:c r="H624" s="34" t="n">
        <x:v>45688</x:v>
      </x:c>
      <x:c r="I624" s="52" t="str"/>
      <x:c r="J624" s="32" t="str">
        <x:v>Unknown</x:v>
      </x:c>
      <x:c r="K624" s="32" t="str">
        <x:v>A smaller version of OpenAI's o3 reasoning model, evaluated with high reasoning effort.</x:v>
      </x:c>
      <x:c r="L624" s="32" t="str"/>
      <x:c r="M624" s="32" t="str"/>
      <x:c r="N624" s="32" t="str">
        <x:v>o3-mini</x:v>
      </x:c>
      <x:c r="O624" s="32" t="str">
        <x:v>o3-mini</x:v>
      </x:c>
      <x:c r="P624" s="44" t="n">
        <x:v>141.41</x:v>
      </x:c>
      <x:c r="Q624" s="44" t="n">
        <x:v>137.82</x:v>
      </x:c>
      <x:c r="R624" s="44" t="n">
        <x:v>142.81</x:v>
      </x:c>
    </x:row>
    <x:row r="625">
      <x:c r="A625" s="32" t="str">
        <x:v>GPT-5 nano</x:v>
      </x:c>
      <x:c r="B625" s="32" t="str">
        <x:v>gpt-5-nano-2025-08-07_unknown</x:v>
      </x:c>
      <x:c r="C625" s="32" t="str">
        <x:v>GPT-5 nano (unknown thinking)</x:v>
      </x:c>
      <x:c r="D625" s="32" t="str">
        <x:v>OpenAI</x:v>
      </x:c>
      <x:c r="E625" s="32" t="str">
        <x:v>United States of America</x:v>
      </x:c>
      <x:c r="F625" s="34" t="n">
        <x:v>45876</x:v>
      </x:c>
      <x:c r="G625" s="32" t="str">
        <x:v>API access</x:v>
      </x:c>
      <x:c r="H625" s="34" t="n">
        <x:v>45876</x:v>
      </x:c>
      <x:c r="I625" s="52" t="str"/>
      <x:c r="J625" s="32" t="str">
        <x:v>Unknown</x:v>
      </x:c>
      <x:c r="K625" s="32" t="str">
        <x:v>The smallest version of OpenAI's latest flagship frontier model, benchmarked using high reasoning effort.</x:v>
      </x:c>
      <x:c r="L625" s="32" t="str">
        <x:v>GPT-5 nano (high)</x:v>
      </x:c>
      <x:c r="M625" s="32" t="str"/>
      <x:c r="N625" s="32" t="str">
        <x:v>GPT-5 nano</x:v>
      </x:c>
      <x:c r="O625" s="32" t="str">
        <x:v>gpt-5-nano</x:v>
      </x:c>
      <x:c r="P625" s="44" t="n">
        <x:v>140.85</x:v>
      </x:c>
      <x:c r="Q625" s="44" t="n">
        <x:v>136.43</x:v>
      </x:c>
      <x:c r="R625" s="44" t="n">
        <x:v>142.54</x:v>
      </x:c>
    </x:row>
    <x:row r="626">
      <x:c r="A626" s="32" t="str">
        <x:v>QwQ-32B</x:v>
      </x:c>
      <x:c r="B626" s="32" t="str">
        <x:v>QwQ-32B-Preview</x:v>
      </x:c>
      <x:c r="C626" s="32" t="str"/>
      <x:c r="D626" s="32" t="str">
        <x:v>Alibaba</x:v>
      </x:c>
      <x:c r="E626" s="32" t="str">
        <x:v>China</x:v>
      </x:c>
      <x:c r="F626" s="34" t="n">
        <x:v>45624</x:v>
      </x:c>
      <x:c r="G626" s="32" t="str">
        <x:v>Open weights (unrestricted)</x:v>
      </x:c>
      <x:c r="H626" s="34" t="n">
        <x:v>45722</x:v>
      </x:c>
      <x:c r="I626" s="52" t="n">
        <x:v>3.51e+24</x:v>
      </x:c>
      <x:c r="J626" s="32" t="str">
        <x:v>Speculative</x:v>
      </x:c>
      <x:c r="K626" s="32" t="str"/>
      <x:c r="L626" s="32" t="str">
        <x:v>QwQ 32B Preview</x:v>
      </x:c>
      <x:c r="M626" s="32" t="str">
        <x:v>QwQ-32B-Preview</x:v>
      </x:c>
      <x:c r="N626" s="32" t="str">
        <x:v>QwQ-32B-Preview</x:v>
      </x:c>
      <x:c r="O626" s="32" t="str">
        <x:v>qwq-32b-preview</x:v>
      </x:c>
      <x:c r="P626" s="44" t="str"/>
      <x:c r="Q626" s="44" t="str"/>
      <x:c r="R626" s="44" t="str"/>
    </x:row>
    <x:row r="627">
      <x:c r="A627" s="32" t="str">
        <x:v>Qwen1.5-110B</x:v>
      </x:c>
      <x:c r="B627" s="32" t="str">
        <x:v>qwen1.5-110b-chat</x:v>
      </x:c>
      <x:c r="C627" s="32" t="str"/>
      <x:c r="D627" s="32" t="str">
        <x:v>Alibaba</x:v>
      </x:c>
      <x:c r="E627" s="32" t="str">
        <x:v>China</x:v>
      </x:c>
      <x:c r="F627" s="34" t="n">
        <x:v>45407</x:v>
      </x:c>
      <x:c r="G627" s="32" t="str">
        <x:v>Open weights (unrestricted)</x:v>
      </x:c>
      <x:c r="H627" s="34" t="n">
        <x:v>45407</x:v>
      </x:c>
      <x:c r="I627" s="52" t="str"/>
      <x:c r="J627" s="32" t="str">
        <x:v>Confident</x:v>
      </x:c>
      <x:c r="K627" s="32" t="str"/>
      <x:c r="L627" s="32" t="str">
        <x:v>Qwen1.5-110B</x:v>
      </x:c>
      <x:c r="M627" s="32" t="str"/>
      <x:c r="N627" s="32" t="str">
        <x:v>Qwen1.5-110B</x:v>
      </x:c>
      <x:c r="O627" s="32" t="str">
        <x:v>qwen1-5-110b</x:v>
      </x:c>
      <x:c r="P627" s="44" t="str"/>
      <x:c r="Q627" s="44" t="str"/>
      <x:c r="R627" s="44" t="str"/>
    </x:row>
    <x:row r="628">
      <x:c r="A628" s="32" t="str">
        <x:v>GPT-5.4 Nano</x:v>
      </x:c>
      <x:c r="B628" s="32" t="str">
        <x:v>gpt-5.4-nano-2026-03-17_unknown</x:v>
      </x:c>
      <x:c r="C628" s="32" t="str">
        <x:v>GPT-5.4 nano (unknown thinking)</x:v>
      </x:c>
      <x:c r="D628" s="32" t="str">
        <x:v>OpenAI</x:v>
      </x:c>
      <x:c r="E628" s="32" t="str">
        <x:v>United States of America</x:v>
      </x:c>
      <x:c r="F628" s="34" t="n">
        <x:v>46098</x:v>
      </x:c>
      <x:c r="G628" s="32" t="str">
        <x:v>API access</x:v>
      </x:c>
      <x:c r="H628" s="34" t="n">
        <x:v>46098</x:v>
      </x:c>
      <x:c r="I628" s="52" t="str"/>
      <x:c r="J628" s="32" t="str">
        <x:v>Likely</x:v>
      </x:c>
      <x:c r="K628" s="32" t="str"/>
      <x:c r="L628" s="32" t="str">
        <x:v>GPT-5.4 nano (unknown thinking)</x:v>
      </x:c>
      <x:c r="M628" s="32" t="str"/>
      <x:c r="N628" s="32" t="str">
        <x:v>GPT-5.4 Nano</x:v>
      </x:c>
      <x:c r="O628" s="32" t="str">
        <x:v>gpt-5-4-nano</x:v>
      </x:c>
      <x:c r="P628" s="44" t="n">
        <x:v>146.64</x:v>
      </x:c>
      <x:c r="Q628" s="44" t="n">
        <x:v>144.07</x:v>
      </x:c>
      <x:c r="R628" s="44" t="n">
        <x:v>148.4</x:v>
      </x:c>
    </x:row>
    <x:row r="629">
      <x:c r="A629" s="32" t="str">
        <x:v>Llama 3-70B</x:v>
      </x:c>
      <x:c r="B629" s="32" t="str">
        <x:v>Meta-Llama-3-70B</x:v>
      </x:c>
      <x:c r="C629" s="32" t="str"/>
      <x:c r="D629" s="32" t="str">
        <x:v>Meta AI</x:v>
      </x:c>
      <x:c r="E629" s="32" t="str">
        <x:v>United States of America</x:v>
      </x:c>
      <x:c r="F629" s="34" t="n">
        <x:v>45400</x:v>
      </x:c>
      <x:c r="G629" s="32" t="str">
        <x:v>Open weights (restricted use)</x:v>
      </x:c>
      <x:c r="H629" s="34" t="n">
        <x:v>45400</x:v>
      </x:c>
      <x:c r="I629" s="52" t="n">
        <x:v>7.861e+24</x:v>
      </x:c>
      <x:c r="J629" s="32" t="str">
        <x:v>Confident</x:v>
      </x:c>
      <x:c r="K629" s="32" t="str">
        <x:v>Meta's 70 billion-parameter model in the Llama 3 series.</x:v>
      </x:c>
      <x:c r="L629" s="32" t="str"/>
      <x:c r="M629" s="32" t="str"/>
      <x:c r="N629" s="32" t="str">
        <x:v>Llama 3-70B</x:v>
      </x:c>
      <x:c r="O629" s="32" t="str">
        <x:v>llama-3-70b</x:v>
      </x:c>
      <x:c r="P629" s="44" t="n">
        <x:v>122.61</x:v>
      </x:c>
      <x:c r="Q629" s="44" t="n">
        <x:v>115.79</x:v>
      </x:c>
      <x:c r="R629" s="44" t="n">
        <x:v>125.52</x:v>
      </x:c>
    </x:row>
    <x:row r="630">
      <x:c r="A630" s="32" t="str">
        <x:v>Gemini 2.0 Flash-Lite</x:v>
      </x:c>
      <x:c r="B630" s="32" t="str">
        <x:v>gemini-2.0-flash-lite-001</x:v>
      </x:c>
      <x:c r="C630" s="32" t="str"/>
      <x:c r="D630" s="32" t="str">
        <x:v>Google DeepMind</x:v>
      </x:c>
      <x:c r="E630" s="32" t="str">
        <x:v>United States of America</x:v>
      </x:c>
      <x:c r="F630" s="34" t="n">
        <x:v>45713</x:v>
      </x:c>
      <x:c r="G630" s="32" t="str">
        <x:v>API access</x:v>
      </x:c>
      <x:c r="H630" s="34" t="n">
        <x:v>45327</x:v>
      </x:c>
      <x:c r="I630" s="52" t="str"/>
      <x:c r="J630" s="32" t="str">
        <x:v>Unknown</x:v>
      </x:c>
      <x:c r="K630" s="32" t="str">
        <x:v>The first version of the smallest model in Google DeepMind's Gemini 2.0 series.</x:v>
      </x:c>
      <x:c r="L630" s="32" t="str"/>
      <x:c r="M630" s="32" t="str"/>
      <x:c r="N630" s="32" t="str">
        <x:v>Gemini 2.0 Flash-Lite</x:v>
      </x:c>
      <x:c r="O630" s="32" t="str">
        <x:v>gemini-2-0-flash-lite</x:v>
      </x:c>
      <x:c r="P630" s="44" t="str"/>
      <x:c r="Q630" s="44" t="str"/>
      <x:c r="R630" s="44" t="str"/>
    </x:row>
    <x:row r="631">
      <x:c r="A631" s="32" t="str">
        <x:v>Llama 3-8B</x:v>
      </x:c>
      <x:c r="B631" s="32" t="str">
        <x:v>Meta-Llama-3-8B</x:v>
      </x:c>
      <x:c r="C631" s="32" t="str"/>
      <x:c r="D631" s="32" t="str">
        <x:v>Meta AI</x:v>
      </x:c>
      <x:c r="E631" s="32" t="str">
        <x:v>United States of America</x:v>
      </x:c>
      <x:c r="F631" s="34" t="n">
        <x:v>45400</x:v>
      </x:c>
      <x:c r="G631" s="32" t="str">
        <x:v>Open weights (restricted use)</x:v>
      </x:c>
      <x:c r="H631" s="34" t="n">
        <x:v>45400</x:v>
      </x:c>
      <x:c r="I631" s="52" t="n">
        <x:v>7.2e+23</x:v>
      </x:c>
      <x:c r="J631" s="32" t="str">
        <x:v>Confident</x:v>
      </x:c>
      <x:c r="K631" s="32" t="str">
        <x:v>Meta's 8 billion-parameter model in the Llama 3 series.</x:v>
      </x:c>
      <x:c r="L631" s="32" t="str"/>
      <x:c r="M631" s="32" t="str"/>
      <x:c r="N631" s="32" t="str">
        <x:v>Llama 3-8B</x:v>
      </x:c>
      <x:c r="O631" s="32" t="str">
        <x:v>llama-3-8b</x:v>
      </x:c>
      <x:c r="P631" s="44" t="n">
        <x:v>116.43</x:v>
      </x:c>
      <x:c r="Q631" s="44" t="n">
        <x:v>107.42</x:v>
      </x:c>
      <x:c r="R631" s="44" t="n">
        <x:v>119.25</x:v>
      </x:c>
    </x:row>
    <x:row r="632">
      <x:c r="A632" s="32" t="str"/>
      <x:c r="B632" s="32" t="str">
        <x:v>gemini-robotics-er-1.5-preview</x:v>
      </x:c>
      <x:c r="C632" s="32" t="str"/>
      <x:c r="D632" s="32" t="str"/>
      <x:c r="E632" s="32" t="str"/>
      <x:c r="F632" s="34" t="n">
        <x:v>45926</x:v>
      </x:c>
      <x:c r="G632" s="32" t="str"/>
      <x:c r="H632" s="34"/>
      <x:c r="I632" s="52" t="str"/>
      <x:c r="J632" s="32" t="str">
        <x:v>Unverified</x:v>
      </x:c>
      <x:c r="K632" s="32" t="str"/>
      <x:c r="L632" s="32" t="str"/>
      <x:c r="M632" s="32" t="str"/>
      <x:c r="N632" s="32" t="str"/>
      <x:c r="O632" s="32" t="str">
        <x:v>gemini-robotics-er-1-5-preview</x:v>
      </x:c>
      <x:c r="P632" s="44" t="str"/>
      <x:c r="Q632" s="44" t="str"/>
      <x:c r="R632" s="44" t="str"/>
    </x:row>
    <x:row r="633">
      <x:c r="A633" s="32" t="str">
        <x:v>Gemini 2.5 Flash-Lite</x:v>
      </x:c>
      <x:c r="B633" s="32" t="str">
        <x:v>gemini-2.5-flash-lite-preview-09-2025</x:v>
      </x:c>
      <x:c r="C633" s="32" t="str"/>
      <x:c r="D633" s="32" t="str">
        <x:v>Google DeepMind</x:v>
      </x:c>
      <x:c r="E633" s="32" t="str">
        <x:v>United States of America</x:v>
      </x:c>
      <x:c r="F633" s="34" t="n">
        <x:v>45925</x:v>
      </x:c>
      <x:c r="G633" s="32" t="str">
        <x:v>API access</x:v>
      </x:c>
      <x:c r="H633" s="34" t="n">
        <x:v>45823</x:v>
      </x:c>
      <x:c r="I633" s="52" t="str"/>
      <x:c r="J633" s="32" t="str">
        <x:v>Unknown</x:v>
      </x:c>
      <x:c r="K633" s="32" t="str"/>
      <x:c r="L633" s="32" t="str">
        <x:v>Gemini 2.5 Flash-Lite (Sep 2025)</x:v>
      </x:c>
      <x:c r="M633" s="32" t="str">
        <x:v>Gemini 2.5 Flash-Lite (Sep 2025)</x:v>
      </x:c>
      <x:c r="N633" s="32" t="str">
        <x:v>Gemini 2.5 Flash-Lite (Sep 2025)</x:v>
      </x:c>
      <x:c r="O633" s="32" t="str">
        <x:v>gemini-2-5-flash-lite-sep-2025</x:v>
      </x:c>
      <x:c r="P633" s="44" t="str"/>
      <x:c r="Q633" s="44" t="str"/>
      <x:c r="R633" s="44" t="str"/>
    </x:row>
    <x:row r="634">
      <x:c r="A634" s="32" t="str">
        <x:v>Qwen3.5-9B</x:v>
      </x:c>
      <x:c r="B634" s="32" t="str">
        <x:v>qwen3.5-9B</x:v>
      </x:c>
      <x:c r="C634" s="32" t="str"/>
      <x:c r="D634" s="32" t="str">
        <x:v>Alibaba</x:v>
      </x:c>
      <x:c r="E634" s="32" t="str">
        <x:v>China</x:v>
      </x:c>
      <x:c r="F634" s="34" t="n">
        <x:v>46077</x:v>
      </x:c>
      <x:c r="G634" s="32" t="str">
        <x:v>Open weights (restricted use)</x:v>
      </x:c>
      <x:c r="H634" s="34" t="n">
        <x:v>46077</x:v>
      </x:c>
      <x:c r="I634" s="52" t="str"/>
      <x:c r="J634" s="32" t="str">
        <x:v>Confident</x:v>
      </x:c>
      <x:c r="K634" s="32" t="str"/>
      <x:c r="L634" s="32" t="str"/>
      <x:c r="M634" s="32" t="str"/>
      <x:c r="N634" s="32" t="str">
        <x:v>Qwen3.5-9B</x:v>
      </x:c>
      <x:c r="O634" s="32" t="str">
        <x:v>qwen3-5-9b</x:v>
      </x:c>
      <x:c r="P634" s="44" t="str"/>
      <x:c r="Q634" s="44" t="str"/>
      <x:c r="R634" s="44" t="str"/>
    </x:row>
    <x:row r="635">
      <x:c r="A635" s="32" t="str">
        <x:v>Claude 1.3</x:v>
      </x:c>
      <x:c r="B635" s="32" t="str">
        <x:v>claude-1.3</x:v>
      </x:c>
      <x:c r="C635" s="32" t="str"/>
      <x:c r="D635" s="32" t="str">
        <x:v>Anthropic</x:v>
      </x:c>
      <x:c r="E635" s="32" t="str">
        <x:v>United States of America</x:v>
      </x:c>
      <x:c r="F635" s="34" t="n">
        <x:v>45034</x:v>
      </x:c>
      <x:c r="G635" s="32" t="str">
        <x:v>API access</x:v>
      </x:c>
      <x:c r="H635" s="34" t="n">
        <x:v>45034</x:v>
      </x:c>
      <x:c r="I635" s="52" t="str"/>
      <x:c r="J635" s="32" t="str">
        <x:v>Unknown</x:v>
      </x:c>
      <x:c r="K635" s="32" t="str">
        <x:v>An updated version of Anthropic's first generation Claude model.</x:v>
      </x:c>
      <x:c r="L635" s="32" t="str"/>
      <x:c r="M635" s="32" t="str"/>
      <x:c r="N635" s="32" t="str">
        <x:v>Claude 1.3</x:v>
      </x:c>
      <x:c r="O635" s="32" t="str">
        <x:v>claude-1-3</x:v>
      </x:c>
      <x:c r="P635" s="44" t="str"/>
      <x:c r="Q635" s="44" t="str"/>
      <x:c r="R635" s="44" t="str"/>
    </x:row>
    <x:row r="636">
      <x:c r="A636" s="32" t="str">
        <x:v>Amazon Nova Lite</x:v>
      </x:c>
      <x:c r="B636" s="32" t="str">
        <x:v>amazon.nova-lite-v1:0</x:v>
      </x:c>
      <x:c r="C636" s="32" t="str"/>
      <x:c r="D636" s="32" t="str">
        <x:v>Amazon</x:v>
      </x:c>
      <x:c r="E636" s="32" t="str">
        <x:v>United States of America</x:v>
      </x:c>
      <x:c r="F636" s="34" t="n">
        <x:v>45629</x:v>
      </x:c>
      <x:c r="G636" s="32" t="str">
        <x:v>API access</x:v>
      </x:c>
      <x:c r="H636" s="34" t="n">
        <x:v>45629</x:v>
      </x:c>
      <x:c r="I636" s="52" t="str"/>
      <x:c r="J636" s="32" t="str">
        <x:v>Unknown</x:v>
      </x:c>
      <x:c r="K636" s="32" t="str"/>
      <x:c r="L636" s="32" t="str"/>
      <x:c r="M636" s="32" t="str"/>
      <x:c r="N636" s="32" t="str">
        <x:v>Amazon Nova Lite</x:v>
      </x:c>
      <x:c r="O636" s="32" t="str">
        <x:v>amazon-nova-lite</x:v>
      </x:c>
      <x:c r="P636" s="44" t="str"/>
      <x:c r="Q636" s="44" t="str"/>
      <x:c r="R636" s="44" t="str"/>
    </x:row>
    <x:row r="637">
      <x:c r="A637" s="32" t="str">
        <x:v>Amazon Nova Micro</x:v>
      </x:c>
      <x:c r="B637" s="32" t="str">
        <x:v>amazon.nova-micro-v1:0</x:v>
      </x:c>
      <x:c r="C637" s="32" t="str"/>
      <x:c r="D637" s="32" t="str">
        <x:v>Amazon</x:v>
      </x:c>
      <x:c r="E637" s="32" t="str">
        <x:v>United States of America</x:v>
      </x:c>
      <x:c r="F637" s="34" t="n">
        <x:v>45629</x:v>
      </x:c>
      <x:c r="G637" s="32" t="str">
        <x:v>API access</x:v>
      </x:c>
      <x:c r="H637" s="34" t="n">
        <x:v>45629</x:v>
      </x:c>
      <x:c r="I637" s="52" t="str"/>
      <x:c r="J637" s="32" t="str">
        <x:v>Unknown</x:v>
      </x:c>
      <x:c r="K637" s="32" t="str"/>
      <x:c r="L637" s="32" t="str"/>
      <x:c r="M637" s="32" t="str"/>
      <x:c r="N637" s="32" t="str">
        <x:v>Amazon Nova Micro</x:v>
      </x:c>
      <x:c r="O637" s="32" t="str">
        <x:v>amazon-nova-micro</x:v>
      </x:c>
      <x:c r="P637" s="44" t="str"/>
      <x:c r="Q637" s="44" t="str"/>
      <x:c r="R637" s="44" t="str"/>
    </x:row>
    <x:row r="638">
      <x:c r="A638" s="32" t="str"/>
      <x:c r="B638" s="32" t="str">
        <x:v>c4ai-command-r-08-2024</x:v>
      </x:c>
      <x:c r="C638" s="32" t="str"/>
      <x:c r="D638" s="32" t="str"/>
      <x:c r="E638" s="32" t="str"/>
      <x:c r="F638" s="34" t="n">
        <x:v>45534</x:v>
      </x:c>
      <x:c r="G638" s="32" t="str"/>
      <x:c r="H638" s="34"/>
      <x:c r="I638" s="52" t="str"/>
      <x:c r="J638" s="32" t="str">
        <x:v>Unverified</x:v>
      </x:c>
      <x:c r="K638" s="32" t="str"/>
      <x:c r="L638" s="32" t="str"/>
      <x:c r="M638" s="32" t="str"/>
      <x:c r="N638" s="32" t="str"/>
      <x:c r="O638" s="32" t="str">
        <x:v>c4ai-command-r-08-2024</x:v>
      </x:c>
      <x:c r="P638" s="44" t="str"/>
      <x:c r="Q638" s="44" t="str"/>
      <x:c r="R638" s="44" t="str"/>
    </x:row>
    <x:row r="639">
      <x:c r="A639" s="32" t="str">
        <x:v>Command R+</x:v>
      </x:c>
      <x:c r="B639" s="32" t="str">
        <x:v>c4ai-command-r-plus-08-2024</x:v>
      </x:c>
      <x:c r="C639" s="32" t="str"/>
      <x:c r="D639" s="32" t="str">
        <x:v>Cohere,Cohere for AI</x:v>
      </x:c>
      <x:c r="E639" s="32" t="str">
        <x:v>Canada</x:v>
      </x:c>
      <x:c r="F639" s="34" t="n">
        <x:v>45534</x:v>
      </x:c>
      <x:c r="G639" s="32" t="str">
        <x:v>Open weights (non-commercial)</x:v>
      </x:c>
      <x:c r="H639" s="34" t="n">
        <x:v>45386</x:v>
      </x:c>
      <x:c r="I639" s="52" t="str"/>
      <x:c r="J639" s="32" t="str">
        <x:v>Confident</x:v>
      </x:c>
      <x:c r="K639" s="32" t="str"/>
      <x:c r="L639" s="32" t="str">
        <x:v>Command R+</x:v>
      </x:c>
      <x:c r="M639" s="32" t="str"/>
      <x:c r="N639" s="32" t="str">
        <x:v>Command R+</x:v>
      </x:c>
      <x:c r="O639" s="32" t="str">
        <x:v>command-r</x:v>
      </x:c>
      <x:c r="P639" s="44" t="str"/>
      <x:c r="Q639" s="44" t="str"/>
      <x:c r="R639" s="44" t="str"/>
    </x:row>
    <x:row r="640">
      <x:c r="A640" s="32" t="str">
        <x:v>Falcon 2 11B</x:v>
      </x:c>
      <x:c r="B640" s="32" t="str">
        <x:v>falcon-11b</x:v>
      </x:c>
      <x:c r="C640" s="32" t="str">
        <x:v>Falcon 2-11B</x:v>
      </x:c>
      <x:c r="D640" s="32" t="str">
        <x:v>Technology Innovation Institute</x:v>
      </x:c>
      <x:c r="E640" s="32" t="str">
        <x:v>United Arab Emirates</x:v>
      </x:c>
      <x:c r="F640" s="34" t="n">
        <x:v>45421</x:v>
      </x:c>
      <x:c r="G640" s="32" t="str">
        <x:v>Open weights (restricted use)</x:v>
      </x:c>
      <x:c r="H640" s="34" t="n">
        <x:v>45421</x:v>
      </x:c>
      <x:c r="I640" s="52" t="n">
        <x:v>3.6e+23</x:v>
      </x:c>
      <x:c r="J640" s="32" t="str">
        <x:v>Confident</x:v>
      </x:c>
      <x:c r="K640" s="32" t="str"/>
      <x:c r="L640" s="32" t="str"/>
      <x:c r="M640" s="32" t="str"/>
      <x:c r="N640" s="32" t="str">
        <x:v>Falcon 2 11B</x:v>
      </x:c>
      <x:c r="O640" s="32" t="str">
        <x:v>falcon-2-11b</x:v>
      </x:c>
      <x:c r="P640" s="44" t="n">
        <x:v>109.3</x:v>
      </x:c>
      <x:c r="Q640" s="44" t="n">
        <x:v>99.71</x:v>
      </x:c>
      <x:c r="R640" s="44" t="n">
        <x:v>115.81</x:v>
      </x:c>
    </x:row>
    <x:row r="641">
      <x:c r="A641" s="32" t="str">
        <x:v>Gemini 1.5 Flash</x:v>
      </x:c>
      <x:c r="B641" s="32" t="str">
        <x:v>gemini-1.5-flash-0514</x:v>
      </x:c>
      <x:c r="C641" s="32" t="str"/>
      <x:c r="D641" s="32" t="str">
        <x:v>Google DeepMind</x:v>
      </x:c>
      <x:c r="E641" s="32" t="str">
        <x:v>United States of America</x:v>
      </x:c>
      <x:c r="F641" s="34" t="n">
        <x:v>45426</x:v>
      </x:c>
      <x:c r="G641" s="32" t="str">
        <x:v>API access</x:v>
      </x:c>
      <x:c r="H641" s="34" t="n">
        <x:v>45422</x:v>
      </x:c>
      <x:c r="I641" s="52" t="str"/>
      <x:c r="J641" s="32" t="str">
        <x:v>Unknown</x:v>
      </x:c>
      <x:c r="K641" s="32" t="str"/>
      <x:c r="L641" s="32" t="str"/>
      <x:c r="M641" s="32" t="str">
        <x:v>Gemini 1.5 Flash (May 2024)</x:v>
      </x:c>
      <x:c r="N641" s="32" t="str">
        <x:v>Gemini 1.5 Flash (May 2024)</x:v>
      </x:c>
      <x:c r="O641" s="32" t="str">
        <x:v>gemini-1-5-flash-may-2024</x:v>
      </x:c>
      <x:c r="P641" s="44" t="n">
        <x:v>122.54</x:v>
      </x:c>
      <x:c r="Q641" s="44" t="n">
        <x:v>115.28</x:v>
      </x:c>
      <x:c r="R641" s="44" t="n">
        <x:v>124.46</x:v>
      </x:c>
    </x:row>
    <x:row r="642">
      <x:c r="A642" s="32" t="str">
        <x:v>Llama 3.2 11B</x:v>
      </x:c>
      <x:c r="B642" s="32" t="str">
        <x:v>Llama-3.2-11B-Vision-Instruct</x:v>
      </x:c>
      <x:c r="C642" s="32" t="str"/>
      <x:c r="D642" s="32" t="str">
        <x:v>Meta AI</x:v>
      </x:c>
      <x:c r="E642" s="32" t="str">
        <x:v>United States of America</x:v>
      </x:c>
      <x:c r="F642" s="34" t="n">
        <x:v>45559</x:v>
      </x:c>
      <x:c r="G642" s="32" t="str">
        <x:v>Open weights (restricted use)</x:v>
      </x:c>
      <x:c r="H642" s="34" t="n">
        <x:v>45559</x:v>
      </x:c>
      <x:c r="I642" s="52" t="n">
        <x:v>5.79e+23</x:v>
      </x:c>
      <x:c r="J642" s="32" t="str">
        <x:v>Confident</x:v>
      </x:c>
      <x:c r="K642" s="32" t="str">
        <x:v>An 11 billion-parameter instruction-tuned vision language model in Meta's Llama 3.2 series.</x:v>
      </x:c>
      <x:c r="L642" s="32" t="str"/>
      <x:c r="M642" s="32" t="str"/>
      <x:c r="N642" s="32" t="str">
        <x:v>Llama 3.2 11B</x:v>
      </x:c>
      <x:c r="O642" s="32" t="str">
        <x:v>llama-3-2-11b</x:v>
      </x:c>
      <x:c r="P642" s="44" t="str"/>
      <x:c r="Q642" s="44" t="str"/>
      <x:c r="R642" s="44" t="str"/>
    </x:row>
    <x:row r="643">
      <x:c r="A643" s="32" t="str"/>
      <x:c r="B643" s="32" t="str">
        <x:v>mistral-small-2402</x:v>
      </x:c>
      <x:c r="C643" s="32" t="str"/>
      <x:c r="D643" s="32" t="str"/>
      <x:c r="E643" s="32" t="str"/>
      <x:c r="F643" s="34" t="n">
        <x:v>45348</x:v>
      </x:c>
      <x:c r="G643" s="32" t="str"/>
      <x:c r="H643" s="34"/>
      <x:c r="I643" s="52" t="str"/>
      <x:c r="J643" s="32" t="str">
        <x:v>Unverified</x:v>
      </x:c>
      <x:c r="K643" s="32" t="str">
        <x:v>A 2024 version of a Mistral language model.</x:v>
      </x:c>
      <x:c r="L643" s="32" t="str"/>
      <x:c r="M643" s="32" t="str"/>
      <x:c r="N643" s="32" t="str"/>
      <x:c r="O643" s="32" t="str">
        <x:v>mistral-small-2402</x:v>
      </x:c>
      <x:c r="P643" s="44" t="str"/>
      <x:c r="Q643" s="44" t="str"/>
      <x:c r="R643" s="44" t="str"/>
    </x:row>
    <x:row r="644">
      <x:c r="A644" s="32" t="str">
        <x:v>Mixtral 8x22B</x:v>
      </x:c>
      <x:c r="B644" s="32" t="str">
        <x:v>Mixtral-8x22B-v0.1</x:v>
      </x:c>
      <x:c r="C644" s="32" t="str"/>
      <x:c r="D644" s="32" t="str">
        <x:v>Mistral AI</x:v>
      </x:c>
      <x:c r="E644" s="32" t="str">
        <x:v>France</x:v>
      </x:c>
      <x:c r="F644" s="34" t="n">
        <x:v>45399</x:v>
      </x:c>
      <x:c r="G644" s="32" t="str">
        <x:v>Open weights (unrestricted)</x:v>
      </x:c>
      <x:c r="H644" s="34" t="n">
        <x:v>45399</x:v>
      </x:c>
      <x:c r="I644" s="52" t="n">
        <x:v>2.34e+24</x:v>
      </x:c>
      <x:c r="J644" s="32" t="str">
        <x:v>Speculative</x:v>
      </x:c>
      <x:c r="K644" s="32" t="str"/>
      <x:c r="L644" s="32" t="str"/>
      <x:c r="M644" s="32" t="str"/>
      <x:c r="N644" s="32" t="str">
        <x:v>Mixtral 8x22B</x:v>
      </x:c>
      <x:c r="O644" s="32" t="str">
        <x:v>mixtral-8x22b</x:v>
      </x:c>
      <x:c r="P644" s="44" t="n">
        <x:v>121.28</x:v>
      </x:c>
      <x:c r="Q644" s="44" t="n">
        <x:v>112.48</x:v>
      </x:c>
      <x:c r="R644" s="44" t="n">
        <x:v>123.4</x:v>
      </x:c>
    </x:row>
    <x:row r="645">
      <x:c r="A645" s="32" t="str">
        <x:v>Qwen1.5-7B</x:v>
      </x:c>
      <x:c r="B645" s="32" t="str">
        <x:v>Qwen1.5-7B</x:v>
      </x:c>
      <x:c r="C645" s="32" t="str"/>
      <x:c r="D645" s="32" t="str">
        <x:v>Alibaba</x:v>
      </x:c>
      <x:c r="E645" s="32" t="str">
        <x:v>China</x:v>
      </x:c>
      <x:c r="F645" s="34" t="n">
        <x:v>45326</x:v>
      </x:c>
      <x:c r="G645" s="32" t="str">
        <x:v>Open weights (unrestricted)</x:v>
      </x:c>
      <x:c r="H645" s="34" t="n">
        <x:v>45326</x:v>
      </x:c>
      <x:c r="I645" s="52" t="n">
        <x:v>1.68e+23</x:v>
      </x:c>
      <x:c r="J645" s="32" t="str">
        <x:v>Confident</x:v>
      </x:c>
      <x:c r="K645" s="32" t="str">
        <x:v>A 7 billion-parameter model in the Qwen 1.5 series.</x:v>
      </x:c>
      <x:c r="L645" s="32" t="str">
        <x:v>Qwen1.5-7B</x:v>
      </x:c>
      <x:c r="M645" s="32" t="str"/>
      <x:c r="N645" s="32" t="str">
        <x:v>Qwen1.5-7B</x:v>
      </x:c>
      <x:c r="O645" s="32" t="str">
        <x:v>qwen1-5-7b</x:v>
      </x:c>
      <x:c r="P645" s="44" t="str"/>
      <x:c r="Q645" s="44" t="str"/>
      <x:c r="R645" s="44" t="str"/>
    </x:row>
    <x:row r="646">
      <x:c r="A646" s="32" t="str">
        <x:v>Qwen1.5-14B</x:v>
      </x:c>
      <x:c r="B646" s="32" t="str">
        <x:v>qwen1.5-14B</x:v>
      </x:c>
      <x:c r="C646" s="32" t="str"/>
      <x:c r="D646" s="32" t="str">
        <x:v>Alibaba</x:v>
      </x:c>
      <x:c r="E646" s="32" t="str">
        <x:v>China</x:v>
      </x:c>
      <x:c r="F646" s="34" t="n">
        <x:v>45326</x:v>
      </x:c>
      <x:c r="G646" s="32" t="str">
        <x:v>Open weights (unrestricted)</x:v>
      </x:c>
      <x:c r="H646" s="34" t="n">
        <x:v>45326</x:v>
      </x:c>
      <x:c r="I646" s="52" t="n">
        <x:v>3.36e+23</x:v>
      </x:c>
      <x:c r="J646" s="32" t="str">
        <x:v>Confident</x:v>
      </x:c>
      <x:c r="K646" s="32" t="str">
        <x:v>A 14 billion-parameter model in the Qwen 1.5 series.</x:v>
      </x:c>
      <x:c r="L646" s="32" t="str">
        <x:v>Qwen1.5-14B</x:v>
      </x:c>
      <x:c r="M646" s="32" t="str"/>
      <x:c r="N646" s="32" t="str">
        <x:v>Qwen1.5-14B</x:v>
      </x:c>
      <x:c r="O646" s="32" t="str">
        <x:v>qwen1-5-14b</x:v>
      </x:c>
      <x:c r="P646" s="44" t="str"/>
      <x:c r="Q646" s="44" t="str"/>
      <x:c r="R646" s="44" t="str"/>
    </x:row>
    <x:row r="647">
      <x:c r="A647" s="32" t="str">
        <x:v>Qwen1.5-32B</x:v>
      </x:c>
      <x:c r="B647" s="32" t="str">
        <x:v>qwen1.5-32B</x:v>
      </x:c>
      <x:c r="C647" s="32" t="str"/>
      <x:c r="D647" s="32" t="str">
        <x:v>Alibaba</x:v>
      </x:c>
      <x:c r="E647" s="32" t="str">
        <x:v>China</x:v>
      </x:c>
      <x:c r="F647" s="34" t="n">
        <x:v>45326</x:v>
      </x:c>
      <x:c r="G647" s="32" t="str">
        <x:v>Open weights (restricted use)</x:v>
      </x:c>
      <x:c r="H647" s="34" t="n">
        <x:v>45327</x:v>
      </x:c>
      <x:c r="I647" s="52" t="str"/>
      <x:c r="J647" s="32" t="str">
        <x:v>Confident</x:v>
      </x:c>
      <x:c r="K647" s="32" t="str">
        <x:v>A 32 billion-parameter model in the Qwen 1.5 series.</x:v>
      </x:c>
      <x:c r="L647" s="32" t="str">
        <x:v>Qwen1.5-32B</x:v>
      </x:c>
      <x:c r="M647" s="32" t="str"/>
      <x:c r="N647" s="32" t="str">
        <x:v>Qwen1.5-32B</x:v>
      </x:c>
      <x:c r="O647" s="32" t="str">
        <x:v>qwen1-5-32b</x:v>
      </x:c>
      <x:c r="P647" s="44" t="str"/>
      <x:c r="Q647" s="44" t="str"/>
      <x:c r="R647" s="44" t="str"/>
    </x:row>
    <x:row r="648">
      <x:c r="A648" s="32" t="str">
        <x:v>Qwen2.5-14B</x:v>
      </x:c>
      <x:c r="B648" s="32" t="str">
        <x:v>qwen2.5-14b-instruct</x:v>
      </x:c>
      <x:c r="C648" s="32" t="str"/>
      <x:c r="D648" s="32" t="str">
        <x:v>Alibaba</x:v>
      </x:c>
      <x:c r="E648" s="32" t="str">
        <x:v>China</x:v>
      </x:c>
      <x:c r="F648" s="34" t="n">
        <x:v>45714</x:v>
      </x:c>
      <x:c r="G648" s="32" t="str">
        <x:v>Open weights (unrestricted)</x:v>
      </x:c>
      <x:c r="H648" s="34" t="n">
        <x:v>45554</x:v>
      </x:c>
      <x:c r="I648" s="52" t="n">
        <x:v>1.58760000000001e+24</x:v>
      </x:c>
      <x:c r="J648" s="32" t="str">
        <x:v>Confident</x:v>
      </x:c>
      <x:c r="K648" s="32" t="str">
        <x:v>An instruction-tuned version of Qwen 2.5 14b.</x:v>
      </x:c>
      <x:c r="L648" s="32" t="str">
        <x:v>Qwen2.5-14B (instruct)</x:v>
      </x:c>
      <x:c r="M648" s="32" t="str"/>
      <x:c r="N648" s="32" t="str">
        <x:v>Qwen2.5-14B</x:v>
      </x:c>
      <x:c r="O648" s="32" t="str">
        <x:v>qwen2-5-14b</x:v>
      </x:c>
      <x:c r="P648" s="44" t="str"/>
      <x:c r="Q648" s="44" t="str"/>
      <x:c r="R648" s="44" t="str"/>
    </x:row>
    <x:row r="649">
      <x:c r="A649" s="32" t="str">
        <x:v>Qwen2.5-7B</x:v>
      </x:c>
      <x:c r="B649" s="32" t="str">
        <x:v>qwen2.5-7b-instruct</x:v>
      </x:c>
      <x:c r="C649" s="32" t="str"/>
      <x:c r="D649" s="32" t="str">
        <x:v>Alibaba</x:v>
      </x:c>
      <x:c r="E649" s="32" t="str">
        <x:v>China</x:v>
      </x:c>
      <x:c r="F649" s="34" t="n">
        <x:v>45714</x:v>
      </x:c>
      <x:c r="G649" s="32" t="str">
        <x:v>Open weights (unrestricted)</x:v>
      </x:c>
      <x:c r="H649" s="34" t="n">
        <x:v>45554</x:v>
      </x:c>
      <x:c r="I649" s="52" t="n">
        <x:v>8.2188e+23</x:v>
      </x:c>
      <x:c r="J649" s="32" t="str">
        <x:v>Confident</x:v>
      </x:c>
      <x:c r="K649" s="32" t="str">
        <x:v>An instruction-tuned version of Qwen 2.5 7b.</x:v>
      </x:c>
      <x:c r="L649" s="32" t="str">
        <x:v>Qwen2.5-7B</x:v>
      </x:c>
      <x:c r="M649" s="32" t="str"/>
      <x:c r="N649" s="32" t="str">
        <x:v>Qwen2.5-7B</x:v>
      </x:c>
      <x:c r="O649" s="32" t="str">
        <x:v>qwen2-5-7b</x:v>
      </x:c>
      <x:c r="P649" s="44" t="str"/>
      <x:c r="Q649" s="44" t="str"/>
      <x:c r="R649" s="44" t="str"/>
    </x:row>
    <x:row r="650">
      <x:c r="A650" s="32" t="str">
        <x:v>Yi-Large</x:v>
      </x:c>
      <x:c r="B650" s="32" t="str">
        <x:v>Yi-large</x:v>
      </x:c>
      <x:c r="C650" s="32" t="str"/>
      <x:c r="D650" s="32" t="str">
        <x:v>01.AI</x:v>
      </x:c>
      <x:c r="E650" s="32" t="str">
        <x:v>China</x:v>
      </x:c>
      <x:c r="F650" s="34" t="n">
        <x:v>45425</x:v>
      </x:c>
      <x:c r="G650" s="32" t="str">
        <x:v>API access</x:v>
      </x:c>
      <x:c r="H650" s="34" t="n">
        <x:v>45425</x:v>
      </x:c>
      <x:c r="I650" s="52" t="n">
        <x:v>1.8e+24</x:v>
      </x:c>
      <x:c r="J650" s="32" t="str">
        <x:v>Speculative</x:v>
      </x:c>
      <x:c r="K650" s="32" t="str"/>
      <x:c r="L650" s="32" t="str">
        <x:v>Yi-Large</x:v>
      </x:c>
      <x:c r="M650" s="32" t="str"/>
      <x:c r="N650" s="32" t="str">
        <x:v>Yi-Large</x:v>
      </x:c>
      <x:c r="O650" s="32" t="str">
        <x:v>yi-large</x:v>
      </x:c>
      <x:c r="P650" s="44" t="str"/>
      <x:c r="Q650" s="44" t="str"/>
      <x:c r="R650" s="44" t="str"/>
    </x:row>
    <x:row r="651">
      <x:c r="A651" s="32" t="str"/>
      <x:c r="B651" s="32" t="str">
        <x:v>T5-Large</x:v>
      </x:c>
      <x:c r="C651" s="32" t="str"/>
      <x:c r="D651" s="32" t="str"/>
      <x:c r="E651" s="32" t="str"/>
      <x:c r="F651" s="34"/>
      <x:c r="G651" s="32" t="str"/>
      <x:c r="H651" s="34"/>
      <x:c r="I651" s="52" t="str"/>
      <x:c r="J651" s="32" t="str">
        <x:v>Unverified</x:v>
      </x:c>
      <x:c r="K651" s="32" t="str">
        <x:v>A version of T5, an early large language model from Google. </x:v>
      </x:c>
      <x:c r="L651" s="32" t="str"/>
      <x:c r="M651" s="32" t="str"/>
      <x:c r="N651" s="32" t="str"/>
      <x:c r="O651" s="32" t="str">
        <x:v>t5-large</x:v>
      </x:c>
      <x:c r="P651" s="44" t="str"/>
      <x:c r="Q651" s="44" t="str"/>
      <x:c r="R651" s="44" t="str"/>
    </x:row>
    <x:row r="652">
      <x:c r="A652" s="32" t="str">
        <x:v>T5-11B</x:v>
      </x:c>
      <x:c r="B652" s="32" t="str">
        <x:v>T5-11B</x:v>
      </x:c>
      <x:c r="C652" s="32" t="str"/>
      <x:c r="D652" s="32" t="str">
        <x:v>Google</x:v>
      </x:c>
      <x:c r="E652" s="32" t="str">
        <x:v>United States of America</x:v>
      </x:c>
      <x:c r="F652" s="34"/>
      <x:c r="G652" s="32" t="str">
        <x:v>Open weights (unrestricted)</x:v>
      </x:c>
      <x:c r="H652" s="34" t="n">
        <x:v>43761</x:v>
      </x:c>
      <x:c r="I652" s="52" t="n">
        <x:v>3.3e+22</x:v>
      </x:c>
      <x:c r="J652" s="32" t="str">
        <x:v>Confident</x:v>
      </x:c>
      <x:c r="K652" s="32" t="str">
        <x:v>The largest, 11 billion-parameter version of T5, an early large language model from Google. </x:v>
      </x:c>
      <x:c r="L652" s="32" t="str"/>
      <x:c r="M652" s="32" t="str"/>
      <x:c r="N652" s="32" t="str">
        <x:v>T5-11B</x:v>
      </x:c>
      <x:c r="O652" s="32" t="str">
        <x:v>t5-11b</x:v>
      </x:c>
      <x:c r="P652" s="44" t="str"/>
      <x:c r="Q652" s="44" t="str"/>
      <x:c r="R652" s="44" t="str"/>
    </x:row>
    <x:row r="653">
      <x:c r="A653" s="32" t="str">
        <x:v>T5-3B</x:v>
      </x:c>
      <x:c r="B653" s="32" t="str">
        <x:v>T5-3B</x:v>
      </x:c>
      <x:c r="C653" s="32" t="str"/>
      <x:c r="D653" s="32" t="str">
        <x:v>Google</x:v>
      </x:c>
      <x:c r="E653" s="32" t="str">
        <x:v>United States of America</x:v>
      </x:c>
      <x:c r="F653" s="34"/>
      <x:c r="G653" s="32" t="str">
        <x:v>Open weights (unrestricted)</x:v>
      </x:c>
      <x:c r="H653" s="34" t="n">
        <x:v>43761</x:v>
      </x:c>
      <x:c r="I653" s="52" t="n">
        <x:v>9.0000000001e+21</x:v>
      </x:c>
      <x:c r="J653" s="32" t="str">
        <x:v>Confident</x:v>
      </x:c>
      <x:c r="K653" s="32" t="str">
        <x:v>The 3 billion-parameter version of T5, an early large language model from Google. </x:v>
      </x:c>
      <x:c r="L653" s="32" t="str"/>
      <x:c r="M653" s="32" t="str"/>
      <x:c r="N653" s="32" t="str">
        <x:v>T5-3B</x:v>
      </x:c>
      <x:c r="O653" s="32" t="str">
        <x:v>t5-3b</x:v>
      </x:c>
      <x:c r="P653" s="44" t="str"/>
      <x:c r="Q653" s="44" t="str"/>
      <x:c r="R653" s="44" t="str"/>
    </x:row>
    <x:row r="654">
      <x:c r="A654" s="32" t="str">
        <x:v>GPT-3 Medium</x:v>
      </x:c>
      <x:c r="B654" s="32" t="str">
        <x:v>ada</x:v>
      </x:c>
      <x:c r="C654" s="32" t="str"/>
      <x:c r="D654" s="32" t="str">
        <x:v>OpenAI</x:v>
      </x:c>
      <x:c r="E654" s="32" t="str">
        <x:v>United States of America</x:v>
      </x:c>
      <x:c r="F654" s="34"/>
      <x:c r="G654" s="32" t="str"/>
      <x:c r="H654" s="34" t="n">
        <x:v>44004</x:v>
      </x:c>
      <x:c r="I654" s="52" t="n">
        <x:v>641000000000000000000</x:v>
      </x:c>
      <x:c r="J654" s="32" t="str">
        <x:v>Confident</x:v>
      </x:c>
      <x:c r="K654" s="32" t="str"/>
      <x:c r="L654" s="32" t="str"/>
      <x:c r="M654" s="32" t="str"/>
      <x:c r="N654" s="32" t="str">
        <x:v>GPT-3 Medium</x:v>
      </x:c>
      <x:c r="O654" s="32" t="str">
        <x:v>gpt-3-medium</x:v>
      </x:c>
      <x:c r="P654" s="44" t="str"/>
      <x:c r="Q654" s="44" t="str"/>
      <x:c r="R654" s="44" t="str"/>
    </x:row>
    <x:row r="655">
      <x:c r="A655" s="32" t="str">
        <x:v>GPT-3 XL</x:v>
      </x:c>
      <x:c r="B655" s="32" t="str">
        <x:v>babbage</x:v>
      </x:c>
      <x:c r="C655" s="32" t="str"/>
      <x:c r="D655" s="32" t="str">
        <x:v>OpenAI</x:v>
      </x:c>
      <x:c r="E655" s="32" t="str">
        <x:v>United States of America</x:v>
      </x:c>
      <x:c r="F655" s="34" t="n">
        <x:v>44004</x:v>
      </x:c>
      <x:c r="G655" s="32" t="str"/>
      <x:c r="H655" s="34" t="n">
        <x:v>44004</x:v>
      </x:c>
      <x:c r="I655" s="52" t="n">
        <x:v>2.38e+21</x:v>
      </x:c>
      <x:c r="J655" s="32" t="str">
        <x:v>Confident</x:v>
      </x:c>
      <x:c r="K655" s="32" t="str"/>
      <x:c r="L655" s="32" t="str"/>
      <x:c r="M655" s="32" t="str">
        <x:v>GPT-3 XL (babbage)</x:v>
      </x:c>
      <x:c r="N655" s="32" t="str">
        <x:v>GPT-3 XL (babbage)</x:v>
      </x:c>
      <x:c r="O655" s="32" t="str">
        <x:v>gpt-3-xl-babbage</x:v>
      </x:c>
      <x:c r="P655" s="44" t="str"/>
      <x:c r="Q655" s="44" t="str"/>
      <x:c r="R655" s="44" t="str"/>
    </x:row>
    <x:row r="656">
      <x:c r="A656" s="32" t="str">
        <x:v>BLOOM-176B</x:v>
      </x:c>
      <x:c r="B656" s="32" t="str">
        <x:v>bloom</x:v>
      </x:c>
      <x:c r="C656" s="32" t="str"/>
      <x:c r="D656" s="32" t="str">
        <x:v>Hugging Face,BigScience</x:v>
      </x:c>
      <x:c r="E656" s="32" t="str">
        <x:v>United States of America,France</x:v>
      </x:c>
      <x:c r="F656" s="34" t="n">
        <x:v>44748</x:v>
      </x:c>
      <x:c r="G656" s="32" t="str">
        <x:v>Open weights (restricted use)</x:v>
      </x:c>
      <x:c r="H656" s="34" t="n">
        <x:v>44753</x:v>
      </x:c>
      <x:c r="I656" s="52" t="n">
        <x:v>3.65664e+23</x:v>
      </x:c>
      <x:c r="J656" s="32" t="str">
        <x:v>Confident</x:v>
      </x:c>
      <x:c r="K656" s="32" t="str"/>
      <x:c r="L656" s="32" t="str"/>
      <x:c r="M656" s="32" t="str"/>
      <x:c r="N656" s="32" t="str">
        <x:v>BLOOM-176B</x:v>
      </x:c>
      <x:c r="O656" s="32" t="str">
        <x:v>bloom-176b</x:v>
      </x:c>
      <x:c r="P656" s="44" t="str"/>
      <x:c r="Q656" s="44" t="str"/>
      <x:c r="R656" s="44" t="str"/>
    </x:row>
    <x:row r="657">
      <x:c r="A657" s="32" t="str">
        <x:v>GPT-3 6.7B</x:v>
      </x:c>
      <x:c r="B657" s="32" t="str">
        <x:v>curie</x:v>
      </x:c>
      <x:c r="C657" s="32" t="str"/>
      <x:c r="D657" s="32" t="str">
        <x:v>OpenAI</x:v>
      </x:c>
      <x:c r="E657" s="32" t="str">
        <x:v>United States of America</x:v>
      </x:c>
      <x:c r="F657" s="34"/>
      <x:c r="G657" s="32" t="str"/>
      <x:c r="H657" s="34" t="n">
        <x:v>44004</x:v>
      </x:c>
      <x:c r="I657" s="52" t="n">
        <x:v>1.2e+22</x:v>
      </x:c>
      <x:c r="J657" s="32" t="str">
        <x:v>Confident</x:v>
      </x:c>
      <x:c r="K657" s="32" t="str"/>
      <x:c r="L657" s="32" t="str"/>
      <x:c r="M657" s="32" t="str"/>
      <x:c r="N657" s="32" t="str">
        <x:v>GPT-3 6.7B</x:v>
      </x:c>
      <x:c r="O657" s="32" t="str">
        <x:v>gpt-3-6-7b</x:v>
      </x:c>
      <x:c r="P657" s="44" t="str"/>
      <x:c r="Q657" s="44" t="str"/>
      <x:c r="R657" s="44" t="str"/>
    </x:row>
    <x:row r="658">
      <x:c r="A658" s="32" t="str">
        <x:v>GPT-3 175B (davinci)</x:v>
      </x:c>
      <x:c r="B658" s="32" t="str">
        <x:v>davinci</x:v>
      </x:c>
      <x:c r="C658" s="32" t="str"/>
      <x:c r="D658" s="32" t="str">
        <x:v>OpenAI</x:v>
      </x:c>
      <x:c r="E658" s="32" t="str">
        <x:v>United States of America</x:v>
      </x:c>
      <x:c r="F658" s="34"/>
      <x:c r="G658" s="32" t="str">
        <x:v>API access</x:v>
      </x:c>
      <x:c r="H658" s="34" t="n">
        <x:v>43979</x:v>
      </x:c>
      <x:c r="I658" s="52" t="n">
        <x:v>3.14e+23</x:v>
      </x:c>
      <x:c r="J658" s="32" t="str">
        <x:v>Confident</x:v>
      </x:c>
      <x:c r="K658" s="32" t="str"/>
      <x:c r="L658" s="32" t="str">
        <x:v>GPT-3 175B (davinci)</x:v>
      </x:c>
      <x:c r="M658" s="32" t="str"/>
      <x:c r="N658" s="32" t="str">
        <x:v>GPT-3 175B (davinci)</x:v>
      </x:c>
      <x:c r="O658" s="32" t="str">
        <x:v>gpt-3-175b-davinci</x:v>
      </x:c>
      <x:c r="P658" s="44" t="str"/>
      <x:c r="Q658" s="44" t="str"/>
      <x:c r="R658" s="44" t="str"/>
    </x:row>
    <x:row r="659">
      <x:c r="A659" s="32" t="str">
        <x:v>GPT-3.5 (davinci-003)</x:v>
      </x:c>
      <x:c r="B659" s="32" t="str">
        <x:v>text-davinci-003</x:v>
      </x:c>
      <x:c r="C659" s="32" t="str"/>
      <x:c r="D659" s="32" t="str"/>
      <x:c r="E659" s="32" t="str"/>
      <x:c r="F659" s="34" t="n">
        <x:v>44893</x:v>
      </x:c>
      <x:c r="G659" s="32" t="str"/>
      <x:c r="H659" s="34" t="n">
        <x:v>44893</x:v>
      </x:c>
      <x:c r="I659" s="52" t="str"/>
      <x:c r="J659" s="32" t="str">
        <x:v>Likely</x:v>
      </x:c>
      <x:c r="K659" s="32" t="str"/>
      <x:c r="L659" s="32" t="str"/>
      <x:c r="M659" s="32" t="str">
        <x:v>davinci-003</x:v>
      </x:c>
      <x:c r="N659" s="32" t="str">
        <x:v>davinci-003</x:v>
      </x:c>
      <x:c r="O659" s="32" t="str">
        <x:v>davinci-003</x:v>
      </x:c>
      <x:c r="P659" s="44" t="str"/>
      <x:c r="Q659" s="44" t="str"/>
      <x:c r="R659" s="44" t="str"/>
    </x:row>
    <x:row r="660">
      <x:c r="A660" s="32" t="str">
        <x:v>GPT-4 (Mar 2023)</x:v>
      </x:c>
      <x:c r="B660" s="32" t="str">
        <x:v>gpt-4-32k-0314</x:v>
      </x:c>
      <x:c r="C660" s="32" t="str"/>
      <x:c r="D660" s="32" t="str">
        <x:v>OpenAI</x:v>
      </x:c>
      <x:c r="E660" s="32" t="str">
        <x:v>United States of America</x:v>
      </x:c>
      <x:c r="F660" s="34" t="n">
        <x:v>44999</x:v>
      </x:c>
      <x:c r="G660" s="32" t="str">
        <x:v>API access</x:v>
      </x:c>
      <x:c r="H660" s="34" t="n">
        <x:v>45000</x:v>
      </x:c>
      <x:c r="I660" s="52" t="n">
        <x:v>2.1e+25</x:v>
      </x:c>
      <x:c r="J660" s="32" t="str">
        <x:v>Likely</x:v>
      </x:c>
      <x:c r="K660" s="32" t="str"/>
      <x:c r="L660" s="32" t="str"/>
      <x:c r="M660" s="32" t="str"/>
      <x:c r="N660" s="32" t="str">
        <x:v>GPT-4 (Mar 2023)</x:v>
      </x:c>
      <x:c r="O660" s="32" t="str">
        <x:v>gpt-4-mar-2023</x:v>
      </x:c>
      <x:c r="P660" s="44" t="n">
        <x:v>125.93</x:v>
      </x:c>
      <x:c r="Q660" s="44" t="n">
        <x:v>119.58</x:v>
      </x:c>
      <x:c r="R660" s="44" t="n">
        <x:v>132.2</x:v>
      </x:c>
    </x:row>
    <x:row r="661">
      <x:c r="A661" s="32" t="str">
        <x:v>OPT-66B</x:v>
      </x:c>
      <x:c r="B661" s="32" t="str">
        <x:v>opt-66b</x:v>
      </x:c>
      <x:c r="C661" s="32" t="str"/>
      <x:c r="D661" s="32" t="str">
        <x:v>Meta AI</x:v>
      </x:c>
      <x:c r="E661" s="32" t="str">
        <x:v>United States of America</x:v>
      </x:c>
      <x:c r="F661" s="34" t="n">
        <x:v>44684</x:v>
      </x:c>
      <x:c r="G661" s="32" t="str">
        <x:v>Open weights (non-commercial)</x:v>
      </x:c>
      <x:c r="H661" s="34" t="n">
        <x:v>44733</x:v>
      </x:c>
      <x:c r="I661" s="52" t="n">
        <x:v>1.100000000001e+23</x:v>
      </x:c>
      <x:c r="J661" s="32" t="str">
        <x:v>Confident</x:v>
      </x:c>
      <x:c r="K661" s="32" t="str">
        <x:v>Facebook's 66 billion-parameter model in the OPT series.</x:v>
      </x:c>
      <x:c r="L661" s="32" t="str"/>
      <x:c r="M661" s="32" t="str"/>
      <x:c r="N661" s="32" t="str">
        <x:v>OPT-66B</x:v>
      </x:c>
      <x:c r="O661" s="32" t="str">
        <x:v>opt-66b</x:v>
      </x:c>
      <x:c r="P661" s="44" t="str"/>
      <x:c r="Q661" s="44" t="str"/>
      <x:c r="R661" s="44" t="str"/>
    </x:row>
    <x:row r="662">
      <x:c r="A662" s="32" t="str">
        <x:v>OPT-175B</x:v>
      </x:c>
      <x:c r="B662" s="32" t="str">
        <x:v>opt-175b</x:v>
      </x:c>
      <x:c r="C662" s="32" t="str"/>
      <x:c r="D662" s="32" t="str">
        <x:v>Meta AI</x:v>
      </x:c>
      <x:c r="E662" s="32" t="str">
        <x:v>United States of America</x:v>
      </x:c>
      <x:c r="F662" s="34" t="n">
        <x:v>44683</x:v>
      </x:c>
      <x:c r="G662" s="32" t="str">
        <x:v>Open weights (non-commercial)</x:v>
      </x:c>
      <x:c r="H662" s="34" t="n">
        <x:v>44683</x:v>
      </x:c>
      <x:c r="I662" s="52" t="n">
        <x:v>4.3e+23</x:v>
      </x:c>
      <x:c r="J662" s="32" t="str">
        <x:v>Confident</x:v>
      </x:c>
      <x:c r="K662" s="32" t="str">
        <x:v>Facebook's 66 billion-parameter model in the OPT series.</x:v>
      </x:c>
      <x:c r="L662" s="32" t="str"/>
      <x:c r="M662" s="32" t="str"/>
      <x:c r="N662" s="32" t="str">
        <x:v>OPT-175B</x:v>
      </x:c>
      <x:c r="O662" s="32" t="str">
        <x:v>opt-175b</x:v>
      </x:c>
      <x:c r="P662" s="44" t="str"/>
      <x:c r="Q662" s="44" t="str"/>
      <x:c r="R662" s="44" t="str"/>
    </x:row>
    <x:row r="663">
      <x:c r="A663" s="32" t="str">
        <x:v>InstructGPT 350M</x:v>
      </x:c>
      <x:c r="B663" s="32" t="str">
        <x:v>text-ada-001</x:v>
      </x:c>
      <x:c r="C663" s="32" t="str"/>
      <x:c r="D663" s="32" t="str">
        <x:v>OpenAI</x:v>
      </x:c>
      <x:c r="E663" s="32" t="str">
        <x:v>United States of America</x:v>
      </x:c>
      <x:c r="F663" s="34"/>
      <x:c r="G663" s="32" t="str"/>
      <x:c r="H663" s="34" t="n">
        <x:v>44588</x:v>
      </x:c>
      <x:c r="I663" s="52" t="str"/>
      <x:c r="J663" s="32" t="str">
        <x:v>Confident</x:v>
      </x:c>
      <x:c r="K663" s="32" t="str"/>
      <x:c r="L663" s="32" t="str"/>
      <x:c r="M663" s="32" t="str"/>
      <x:c r="N663" s="32" t="str">
        <x:v>InstructGPT 350M</x:v>
      </x:c>
      <x:c r="O663" s="32" t="str">
        <x:v>instructgpt-350m</x:v>
      </x:c>
      <x:c r="P663" s="44" t="str"/>
      <x:c r="Q663" s="44" t="str"/>
      <x:c r="R663" s="44" t="str"/>
    </x:row>
    <x:row r="664">
      <x:c r="A664" s="32" t="str">
        <x:v>InstructGPT 1.3B</x:v>
      </x:c>
      <x:c r="B664" s="32" t="str">
        <x:v>text-babbage-001</x:v>
      </x:c>
      <x:c r="C664" s="32" t="str"/>
      <x:c r="D664" s="32" t="str">
        <x:v>OpenAI</x:v>
      </x:c>
      <x:c r="E664" s="32" t="str">
        <x:v>United States of America</x:v>
      </x:c>
      <x:c r="F664" s="34"/>
      <x:c r="G664" s="32" t="str">
        <x:v>API access</x:v>
      </x:c>
      <x:c r="H664" s="34" t="n">
        <x:v>44588</x:v>
      </x:c>
      <x:c r="I664" s="52" t="str"/>
      <x:c r="J664" s="32" t="str">
        <x:v>Confident</x:v>
      </x:c>
      <x:c r="K664" s="32" t="str"/>
      <x:c r="L664" s="32" t="str"/>
      <x:c r="M664" s="32" t="str"/>
      <x:c r="N664" s="32" t="str">
        <x:v>InstructGPT 1.3B</x:v>
      </x:c>
      <x:c r="O664" s="32" t="str">
        <x:v>instructgpt-1-3b</x:v>
      </x:c>
      <x:c r="P664" s="44" t="str"/>
      <x:c r="Q664" s="44" t="str"/>
      <x:c r="R664" s="44" t="str"/>
    </x:row>
    <x:row r="665">
      <x:c r="A665" s="32" t="str">
        <x:v>InstructGPT 6B</x:v>
      </x:c>
      <x:c r="B665" s="32" t="str">
        <x:v>text-curie-001</x:v>
      </x:c>
      <x:c r="C665" s="32" t="str"/>
      <x:c r="D665" s="32" t="str">
        <x:v>OpenAI</x:v>
      </x:c>
      <x:c r="E665" s="32" t="str">
        <x:v>United States of America</x:v>
      </x:c>
      <x:c r="F665" s="34"/>
      <x:c r="G665" s="32" t="str">
        <x:v>API access</x:v>
      </x:c>
      <x:c r="H665" s="34" t="n">
        <x:v>44588</x:v>
      </x:c>
      <x:c r="I665" s="52" t="str"/>
      <x:c r="J665" s="32" t="str">
        <x:v>Confident</x:v>
      </x:c>
      <x:c r="K665" s="32" t="str"/>
      <x:c r="L665" s="32" t="str"/>
      <x:c r="M665" s="32" t="str"/>
      <x:c r="N665" s="32" t="str">
        <x:v>InstructGPT 6B</x:v>
      </x:c>
      <x:c r="O665" s="32" t="str">
        <x:v>instructgpt-6b</x:v>
      </x:c>
      <x:c r="P665" s="44" t="str"/>
      <x:c r="Q665" s="44" t="str"/>
      <x:c r="R665" s="44" t="str"/>
    </x:row>
    <x:row r="666">
      <x:c r="A666" s="32" t="str">
        <x:v>Gemini 2.5 Flash</x:v>
      </x:c>
      <x:c r="B666" s="32" t="str">
        <x:v>gemini-2.5-flash-preview-04-17 (24K thinking)</x:v>
      </x:c>
      <x:c r="C666" s="32" t="str"/>
      <x:c r="D666" s="32" t="str">
        <x:v>Google DeepMind</x:v>
      </x:c>
      <x:c r="E666" s="32" t="str">
        <x:v>United States of America</x:v>
      </x:c>
      <x:c r="F666" s="34" t="n">
        <x:v>45764</x:v>
      </x:c>
      <x:c r="G666" s="32" t="str">
        <x:v>API access</x:v>
      </x:c>
      <x:c r="H666" s="34" t="n">
        <x:v>45764</x:v>
      </x:c>
      <x:c r="I666" s="52" t="str"/>
      <x:c r="J666" s="32" t="str">
        <x:v>Unknown</x:v>
      </x:c>
      <x:c r="K666" s="32" t="str">
        <x:v>An April 2025 preview version of Gemini 2.5 Flash, a small reasoning model in the Gemini 2.5 series from DeepMind, evaluated with up to 24,000 reasoning tokens.</x:v>
      </x:c>
      <x:c r="L666" s="32" t="str"/>
      <x:c r="M666" s="32" t="str">
        <x:v>Gemini 2.5 Flash (Apr 2025)</x:v>
      </x:c>
      <x:c r="N666" s="32" t="str">
        <x:v>Gemini 2.5 Flash (Apr 2025)</x:v>
      </x:c>
      <x:c r="O666" s="32" t="str">
        <x:v>gemini-2-5-flash-apr-2025</x:v>
      </x:c>
      <x:c r="P666" s="44" t="n">
        <x:v>140.61</x:v>
      </x:c>
      <x:c r="Q666" s="44" t="n">
        <x:v>135.95</x:v>
      </x:c>
      <x:c r="R666" s="44" t="n">
        <x:v>142.64</x:v>
      </x:c>
    </x:row>
    <x:row r="667">
      <x:c r="A667" s="32" t="str">
        <x:v>o1</x:v>
      </x:c>
      <x:c r="B667" s="32" t="str">
        <x:v>o1-2024-12-17_low</x:v>
      </x:c>
      <x:c r="C667" s="32" t="str">
        <x:v>o1 (low)</x:v>
      </x:c>
      <x:c r="D667" s="32" t="str">
        <x:v>OpenAI</x:v>
      </x:c>
      <x:c r="E667" s="32" t="str">
        <x:v>United States of America</x:v>
      </x:c>
      <x:c r="F667" s="34" t="n">
        <x:v>45643</x:v>
      </x:c>
      <x:c r="G667" s="32" t="str">
        <x:v>API access</x:v>
      </x:c>
      <x:c r="H667" s="34" t="n">
        <x:v>45631</x:v>
      </x:c>
      <x:c r="I667" s="52" t="str"/>
      <x:c r="J667" s="32" t="str">
        <x:v>Unknown</x:v>
      </x:c>
      <x:c r="K667" s="32" t="str">
        <x:v>OpenAI's first reasoning model, evaluated with at the low reasoning tokens level.</x:v>
      </x:c>
      <x:c r="L667" s="32" t="str"/>
      <x:c r="M667" s="32" t="str"/>
      <x:c r="N667" s="32" t="str">
        <x:v>o1</x:v>
      </x:c>
      <x:c r="O667" s="32" t="str">
        <x:v>o1</x:v>
      </x:c>
      <x:c r="P667" s="44" t="n">
        <x:v>142.69</x:v>
      </x:c>
      <x:c r="Q667" s="44" t="n">
        <x:v>140.88</x:v>
      </x:c>
      <x:c r="R667" s="44" t="n">
        <x:v>143.81</x:v>
      </x:c>
    </x:row>
    <x:row r="668">
      <x:c r="A668" s="32" t="str">
        <x:v>o1-pro</x:v>
      </x:c>
      <x:c r="B668" s="32" t="str">
        <x:v>o1-pro-2025-03-19_low</x:v>
      </x:c>
      <x:c r="C668" s="32" t="str">
        <x:v>o1 Pro (low)</x:v>
      </x:c>
      <x:c r="D668" s="32" t="str">
        <x:v>OpenAI</x:v>
      </x:c>
      <x:c r="E668" s="32" t="str">
        <x:v>United States of America</x:v>
      </x:c>
      <x:c r="F668" s="34" t="n">
        <x:v>45735</x:v>
      </x:c>
      <x:c r="G668" s="32" t="str">
        <x:v>API access</x:v>
      </x:c>
      <x:c r="H668" s="34" t="n">
        <x:v>45735</x:v>
      </x:c>
      <x:c r="I668" s="52" t="str"/>
      <x:c r="J668" s="32" t="str">
        <x:v>Likely</x:v>
      </x:c>
      <x:c r="K668" s="32" t="str">
        <x:v>An An enhanced version of OpenAI's first reasoning model,o1, evaluated with low reasoning effort.</x:v>
      </x:c>
      <x:c r="L668" s="32" t="str"/>
      <x:c r="M668" s="32" t="str"/>
      <x:c r="N668" s="32" t="str">
        <x:v>o1-pro</x:v>
      </x:c>
      <x:c r="O668" s="32" t="str">
        <x:v>o1-pro</x:v>
      </x:c>
      <x:c r="P668" s="44" t="str"/>
      <x:c r="Q668" s="44" t="str"/>
      <x:c r="R668" s="44" t="str"/>
    </x:row>
    <x:row r="669">
      <x:c r="A669" s="32" t="str">
        <x:v>MPT-30B</x:v>
      </x:c>
      <x:c r="B669" s="32" t="str">
        <x:v>mpt-30b-instruct</x:v>
      </x:c>
      <x:c r="C669" s="32" t="str"/>
      <x:c r="D669" s="32" t="str">
        <x:v>MosaicML</x:v>
      </x:c>
      <x:c r="E669" s="32" t="str">
        <x:v>United States of America</x:v>
      </x:c>
      <x:c r="F669" s="34" t="n">
        <x:v>45099</x:v>
      </x:c>
      <x:c r="G669" s="32" t="str">
        <x:v>Open weights (unrestricted)</x:v>
      </x:c>
      <x:c r="H669" s="34" t="n">
        <x:v>45099</x:v>
      </x:c>
      <x:c r="I669" s="52" t="n">
        <x:v>1.8900000000001e+23</x:v>
      </x:c>
      <x:c r="J669" s="32" t="str">
        <x:v>Confident</x:v>
      </x:c>
      <x:c r="K669" s="32" t="str"/>
      <x:c r="L669" s="32" t="str"/>
      <x:c r="M669" s="32" t="str"/>
      <x:c r="N669" s="32" t="str">
        <x:v>MPT-30B</x:v>
      </x:c>
      <x:c r="O669" s="32" t="str">
        <x:v>mpt-30b</x:v>
      </x:c>
      <x:c r="P669" s="44" t="n">
        <x:v>100.38</x:v>
      </x:c>
      <x:c r="Q669" s="44" t="n">
        <x:v>89.25</x:v>
      </x:c>
      <x:c r="R669" s="44" t="n">
        <x:v>106.66</x:v>
      </x:c>
    </x:row>
    <x:row r="670">
      <x:c r="A670" s="32" t="str">
        <x:v>Vicuna-13B-v1.3</x:v>
      </x:c>
      <x:c r="B670" s="32" t="str">
        <x:v>vicuna-13b-v1.3</x:v>
      </x:c>
      <x:c r="C670" s="32" t="str"/>
      <x:c r="D670" s="32" t="str">
        <x:v>Large Model Systems Organization,University of California (UC) Berkeley</x:v>
      </x:c>
      <x:c r="E670" s="32" t="str">
        <x:v>United States of America</x:v>
      </x:c>
      <x:c r="F670" s="34" t="n">
        <x:v>45095</x:v>
      </x:c>
      <x:c r="G670" s="32" t="str">
        <x:v>Open weights (restricted use)</x:v>
      </x:c>
      <x:c r="H670" s="34" t="n">
        <x:v>45099</x:v>
      </x:c>
      <x:c r="I670" s="52" t="str"/>
      <x:c r="J670" s="32" t="str">
        <x:v>Confident</x:v>
      </x:c>
      <x:c r="K670" s="32" t="str"/>
      <x:c r="L670" s="32" t="str">
        <x:v>Vicuna-13B-v1.3</x:v>
      </x:c>
      <x:c r="M670" s="32" t="str"/>
      <x:c r="N670" s="32" t="str">
        <x:v>Vicuna-13B-v1.3</x:v>
      </x:c>
      <x:c r="O670" s="32" t="str">
        <x:v>vicuna-13b-v1-3</x:v>
      </x:c>
      <x:c r="P670" s="44" t="str"/>
      <x:c r="Q670" s="44" t="str"/>
      <x:c r="R670" s="44" t="str"/>
    </x:row>
    <x:row r="671">
      <x:c r="A671" s="32" t="str"/>
      <x:c r="B671" s="32" t="str">
        <x:v>T5-Small</x:v>
      </x:c>
      <x:c r="C671" s="32" t="str"/>
      <x:c r="D671" s="32" t="str"/>
      <x:c r="E671" s="32" t="str"/>
      <x:c r="F671" s="34"/>
      <x:c r="G671" s="32" t="str"/>
      <x:c r="H671" s="34"/>
      <x:c r="I671" s="52" t="str"/>
      <x:c r="J671" s="32" t="str">
        <x:v>Unverified</x:v>
      </x:c>
      <x:c r="K671" s="32" t="str">
        <x:v>The smallest version of T5, an early large language model from Google. </x:v>
      </x:c>
      <x:c r="L671" s="32" t="str"/>
      <x:c r="M671" s="32" t="str"/>
      <x:c r="N671" s="32" t="str"/>
      <x:c r="O671" s="32" t="str">
        <x:v>t5-small</x:v>
      </x:c>
      <x:c r="P671" s="44" t="str"/>
      <x:c r="Q671" s="44" t="str"/>
      <x:c r="R671" s="44" t="str"/>
    </x:row>
    <x:row r="672">
      <x:c r="A672" s="32" t="str"/>
      <x:c r="B672" s="32" t="str">
        <x:v>T5-Base</x:v>
      </x:c>
      <x:c r="C672" s="32" t="str"/>
      <x:c r="D672" s="32" t="str"/>
      <x:c r="E672" s="32" t="str"/>
      <x:c r="F672" s="34"/>
      <x:c r="G672" s="32" t="str"/>
      <x:c r="H672" s="34"/>
      <x:c r="I672" s="52" t="str"/>
      <x:c r="J672" s="32" t="str">
        <x:v>Unverified</x:v>
      </x:c>
      <x:c r="K672" s="32" t="str">
        <x:v>A version of T5, an early large language model from Google. </x:v>
      </x:c>
      <x:c r="L672" s="32" t="str"/>
      <x:c r="M672" s="32" t="str"/>
      <x:c r="N672" s="32" t="str"/>
      <x:c r="O672" s="32" t="str">
        <x:v>t5-base</x:v>
      </x:c>
      <x:c r="P672" s="44" t="str"/>
      <x:c r="Q672" s="44" t="str"/>
      <x:c r="R672" s="44" t="str"/>
    </x:row>
    <x:row r="673">
      <x:c r="A673" s="32" t="str">
        <x:v>Qwen2.5-Max</x:v>
      </x:c>
      <x:c r="B673" s="32" t="str">
        <x:v>qwen2.5-max</x:v>
      </x:c>
      <x:c r="C673" s="32" t="str"/>
      <x:c r="D673" s="32" t="str">
        <x:v>Alibaba</x:v>
      </x:c>
      <x:c r="E673" s="32" t="str">
        <x:v>China</x:v>
      </x:c>
      <x:c r="F673" s="34" t="n">
        <x:v>45685</x:v>
      </x:c>
      <x:c r="G673" s="32" t="str">
        <x:v>API access</x:v>
      </x:c>
      <x:c r="H673" s="34" t="n">
        <x:v>45685</x:v>
      </x:c>
      <x:c r="I673" s="52" t="str"/>
      <x:c r="J673" s="32" t="str">
        <x:v>Unknown</x:v>
      </x:c>
      <x:c r="K673" s="32" t="str">
        <x:v>The largest model in the Qwen 2.5 series.</x:v>
      </x:c>
      <x:c r="L673" s="32" t="str">
        <x:v>Qwen2.5-Max</x:v>
      </x:c>
      <x:c r="M673" s="32" t="str"/>
      <x:c r="N673" s="32" t="str">
        <x:v>Qwen2.5-Max</x:v>
      </x:c>
      <x:c r="O673" s="32" t="str">
        <x:v>qwen2-5-max</x:v>
      </x:c>
      <x:c r="P673" s="44" t="n">
        <x:v>133.41</x:v>
      </x:c>
      <x:c r="Q673" s="44" t="n">
        <x:v>129.19</x:v>
      </x:c>
      <x:c r="R673" s="44" t="n">
        <x:v>136.34</x:v>
      </x:c>
    </x:row>
    <x:row r="674">
      <x:c r="A674" s="32" t="str">
        <x:v>Gemini 2.0 Flash-Lite</x:v>
      </x:c>
      <x:c r="B674" s="32" t="str">
        <x:v>gemini-2.0-flash-lite</x:v>
      </x:c>
      <x:c r="C674" s="32" t="str"/>
      <x:c r="D674" s="32" t="str">
        <x:v>Google DeepMind</x:v>
      </x:c>
      <x:c r="E674" s="32" t="str">
        <x:v>United States of America</x:v>
      </x:c>
      <x:c r="F674" s="34" t="n">
        <x:v>45693</x:v>
      </x:c>
      <x:c r="G674" s="32" t="str">
        <x:v>API access</x:v>
      </x:c>
      <x:c r="H674" s="34" t="n">
        <x:v>45327</x:v>
      </x:c>
      <x:c r="I674" s="52" t="str"/>
      <x:c r="J674" s="32" t="str">
        <x:v>Unknown</x:v>
      </x:c>
      <x:c r="K674" s="32" t="str">
        <x:v>The smallest model in Google DeepMind's Gemini 2.0 series.</x:v>
      </x:c>
      <x:c r="L674" s="32" t="str"/>
      <x:c r="M674" s="32" t="str"/>
      <x:c r="N674" s="32" t="str">
        <x:v>Gemini 2.0 Flash-Lite</x:v>
      </x:c>
      <x:c r="O674" s="32" t="str">
        <x:v>gemini-2-0-flash-lite</x:v>
      </x:c>
      <x:c r="P674" s="44" t="str"/>
      <x:c r="Q674" s="44" t="str"/>
      <x:c r="R674" s="44" t="str"/>
    </x:row>
    <x:row r="675">
      <x:c r="A675" s="32" t="str">
        <x:v>Gemini 2.0 Flash-Lite</x:v>
      </x:c>
      <x:c r="B675" s="32" t="str">
        <x:v>gemini-2.0-flash-lite-preview-02-05</x:v>
      </x:c>
      <x:c r="C675" s="32" t="str"/>
      <x:c r="D675" s="32" t="str">
        <x:v>Google DeepMind</x:v>
      </x:c>
      <x:c r="E675" s="32" t="str">
        <x:v>United States of America</x:v>
      </x:c>
      <x:c r="F675" s="34" t="n">
        <x:v>45693</x:v>
      </x:c>
      <x:c r="G675" s="32" t="str">
        <x:v>API access</x:v>
      </x:c>
      <x:c r="H675" s="34" t="n">
        <x:v>45327</x:v>
      </x:c>
      <x:c r="I675" s="52" t="str"/>
      <x:c r="J675" s="32" t="str">
        <x:v>Unknown</x:v>
      </x:c>
      <x:c r="K675" s="32" t="str">
        <x:v>A February 2025 preview version of the smallest model in Google DeepMind's Gemini 2.0 series.</x:v>
      </x:c>
      <x:c r="L675" s="32" t="str"/>
      <x:c r="M675" s="32" t="str"/>
      <x:c r="N675" s="32" t="str">
        <x:v>Gemini 2.0 Flash-Lite</x:v>
      </x:c>
      <x:c r="O675" s="32" t="str">
        <x:v>gemini-2-0-flash-lite</x:v>
      </x:c>
      <x:c r="P675" s="44" t="str"/>
      <x:c r="Q675" s="44" t="str"/>
      <x:c r="R675" s="44" t="str"/>
    </x:row>
    <x:row r="676">
      <x:c r="A676" s="32" t="str"/>
      <x:c r="B676" s="32" t="str">
        <x:v>Dracarys2-72B-Instruct</x:v>
      </x:c>
      <x:c r="C676" s="32" t="str"/>
      <x:c r="D676" s="32" t="str"/>
      <x:c r="E676" s="32" t="str"/>
      <x:c r="F676" s="34" t="n">
        <x:v>45565</x:v>
      </x:c>
      <x:c r="G676" s="32" t="str"/>
      <x:c r="H676" s="34"/>
      <x:c r="I676" s="52" t="str"/>
      <x:c r="J676" s="32" t="str">
        <x:v>Unverified</x:v>
      </x:c>
      <x:c r="K676" s="32" t="str"/>
      <x:c r="L676" s="32" t="str"/>
      <x:c r="M676" s="32" t="str"/>
      <x:c r="N676" s="32" t="str"/>
      <x:c r="O676" s="32" t="str">
        <x:v>dracarys2-72b-instruct</x:v>
      </x:c>
      <x:c r="P676" s="44" t="str"/>
      <x:c r="Q676" s="44" t="str"/>
      <x:c r="R676" s="44" t="str"/>
    </x:row>
    <x:row r="677">
      <x:c r="A677" s="32" t="str"/>
      <x:c r="B677" s="32" t="str">
        <x:v>learnlm-1.5-pro-experimental</x:v>
      </x:c>
      <x:c r="C677" s="32" t="str"/>
      <x:c r="D677" s="32" t="str"/>
      <x:c r="E677" s="32" t="str"/>
      <x:c r="F677" s="34"/>
      <x:c r="G677" s="32" t="str"/>
      <x:c r="H677" s="34"/>
      <x:c r="I677" s="52" t="str"/>
      <x:c r="J677" s="32" t="str">
        <x:v>Unverified</x:v>
      </x:c>
      <x:c r="K677" s="32" t="str"/>
      <x:c r="L677" s="32" t="str"/>
      <x:c r="M677" s="32" t="str"/>
      <x:c r="N677" s="32" t="str"/>
      <x:c r="O677" s="32" t="str">
        <x:v>learnlm-1-5-pro-experimental</x:v>
      </x:c>
      <x:c r="P677" s="44" t="str"/>
      <x:c r="Q677" s="44" t="str"/>
      <x:c r="R677" s="44" t="str"/>
    </x:row>
    <x:row r="678">
      <x:c r="A678" s="32" t="str"/>
      <x:c r="B678" s="32" t="str">
        <x:v>sonar</x:v>
      </x:c>
      <x:c r="C678" s="32" t="str">
        <x:v>Perplexity Sonar</x:v>
      </x:c>
      <x:c r="D678" s="32" t="str"/>
      <x:c r="E678" s="32" t="str"/>
      <x:c r="F678" s="34"/>
      <x:c r="G678" s="32" t="str"/>
      <x:c r="H678" s="34"/>
      <x:c r="I678" s="52" t="str"/>
      <x:c r="J678" s="32" t="str">
        <x:v>Unverified</x:v>
      </x:c>
      <x:c r="K678" s="32" t="str"/>
      <x:c r="L678" s="32" t="str"/>
      <x:c r="M678" s="32" t="str"/>
      <x:c r="N678" s="32" t="str"/>
      <x:c r="O678" s="32" t="str">
        <x:v>sonar</x:v>
      </x:c>
      <x:c r="P678" s="44" t="str"/>
      <x:c r="Q678" s="44" t="str"/>
      <x:c r="R678" s="44" t="str"/>
    </x:row>
    <x:row r="679">
      <x:c r="A679" s="32" t="str"/>
      <x:c r="B679" s="32" t="str">
        <x:v>Dracarys2-Llama-3.1-70B-Instruct</x:v>
      </x:c>
      <x:c r="C679" s="32" t="str"/>
      <x:c r="D679" s="32" t="str"/>
      <x:c r="E679" s="32" t="str"/>
      <x:c r="F679" s="34" t="n">
        <x:v>45518</x:v>
      </x:c>
      <x:c r="G679" s="32" t="str"/>
      <x:c r="H679" s="34"/>
      <x:c r="I679" s="52" t="str"/>
      <x:c r="J679" s="32" t="str">
        <x:v>Unverified</x:v>
      </x:c>
      <x:c r="K679" s="32" t="str"/>
      <x:c r="L679" s="32" t="str"/>
      <x:c r="M679" s="32" t="str"/>
      <x:c r="N679" s="32" t="str"/>
      <x:c r="O679" s="32" t="str">
        <x:v>dracarys2-llama-3-1-70b-instruct</x:v>
      </x:c>
      <x:c r="P679" s="44" t="str"/>
      <x:c r="Q679" s="44" t="str"/>
      <x:c r="R679" s="44" t="str"/>
    </x:row>
    <x:row r="680">
      <x:c r="A680" s="32" t="str">
        <x:v>DeepSeek-R1-Distill-Qwen-32B</x:v>
      </x:c>
      <x:c r="B680" s="32" t="str">
        <x:v>DeepSeek-R1-Distill-Qwen-32B</x:v>
      </x:c>
      <x:c r="C680" s="32" t="str"/>
      <x:c r="D680" s="32" t="str">
        <x:v>DeepSeek</x:v>
      </x:c>
      <x:c r="E680" s="32" t="str">
        <x:v>China</x:v>
      </x:c>
      <x:c r="F680" s="34" t="n">
        <x:v>45677</x:v>
      </x:c>
      <x:c r="G680" s="32" t="str">
        <x:v>Open weights (unrestricted)</x:v>
      </x:c>
      <x:c r="H680" s="34" t="n">
        <x:v>45679</x:v>
      </x:c>
      <x:c r="I680" s="52" t="str"/>
      <x:c r="J680" s="32" t="str">
        <x:v>Speculative</x:v>
      </x:c>
      <x:c r="K680" s="32" t="str">
        <x:v>A model based on Qwen 32B and additionally trained on outputs from DeepSeek’s R1 model, published as part of DeepSeek R1’s release. </x:v>
      </x:c>
      <x:c r="L680" s="32" t="str"/>
      <x:c r="M680" s="32" t="str"/>
      <x:c r="N680" s="32" t="str">
        <x:v>DeepSeek-R1-Distill-Qwen-32B</x:v>
      </x:c>
      <x:c r="O680" s="32" t="str">
        <x:v>deepseek-r1-distill-qwen-32b</x:v>
      </x:c>
      <x:c r="P680" s="44" t="str"/>
      <x:c r="Q680" s="44" t="str"/>
      <x:c r="R680" s="44" t="str"/>
    </x:row>
    <x:row r="681">
      <x:c r="A681" s="32" t="str">
        <x:v>OLMo 2 Furious 13B</x:v>
      </x:c>
      <x:c r="B681" s="32" t="str">
        <x:v>OLMo-2-1124-13B-Instruct</x:v>
      </x:c>
      <x:c r="C681" s="32" t="str"/>
      <x:c r="D681" s="32" t="str">
        <x:v>Allen Institute for AI,University of Washington,New York University (NYU)</x:v>
      </x:c>
      <x:c r="E681" s="32" t="str">
        <x:v>United States of America</x:v>
      </x:c>
      <x:c r="F681" s="34" t="n">
        <x:v>45657</x:v>
      </x:c>
      <x:c r="G681" s="32" t="str">
        <x:v>Open weights (unrestricted)</x:v>
      </x:c>
      <x:c r="H681" s="34" t="n">
        <x:v>45657</x:v>
      </x:c>
      <x:c r="I681" s="52" t="n">
        <x:v>4.6e+23</x:v>
      </x:c>
      <x:c r="J681" s="32" t="str">
        <x:v>Confident</x:v>
      </x:c>
      <x:c r="K681" s="32" t="str"/>
      <x:c r="L681" s="32" t="str"/>
      <x:c r="M681" s="32" t="str"/>
      <x:c r="N681" s="32" t="str">
        <x:v>OLMo 2 Furious 13B</x:v>
      </x:c>
      <x:c r="O681" s="32" t="str">
        <x:v>olmo-2-furious-13b</x:v>
      </x:c>
      <x:c r="P681" s="44" t="str"/>
      <x:c r="Q681" s="44" t="str"/>
      <x:c r="R681" s="44" t="str"/>
    </x:row>
    <x:row r="682">
      <x:c r="A682" s="32" t="str">
        <x:v>GPT-5 Pro</x:v>
      </x:c>
      <x:c r="B682" s="32" t="str">
        <x:v>gpt-5-pro-2025-10-06_medium</x:v>
      </x:c>
      <x:c r="C682" s="32" t="str">
        <x:v>GPT-5 Pro</x:v>
      </x:c>
      <x:c r="D682" s="32" t="str">
        <x:v>OpenAI</x:v>
      </x:c>
      <x:c r="E682" s="32" t="str">
        <x:v>United States of America</x:v>
      </x:c>
      <x:c r="F682" s="34" t="n">
        <x:v>45937</x:v>
      </x:c>
      <x:c r="G682" s="32" t="str">
        <x:v>API access</x:v>
      </x:c>
      <x:c r="H682" s="34" t="n">
        <x:v>45937</x:v>
      </x:c>
      <x:c r="I682" s="52" t="str"/>
      <x:c r="J682" s="32" t="str">
        <x:v>Unknown</x:v>
      </x:c>
      <x:c r="K682" s="32" t="str"/>
      <x:c r="L682" s="32" t="str">
        <x:v>GPT-5 Pro (medium)</x:v>
      </x:c>
      <x:c r="M682" s="32" t="str"/>
      <x:c r="N682" s="32" t="str">
        <x:v>GPT-5 Pro</x:v>
      </x:c>
      <x:c r="O682" s="32" t="str">
        <x:v>gpt-5-pro</x:v>
      </x:c>
      <x:c r="P682" s="44" t="n">
        <x:v>150.43</x:v>
      </x:c>
      <x:c r="Q682" s="44" t="n">
        <x:v>148.94</x:v>
      </x:c>
      <x:c r="R682" s="44" t="n">
        <x:v>152.05</x:v>
      </x:c>
    </x:row>
    <x:row r="683">
      <x:c r="A683" s="32" t="str">
        <x:v>GPT-5.6 Sol</x:v>
      </x:c>
      <x:c r="B683" s="32" t="str">
        <x:v>gpt-5.6-sol_unknown</x:v>
      </x:c>
      <x:c r="C683" s="32" t="str">
        <x:v>GPT-5.6 Sol (unknown thinking)</x:v>
      </x:c>
      <x:c r="D683" s="32" t="str">
        <x:v>OpenAI</x:v>
      </x:c>
      <x:c r="E683" s="32" t="str">
        <x:v>United States of America</x:v>
      </x:c>
      <x:c r="F683" s="34" t="n">
        <x:v>46212</x:v>
      </x:c>
      <x:c r="G683" s="32" t="str">
        <x:v>API access</x:v>
      </x:c>
      <x:c r="H683" s="34" t="n">
        <x:v>46212</x:v>
      </x:c>
      <x:c r="I683" s="52" t="str"/>
      <x:c r="J683" s="32" t="str">
        <x:v>Unverified</x:v>
      </x:c>
      <x:c r="K683" s="32" t="str"/>
      <x:c r="L683" s="32" t="str">
        <x:v>GPT-5.6 Sol (unknown thinking)</x:v>
      </x:c>
      <x:c r="M683" s="32" t="str"/>
      <x:c r="N683" s="32" t="str">
        <x:v>GPT-5.6 Sol</x:v>
      </x:c>
      <x:c r="O683" s="32" t="str">
        <x:v>gpt-5-6-sol</x:v>
      </x:c>
      <x:c r="P683" s="44" t="n">
        <x:v>161.77</x:v>
      </x:c>
      <x:c r="Q683" s="44" t="n">
        <x:v>159.26</x:v>
      </x:c>
      <x:c r="R683" s="44" t="n">
        <x:v>166.01</x:v>
      </x:c>
    </x:row>
    <x:row r="684">
      <x:c r="A684" s="32" t="str">
        <x:v>GPT-5.6 Terra</x:v>
      </x:c>
      <x:c r="B684" s="32" t="str">
        <x:v>gpt-5.6-terra_unknown</x:v>
      </x:c>
      <x:c r="C684" s="32" t="str">
        <x:v>GPT-5.6 Terra (unknown thinking)</x:v>
      </x:c>
      <x:c r="D684" s="32" t="str">
        <x:v>OpenAI</x:v>
      </x:c>
      <x:c r="E684" s="32" t="str">
        <x:v>United States of America</x:v>
      </x:c>
      <x:c r="F684" s="34" t="n">
        <x:v>46212</x:v>
      </x:c>
      <x:c r="G684" s="32" t="str">
        <x:v>API access</x:v>
      </x:c>
      <x:c r="H684" s="34" t="n">
        <x:v>46212</x:v>
      </x:c>
      <x:c r="I684" s="52" t="str"/>
      <x:c r="J684" s="32" t="str">
        <x:v>Unverified</x:v>
      </x:c>
      <x:c r="K684" s="32" t="str"/>
      <x:c r="L684" s="32" t="str">
        <x:v>GPT-5.6 Terra (unknown thinking)</x:v>
      </x:c>
      <x:c r="M684" s="32" t="str"/>
      <x:c r="N684" s="32" t="str">
        <x:v>GPT-5.6 Terra</x:v>
      </x:c>
      <x:c r="O684" s="32" t="str">
        <x:v>gpt-5-6-terra</x:v>
      </x:c>
      <x:c r="P684" s="44" t="n">
        <x:v>158.25</x:v>
      </x:c>
      <x:c r="Q684" s="44" t="n">
        <x:v>155.39</x:v>
      </x:c>
      <x:c r="R684" s="44" t="n">
        <x:v>161.26</x:v>
      </x:c>
    </x:row>
    <x:row r="685">
      <x:c r="A685" s="32" t="str">
        <x:v>Grok 4.5</x:v>
      </x:c>
      <x:c r="B685" s="32" t="str">
        <x:v>grok-4.5_unknown</x:v>
      </x:c>
      <x:c r="C685" s="32" t="str">
        <x:v>Grok 4.5 (unknown thinking)</x:v>
      </x:c>
      <x:c r="D685" s="32" t="str">
        <x:v>xAI</x:v>
      </x:c>
      <x:c r="E685" s="32" t="str">
        <x:v>United States of America</x:v>
      </x:c>
      <x:c r="F685" s="34" t="n">
        <x:v>46211</x:v>
      </x:c>
      <x:c r="G685" s="32" t="str">
        <x:v>API access</x:v>
      </x:c>
      <x:c r="H685" s="34" t="n">
        <x:v>46211</x:v>
      </x:c>
      <x:c r="I685" s="52" t="str"/>
      <x:c r="J685" s="32" t="str">
        <x:v>Unverified</x:v>
      </x:c>
      <x:c r="K685" s="32" t="str"/>
      <x:c r="L685" s="32" t="str">
        <x:v>Grok 4.5 (unknown thinking)</x:v>
      </x:c>
      <x:c r="M685" s="32" t="str"/>
      <x:c r="N685" s="32" t="str">
        <x:v>Grok 4.5</x:v>
      </x:c>
      <x:c r="O685" s="32" t="str">
        <x:v>grok-4-5</x:v>
      </x:c>
      <x:c r="P685" s="44" t="n">
        <x:v>153.17</x:v>
      </x:c>
      <x:c r="Q685" s="44" t="n">
        <x:v>151.65</x:v>
      </x:c>
      <x:c r="R685" s="44" t="n">
        <x:v>156.15</x:v>
      </x:c>
    </x:row>
    <x:row r="686">
      <x:c r="A686" s="32" t="str">
        <x:v>GPT-5.6 Luna</x:v>
      </x:c>
      <x:c r="B686" s="32" t="str">
        <x:v>gpt-5.6-luna_unknown</x:v>
      </x:c>
      <x:c r="C686" s="32" t="str">
        <x:v>GPT-5.6 Luna (unknown thinking)</x:v>
      </x:c>
      <x:c r="D686" s="32" t="str">
        <x:v>OpenAI</x:v>
      </x:c>
      <x:c r="E686" s="32" t="str">
        <x:v>United States of America</x:v>
      </x:c>
      <x:c r="F686" s="34" t="n">
        <x:v>46212</x:v>
      </x:c>
      <x:c r="G686" s="32" t="str">
        <x:v>API access</x:v>
      </x:c>
      <x:c r="H686" s="34" t="n">
        <x:v>46212</x:v>
      </x:c>
      <x:c r="I686" s="52" t="str"/>
      <x:c r="J686" s="32" t="str">
        <x:v>Unverified</x:v>
      </x:c>
      <x:c r="K686" s="32" t="str"/>
      <x:c r="L686" s="32" t="str">
        <x:v>GPT-5.6 Luna (unknown thinking)</x:v>
      </x:c>
      <x:c r="M686" s="32" t="str"/>
      <x:c r="N686" s="32" t="str">
        <x:v>GPT-5.6 Luna</x:v>
      </x:c>
      <x:c r="O686" s="32" t="str">
        <x:v>gpt-5-6-luna</x:v>
      </x:c>
      <x:c r="P686" s="44" t="n">
        <x:v>155.62</x:v>
      </x:c>
      <x:c r="Q686" s="44" t="n">
        <x:v>152.89</x:v>
      </x:c>
      <x:c r="R686" s="44" t="n">
        <x:v>158.51</x:v>
      </x:c>
    </x:row>
    <x:row r="687">
      <x:c r="A687" s="32" t="str"/>
      <x:c r="B687" s="32" t="str">
        <x:v>Switch-Base</x:v>
      </x:c>
      <x:c r="C687" s="32" t="str"/>
      <x:c r="D687" s="32" t="str"/>
      <x:c r="E687" s="32" t="str"/>
      <x:c r="F687" s="34"/>
      <x:c r="G687" s="32" t="str"/>
      <x:c r="H687" s="34"/>
      <x:c r="I687" s="52" t="str"/>
      <x:c r="J687" s="32" t="str">
        <x:v>Unverified</x:v>
      </x:c>
      <x:c r="K687" s="32" t="str"/>
      <x:c r="L687" s="32" t="str"/>
      <x:c r="M687" s="32" t="str"/>
      <x:c r="N687" s="32" t="str"/>
      <x:c r="O687" s="32" t="str">
        <x:v>switch-base</x:v>
      </x:c>
      <x:c r="P687" s="44" t="str"/>
      <x:c r="Q687" s="44" t="str"/>
      <x:c r="R687" s="44" t="str"/>
    </x:row>
    <x:row r="688">
      <x:c r="A688" s="32" t="str"/>
      <x:c r="B688" s="32" t="str">
        <x:v>Switch-Large</x:v>
      </x:c>
      <x:c r="C688" s="32" t="str"/>
      <x:c r="D688" s="32" t="str"/>
      <x:c r="E688" s="32" t="str"/>
      <x:c r="F688" s="34"/>
      <x:c r="G688" s="32" t="str"/>
      <x:c r="H688" s="34"/>
      <x:c r="I688" s="52" t="str"/>
      <x:c r="J688" s="32" t="str">
        <x:v>Unverified</x:v>
      </x:c>
      <x:c r="K688" s="32" t="str"/>
      <x:c r="L688" s="32" t="str"/>
      <x:c r="M688" s="32" t="str"/>
      <x:c r="N688" s="32" t="str"/>
      <x:c r="O688" s="32" t="str">
        <x:v>switch-large</x:v>
      </x:c>
      <x:c r="P688" s="44" t="str"/>
      <x:c r="Q688" s="44" t="str"/>
      <x:c r="R688" s="44" t="str"/>
    </x:row>
    <x:row r="689">
      <x:c r="A689" s="32" t="str">
        <x:v>gpt-oss-120b</x:v>
      </x:c>
      <x:c r="B689" s="32" t="str">
        <x:v>gpt-oss-120b_unknown</x:v>
      </x:c>
      <x:c r="C689" s="32" t="str">
        <x:v>gpt-oss-120b (unknown thinking)</x:v>
      </x:c>
      <x:c r="D689" s="32" t="str">
        <x:v>OpenAI</x:v>
      </x:c>
      <x:c r="E689" s="32" t="str">
        <x:v>United States of America</x:v>
      </x:c>
      <x:c r="F689" s="34" t="n">
        <x:v>45874</x:v>
      </x:c>
      <x:c r="G689" s="32" t="str">
        <x:v>Open weights (unrestricted)</x:v>
      </x:c>
      <x:c r="H689" s="34" t="n">
        <x:v>45874</x:v>
      </x:c>
      <x:c r="I689" s="52" t="n">
        <x:v>4.94e+24</x:v>
      </x:c>
      <x:c r="J689" s="32" t="str">
        <x:v>Confident</x:v>
      </x:c>
      <x:c r="K689" s="32" t="str">
        <x:v>The larger one of OpenAI's two latest open source language models, evaluated with high reasoning effort.</x:v>
      </x:c>
      <x:c r="L689" s="32" t="str"/>
      <x:c r="M689" s="32" t="str"/>
      <x:c r="N689" s="32" t="str">
        <x:v>gpt-oss-120b</x:v>
      </x:c>
      <x:c r="O689" s="32" t="str">
        <x:v>gpt-oss-120b</x:v>
      </x:c>
      <x:c r="P689" s="44" t="n">
        <x:v>140.57</x:v>
      </x:c>
      <x:c r="Q689" s="44" t="n">
        <x:v>136.18</x:v>
      </x:c>
      <x:c r="R689" s="44" t="n">
        <x:v>143.08</x:v>
      </x:c>
    </x:row>
    <x:row r="690">
      <x:c r="A690" s="32" t="str">
        <x:v>gpt-oss-20b</x:v>
      </x:c>
      <x:c r="B690" s="32" t="str">
        <x:v>gpt-oss-20b_unknown</x:v>
      </x:c>
      <x:c r="C690" s="32" t="str">
        <x:v>gpt-oss-20b (unknown thinking)</x:v>
      </x:c>
      <x:c r="D690" s="32" t="str">
        <x:v>OpenAI</x:v>
      </x:c>
      <x:c r="E690" s="32" t="str">
        <x:v>United States of America</x:v>
      </x:c>
      <x:c r="F690" s="34" t="n">
        <x:v>45874</x:v>
      </x:c>
      <x:c r="G690" s="32" t="str">
        <x:v>Open weights (unrestricted)</x:v>
      </x:c>
      <x:c r="H690" s="34" t="n">
        <x:v>45874</x:v>
      </x:c>
      <x:c r="I690" s="52" t="n">
        <x:v>5.49e+23</x:v>
      </x:c>
      <x:c r="J690" s="32" t="str">
        <x:v>Confident</x:v>
      </x:c>
      <x:c r="K690" s="32" t="str">
        <x:v>The smaller one of OpenAI's two latest open source language models, evaluated with high reasoning effort.</x:v>
      </x:c>
      <x:c r="L690" s="32" t="str"/>
      <x:c r="M690" s="32" t="str"/>
      <x:c r="N690" s="32" t="str">
        <x:v>gpt-oss-20b</x:v>
      </x:c>
      <x:c r="O690" s="32" t="str">
        <x:v>gpt-oss-20b</x:v>
      </x:c>
      <x:c r="P690" s="44" t="str"/>
      <x:c r="Q690" s="44" t="str"/>
      <x:c r="R690" s="44" t="str"/>
    </x:row>
    <x:row r="691">
      <x:c r="A691" s="32" t="str"/>
      <x:c r="B691" s="32" t="str">
        <x:v>xiaoyi-deepresearch</x:v>
      </x:c>
      <x:c r="C691" s="32" t="str"/>
      <x:c r="D691" s="32" t="str"/>
      <x:c r="E691" s="32" t="str"/>
      <x:c r="F691" s="34" t="n">
        <x:v>46087</x:v>
      </x:c>
      <x:c r="G691" s="32" t="str"/>
      <x:c r="H691" s="34"/>
      <x:c r="I691" s="52" t="str"/>
      <x:c r="J691" s="32" t="str">
        <x:v>Unverified</x:v>
      </x:c>
      <x:c r="K691" s="32" t="str"/>
      <x:c r="L691" s="32" t="str"/>
      <x:c r="M691" s="32" t="str"/>
      <x:c r="N691" s="32" t="str"/>
      <x:c r="O691" s="32" t="str">
        <x:v>xiaoyi-deepresearch</x:v>
      </x:c>
      <x:c r="P691" s="44" t="str"/>
      <x:c r="Q691" s="44" t="str"/>
      <x:c r="R691" s="44" t="str"/>
    </x:row>
    <x:row r="692">
      <x:c r="A692" s="32" t="str">
        <x:v>Claude Opus 4.6</x:v>
      </x:c>
      <x:c r="B692" s="32" t="str">
        <x:v>claude-opus-4-6_medium</x:v>
      </x:c>
      <x:c r="C692" s="32" t="str">
        <x:v>Claude Opus 4.6 (medium)</x:v>
      </x:c>
      <x:c r="D692" s="32" t="str">
        <x:v>Anthropic</x:v>
      </x:c>
      <x:c r="E692" s="32" t="str">
        <x:v>United States of America</x:v>
      </x:c>
      <x:c r="F692" s="34" t="n">
        <x:v>46058</x:v>
      </x:c>
      <x:c r="G692" s="32" t="str">
        <x:v>API access</x:v>
      </x:c>
      <x:c r="H692" s="34" t="n">
        <x:v>46058</x:v>
      </x:c>
      <x:c r="I692" s="52" t="str"/>
      <x:c r="J692" s="32" t="str">
        <x:v>Likely</x:v>
      </x:c>
      <x:c r="K692" s="32" t="str"/>
      <x:c r="L692" s="32" t="str">
        <x:v>Claude Opus 4.6 (medium)</x:v>
      </x:c>
      <x:c r="M692" s="32" t="str"/>
      <x:c r="N692" s="32" t="str">
        <x:v>Claude Opus 4.6</x:v>
      </x:c>
      <x:c r="O692" s="32" t="str">
        <x:v>claude-opus-4-6</x:v>
      </x:c>
      <x:c r="P692" s="44" t="n">
        <x:v>155.31</x:v>
      </x:c>
      <x:c r="Q692" s="44" t="n">
        <x:v>153.34</x:v>
      </x:c>
      <x:c r="R692" s="44" t="n">
        <x:v>157.92</x:v>
      </x:c>
    </x:row>
    <x:row r="693">
      <x:c r="A693" s="32" t="str">
        <x:v>Claude Sonnet 4.5</x:v>
      </x:c>
      <x:c r="B693" s="32" t="str">
        <x:v>claude-sonnet-4-5-20250929_2K</x:v>
      </x:c>
      <x:c r="C693" s="32" t="str">
        <x:v>Claude Sonnet 4.5 (2k thinking)</x:v>
      </x:c>
      <x:c r="D693" s="32" t="str">
        <x:v>Anthropic</x:v>
      </x:c>
      <x:c r="E693" s="32" t="str">
        <x:v>United States of America</x:v>
      </x:c>
      <x:c r="F693" s="34" t="n">
        <x:v>45929</x:v>
      </x:c>
      <x:c r="G693" s="32" t="str">
        <x:v>API access</x:v>
      </x:c>
      <x:c r="H693" s="34" t="n">
        <x:v>45929</x:v>
      </x:c>
      <x:c r="I693" s="52" t="str"/>
      <x:c r="J693" s="32" t="str">
        <x:v>Unknown</x:v>
      </x:c>
      <x:c r="K693" s="32" t="str"/>
      <x:c r="L693" s="32" t="str">
        <x:v>Claude Sonnet 4.5 (2k thinking)</x:v>
      </x:c>
      <x:c r="M693" s="32" t="str"/>
      <x:c r="N693" s="32" t="str">
        <x:v>Claude Sonnet 4.5</x:v>
      </x:c>
      <x:c r="O693" s="32" t="str">
        <x:v>claude-sonnet-4-5</x:v>
      </x:c>
      <x:c r="P693" s="44" t="n">
        <x:v>146.75</x:v>
      </x:c>
      <x:c r="Q693" s="44" t="n">
        <x:v>144.71</x:v>
      </x:c>
      <x:c r="R693" s="44" t="n">
        <x:v>148.07</x:v>
      </x:c>
    </x:row>
    <x:row r="694">
      <x:c r="A694" s="32" t="str">
        <x:v>Claude Opus 4</x:v>
      </x:c>
      <x:c r="B694" s="32" t="str">
        <x:v>claude-opus-4-20250514_2K</x:v>
      </x:c>
      <x:c r="C694" s="32" t="str">
        <x:v>Claude Opus 4</x:v>
      </x:c>
      <x:c r="D694" s="32" t="str">
        <x:v>Anthropic</x:v>
      </x:c>
      <x:c r="E694" s="32" t="str">
        <x:v>United States of America</x:v>
      </x:c>
      <x:c r="F694" s="34" t="n">
        <x:v>45799</x:v>
      </x:c>
      <x:c r="G694" s="32" t="str">
        <x:v>API access</x:v>
      </x:c>
      <x:c r="H694" s="34" t="n">
        <x:v>45799</x:v>
      </x:c>
      <x:c r="I694" s="52" t="str"/>
      <x:c r="J694" s="32" t="str">
        <x:v>Unknown</x:v>
      </x:c>
      <x:c r="K694" s="32" t="str">
        <x:v>Anthropic's largest model in the Claude 4 series (superseded by Claude Opus 4.1), benchmarked with up to 2,000 reasoning tokens.</x:v>
      </x:c>
      <x:c r="L694" s="32" t="str">
        <x:v>Claude Opus 4 (2k thinking)</x:v>
      </x:c>
      <x:c r="M694" s="32" t="str"/>
      <x:c r="N694" s="32" t="str">
        <x:v>Claude Opus 4</x:v>
      </x:c>
      <x:c r="O694" s="32" t="str">
        <x:v>claude-opus-4</x:v>
      </x:c>
      <x:c r="P694" s="44" t="n">
        <x:v>142.89</x:v>
      </x:c>
      <x:c r="Q694" s="44" t="n">
        <x:v>140.36</x:v>
      </x:c>
      <x:c r="R694" s="44" t="n">
        <x:v>144.3</x:v>
      </x:c>
    </x:row>
    <x:row r="695">
      <x:c r="A695" s="32" t="str">
        <x:v>Claude Sonnet 4</x:v>
      </x:c>
      <x:c r="B695" s="32" t="str">
        <x:v>claude-sonnet-4-20250514_2K</x:v>
      </x:c>
      <x:c r="C695" s="32" t="str"/>
      <x:c r="D695" s="32" t="str">
        <x:v>Anthropic</x:v>
      </x:c>
      <x:c r="E695" s="32" t="str">
        <x:v>United States of America</x:v>
      </x:c>
      <x:c r="F695" s="34" t="n">
        <x:v>45799</x:v>
      </x:c>
      <x:c r="G695" s="32" t="str">
        <x:v>API access</x:v>
      </x:c>
      <x:c r="H695" s="34" t="n">
        <x:v>45799</x:v>
      </x:c>
      <x:c r="I695" s="52" t="str"/>
      <x:c r="J695" s="32" t="str">
        <x:v>Unknown</x:v>
      </x:c>
      <x:c r="K695" s="32" t="str">
        <x:v>Anthropic's mid-sized Claude 4 series model, evaluated at up to 2,000 reasoning tokens.</x:v>
      </x:c>
      <x:c r="L695" s="32" t="str">
        <x:v>Claude Sonnet 4 (2k thinking)</x:v>
      </x:c>
      <x:c r="M695" s="32" t="str"/>
      <x:c r="N695" s="32" t="str">
        <x:v>Claude Sonnet 4</x:v>
      </x:c>
      <x:c r="O695" s="32" t="str">
        <x:v>claude-sonnet-4</x:v>
      </x:c>
      <x:c r="P695" s="44" t="n">
        <x:v>142.15</x:v>
      </x:c>
      <x:c r="Q695" s="44" t="n">
        <x:v>139.04</x:v>
      </x:c>
      <x:c r="R695" s="44" t="n">
        <x:v>143.61</x:v>
      </x:c>
    </x:row>
    <x:row r="696">
      <x:c r="A696" s="32" t="str">
        <x:v>Claude 3.7 Sonnet</x:v>
      </x:c>
      <x:c r="B696" s="32" t="str">
        <x:v>claude-3-7-sonnet-20250219_2K</x:v>
      </x:c>
      <x:c r="C696" s="32" t="str">
        <x:v>Claude 3.7 Sonnet (2k thinking)</x:v>
      </x:c>
      <x:c r="D696" s="32" t="str">
        <x:v>Anthropic</x:v>
      </x:c>
      <x:c r="E696" s="32" t="str">
        <x:v>United States of America</x:v>
      </x:c>
      <x:c r="F696" s="34" t="n">
        <x:v>45712</x:v>
      </x:c>
      <x:c r="G696" s="32" t="str">
        <x:v>API access</x:v>
      </x:c>
      <x:c r="H696" s="34" t="n">
        <x:v>45712</x:v>
      </x:c>
      <x:c r="I696" s="52" t="n">
        <x:v>3.3499999999999998e+25</x:v>
      </x:c>
      <x:c r="J696" s="32" t="str">
        <x:v>Likely</x:v>
      </x:c>
      <x:c r="K696" s="32" t="str">
        <x:v>A previous flagship reasoning model from Anthropic, benchmarked with up to 2,000 reasoning tokens allowed.</x:v>
      </x:c>
      <x:c r="L696" s="32" t="str">
        <x:v>Claude 3.7 Sonnet (2k thinking)</x:v>
      </x:c>
      <x:c r="M696" s="32" t="str"/>
      <x:c r="N696" s="32" t="str">
        <x:v>Claude 3.7 Sonnet</x:v>
      </x:c>
      <x:c r="O696" s="32" t="str">
        <x:v>claude-3-7-sonnet</x:v>
      </x:c>
      <x:c r="P696" s="44" t="n">
        <x:v>141.7</x:v>
      </x:c>
      <x:c r="Q696" s="44" t="n">
        <x:v>139.28</x:v>
      </x:c>
      <x:c r="R696" s="44" t="n">
        <x:v>143.27</x:v>
      </x:c>
    </x:row>
    <x:row r="697">
      <x:c r="A697" s="32" t="str">
        <x:v>Sonar</x:v>
      </x:c>
      <x:c r="B697" s="32" t="str">
        <x:v>sonar-pro</x:v>
      </x:c>
      <x:c r="C697" s="32" t="str"/>
      <x:c r="D697" s="32" t="str">
        <x:v>Perplexity</x:v>
      </x:c>
      <x:c r="E697" s="32" t="str">
        <x:v>United States of America</x:v>
      </x:c>
      <x:c r="F697" s="34" t="n">
        <x:v>45678</x:v>
      </x:c>
      <x:c r="G697" s="32" t="str">
        <x:v>API access</x:v>
      </x:c>
      <x:c r="H697" s="34" t="n">
        <x:v>45699</x:v>
      </x:c>
      <x:c r="I697" s="52" t="str"/>
      <x:c r="J697" s="32" t="str">
        <x:v>Confident</x:v>
      </x:c>
      <x:c r="K697" s="32" t="str">
        <x:v>A search-optimized language model from Perplexity.</x:v>
      </x:c>
      <x:c r="L697" s="32" t="str">
        <x:v>Sonar Pro</x:v>
      </x:c>
      <x:c r="M697" s="32" t="str"/>
      <x:c r="N697" s="32" t="str">
        <x:v>Sonar</x:v>
      </x:c>
      <x:c r="O697" s="32" t="str">
        <x:v>sonar</x:v>
      </x:c>
      <x:c r="P697" s="44" t="str"/>
      <x:c r="Q697" s="44" t="str"/>
      <x:c r="R697" s="44" t="str"/>
    </x:row>
    <x:row r="698">
      <x:c r="A698" s="32" t="str">
        <x:v>GPT-5.5 Pro</x:v>
      </x:c>
      <x:c r="B698" s="32" t="str">
        <x:v>gpt-5.5-pro_unknown</x:v>
      </x:c>
      <x:c r="C698" s="32" t="str">
        <x:v>GPT-5.5 Pro (unknown thinking)</x:v>
      </x:c>
      <x:c r="D698" s="32" t="str">
        <x:v>OpenAI</x:v>
      </x:c>
      <x:c r="E698" s="32" t="str">
        <x:v>United States of America</x:v>
      </x:c>
      <x:c r="F698" s="34" t="n">
        <x:v>46135</x:v>
      </x:c>
      <x:c r="G698" s="32" t="str">
        <x:v>API access</x:v>
      </x:c>
      <x:c r="H698" s="34" t="n">
        <x:v>46135</x:v>
      </x:c>
      <x:c r="I698" s="52" t="str"/>
      <x:c r="J698" s="32" t="str">
        <x:v>Likely</x:v>
      </x:c>
      <x:c r="K698" s="32" t="str"/>
      <x:c r="L698" s="32" t="str"/>
      <x:c r="M698" s="32" t="str"/>
      <x:c r="N698" s="32" t="str">
        <x:v>GPT-5.5 Pro</x:v>
      </x:c>
      <x:c r="O698" s="32" t="str">
        <x:v>gpt-5-5-pro</x:v>
      </x:c>
      <x:c r="P698" s="44" t="n">
        <x:v>160.73</x:v>
      </x:c>
      <x:c r="Q698" s="44" t="n">
        <x:v>158.24</x:v>
      </x:c>
      <x:c r="R698" s="44" t="n">
        <x:v>164.36</x:v>
      </x:c>
    </x:row>
    <x:row r="699">
      <x:c r="A699" s="32" t="str">
        <x:v>GPT-5.6 Sol</x:v>
      </x:c>
      <x:c r="B699" s="32" t="str">
        <x:v>gpt-5.6-sol_prounknown</x:v>
      </x:c>
      <x:c r="C699" s="32" t="str">
        <x:v>GPT-5.6 Sol (pro, unknown thinking)</x:v>
      </x:c>
      <x:c r="D699" s="32" t="str">
        <x:v>OpenAI</x:v>
      </x:c>
      <x:c r="E699" s="32" t="str">
        <x:v>United States of America</x:v>
      </x:c>
      <x:c r="F699" s="34" t="n">
        <x:v>46212</x:v>
      </x:c>
      <x:c r="G699" s="32" t="str">
        <x:v>API access</x:v>
      </x:c>
      <x:c r="H699" s="34" t="n">
        <x:v>46212</x:v>
      </x:c>
      <x:c r="I699" s="52" t="str"/>
      <x:c r="J699" s="32" t="str">
        <x:v>Unverified</x:v>
      </x:c>
      <x:c r="K699" s="32" t="str"/>
      <x:c r="L699" s="32" t="str">
        <x:v>GPT-5.6 Sol (pro, unknown thinking)</x:v>
      </x:c>
      <x:c r="M699" s="32" t="str"/>
      <x:c r="N699" s="32" t="str">
        <x:v>GPT-5.6 Sol</x:v>
      </x:c>
      <x:c r="O699" s="32" t="str">
        <x:v>gpt-5-6-sol</x:v>
      </x:c>
      <x:c r="P699" s="44" t="n">
        <x:v>161.77</x:v>
      </x:c>
      <x:c r="Q699" s="44" t="n">
        <x:v>159.26</x:v>
      </x:c>
      <x:c r="R699" s="44" t="n">
        <x:v>166.01</x:v>
      </x:c>
    </x:row>
    <x:row r="700">
      <x:c r="A700" s="32" t="str">
        <x:v>Claude Sonnet 5</x:v>
      </x:c>
      <x:c r="B700" s="32" t="str">
        <x:v>claude-sonnet-5_unknown</x:v>
      </x:c>
      <x:c r="C700" s="32" t="str">
        <x:v>Claude Sonnet 5 (unknown thinking)</x:v>
      </x:c>
      <x:c r="D700" s="32" t="str">
        <x:v>Anthropic</x:v>
      </x:c>
      <x:c r="E700" s="32" t="str">
        <x:v>United States of America</x:v>
      </x:c>
      <x:c r="F700" s="34" t="n">
        <x:v>46203</x:v>
      </x:c>
      <x:c r="G700" s="32" t="str">
        <x:v>API access</x:v>
      </x:c>
      <x:c r="H700" s="34" t="n">
        <x:v>46203</x:v>
      </x:c>
      <x:c r="I700" s="52" t="str"/>
      <x:c r="J700" s="32" t="str">
        <x:v>Confident</x:v>
      </x:c>
      <x:c r="K700" s="32" t="str"/>
      <x:c r="L700" s="32" t="str">
        <x:v>Claude Sonnet 5 (unknown thinking)</x:v>
      </x:c>
      <x:c r="M700" s="32" t="str"/>
      <x:c r="N700" s="32" t="str">
        <x:v>Claude Sonnet 5</x:v>
      </x:c>
      <x:c r="O700" s="32" t="str">
        <x:v>claude-sonnet-5</x:v>
      </x:c>
      <x:c r="P700" s="44" t="n">
        <x:v>153.2</x:v>
      </x:c>
      <x:c r="Q700" s="44" t="n">
        <x:v>150.47</x:v>
      </x:c>
      <x:c r="R700" s="44" t="n">
        <x:v>155.24</x:v>
      </x:c>
    </x:row>
    <x:row r="701">
      <x:c r="A701" s="32" t="str">
        <x:v>Claude Opus 4</x:v>
      </x:c>
      <x:c r="B701" s="32" t="str">
        <x:v>claude-opus-4-20250514_12K</x:v>
      </x:c>
      <x:c r="C701" s="32" t="str">
        <x:v>Claude Opus 4 </x:v>
      </x:c>
      <x:c r="D701" s="32" t="str">
        <x:v>Anthropic</x:v>
      </x:c>
      <x:c r="E701" s="32" t="str">
        <x:v>United States of America</x:v>
      </x:c>
      <x:c r="F701" s="34" t="n">
        <x:v>45799</x:v>
      </x:c>
      <x:c r="G701" s="32" t="str">
        <x:v>API access</x:v>
      </x:c>
      <x:c r="H701" s="34" t="n">
        <x:v>45799</x:v>
      </x:c>
      <x:c r="I701" s="52" t="str"/>
      <x:c r="J701" s="32" t="str">
        <x:v>Unknown</x:v>
      </x:c>
      <x:c r="K701" s="32" t="str">
        <x:v>Anthropic's largest model in the Claude 4 series (superseded by Claude Opus 4.1), benchmarked with up to 12,000 reasoning tokens.</x:v>
      </x:c>
      <x:c r="L701" s="32" t="str">
        <x:v>Claude Opus 4 (12k thinking)</x:v>
      </x:c>
      <x:c r="M701" s="32" t="str"/>
      <x:c r="N701" s="32" t="str">
        <x:v>Claude Opus 4</x:v>
      </x:c>
      <x:c r="O701" s="32" t="str">
        <x:v>claude-opus-4</x:v>
      </x:c>
      <x:c r="P701" s="44" t="n">
        <x:v>142.89</x:v>
      </x:c>
      <x:c r="Q701" s="44" t="n">
        <x:v>140.36</x:v>
      </x:c>
      <x:c r="R701" s="44" t="n">
        <x:v>144.3</x:v>
      </x:c>
    </x:row>
    <x:row r="702">
      <x:c r="A702" s="32" t="str">
        <x:v>GPT-5.2 Pro</x:v>
      </x:c>
      <x:c r="B702" s="32" t="str">
        <x:v>gpt-5.2-pro-2025-12-11</x:v>
      </x:c>
      <x:c r="C702" s="32" t="str">
        <x:v>GPT-5.2 Pro</x:v>
      </x:c>
      <x:c r="D702" s="32" t="str">
        <x:v>OpenAI</x:v>
      </x:c>
      <x:c r="E702" s="32" t="str">
        <x:v>United States of America</x:v>
      </x:c>
      <x:c r="F702" s="34" t="n">
        <x:v>46002</x:v>
      </x:c>
      <x:c r="G702" s="32" t="str">
        <x:v>API access</x:v>
      </x:c>
      <x:c r="H702" s="34" t="n">
        <x:v>46002</x:v>
      </x:c>
      <x:c r="I702" s="52" t="str"/>
      <x:c r="J702" s="32" t="str">
        <x:v>Likely</x:v>
      </x:c>
      <x:c r="K702" s="32" t="str"/>
      <x:c r="L702" s="32" t="str">
        <x:v>GPT-5.2 Pro</x:v>
      </x:c>
      <x:c r="M702" s="32" t="str"/>
      <x:c r="N702" s="32" t="str">
        <x:v>GPT-5.2 Pro</x:v>
      </x:c>
      <x:c r="O702" s="32" t="str">
        <x:v>gpt-5-2-pro</x:v>
      </x:c>
      <x:c r="P702" s="44" t="n">
        <x:v>154.65</x:v>
      </x:c>
      <x:c r="Q702" s="44" t="n">
        <x:v>152.88</x:v>
      </x:c>
      <x:c r="R702" s="44" t="n">
        <x:v>157.03</x:v>
      </x:c>
    </x:row>
    <x:row r="703">
      <x:c r="A703" s="32" t="str">
        <x:v>Grok 4.1 Fast</x:v>
      </x:c>
      <x:c r="B703" s="32" t="str">
        <x:v>grok-4-1-fast-non-reasoning</x:v>
      </x:c>
      <x:c r="C703" s="32" t="str"/>
      <x:c r="D703" s="32" t="str">
        <x:v>xAI</x:v>
      </x:c>
      <x:c r="E703" s="32" t="str">
        <x:v>United States of America</x:v>
      </x:c>
      <x:c r="F703" s="34" t="n">
        <x:v>45980</x:v>
      </x:c>
      <x:c r="G703" s="32" t="str">
        <x:v>API access</x:v>
      </x:c>
      <x:c r="H703" s="34" t="n">
        <x:v>45980</x:v>
      </x:c>
      <x:c r="I703" s="52" t="str"/>
      <x:c r="J703" s="32" t="str">
        <x:v>Unknown</x:v>
      </x:c>
      <x:c r="K703" s="32" t="str"/>
      <x:c r="L703" s="32" t="str"/>
      <x:c r="M703" s="32" t="str"/>
      <x:c r="N703" s="32" t="str">
        <x:v>Grok 4.1 Fast</x:v>
      </x:c>
      <x:c r="O703" s="32" t="str">
        <x:v>grok-4-1-fast</x:v>
      </x:c>
      <x:c r="P703" s="44" t="str"/>
      <x:c r="Q703" s="44" t="str"/>
      <x:c r="R703" s="44" t="str"/>
    </x:row>
    <x:row r="704">
      <x:c r="A704" s="32" t="str">
        <x:v>Claude Sonnet 4.5</x:v>
      </x:c>
      <x:c r="B704" s="32" t="str">
        <x:v>claude-sonnet-4-5-20250929_12K</x:v>
      </x:c>
      <x:c r="C704" s="32" t="str">
        <x:v>Claude Sonnet 4.5 (12k thinking)</x:v>
      </x:c>
      <x:c r="D704" s="32" t="str">
        <x:v>Anthropic</x:v>
      </x:c>
      <x:c r="E704" s="32" t="str">
        <x:v>United States of America</x:v>
      </x:c>
      <x:c r="F704" s="34" t="n">
        <x:v>45929</x:v>
      </x:c>
      <x:c r="G704" s="32" t="str">
        <x:v>API access</x:v>
      </x:c>
      <x:c r="H704" s="34" t="n">
        <x:v>45929</x:v>
      </x:c>
      <x:c r="I704" s="52" t="str"/>
      <x:c r="J704" s="32" t="str">
        <x:v>Unknown</x:v>
      </x:c>
      <x:c r="K704" s="32" t="str"/>
      <x:c r="L704" s="32" t="str">
        <x:v>Claude Sonnet 4.5 (12k thinking)</x:v>
      </x:c>
      <x:c r="M704" s="32" t="str"/>
      <x:c r="N704" s="32" t="str">
        <x:v>Claude Sonnet 4.5</x:v>
      </x:c>
      <x:c r="O704" s="32" t="str">
        <x:v>claude-sonnet-4-5</x:v>
      </x:c>
      <x:c r="P704" s="44" t="n">
        <x:v>146.75</x:v>
      </x:c>
      <x:c r="Q704" s="44" t="n">
        <x:v>144.71</x:v>
      </x:c>
      <x:c r="R704" s="44" t="n">
        <x:v>148.07</x:v>
      </x:c>
    </x:row>
    <x:row r="705">
      <x:c r="A705" s="32" t="str">
        <x:v>Claude 3.7 Sonnet</x:v>
      </x:c>
      <x:c r="B705" s="32" t="str">
        <x:v>claude-3-7-sonnet-20250219_12K</x:v>
      </x:c>
      <x:c r="C705" s="32" t="str">
        <x:v>Claude 3.7 Sonnet (12k thinking)</x:v>
      </x:c>
      <x:c r="D705" s="32" t="str">
        <x:v>Anthropic</x:v>
      </x:c>
      <x:c r="E705" s="32" t="str">
        <x:v>United States of America</x:v>
      </x:c>
      <x:c r="F705" s="34" t="n">
        <x:v>45712</x:v>
      </x:c>
      <x:c r="G705" s="32" t="str">
        <x:v>API access</x:v>
      </x:c>
      <x:c r="H705" s="34" t="n">
        <x:v>45712</x:v>
      </x:c>
      <x:c r="I705" s="52" t="n">
        <x:v>3.3499999999999998e+25</x:v>
      </x:c>
      <x:c r="J705" s="32" t="str">
        <x:v>Likely</x:v>
      </x:c>
      <x:c r="K705" s="32" t="str">
        <x:v>A previous flagship reasoning model from Anthropic, benchmarked with up to 12,000 reasoning tokens allowed.</x:v>
      </x:c>
      <x:c r="L705" s="32" t="str">
        <x:v>Claude 3.7 Sonnet (12k thinking)</x:v>
      </x:c>
      <x:c r="M705" s="32" t="str"/>
      <x:c r="N705" s="32" t="str">
        <x:v>Claude 3.7 Sonnet</x:v>
      </x:c>
      <x:c r="O705" s="32" t="str">
        <x:v>claude-3-7-sonnet</x:v>
      </x:c>
      <x:c r="P705" s="44" t="n">
        <x:v>141.7</x:v>
      </x:c>
      <x:c r="Q705" s="44" t="n">
        <x:v>139.28</x:v>
      </x:c>
      <x:c r="R705" s="44" t="n">
        <x:v>143.27</x:v>
      </x:c>
    </x:row>
    <x:row r="706">
      <x:c r="A706" s="32" t="str">
        <x:v>Claude Sonnet 4</x:v>
      </x:c>
      <x:c r="B706" s="32" t="str">
        <x:v>claude-sonnet-4-20250514_12K</x:v>
      </x:c>
      <x:c r="C706" s="32" t="str"/>
      <x:c r="D706" s="32" t="str">
        <x:v>Anthropic</x:v>
      </x:c>
      <x:c r="E706" s="32" t="str">
        <x:v>United States of America</x:v>
      </x:c>
      <x:c r="F706" s="34" t="n">
        <x:v>45799</x:v>
      </x:c>
      <x:c r="G706" s="32" t="str">
        <x:v>API access</x:v>
      </x:c>
      <x:c r="H706" s="34" t="n">
        <x:v>45799</x:v>
      </x:c>
      <x:c r="I706" s="52" t="str"/>
      <x:c r="J706" s="32" t="str">
        <x:v>Unknown</x:v>
      </x:c>
      <x:c r="K706" s="32" t="str">
        <x:v>Anthropic's mid-sized Claude 4 series model, evaluated at up to 12,000 reasoning tokens.</x:v>
      </x:c>
      <x:c r="L706" s="32" t="str">
        <x:v>Claude Sonnet 4 (12k thinking)</x:v>
      </x:c>
      <x:c r="M706" s="32" t="str"/>
      <x:c r="N706" s="32" t="str">
        <x:v>Claude Sonnet 4</x:v>
      </x:c>
      <x:c r="O706" s="32" t="str">
        <x:v>claude-sonnet-4</x:v>
      </x:c>
      <x:c r="P706" s="44" t="n">
        <x:v>142.15</x:v>
      </x:c>
      <x:c r="Q706" s="44" t="n">
        <x:v>139.04</x:v>
      </x:c>
      <x:c r="R706" s="44" t="n">
        <x:v>143.61</x:v>
      </x:c>
    </x:row>
    <x:row r="707">
      <x:c r="A707" s="32" t="str">
        <x:v>Reka Flash 3</x:v>
      </x:c>
      <x:c r="B707" s="32" t="str">
        <x:v>reka-flash-3</x:v>
      </x:c>
      <x:c r="C707" s="32" t="str"/>
      <x:c r="D707" s="32" t="str">
        <x:v>Reka AI</x:v>
      </x:c>
      <x:c r="E707" s="32" t="str">
        <x:v>United States of America</x:v>
      </x:c>
      <x:c r="F707" s="34" t="n">
        <x:v>45726</x:v>
      </x:c>
      <x:c r="G707" s="32" t="str">
        <x:v>Open weights (unrestricted)</x:v>
      </x:c>
      <x:c r="H707" s="34" t="n">
        <x:v>45726</x:v>
      </x:c>
      <x:c r="I707" s="52" t="str"/>
      <x:c r="J707" s="32" t="str">
        <x:v>Confident</x:v>
      </x:c>
      <x:c r="K707" s="32" t="str"/>
      <x:c r="L707" s="32" t="str">
        <x:v>Reka Flash 3</x:v>
      </x:c>
      <x:c r="M707" s="32" t="str"/>
      <x:c r="N707" s="32" t="str">
        <x:v>Reka Flash 3</x:v>
      </x:c>
      <x:c r="O707" s="32" t="str">
        <x:v>reka-flash-3</x:v>
      </x:c>
      <x:c r="P707" s="44" t="str"/>
      <x:c r="Q707" s="44" t="str"/>
      <x:c r="R707" s="44" t="str"/>
    </x:row>
    <x:row r="708">
      <x:c r="A708" s="32" t="str">
        <x:v>Mistral NeMo</x:v>
      </x:c>
      <x:c r="B708" s="32" t="str">
        <x:v>Mistral-Nemo-Instruct-2407</x:v>
      </x:c>
      <x:c r="C708" s="32" t="str"/>
      <x:c r="D708" s="32" t="str">
        <x:v>Mistral AI</x:v>
      </x:c>
      <x:c r="E708" s="32" t="str">
        <x:v>France</x:v>
      </x:c>
      <x:c r="F708" s="34" t="n">
        <x:v>45491</x:v>
      </x:c>
      <x:c r="G708" s="32" t="str">
        <x:v>Open weights (unrestricted)</x:v>
      </x:c>
      <x:c r="H708" s="34" t="n">
        <x:v>45491</x:v>
      </x:c>
      <x:c r="I708" s="52" t="str"/>
      <x:c r="J708" s="32" t="str">
        <x:v>Confident</x:v>
      </x:c>
      <x:c r="K708" s="32" t="str"/>
      <x:c r="L708" s="32" t="str"/>
      <x:c r="M708" s="32" t="str"/>
      <x:c r="N708" s="32" t="str">
        <x:v>Mistral NeMo</x:v>
      </x:c>
      <x:c r="O708" s="32" t="str">
        <x:v>mistral-nemo</x:v>
      </x:c>
      <x:c r="P708" s="44" t="n">
        <x:v>118.38</x:v>
      </x:c>
      <x:c r="Q708" s="44" t="n">
        <x:v>109.85</x:v>
      </x:c>
      <x:c r="R708" s="44" t="n">
        <x:v>121.76</x:v>
      </x:c>
    </x:row>
    <x:row r="709">
      <x:c r="A709" s="32" t="str">
        <x:v>Llama 3.2 3B</x:v>
      </x:c>
      <x:c r="B709" s="32" t="str">
        <x:v>Llama-3.2-3B-Instruct</x:v>
      </x:c>
      <x:c r="C709" s="32" t="str"/>
      <x:c r="D709" s="32" t="str">
        <x:v>Meta AI</x:v>
      </x:c>
      <x:c r="E709" s="32" t="str">
        <x:v>United States of America</x:v>
      </x:c>
      <x:c r="F709" s="34" t="n">
        <x:v>45559</x:v>
      </x:c>
      <x:c r="G709" s="32" t="str">
        <x:v>Open weights (restricted use)</x:v>
      </x:c>
      <x:c r="H709" s="34" t="n">
        <x:v>45559</x:v>
      </x:c>
      <x:c r="I709" s="52" t="n">
        <x:v>1.7334e+23</x:v>
      </x:c>
      <x:c r="J709" s="32" t="str">
        <x:v>Confident</x:v>
      </x:c>
      <x:c r="K709" s="32" t="str">
        <x:v>A 3 billion-parameter instruction-tuned model in Meta's Llama 3.2 series.</x:v>
      </x:c>
      <x:c r="L709" s="32" t="str"/>
      <x:c r="M709" s="32" t="str"/>
      <x:c r="N709" s="32" t="str">
        <x:v>Llama 3.2 3B</x:v>
      </x:c>
      <x:c r="O709" s="32" t="str">
        <x:v>llama-3-2-3b</x:v>
      </x:c>
      <x:c r="P709" s="44" t="str"/>
      <x:c r="Q709" s="44" t="str"/>
      <x:c r="R709" s="44" t="str"/>
    </x:row>
    <x:row r="710">
      <x:c r="A710" s="32" t="str">
        <x:v>Llama 3.2 1B</x:v>
      </x:c>
      <x:c r="B710" s="32" t="str">
        <x:v>Llama-3.2-1B-Instruct</x:v>
      </x:c>
      <x:c r="C710" s="32" t="str"/>
      <x:c r="D710" s="32" t="str">
        <x:v>Meta AI</x:v>
      </x:c>
      <x:c r="E710" s="32" t="str">
        <x:v>United States of America</x:v>
      </x:c>
      <x:c r="F710" s="34" t="n">
        <x:v>45559</x:v>
      </x:c>
      <x:c r="G710" s="32" t="str">
        <x:v>Open weights (restricted use)</x:v>
      </x:c>
      <x:c r="H710" s="34" t="n">
        <x:v>45559</x:v>
      </x:c>
      <x:c r="I710" s="52" t="n">
        <x:v>6.642e+22</x:v>
      </x:c>
      <x:c r="J710" s="32" t="str">
        <x:v>Confident</x:v>
      </x:c>
      <x:c r="K710" s="32" t="str">
        <x:v>A 1 billion-parameter instruction-tuned model in Meta's Llama 3.2 series.</x:v>
      </x:c>
      <x:c r="L710" s="32" t="str"/>
      <x:c r="M710" s="32" t="str"/>
      <x:c r="N710" s="32" t="str">
        <x:v>Llama 3.2 1B</x:v>
      </x:c>
      <x:c r="O710" s="32" t="str">
        <x:v>llama-3-2-1b</x:v>
      </x:c>
      <x:c r="P710" s="44" t="str"/>
      <x:c r="Q710" s="44" t="str"/>
      <x:c r="R710" s="44" t="str"/>
    </x:row>
    <x:row r="711">
      <x:c r="A711" s="32" t="str">
        <x:v>GPT-3.5 (davinci-002)
</x:v>
      </x:c>
      <x:c r="B711" s="32" t="str">
        <x:v>code-davinci-002</x:v>
      </x:c>
      <x:c r="C711" s="32" t="str"/>
      <x:c r="D711" s="32" t="str">
        <x:v>OpenAI</x:v>
      </x:c>
      <x:c r="E711" s="32" t="str">
        <x:v>United States of America</x:v>
      </x:c>
      <x:c r="F711" s="34" t="n">
        <x:v>44635</x:v>
      </x:c>
      <x:c r="G711" s="32" t="str">
        <x:v>API access</x:v>
      </x:c>
      <x:c r="H711" s="34" t="n">
        <x:v>44635</x:v>
      </x:c>
      <x:c r="I711" s="52" t="n">
        <x:v>2.578e+24</x:v>
      </x:c>
      <x:c r="J711" s="32" t="str">
        <x:v>Speculative</x:v>
      </x:c>
      <x:c r="K711" s="32" t="str"/>
      <x:c r="L711" s="32" t="str"/>
      <x:c r="M711" s="32" t="str">
        <x:v>davinci-002</x:v>
      </x:c>
      <x:c r="N711" s="32" t="str">
        <x:v>davinci-002</x:v>
      </x:c>
      <x:c r="O711" s="32" t="str">
        <x:v>davinci-002</x:v>
      </x:c>
      <x:c r="P711" s="44" t="str"/>
      <x:c r="Q711" s="44" t="str"/>
      <x:c r="R711" s="44" t="str"/>
    </x:row>
    <x:row r="712">
      <x:c r="A712" s="32" t="str">
        <x:v>Falcon-40B</x:v>
      </x:c>
      <x:c r="B712" s="32" t="str">
        <x:v>falcon-40b-instruct</x:v>
      </x:c>
      <x:c r="C712" s="32" t="str"/>
      <x:c r="D712" s="32" t="str">
        <x:v>Technology Innovation Institute</x:v>
      </x:c>
      <x:c r="E712" s="32" t="str">
        <x:v>United Arab Emirates</x:v>
      </x:c>
      <x:c r="F712" s="34" t="n">
        <x:v>45071</x:v>
      </x:c>
      <x:c r="G712" s="32" t="str">
        <x:v>Open weights (unrestricted)</x:v>
      </x:c>
      <x:c r="H712" s="34" t="n">
        <x:v>45000</x:v>
      </x:c>
      <x:c r="I712" s="52" t="n">
        <x:v>2.4e+23</x:v>
      </x:c>
      <x:c r="J712" s="32" t="str">
        <x:v>Confident</x:v>
      </x:c>
      <x:c r="K712" s="32" t="str"/>
      <x:c r="L712" s="32" t="str"/>
      <x:c r="M712" s="32" t="str"/>
      <x:c r="N712" s="32" t="str">
        <x:v>Falcon-40B</x:v>
      </x:c>
      <x:c r="O712" s="32" t="str">
        <x:v>falcon-40b</x:v>
      </x:c>
      <x:c r="P712" s="44" t="n">
        <x:v>104.19</x:v>
      </x:c>
      <x:c r="Q712" s="44" t="n">
        <x:v>94.99</x:v>
      </x:c>
      <x:c r="R712" s="44" t="n">
        <x:v>110.58</x:v>
      </x:c>
    </x:row>
    <x:row r="713">
      <x:c r="A713" s="32" t="str"/>
      <x:c r="B713" s="32" t="str">
        <x:v>DeepSeek-Coder-V2-Lite-Instruct</x:v>
      </x:c>
      <x:c r="C713" s="32" t="str"/>
      <x:c r="D713" s="32" t="str"/>
      <x:c r="E713" s="32" t="str"/>
      <x:c r="F713" s="34" t="n">
        <x:v>45456</x:v>
      </x:c>
      <x:c r="G713" s="32" t="str"/>
      <x:c r="H713" s="34"/>
      <x:c r="I713" s="52" t="str"/>
      <x:c r="J713" s="32" t="str">
        <x:v>Unverified</x:v>
      </x:c>
      <x:c r="K713" s="32" t="str"/>
      <x:c r="L713" s="32" t="str"/>
      <x:c r="M713" s="32" t="str"/>
      <x:c r="N713" s="32" t="str"/>
      <x:c r="O713" s="32" t="str">
        <x:v>deepseek-coder-v2-lite-instruct</x:v>
      </x:c>
      <x:c r="P713" s="44" t="str"/>
      <x:c r="Q713" s="44" t="str"/>
      <x:c r="R713" s="44" t="str"/>
    </x:row>
    <x:row r="714">
      <x:c r="A714" s="32" t="str">
        <x:v>DeepSeek-Coder-V2 236B</x:v>
      </x:c>
      <x:c r="B714" s="32" t="str">
        <x:v>DeepSeek-Coder-V2-Instruct</x:v>
      </x:c>
      <x:c r="C714" s="32" t="str"/>
      <x:c r="D714" s="32" t="str">
        <x:v>DeepSeek</x:v>
      </x:c>
      <x:c r="E714" s="32" t="str">
        <x:v>China</x:v>
      </x:c>
      <x:c r="F714" s="34" t="n">
        <x:v>45460</x:v>
      </x:c>
      <x:c r="G714" s="32" t="str">
        <x:v>Open weights (restricted use)</x:v>
      </x:c>
      <x:c r="H714" s="34" t="n">
        <x:v>45460</x:v>
      </x:c>
      <x:c r="I714" s="52" t="n">
        <x:v>1.2852e+24</x:v>
      </x:c>
      <x:c r="J714" s="32" t="str">
        <x:v>Confident</x:v>
      </x:c>
      <x:c r="K714" s="32" t="str">
        <x:v>An instruction-tuned version of DeepSeek Coder V2, a 236 billion-parameter coding-optimized model from DeepSeek.</x:v>
      </x:c>
      <x:c r="L714" s="32" t="str">
        <x:v>DeepSeek-Coder-V2 (instruct)</x:v>
      </x:c>
      <x:c r="M714" s="32" t="str"/>
      <x:c r="N714" s="32" t="str">
        <x:v>DeepSeek-Coder-V2 236B</x:v>
      </x:c>
      <x:c r="O714" s="32" t="str">
        <x:v>deepseek-coder-v2-236b</x:v>
      </x:c>
      <x:c r="P714" s="44" t="str"/>
      <x:c r="Q714" s="44" t="str"/>
      <x:c r="R714" s="44" t="str"/>
    </x:row>
    <x:row r="715">
      <x:c r="A715" s="32" t="str"/>
      <x:c r="B715" s="32" t="str">
        <x:v>Qwen2.5-Coder-3B-Instruct</x:v>
      </x:c>
      <x:c r="C715" s="32" t="str"/>
      <x:c r="D715" s="32" t="str"/>
      <x:c r="E715" s="32" t="str"/>
      <x:c r="F715" s="34" t="n">
        <x:v>45602</x:v>
      </x:c>
      <x:c r="G715" s="32" t="str"/>
      <x:c r="H715" s="34"/>
      <x:c r="I715" s="52" t="str"/>
      <x:c r="J715" s="32" t="str">
        <x:v>Unverified</x:v>
      </x:c>
      <x:c r="K715" s="32" t="str">
        <x:v>An instruction-tuned and coding-optimized 3 billion-parameter model in the Qwen 2.5 series.</x:v>
      </x:c>
      <x:c r="L715" s="32" t="str"/>
      <x:c r="M715" s="32" t="str"/>
      <x:c r="N715" s="32" t="str"/>
      <x:c r="O715" s="32" t="str">
        <x:v>qwen2-5-coder-3b-instruct</x:v>
      </x:c>
      <x:c r="P715" s="44" t="str"/>
      <x:c r="Q715" s="44" t="str"/>
      <x:c r="R715" s="44" t="str"/>
    </x:row>
    <x:row r="716">
      <x:c r="A716" s="32" t="str">
        <x:v>Qwen2.5-Coder (7B)</x:v>
      </x:c>
      <x:c r="B716" s="32" t="str">
        <x:v>Qwen2.5-Coder-7B-Instruct</x:v>
      </x:c>
      <x:c r="C716" s="32" t="str"/>
      <x:c r="D716" s="32" t="str">
        <x:v>Alibaba</x:v>
      </x:c>
      <x:c r="E716" s="32" t="str">
        <x:v>China</x:v>
      </x:c>
      <x:c r="F716" s="34" t="n">
        <x:v>45552</x:v>
      </x:c>
      <x:c r="G716" s="32" t="str">
        <x:v>Open weights (unrestricted)</x:v>
      </x:c>
      <x:c r="H716" s="34" t="n">
        <x:v>45553</x:v>
      </x:c>
      <x:c r="I716" s="52" t="n">
        <x:v>2.5113e+23</x:v>
      </x:c>
      <x:c r="J716" s="32" t="str">
        <x:v>Confident</x:v>
      </x:c>
      <x:c r="K716" s="32" t="str">
        <x:v>An instruction-tuned and coding-optimized 7 billion-parameter model in the Qwen 2.5 series.</x:v>
      </x:c>
      <x:c r="L716" s="32" t="str">
        <x:v>Qwen2.5-Coder-7B (instruct)</x:v>
      </x:c>
      <x:c r="M716" s="32" t="str"/>
      <x:c r="N716" s="32" t="str">
        <x:v>Qwen2.5-Coder (7B)</x:v>
      </x:c>
      <x:c r="O716" s="32" t="str">
        <x:v>qwen2-5-coder-7b</x:v>
      </x:c>
      <x:c r="P716" s="44" t="n">
        <x:v>112.91</x:v>
      </x:c>
      <x:c r="Q716" s="44" t="n">
        <x:v>102.1</x:v>
      </x:c>
      <x:c r="R716" s="44" t="n">
        <x:v>118.64</x:v>
      </x:c>
    </x:row>
    <x:row r="717">
      <x:c r="A717" s="32" t="str"/>
      <x:c r="B717" s="32" t="str">
        <x:v>Qwen2.5-Coder-14B-Instruct</x:v>
      </x:c>
      <x:c r="C717" s="32" t="str"/>
      <x:c r="D717" s="32" t="str"/>
      <x:c r="E717" s="32" t="str"/>
      <x:c r="F717" s="34" t="n">
        <x:v>45602</x:v>
      </x:c>
      <x:c r="G717" s="32" t="str"/>
      <x:c r="H717" s="34"/>
      <x:c r="I717" s="52" t="str"/>
      <x:c r="J717" s="32" t="str">
        <x:v>Unverified</x:v>
      </x:c>
      <x:c r="K717" s="32" t="str">
        <x:v>An instruction-tuned and coding-optimized 14 billion-parameter model in the Qwen 2.5 series.</x:v>
      </x:c>
      <x:c r="L717" s="32" t="str"/>
      <x:c r="M717" s="32" t="str"/>
      <x:c r="N717" s="32" t="str"/>
      <x:c r="O717" s="32" t="str">
        <x:v>qwen2-5-coder-14b-instruct</x:v>
      </x:c>
      <x:c r="P717" s="44" t="str"/>
      <x:c r="Q717" s="44" t="str"/>
      <x:c r="R717" s="44" t="str"/>
    </x:row>
    <x:row r="718">
      <x:c r="A718" s="32" t="str">
        <x:v>QwQ-32B</x:v>
      </x:c>
      <x:c r="B718" s="32" t="str">
        <x:v>QwQ-32B (16K thinking)</x:v>
      </x:c>
      <x:c r="C718" s="32" t="str"/>
      <x:c r="D718" s="32" t="str">
        <x:v>Alibaba</x:v>
      </x:c>
      <x:c r="E718" s="32" t="str">
        <x:v>China</x:v>
      </x:c>
      <x:c r="F718" s="34" t="n">
        <x:v>45721</x:v>
      </x:c>
      <x:c r="G718" s="32" t="str">
        <x:v>Open weights (unrestricted)</x:v>
      </x:c>
      <x:c r="H718" s="34" t="n">
        <x:v>45722</x:v>
      </x:c>
      <x:c r="I718" s="52" t="n">
        <x:v>3.51e+24</x:v>
      </x:c>
      <x:c r="J718" s="32" t="str">
        <x:v>Speculative</x:v>
      </x:c>
      <x:c r="K718" s="32" t="str"/>
      <x:c r="L718" s="32" t="str">
        <x:v>QwQ 32B (16k thinking)</x:v>
      </x:c>
      <x:c r="M718" s="32" t="str">
        <x:v>QwQ-32B</x:v>
      </x:c>
      <x:c r="N718" s="32" t="str">
        <x:v>QwQ-32B</x:v>
      </x:c>
      <x:c r="O718" s="32" t="str">
        <x:v>qwq-32b</x:v>
      </x:c>
      <x:c r="P718" s="44" t="str"/>
      <x:c r="Q718" s="44" t="str"/>
      <x:c r="R718" s="44" t="str"/>
    </x:row>
  </x:sheetData>
  <x:pageMargins left="0.7" right="0.7" top="0.75" bottom="0.75" header="0.3" footer="0.3"/>
  <x:tableParts count="1">
    <x:tablePart xmlns:r="http://schemas.openxmlformats.org/officeDocument/2006/relationships" r:id="Rc71b8ee285d84cf6"/>
  </x:tableParts>
</x:worksheet>
</file>

<file path=xl/worksheets/sheet8.xml><?xml version="1.0" encoding="utf-8"?>
<x:worksheet xmlns:x="http://schemas.openxmlformats.org/spreadsheetml/2006/main">
  <x:sheetFormatPr defaultRowHeight="15"/>
  <x:cols>
    <x:col min="1" max="1" width="34" hidden="0" customWidth="1"/>
    <x:col min="2" max="2" width="92" hidden="0" customWidth="1"/>
    <x:col min="3" max="3" width="70" hidden="0" customWidth="1"/>
  </x:cols>
  <x:sheetData>
    <x:row r="1" ht="24" customHeight="1">
      <x:c r="A1" s="70" t="str">
        <x:v>Sources and methodology</x:v>
      </x:c>
      <x:c r="B1" s="47"/>
      <x:c r="C1" s="47"/>
      <x:c r="D1" s="47"/>
      <x:c r="E1" s="47"/>
      <x:c r="F1" s="47"/>
      <x:c r="G1" s="47"/>
      <x:c r="H1" s="47"/>
      <x:c r="I1" s="47"/>
      <x:c r="J1" s="47"/>
      <x:c r="K1" s="47"/>
      <x:c r="L1" s="47"/>
      <x:c r="M1" s="47"/>
      <x:c r="N1" s="47"/>
      <x:c r="O1" s="47"/>
      <x:c r="P1" s="47"/>
      <x:c r="Q1" s="47"/>
      <x:c r="R1" s="47"/>
      <x:c r="S1" s="47"/>
      <x:c r="T1" s="47"/>
      <x:c r="U1" s="47"/>
      <x:c r="V1" s="47"/>
      <x:c r="W1" s="47"/>
      <x:c r="X1" s="47"/>
      <x:c r="Y1" s="47"/>
      <x:c r="Z1" s="47"/>
    </x:row>
    <x:row r="3">
      <x:c r="A3" s="28" t="str">
        <x:v>Item</x:v>
      </x:c>
      <x:c r="B3" s="28" t="str">
        <x:v>URL</x:v>
      </x:c>
      <x:c r="C3" s="28" t="str">
        <x:v>Use</x:v>
      </x:c>
    </x:row>
    <x:row r="4">
      <x:c r="A4" s="32" t="str">
        <x:v>ECI main chart data</x:v>
      </x:c>
      <x:c r="B4" s="32" t="str">
        <x:v>https://epoch.ai/data/eci_scores.csv</x:v>
      </x:c>
      <x:c r="C4" s="32" t="str">
        <x:v>Raw model-level ECI scores used for ECI graph and frontier target ECIs.</x:v>
      </x:c>
    </x:row>
    <x:row r="5">
      <x:c r="A5" s="32" t="str">
        <x:v>Benchmarked models data</x:v>
      </x:c>
      <x:c r="B5" s="32" t="str">
        <x:v>https://epoch.ai/data/benchmarked_models.csv</x:v>
      </x:c>
      <x:c r="C5" s="32" t="str">
        <x:v>Raw model-version ECI/benchmark rows supplied by user.</x:v>
      </x:c>
    </x:row>
    <x:row r="6">
      <x:c r="A6" s="32" t="str">
        <x:v>Epoch AI Models data</x:v>
      </x:c>
      <x:c r="B6" s="32" t="str">
        <x:v>https://epoch.ai/data/all_ai_models.csv</x:v>
      </x:c>
      <x:c r="C6" s="32" t="str">
        <x:v>Parameter sizes and model metadata for open-weight calibration models.</x:v>
      </x:c>
    </x:row>
    <x:row r="7">
      <x:c r="A7" s="32" t="str">
        <x:v>Epoch frontier models data</x:v>
      </x:c>
      <x:c r="B7" s="32" t="str">
        <x:v>https://epoch.ai/data/frontier_ai_models.csv</x:v>
      </x:c>
      <x:c r="C7" s="32" t="str">
        <x:v>Optional comparison column for Epoch direct/rumor parameter notes on closed frontier models when available.</x:v>
      </x:c>
    </x:row>
    <x:row r="8">
      <x:c r="A8" s="32" t="str">
        <x:v>ECI explainer</x:v>
      </x:c>
      <x:c r="B8" s="32" t="str">
        <x:v>https://epoch.ai/eci</x:v>
      </x:c>
      <x:c r="C8" s="32" t="str">
        <x:v>Definition and interpretation of ECI score.</x:v>
      </x:c>
    </x:row>
    <x:row r="9">
      <x:c r="A9" s="32" t="str">
        <x:v>AI Models documentation</x:v>
      </x:c>
      <x:c r="B9" s="32" t="str">
        <x:v>https://epoch.ai/data/ai-models-documentation</x:v>
      </x:c>
      <x:c r="C9" s="32" t="str">
        <x:v>Dataset documentation and download cadence.</x:v>
      </x:c>
    </x:row>
    <x:row r="10">
      <x:c r="A10" s="32" t="str">
        <x:v>AI Models records documentation</x:v>
      </x:c>
      <x:c r="B10" s="32" t="str">
        <x:v>https://epoch.ai/data/ai-models-documentation/records</x:v>
      </x:c>
      <x:c r="C10" s="32" t="str">
        <x:v>Definitions of parameter count and model accessibility.</x:v>
      </x:c>
    </x:row>
    <x:row r="12">
      <x:c r="A12" s="28" t="str">
        <x:v>Step</x:v>
      </x:c>
      <x:c r="B12" s="28" t="str">
        <x:v>Details</x:v>
      </x:c>
    </x:row>
    <x:row r="13">
      <x:c r="A13" s="32" t="str">
        <x:v>Definition of “open source”</x:v>
      </x:c>
      <x:c r="B13" s="32" t="str">
        <x:v>Operationalized as Epoch Model accessibility containing “Open weights” (unrestricted, restricted use, or non-commercial). License/restriction status is retained row-by-row.</x:v>
      </x:c>
    </x:row>
    <x:row r="14">
      <x:c r="A14" s="32" t="str">
        <x:v>Last-year window</x:v>
      </x:c>
      <x:c r="B14" s="32" t="str">
        <x:v>2025-07-16 through 2026-07-16 Asia/Almaty current-date window.</x:v>
      </x:c>
    </x:row>
    <x:row r="15">
      <x:c r="A15" s="32" t="str">
        <x:v>Central regression</x:v>
      </x:c>
      <x:c r="B15" s="32" t="str">
        <x:v>Weighted least-squares direct prediction: log10(total parameters) = intercept + b1*ECI + b2*years_since_2023_01_01. Training rows are open-weight ECI models since 2023-01-01 with known total parameters and total params &gt;=10B.</x:v>
      </x:c>
    </x:row>
    <x:row r="16">
      <x:c r="A16" s="32" t="str">
        <x:v>Why direct log-parameter model</x:v>
      </x:c>
      <x:c r="B16" s="32" t="str">
        <x:v>The unknown being predicted is parameter count, so log10(parameters) is the dependent variable. An inverse ECI-on-parameters model is included as a sensitivity because it extrapolates much more aggressively.</x:v>
      </x:c>
    </x:row>
    <x:row r="17">
      <x:c r="A17" s="32" t="str">
        <x:v>Algorithmic improvement adjustment</x:v>
      </x:c>
      <x:c r="B17" s="32" t="str">
        <x:v>Calendar year coefficient adjusts estimates downward/upward for release date at fixed ECI. In central fit, the coefficient is negative, implying fewer parameters are needed for the same ECI in later dates.</x:v>
      </x:c>
    </x:row>
    <x:row r="18">
      <x:c r="A18" s="32" t="str">
        <x:v>Uncertainty</x:v>
      </x:c>
      <x:c r="B18" s="32" t="str">
        <x:v>1-sigma range uses central model RMSE in log10 parameter space. It does not capture all architecture, data quality, RL/post-training, benchmark-targeting, or proprietary-system uncertainty.</x:v>
      </x:c>
    </x:row>
    <x:row r="19">
      <x:c r="A19" s="32" t="str">
        <x:v>MoE caveat</x:v>
      </x:c>
      <x:c r="B19" s="32" t="str">
        <x:v>Regression uses total parameters because the requested quantity is total model size. Active-parameter fields are captured where available, but central active-param regression was not stable enough for implied closed-model size estimates.</x:v>
      </x:c>
    </x:row>
  </x:sheetData>
  <x:mergeCells>
    <x:mergeCell ref="A1:H1"/>
  </x:mergeCells>
  <x:pageMargins left="0.7" right="0.7" top="0.75" bottom="0.75" header="0.3" footer="0.3"/>
  <x:tableParts count="2">
    <x:tablePart xmlns:r="http://schemas.openxmlformats.org/officeDocument/2006/relationships" r:id="Ra609624c09644113"/>
    <x:tablePart xmlns:r="http://schemas.openxmlformats.org/officeDocument/2006/relationships" r:id="R85bee25e5afe482c"/>
  </x:tableParts>
</x:worksheet>
</file>