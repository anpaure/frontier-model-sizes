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cf7a4643f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bde7d0f2c0844494"/>
    <x:sheet xmlns:r="http://schemas.openxmlformats.org/officeDocument/2006/relationships" name="Frontier Estimates" sheetId="2" r:id="Rfa2ca45a34784281"/>
    <x:sheet xmlns:r="http://schemas.openxmlformats.org/officeDocument/2006/relationships" name="API Prices" sheetId="3" r:id="Ra6e448aaf52f45f0"/>
    <x:sheet xmlns:r="http://schemas.openxmlformats.org/officeDocument/2006/relationships" name="Price Model" sheetId="4" r:id="Rc6b7ae05df904fc9"/>
    <x:sheet xmlns:r="http://schemas.openxmlformats.org/officeDocument/2006/relationships" name="Anchors &amp; Method" sheetId="5" r:id="Ra612150e271c473b"/>
    <x:sheet xmlns:r="http://schemas.openxmlformats.org/officeDocument/2006/relationships" name="Sources" sheetId="6" r:id="Reb1517b020414fde"/>
  </x:sheets>
</x:workbook>
</file>

<file path=xl/comments1.xml><?xml version="1.0" encoding="utf-8"?>
<x:comments xmlns:x="http://schemas.openxmlformats.org/spreadsheetml/2006/main">
  <x:authors>
    <x:author>tc={94786C96-26A0-AAB7-EEB1-FB52B14322D4}</x:author>
  </x:authors>
  <x:commentList>
    <x:comment ref="M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Opus 4.7 and 4.8 are treated as one base. Their separate benchmark-derived priors are collapsed geometrically before pricing is applied.</x:t>
        </x:r>
      </x:text>
    </x:comment>
  </x:commentList>
</x:comments>
</file>

<file path=xl/comments2.xml><?xml version="1.0" encoding="utf-8"?>
<x:comments xmlns:x="http://schemas.openxmlformats.org/spreadsheetml/2006/main">
  <x:authors>
    <x:author>tc={066DC467-3645-CEBE-3B2B-8C2F001610D3}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Price is capped at 15% log weight because API prices reflect product strategy, latency, tokenizer choice, and inference service design—not only physical parameter count.</x:t>
        </x:r>
      </x:text>
    </x:comment>
  </x:commentList>
</x:comments>
</file>

<file path=xl/comments3.xml><?xml version="1.0" encoding="utf-8"?>
<x:comments xmlns:x="http://schemas.openxmlformats.org/spreadsheetml/2006/main">
  <x:authors>
    <x:author>tc={E7A444F6-F6BF-1DFD-284B-8C925531B969}</x:author>
  </x:authors>
  <x:commentList>
    <x:comment ref="B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The 1.5T figure is a public first-party executive disclosure of the V9 foundation scale. It is less formal than a technical report and should not be used as an active-parameter count.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000000"/>
    <x:numFmt numFmtId="202" formatCode="0.0000"/>
    <x:numFmt numFmtId="203" formatCode="0.000x"/>
    <x:numFmt numFmtId="204" formatCode="0%"/>
    <x:numFmt numFmtId="205" formatCode="yyyy-mm-dd"/>
    <x:numFmt numFmtId="206" formatCode="0.0x"/>
  </x:numFmts>
  <x:fonts count="9">
    <x:font>
      <x:sz val="11"/>
      <x:name val="Carlito"/>
    </x:font>
    <x:font>
      <x:b/>
      <x:sz val="18"/>
      <x:color rgb="FFFFFFFF"/>
      <x:name val="Aptos Display"/>
    </x:font>
    <x:font>
      <x:sz val="10"/>
      <x:color rgb="FF3A4848"/>
      <x:name val="Aptos"/>
    </x:font>
    <x:font>
      <x:b/>
      <x:sz val="9"/>
      <x:color rgb="FFFFFFFF"/>
      <x:name val="Aptos"/>
    </x:font>
    <x:font>
      <x:sz val="9"/>
      <x:color rgb="FF3A4848"/>
      <x:name val="Aptos"/>
    </x:font>
    <x:font>
      <x:b/>
      <x:sz val="10"/>
      <x:color rgb="FF243838"/>
      <x:name val="Aptos"/>
    </x:font>
    <x:font>
      <x:b/>
      <x:sz val="9"/>
      <x:color rgb="FF3A4848"/>
      <x:name val="Aptos"/>
    </x:font>
    <x:font>
      <x:b/>
      <x:sz val="11"/>
      <x:color rgb="FF087879"/>
      <x:name val="Aptos"/>
    </x:font>
    <x:font>
      <x:i/>
      <x:sz val="9"/>
      <x:color rgb="FF3A4848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43838"/>
      </x:patternFill>
    </x:fill>
    <x:fill>
      <x:patternFill patternType="solid">
        <x:fgColor rgb="FF087879"/>
      </x:patternFill>
    </x:fill>
    <x:fill>
      <x:patternFill patternType="solid">
        <x:fgColor rgb="FFE8F4F4"/>
      </x:patternFill>
    </x:fill>
    <x:fill>
      <x:patternFill patternType="solid">
        <x:fgColor rgb="FFF3F6F6"/>
      </x:patternFill>
    </x:fill>
    <x:fill>
      <x:patternFill patternType="solid">
        <x:fgColor rgb="FFFFF4FA"/>
      </x:patternFill>
    </x:fill>
  </x:fills>
  <x:borders count="7">
    <x:border/>
    <x:border>
      <x:bottom style="medium">
        <x:color rgb="FF00A5A6"/>
      </x:bottom>
    </x:border>
    <x:border>
      <x:bottom style="thin">
        <x:color rgb="FFD2DCDC"/>
      </x:bottom>
    </x:border>
    <x:border>
      <x:top style="thin">
        <x:color rgb="FFD2DCDC"/>
      </x:top>
      <x:bottom style="thin">
        <x:color rgb="FFD2DCDC"/>
      </x:bottom>
    </x:border>
    <x:border>
      <x:top style="thin">
        <x:color rgb="FFD2DCDC"/>
      </x:top>
    </x:border>
    <x:border>
      <x:left style="medium">
        <x:color rgb="FF00A5A6"/>
      </x:left>
    </x:border>
    <x:border>
      <x:left style="medium">
        <x:color rgb="FFE03D90"/>
      </x:left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2" fontId="4" fillId="0" borderId="2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43838"/>
      </x:font>
      <x:fill>
        <x:patternFill patternType="solid">
          <x:bgColor rgb="FFEDF4FF"/>
        </x:patternFill>
      </x:fill>
    </x:dxf>
    <x:dxf>
      <x:font>
        <x:b/>
        <x:color rgb="FF243838"/>
      </x:font>
      <x:fill>
        <x:patternFill patternType="solid">
          <x:bgColor rgb="FFEDF4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69731cba24e2f" /><Relationship Type="http://schemas.openxmlformats.org/officeDocument/2006/relationships/theme" Target="/xl/theme/theme1.xml" Id="Rf75915193f6d4f22" /><Relationship Type="http://schemas.openxmlformats.org/officeDocument/2006/relationships/sharedStrings" Target="/xl/sharedStrings.xml" Id="R7bed6c1695284fd2" /><Relationship Type="http://schemas.openxmlformats.org/officeDocument/2006/relationships/worksheet" Target="/xl/worksheets/sheet1.xml" Id="Rbde7d0f2c0844494" /><Relationship Type="http://schemas.openxmlformats.org/officeDocument/2006/relationships/worksheet" Target="/xl/worksheets/sheet2.xml" Id="Rfa2ca45a34784281" /><Relationship Type="http://schemas.openxmlformats.org/officeDocument/2006/relationships/worksheet" Target="/xl/worksheets/sheet3.xml" Id="Ra6e448aaf52f45f0" /><Relationship Type="http://schemas.openxmlformats.org/officeDocument/2006/relationships/worksheet" Target="/xl/worksheets/sheet4.xml" Id="Rc6b7ae05df904fc9" /><Relationship Type="http://schemas.openxmlformats.org/officeDocument/2006/relationships/worksheet" Target="/xl/worksheets/sheet5.xml" Id="Ra612150e271c473b" /><Relationship Type="http://schemas.openxmlformats.org/officeDocument/2006/relationships/worksheet" Target="/xl/worksheets/sheet6.xml" Id="Reb1517b020414fde" /><Relationship Type="http://schemas.microsoft.com/office/2017/10/relationships/person" Target="/xl/persons/person.xml" Id="Rd20c01e4817646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84055f2bb14c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Price-informed frontier totals (T)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parameters (T)</c:v>
          </c:tx>
          <c:spPr>
            <a:solidFill xmlns:a="http://schemas.openxmlformats.org/drawingml/2006/main">
              <a:srgbClr val="00A5A6"/>
            </a:solidFill>
          </c:spPr>
          <c:cat>
            <c:strRef>
              <c:f>'Executive Summary'!$A$6:$A$17</c:f>
              <c:strCache>
                <c:ptCount val="0"/>
              </c:strCache>
            </c:strRef>
          </c:cat>
          <c:val>
            <c:numRef>
              <c:f>'Executive Summary'!$B$6:$B$17</c:f>
              <c:numCache>
                <c:formatCode>0.0"T"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T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84055f2bb14ca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" id="{AD7974F1-03B3-4E94-8719-789A0E516121}"/>
</xltc:personList>
</file>

<file path=xl/tables/table1.xml><?xml version="1.0" encoding="utf-8"?>
<x:table xmlns:x="http://schemas.openxmlformats.org/spreadsheetml/2006/main" id="2" name="FrontierEstimatesTable" displayName="FrontierEstimatesTable" ref="A5:R17" headerRowCount="1" totalsRowCount="0" totalsRowShown="0">
  <x:tableColumns count="18">
    <x:tableColumn id="1" name="Release"/>
    <x:tableColumn id="2" name="Model / base"/>
    <x:tableColumn id="3" name="AA v4.1"/>
    <x:tableColumn id="4" name="ECI"/>
    <x:tableColumn id="5" name="Primary benchmark (T)"/>
    <x:tableColumn id="6" name="Provider"/>
    <x:tableColumn id="7" name="Input $/MTok"/>
    <x:tableColumn id="8" name="Output $/MTok"/>
    <x:tableColumn id="9" name="Tokenizer factor"/>
    <x:tableColumn id="10" name="Price index z"/>
    <x:tableColumn id="11" name="LOBO price-implied (T)"/>
    <x:tableColumn id="12" name="Price log weight"/>
    <x:tableColumn id="13" name="Final central (T)"/>
    <x:tableColumn id="14" name="Error low (T)"/>
    <x:tableColumn id="15" name="Error high (T)"/>
    <x:tableColumn id="16" name="Status"/>
    <x:tableColumn id="17" name="Method note"/>
    <x:tableColumn id="18" name="Pric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piPricesTable" displayName="ApiPricesTable" ref="A5:L14" headerRowCount="1" totalsRowCount="0" totalsRowShown="0">
  <x:tableColumns count="12">
    <x:tableColumn id="1" name="Base model"/>
    <x:tableColumn id="2" name="Provider"/>
    <x:tableColumn id="3" name="Input $/MTok"/>
    <x:tableColumn id="4" name="Output $/MTok"/>
    <x:tableColumn id="5" name="Cached input $/MTok"/>
    <x:tableColumn id="6" name="5m cache write $/MTok"/>
    <x:tableColumn id="7" name="Long input $/MTok"/>
    <x:tableColumn id="8" name="Long output $/MTok"/>
    <x:tableColumn id="9" name="Tokenizer factor"/>
    <x:tableColumn id="10" name="Rate used"/>
    <x:tableColumn id="11" name="Official source"/>
    <x:tableColumn id="12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5:D17" headerRowCount="1" totalsRowCount="0" totalsRowShown="0">
  <x:tableColumns count="4">
    <x:tableColumn id="1" name="Source"/>
    <x:tableColumn id="2" name="URL / path"/>
    <x:tableColumn id="3" name="Use"/>
    <x:tableColumn id="4" name="Caveat / snapsh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M10" dT="2026-08-01T18:06:47.281" personId="{AD7974F1-03B3-4E94-8719-789A0E516121}" id="{94786C96-26A0-AAB7-EEB1-FB52B14322D4}">
    <xltc:text>Opus 4.7 and 4.8 are treated as one base. Their separate benchmark-derived priors are collapsed geometrically before pricing is applied.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2" dT="2026-08-01T18:06:47.281" personId="{AD7974F1-03B3-4E94-8719-789A0E516121}" id="{066DC467-3645-CEBE-3B2B-8C2F001610D3}">
    <xltc:text>Price is capped at 15% log weight because API prices reflect product strategy, latency, tokenizer choice, and inference service design—not only physical parameter count.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9" dT="2026-08-01T18:06:47.281" personId="{AD7974F1-03B3-4E94-8719-789A0E516121}" id="{E7A444F6-F6BF-1DFD-284B-8C925531B969}">
    <xltc:text>The 1.5T figure is a public first-party executive disclosure of the V9 foundation scale. It is less formal than a technical report and should not be used as an active-parameter count.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78389312de49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a7e4d8118ce4527" /><Relationship Type="http://schemas.openxmlformats.org/officeDocument/2006/relationships/vmlDrawing" Target="/xl/drawings/vmldrawing.vml" Id="Rd68523681776438f" /><Relationship Type="http://schemas.microsoft.com/office/2017/10/relationships/threadedComment" Target="/xl/threadedcomments/threadedcomment.xml" Id="R0a2dc7b0ed804561" /><Relationship Type="http://schemas.openxmlformats.org/officeDocument/2006/relationships/table" Target="/xl/tables/table1.xml" Id="R74c05b6cea54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5c97c30afe42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79b7f4a4723342bd" /><Relationship Type="http://schemas.openxmlformats.org/officeDocument/2006/relationships/vmlDrawing" Target="/xl/drawings/vmldrawing2.vml" Id="R3164bfd0a9b54767" /><Relationship Type="http://schemas.microsoft.com/office/2017/10/relationships/threadedComment" Target="/xl/threadedcomments/threadedcomment2.xml" Id="R058aafde3d184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f22555b38aa94c72" /><Relationship Type="http://schemas.openxmlformats.org/officeDocument/2006/relationships/vmlDrawing" Target="/xl/drawings/vmldrawing3.vml" Id="R8efd3b753011402d" /><Relationship Type="http://schemas.microsoft.com/office/2017/10/relationships/threadedComment" Target="/xl/threadedcomments/threadedcomment3.xml" Id="R06197ae3169446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ee4d87adec04f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7" hidden="0" customWidth="1"/>
    <x:col min="8" max="8" width="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36" customHeight="1">
      <x:c r="A1" s="3" t="str">
        <x:v>Frontier parameter estimates — pricing cross-check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Official OpenAI and Anthropic API pricing is now a weak secondary signal. K3 remains the primary disclosed calibration anchor; Grok 4.5 is pegged at the public 1.5T foundation scale. Opus 4.7/4.8 is one shared base, Fable is shown as a regular model, and error bars retain the conservative leave-family-out factor.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</x:row>
    <x:row r="5" ht="34" customHeight="1">
      <x:c r="A5" s="11" t="str">
        <x:v>Model / base</x:v>
      </x:c>
      <x:c r="B5" s="11" t="str">
        <x:v>Final central (T)</x:v>
      </x:c>
      <x:c r="C5" s="11" t="str">
        <x:v>Error low (T)</x:v>
      </x:c>
      <x:c r="D5" s="11" t="str">
        <x:v>Error high (T)</x:v>
      </x:c>
      <x:c r="E5" s="11" t="str">
        <x:v>Input $/MTok</x:v>
      </x:c>
      <x:c r="F5" s="11" t="str">
        <x:v>Output $/MTok</x:v>
      </x:c>
      <x:c r="G5" s="11" t="str">
        <x:v>Status</x:v>
      </x:c>
    </x:row>
    <x:row r="6">
      <x:c r="A6" s="16" t="str">
        <x:f>'Frontier Estimates'!B6</x:f>
        <x:v>Claude Fable 5</x:v>
      </x:c>
      <x:c r="B6" s="35" t="n">
        <x:f>'Frontier Estimates'!M6</x:f>
        <x:v>3.5157625909341204</x:v>
      </x:c>
      <x:c r="C6" s="19" t="n">
        <x:f>IF('Frontier Estimates'!N6="","",'Frontier Estimates'!N6)</x:f>
        <x:v>1.1606356730179572</x:v>
      </x:c>
      <x:c r="D6" s="19" t="n">
        <x:f>IF('Frontier Estimates'!O6="","",'Frontier Estimates'!O6)</x:f>
        <x:v>10.64984205049551</x:v>
      </x:c>
      <x:c r="E6" s="19" t="n">
        <x:f>IF('Frontier Estimates'!G6="","",'Frontier Estimates'!G6)</x:f>
        <x:v>10</x:v>
      </x:c>
      <x:c r="F6" s="19" t="n">
        <x:f>IF('Frontier Estimates'!H6="","",'Frontier Estimates'!H6)</x:f>
        <x:v>50</x:v>
      </x:c>
      <x:c r="G6" s="16" t="str">
        <x:f>'Frontier Estimates'!P6</x:f>
        <x:v>Regression estimate</x:v>
      </x:c>
    </x:row>
    <x:row r="7">
      <x:c r="A7" s="17" t="str">
        <x:f>'Frontier Estimates'!B7</x:f>
        <x:v>GPT-5.6 Sol</x:v>
      </x:c>
      <x:c r="B7" s="36" t="n">
        <x:f>'Frontier Estimates'!M7</x:f>
        <x:v>3.2989808641027114</x:v>
      </x:c>
      <x:c r="C7" s="20" t="n">
        <x:f>IF('Frontier Estimates'!N7="","",'Frontier Estimates'!N7)</x:f>
        <x:v>1.0890709416371285</x:v>
      </x:c>
      <x:c r="D7" s="20" t="n">
        <x:f>IF('Frontier Estimates'!O7="","",'Frontier Estimates'!O7)</x:f>
        <x:v>9.993173378913006</x:v>
      </x:c>
      <x:c r="E7" s="20" t="n">
        <x:f>IF('Frontier Estimates'!G7="","",'Frontier Estimates'!G7)</x:f>
        <x:v>5</x:v>
      </x:c>
      <x:c r="F7" s="20" t="n">
        <x:f>IF('Frontier Estimates'!H7="","",'Frontier Estimates'!H7)</x:f>
        <x:v>30</x:v>
      </x:c>
      <x:c r="G7" s="17" t="str">
        <x:f>'Frontier Estimates'!P7</x:f>
        <x:v>Regression estimate</x:v>
      </x:c>
    </x:row>
    <x:row r="8">
      <x:c r="A8" s="17" t="str">
        <x:f>'Frontier Estimates'!B8</x:f>
        <x:v>Kimi K3</x:v>
      </x:c>
      <x:c r="B8" s="36" t="n">
        <x:f>'Frontier Estimates'!M8</x:f>
        <x:v>2.78</x:v>
      </x:c>
      <x:c r="C8" s="20" t="str">
        <x:f>IF('Frontier Estimates'!N8="","",'Frontier Estimates'!N8)</x:f>
      </x:c>
      <x:c r="D8" s="20" t="str">
        <x:f>IF('Frontier Estimates'!O8="","",'Frontier Estimates'!O8)</x:f>
      </x:c>
      <x:c r="E8" s="20" t="str">
        <x:f>IF('Frontier Estimates'!G8="","",'Frontier Estimates'!G8)</x:f>
      </x:c>
      <x:c r="F8" s="20" t="str">
        <x:f>IF('Frontier Estimates'!H8="","",'Frontier Estimates'!H8)</x:f>
      </x:c>
      <x:c r="G8" s="17" t="str">
        <x:f>'Frontier Estimates'!P8</x:f>
        <x:v>Disclosed anchor</x:v>
      </x:c>
    </x:row>
    <x:row r="9">
      <x:c r="A9" s="17" t="str">
        <x:f>'Frontier Estimates'!B9</x:f>
        <x:v>GPT-5.5</x:v>
      </x:c>
      <x:c r="B9" s="36" t="n">
        <x:f>'Frontier Estimates'!M9</x:f>
        <x:v>2.657001827455204</x:v>
      </x:c>
      <x:c r="C9" s="20" t="n">
        <x:f>IF('Frontier Estimates'!N9="","",'Frontier Estimates'!N9)</x:f>
        <x:v>0.8771386077576587</x:v>
      </x:c>
      <x:c r="D9" s="20" t="n">
        <x:f>IF('Frontier Estimates'!O9="","",'Frontier Estimates'!O9)</x:f>
        <x:v>8.048509834891204</x:v>
      </x:c>
      <x:c r="E9" s="20" t="n">
        <x:f>IF('Frontier Estimates'!G9="","",'Frontier Estimates'!G9)</x:f>
        <x:v>5</x:v>
      </x:c>
      <x:c r="F9" s="20" t="n">
        <x:f>IF('Frontier Estimates'!H9="","",'Frontier Estimates'!H9)</x:f>
        <x:v>30</x:v>
      </x:c>
      <x:c r="G9" s="17" t="str">
        <x:f>'Frontier Estimates'!P9</x:f>
        <x:v>Regression estimate</x:v>
      </x:c>
    </x:row>
    <x:row r="10">
      <x:c r="A10" s="17" t="str">
        <x:f>'Frontier Estimates'!B10</x:f>
        <x:v>Claude Opus 4.7 / 4.8 shared base</x:v>
      </x:c>
      <x:c r="B10" s="36" t="n">
        <x:f>'Frontier Estimates'!M10</x:f>
        <x:v>2.332018357636161</x:v>
      </x:c>
      <x:c r="C10" s="20" t="n">
        <x:f>IF('Frontier Estimates'!N10="","",'Frontier Estimates'!N10)</x:f>
        <x:v>0.7698539437744404</x:v>
      </x:c>
      <x:c r="D10" s="20" t="n">
        <x:f>IF('Frontier Estimates'!O10="","",'Frontier Estimates'!O10)</x:f>
        <x:v>7.064079705416731</x:v>
      </x:c>
      <x:c r="E10" s="20" t="n">
        <x:f>IF('Frontier Estimates'!G10="","",'Frontier Estimates'!G10)</x:f>
        <x:v>5</x:v>
      </x:c>
      <x:c r="F10" s="20" t="n">
        <x:f>IF('Frontier Estimates'!H10="","",'Frontier Estimates'!H10)</x:f>
        <x:v>25</x:v>
      </x:c>
      <x:c r="G10" s="17" t="str">
        <x:f>'Frontier Estimates'!P10</x:f>
        <x:v>Regression estimate</x:v>
      </x:c>
    </x:row>
    <x:row r="11">
      <x:c r="A11" s="17" t="str">
        <x:f>'Frontier Estimates'!B11</x:f>
        <x:v>GPT-5.6 Terra</x:v>
      </x:c>
      <x:c r="B11" s="36" t="n">
        <x:f>'Frontier Estimates'!M11</x:f>
        <x:v>2.2471755232329462</x:v>
      </x:c>
      <x:c r="C11" s="20" t="n">
        <x:f>IF('Frontier Estimates'!N11="","",'Frontier Estimates'!N11)</x:f>
        <x:v>0.7418453346430249</x:v>
      </x:c>
      <x:c r="D11" s="20" t="n">
        <x:f>IF('Frontier Estimates'!O11="","",'Frontier Estimates'!O11)</x:f>
        <x:v>6.807076349205892</x:v>
      </x:c>
      <x:c r="E11" s="20" t="n">
        <x:f>IF('Frontier Estimates'!G11="","",'Frontier Estimates'!G11)</x:f>
        <x:v>2.5</x:v>
      </x:c>
      <x:c r="F11" s="20" t="n">
        <x:f>IF('Frontier Estimates'!H11="","",'Frontier Estimates'!H11)</x:f>
        <x:v>15</x:v>
      </x:c>
      <x:c r="G11" s="17" t="str">
        <x:f>'Frontier Estimates'!P11</x:f>
        <x:v>Regression estimate</x:v>
      </x:c>
    </x:row>
    <x:row r="12">
      <x:c r="A12" s="17" t="str">
        <x:f>'Frontier Estimates'!B12</x:f>
        <x:v>Claude Sonnet 5</x:v>
      </x:c>
      <x:c r="B12" s="36" t="n">
        <x:f>'Frontier Estimates'!M12</x:f>
        <x:v>1.6293400551610284</x:v>
      </x:c>
      <x:c r="C12" s="20" t="n">
        <x:f>IF('Frontier Estimates'!N12="","",'Frontier Estimates'!N12)</x:f>
        <x:v>0.537883358897248</x:v>
      </x:c>
      <x:c r="D12" s="20" t="n">
        <x:f>IF('Frontier Estimates'!O12="","",'Frontier Estimates'!O12)</x:f>
        <x:v>4.935547775255268</x:v>
      </x:c>
      <x:c r="E12" s="20" t="n">
        <x:f>IF('Frontier Estimates'!G12="","",'Frontier Estimates'!G12)</x:f>
        <x:v>2</x:v>
      </x:c>
      <x:c r="F12" s="20" t="n">
        <x:f>IF('Frontier Estimates'!H12="","",'Frontier Estimates'!H12)</x:f>
        <x:v>10</x:v>
      </x:c>
      <x:c r="G12" s="17" t="str">
        <x:f>'Frontier Estimates'!P12</x:f>
        <x:v>Regression estimate</x:v>
      </x:c>
    </x:row>
    <x:row r="13">
      <x:c r="A13" s="17" t="str">
        <x:f>'Frontier Estimates'!B13</x:f>
        <x:v>GPT-5.6 Luna</x:v>
      </x:c>
      <x:c r="B13" s="36" t="n">
        <x:f>'Frontier Estimates'!M13</x:f>
        <x:v>1.5393536595149218</x:v>
      </x:c>
      <x:c r="C13" s="20" t="n">
        <x:f>IF('Frontier Estimates'!N13="","",'Frontier Estimates'!N13)</x:f>
        <x:v>0.5081767395872594</x:v>
      </x:c>
      <x:c r="D13" s="20" t="n">
        <x:f>IF('Frontier Estimates'!O13="","",'Frontier Estimates'!O13)</x:f>
        <x:v>4.662963698390793</x:v>
      </x:c>
      <x:c r="E13" s="20" t="n">
        <x:f>IF('Frontier Estimates'!G13="","",'Frontier Estimates'!G13)</x:f>
        <x:v>1</x:v>
      </x:c>
      <x:c r="F13" s="20" t="n">
        <x:f>IF('Frontier Estimates'!H13="","",'Frontier Estimates'!H13)</x:f>
        <x:v>6</x:v>
      </x:c>
      <x:c r="G13" s="17" t="str">
        <x:f>'Frontier Estimates'!P13</x:f>
        <x:v>Regression estimate</x:v>
      </x:c>
    </x:row>
    <x:row r="14">
      <x:c r="A14" s="17" t="str">
        <x:f>'Frontier Estimates'!B14</x:f>
        <x:v>Gemini 3.5 Flash</x:v>
      </x:c>
      <x:c r="B14" s="36" t="n">
        <x:f>'Frontier Estimates'!M14</x:f>
        <x:v>1.540459094830831</x:v>
      </x:c>
      <x:c r="C14" s="20" t="n">
        <x:f>IF('Frontier Estimates'!N14="","",'Frontier Estimates'!N14)</x:f>
        <x:v>0.508541669706593</x:v>
      </x:c>
      <x:c r="D14" s="20" t="n">
        <x:f>IF('Frontier Estimates'!O14="","",'Frontier Estimates'!O14)</x:f>
        <x:v>4.666312249724102</x:v>
      </x:c>
      <x:c r="E14" s="20" t="str">
        <x:f>IF('Frontier Estimates'!G14="","",'Frontier Estimates'!G14)</x:f>
      </x:c>
      <x:c r="F14" s="20" t="str">
        <x:f>IF('Frontier Estimates'!H14="","",'Frontier Estimates'!H14)</x:f>
      </x:c>
      <x:c r="G14" s="17" t="str">
        <x:f>'Frontier Estimates'!P14</x:f>
        <x:v>Regression estimate</x:v>
      </x:c>
    </x:row>
    <x:row r="15">
      <x:c r="A15" s="17" t="str">
        <x:f>'Frontier Estimates'!B15</x:f>
        <x:v>Grok 4.5</x:v>
      </x:c>
      <x:c r="B15" s="36" t="n">
        <x:f>'Frontier Estimates'!M15</x:f>
        <x:v>1.5</x:v>
      </x:c>
      <x:c r="C15" s="20" t="str">
        <x:f>IF('Frontier Estimates'!N15="","",'Frontier Estimates'!N15)</x:f>
      </x:c>
      <x:c r="D15" s="20" t="str">
        <x:f>IF('Frontier Estimates'!O15="","",'Frontier Estimates'!O15)</x:f>
      </x:c>
      <x:c r="E15" s="20" t="n">
        <x:f>IF('Frontier Estimates'!G15="","",'Frontier Estimates'!G15)</x:f>
        <x:v>2</x:v>
      </x:c>
      <x:c r="F15" s="20" t="n">
        <x:f>IF('Frontier Estimates'!H15="","",'Frontier Estimates'!H15)</x:f>
        <x:v>6</x:v>
      </x:c>
      <x:c r="G15" s="17" t="str">
        <x:f>'Frontier Estimates'!P15</x:f>
        <x:v>Disclosed anchor</x:v>
      </x:c>
    </x:row>
    <x:row r="16">
      <x:c r="A16" s="17" t="str">
        <x:f>'Frontier Estimates'!B16</x:f>
        <x:v>Gemini 3.1 Pro</x:v>
      </x:c>
      <x:c r="B16" s="36" t="n">
        <x:f>'Frontier Estimates'!M16</x:f>
        <x:v>1.478125456579956</x:v>
      </x:c>
      <x:c r="C16" s="20" t="n">
        <x:f>IF('Frontier Estimates'!N16="","",'Frontier Estimates'!N16)</x:f>
        <x:v>0.487963874047262</x:v>
      </x:c>
      <x:c r="D16" s="20" t="n">
        <x:f>IF('Frontier Estimates'!O16="","",'Frontier Estimates'!O16)</x:f>
        <x:v>4.477493071911484</x:v>
      </x:c>
      <x:c r="E16" s="20" t="str">
        <x:f>IF('Frontier Estimates'!G16="","",'Frontier Estimates'!G16)</x:f>
      </x:c>
      <x:c r="F16" s="20" t="str">
        <x:f>IF('Frontier Estimates'!H16="","",'Frontier Estimates'!H16)</x:f>
      </x:c>
      <x:c r="G16" s="17" t="str">
        <x:f>'Frontier Estimates'!P16</x:f>
        <x:v>Regression estimate</x:v>
      </x:c>
    </x:row>
    <x:row r="17">
      <x:c r="A17" s="18" t="str">
        <x:f>'Frontier Estimates'!B17</x:f>
        <x:v>Claude Opus 5</x:v>
      </x:c>
      <x:c r="B17" s="37" t="n">
        <x:f>'Frontier Estimates'!M17</x:f>
        <x:v>3.042296195182693</x:v>
      </x:c>
      <x:c r="C17" s="21" t="n">
        <x:f>IF('Frontier Estimates'!N17="","",'Frontier Estimates'!N17)</x:f>
        <x:v>1.0043333133815693</x:v>
      </x:c>
      <x:c r="D17" s="21" t="n">
        <x:f>IF('Frontier Estimates'!O17="","",'Frontier Estimates'!O17)</x:f>
        <x:v>9.215631918112717</x:v>
      </x:c>
      <x:c r="E17" s="21" t="n">
        <x:f>IF('Frontier Estimates'!G17="","",'Frontier Estimates'!G17)</x:f>
        <x:v>5</x:v>
      </x:c>
      <x:c r="F17" s="21" t="n">
        <x:f>IF('Frontier Estimates'!H17="","",'Frontier Estimates'!H17)</x:f>
        <x:v>25</x:v>
      </x:c>
      <x:c r="G17" s="18" t="str">
        <x:f>'Frontier Estimates'!P17</x:f>
        <x:v>Regression estimate</x:v>
      </x:c>
    </x:row>
    <x:row r="20">
      <x:c r="A20" s="55" t="str">
        <x:v>Headline: Opus 5 is added as a distinct regression target using exact AA/ECI/date evidence and weak price smoothing. K3 =2.78T and Grok 4.5 =1.50T remain disclosed anchors; Opus 4.7/4.8 remains a separate shared base.</x:v>
      </x:c>
      <x:c r="B20" s="56"/>
      <x:c r="C20" s="56"/>
      <x:c r="D20" s="56"/>
      <x:c r="E20" s="56"/>
      <x:c r="F20" s="56"/>
      <x:c r="G20" s="56"/>
      <x:c r="H20" s="56"/>
      <x:c r="I20" s="56"/>
      <x:c r="J20" s="56"/>
      <x:c r="K20" s="56"/>
      <x:c r="L20" s="56"/>
      <x:c r="M20" s="56"/>
      <x:c r="N20" s="56"/>
      <x:c r="O20" s="56"/>
      <x:c r="P20" s="56"/>
      <x:c r="Q20" s="56"/>
    </x:row>
    <x:row r="21">
      <x:c r="A21" s="55"/>
      <x:c r="B21" s="56"/>
      <x:c r="C21" s="56"/>
      <x:c r="D21" s="56"/>
      <x:c r="E21" s="56"/>
      <x:c r="F21" s="56"/>
      <x:c r="G21" s="56"/>
      <x:c r="H21" s="56"/>
      <x:c r="I21" s="56"/>
      <x:c r="J21" s="56"/>
      <x:c r="K21" s="56"/>
      <x:c r="L21" s="56"/>
      <x:c r="M21" s="56"/>
      <x:c r="N21" s="56"/>
      <x:c r="O21" s="56"/>
      <x:c r="P21" s="56"/>
      <x:c r="Q21" s="56"/>
    </x:row>
    <x:row r="22">
      <x:c r="A22" s="55"/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  <x:c r="L22" s="56"/>
      <x:c r="M22" s="56"/>
      <x:c r="N22" s="56"/>
      <x:c r="O22" s="56"/>
      <x:c r="P22" s="56"/>
      <x:c r="Q22" s="56"/>
    </x:row>
    <x:row r="24">
      <x:c r="A24" s="62" t="str">
        <x:v>Error bars: ×/÷3.03 LOFO band, symmetric in log space. K3 and Grok are disclosed anchors, so they have no regression whiskers. Price shifts centers by at most 4.2% and does not narrow the band.</x:v>
      </x:c>
      <x:c r="B24" s="63"/>
      <x:c r="C24" s="63"/>
      <x:c r="D24" s="63"/>
      <x:c r="E24" s="63"/>
      <x:c r="F24" s="63"/>
      <x:c r="G24" s="63"/>
      <x:c r="H24" s="63"/>
      <x:c r="I24" s="63"/>
      <x:c r="J24" s="63"/>
      <x:c r="K24" s="63"/>
      <x:c r="L24" s="63"/>
      <x:c r="M24" s="63"/>
      <x:c r="N24" s="63"/>
      <x:c r="O24" s="63"/>
      <x:c r="P24" s="63"/>
      <x:c r="Q24" s="63"/>
    </x:row>
    <x:row r="25">
      <x:c r="A25" s="62"/>
      <x:c r="B25" s="63"/>
      <x:c r="C25" s="63"/>
      <x:c r="D25" s="63"/>
      <x:c r="E25" s="63"/>
      <x:c r="F25" s="63"/>
      <x:c r="G25" s="63"/>
      <x:c r="H25" s="63"/>
      <x:c r="I25" s="63"/>
      <x:c r="J25" s="63"/>
      <x:c r="K25" s="63"/>
      <x:c r="L25" s="63"/>
      <x:c r="M25" s="63"/>
      <x:c r="N25" s="63"/>
      <x:c r="O25" s="63"/>
      <x:c r="P25" s="63"/>
      <x:c r="Q25" s="63"/>
    </x:row>
    <x:row r="26">
      <x:c r="A26" s="62"/>
      <x:c r="B26" s="63"/>
      <x:c r="C26" s="63"/>
      <x:c r="D26" s="63"/>
      <x:c r="E26" s="63"/>
      <x:c r="F26" s="63"/>
      <x:c r="G26" s="63"/>
      <x:c r="H26" s="63"/>
      <x:c r="I26" s="63"/>
      <x:c r="J26" s="63"/>
      <x:c r="K26" s="63"/>
      <x:c r="L26" s="63"/>
      <x:c r="M26" s="63"/>
      <x:c r="N26" s="63"/>
      <x:c r="O26" s="63"/>
      <x:c r="P26" s="63"/>
      <x:c r="Q26" s="63"/>
    </x:row>
  </x:sheetData>
  <x:mergeCells>
    <x:mergeCell ref="A1:Q1"/>
    <x:mergeCell ref="A2:Q3"/>
    <x:mergeCell ref="A20:Q22"/>
    <x:mergeCell ref="A24:Q26"/>
  </x:mergeCells>
  <x:conditionalFormatting sqref="G6:G17">
    <x:cfRule type="containsText" dxfId="1" priority="1" operator="containsText" text="anchor"/>
  </x:conditionalFormatting>
  <x:pageMargins left="0.7" right="0.7" top="0.75" bottom="0.75" header="0.3" footer="0.3"/>
  <x:drawing xmlns:r="http://schemas.openxmlformats.org/officeDocument/2006/relationships" r:id="R3678389312de49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6" hidden="0" customWidth="1"/>
    <x:col min="17" max="17" width="65" hidden="0" customWidth="1"/>
    <x:col min="18" max="18" width="50" hidden="0" customWidth="1"/>
  </x:cols>
  <x:sheetData>
    <x:row r="1" ht="36" customHeight="1">
      <x:c r="A1" s="3" t="str">
        <x:v>Frontier parameter estimates — price-informed and base-collapsed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6" t="str">
        <x:v>Primary estimates retain the K3-anchored benchmark/date model. Grok 4.5 is fixed to the disclosed 1.5T scale. API price adds only 15% log weight through a leave-one-base-out OpenAI/Anthropic fit. The conservative ×/÷3.03 band is unchanged.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5" ht="34" customHeight="1">
      <x:c r="A5" s="11" t="str">
        <x:v>Release</x:v>
      </x:c>
      <x:c r="B5" s="11" t="str">
        <x:v>Model / base</x:v>
      </x:c>
      <x:c r="C5" s="11" t="str">
        <x:v>AA v4.1</x:v>
      </x:c>
      <x:c r="D5" s="11" t="str">
        <x:v>ECI</x:v>
      </x:c>
      <x:c r="E5" s="11" t="str">
        <x:v>Primary benchmark (T)</x:v>
      </x:c>
      <x:c r="F5" s="11" t="str">
        <x:v>Provider</x:v>
      </x:c>
      <x:c r="G5" s="11" t="str">
        <x:v>Input $/MTok</x:v>
      </x:c>
      <x:c r="H5" s="11" t="str">
        <x:v>Output $/MTok</x:v>
      </x:c>
      <x:c r="I5" s="11" t="str">
        <x:v>Tokenizer factor</x:v>
      </x:c>
      <x:c r="J5" s="11" t="str">
        <x:v>Price index z</x:v>
      </x:c>
      <x:c r="K5" s="11" t="str">
        <x:v>LOBO price-implied (T)</x:v>
      </x:c>
      <x:c r="L5" s="11" t="str">
        <x:v>Price log weight</x:v>
      </x:c>
      <x:c r="M5" s="11" t="str">
        <x:v>Final central (T)</x:v>
      </x:c>
      <x:c r="N5" s="11" t="str">
        <x:v>Error low (T)</x:v>
      </x:c>
      <x:c r="O5" s="11" t="str">
        <x:v>Error high (T)</x:v>
      </x:c>
      <x:c r="P5" s="11" t="str">
        <x:v>Status</x:v>
      </x:c>
      <x:c r="Q5" s="11" t="str">
        <x:v>Method note</x:v>
      </x:c>
      <x:c r="R5" s="11" t="str">
        <x:v>Price source</x:v>
      </x:c>
    </x:row>
    <x:row r="6">
      <x:c r="A6" s="30" t="n">
        <x:v>46182</x:v>
      </x:c>
      <x:c r="B6" s="16" t="str">
        <x:v>Claude Fable 5</x:v>
      </x:c>
      <x:c r="C6" s="19" t="n">
        <x:v>60</x:v>
      </x:c>
      <x:c r="D6" s="19" t="n">
        <x:v>160.44</x:v>
      </x:c>
      <x:c r="E6" s="19" t="n">
        <x:v>3.5220605422523943</x:v>
      </x:c>
      <x:c r="F6" s="19" t="str">
        <x:v>Anthropic</x:v>
      </x:c>
      <x:c r="G6" s="19" t="n">
        <x:v>10</x:v>
      </x:c>
      <x:c r="H6" s="19" t="n">
        <x:v>50</x:v>
      </x:c>
      <x:c r="I6" s="19" t="n">
        <x:v>1.3</x:v>
      </x:c>
      <x:c r="J6" s="19" t="n">
        <x:f>SQRT(G6*H6)*I6</x:f>
        <x:v>29.068883707497267</x:v>
      </x:c>
      <x:c r="K6" s="19" t="n">
        <x:f>'Price Model'!N15</x:f>
        <x:v>3.48028632934279</x:v>
      </x:c>
      <x:c r="L6" s="33" t="n">
        <x:f>'Price Model'!$B$12</x:f>
        <x:v>0.15</x:v>
      </x:c>
      <x:c r="M6" s="35" t="n">
        <x:f>POWER(E6,1-L6)*POWER(K6,L6)</x:f>
        <x:v>3.5157625909341204</x:v>
      </x:c>
      <x:c r="N6" s="19" t="n">
        <x:f>M6/'Anchors &amp; Method'!$B$12</x:f>
        <x:v>1.1606356730179572</x:v>
      </x:c>
      <x:c r="O6" s="19" t="n">
        <x:f>M6*'Anchors &amp; Method'!$B$12</x:f>
        <x:v>10.64984205049551</x:v>
      </x:c>
      <x:c r="P6" s="22" t="str">
        <x:v>Regression estimate</x:v>
      </x:c>
      <x:c r="Q6" s="22" t="str">
        <x:v>Regular model per user instruction; price-smoothed from the dated benchmark ensemble.</x:v>
      </x:c>
      <x:c r="R6" s="22" t="str">
        <x:v>https://platform.claude.com/docs/en/about-claude/pricing</x:v>
      </x:c>
    </x:row>
    <x:row r="7">
      <x:c r="A7" s="31" t="n">
        <x:v>46212</x:v>
      </x:c>
      <x:c r="B7" s="17" t="str">
        <x:v>GPT-5.6 Sol</x:v>
      </x:c>
      <x:c r="C7" s="20" t="n">
        <x:v>59</x:v>
      </x:c>
      <x:c r="D7" s="20" t="n">
        <x:v>161.77</x:v>
      </x:c>
      <x:c r="E7" s="20" t="n">
        <x:v>3.3877011320930173</x:v>
      </x:c>
      <x:c r="F7" s="20" t="str">
        <x:v>OpenAI</x:v>
      </x:c>
      <x:c r="G7" s="20" t="n">
        <x:v>5</x:v>
      </x:c>
      <x:c r="H7" s="20" t="n">
        <x:v>30</x:v>
      </x:c>
      <x:c r="I7" s="20" t="n">
        <x:v>1</x:v>
      </x:c>
      <x:c r="J7" s="20" t="n">
        <x:f>SQRT(G7*H7)*I7</x:f>
        <x:v>12.24744871391589</x:v>
      </x:c>
      <x:c r="K7" s="20" t="n">
        <x:f>'Price Model'!N16</x:f>
        <x:v>2.838375200042036</x:v>
      </x:c>
      <x:c r="L7" s="34" t="n">
        <x:f>'Price Model'!$B$12</x:f>
        <x:v>0.15</x:v>
      </x:c>
      <x:c r="M7" s="36" t="n">
        <x:f>POWER(E7,1-L7)*POWER(K7,L7)</x:f>
        <x:v>3.2989808641027114</x:v>
      </x:c>
      <x:c r="N7" s="20" t="n">
        <x:f>M7/'Anchors &amp; Method'!$B$12</x:f>
        <x:v>1.0890709416371285</x:v>
      </x:c>
      <x:c r="O7" s="20" t="n">
        <x:f>M7*'Anchors &amp; Method'!$B$12</x:f>
        <x:v>9.993173378913006</x:v>
      </x:c>
      <x:c r="P7" s="23" t="str">
        <x:v>Regression estimate</x:v>
      </x:c>
      <x:c r="Q7" s="23" t="str">
        <x:v>Standard short-context price; max benchmark configuration.</x:v>
      </x:c>
      <x:c r="R7" s="23" t="str">
        <x:v>https://developers.openai.com/api/docs/pricing</x:v>
      </x:c>
    </x:row>
    <x:row r="8">
      <x:c r="A8" s="31" t="n">
        <x:v>46219</x:v>
      </x:c>
      <x:c r="B8" s="17" t="str">
        <x:v>Kimi K3</x:v>
      </x:c>
      <x:c r="C8" s="20" t="n">
        <x:v>57.1123394372091</x:v>
      </x:c>
      <x:c r="D8" s="20"/>
      <x:c r="E8" s="20" t="n">
        <x:v>2.78</x:v>
      </x:c>
      <x:c r="F8" s="20" t="str">
        <x:v>Moonshot AI</x:v>
      </x:c>
      <x:c r="G8" s="20"/>
      <x:c r="H8" s="20"/>
      <x:c r="I8" s="20" t="n">
        <x:v>1</x:v>
      </x:c>
      <x:c r="J8" s="20"/>
      <x:c r="K8" s="20"/>
      <x:c r="L8" s="34" t="n">
        <x:v>0</x:v>
      </x:c>
      <x:c r="M8" s="36" t="n">
        <x:f>E8</x:f>
        <x:v>2.78</x:v>
      </x:c>
      <x:c r="N8" s="20"/>
      <x:c r="O8" s="20"/>
      <x:c r="P8" s="23" t="str">
        <x:v>Disclosed anchor</x:v>
      </x:c>
      <x:c r="Q8" s="23" t="str">
        <x:v>2.78T total / 104.2B activated disclosed in the technical report. No regression whisker.</x:v>
      </x:c>
      <x:c r="R8" s="23" t="str"/>
    </x:row>
    <x:row r="9">
      <x:c r="A9" s="31" t="n">
        <x:v>46135</x:v>
      </x:c>
      <x:c r="B9" s="17" t="str">
        <x:v>GPT-5.5</x:v>
      </x:c>
      <x:c r="C9" s="20" t="n">
        <x:v>55</x:v>
      </x:c>
      <x:c r="D9" s="20" t="n">
        <x:v>158.33</x:v>
      </x:c>
      <x:c r="E9" s="20" t="n">
        <x:v>2.5540570316728863</x:v>
      </x:c>
      <x:c r="F9" s="20" t="str">
        <x:v>OpenAI</x:v>
      </x:c>
      <x:c r="G9" s="20" t="n">
        <x:v>5</x:v>
      </x:c>
      <x:c r="H9" s="20" t="n">
        <x:v>30</x:v>
      </x:c>
      <x:c r="I9" s="20" t="n">
        <x:v>1</x:v>
      </x:c>
      <x:c r="J9" s="20" t="n">
        <x:f>SQRT(G9*H9)*I9</x:f>
        <x:v>12.24744871391589</x:v>
      </x:c>
      <x:c r="K9" s="20" t="n">
        <x:f>'Price Model'!N17</x:f>
        <x:v>3.3238315545112043</x:v>
      </x:c>
      <x:c r="L9" s="34" t="n">
        <x:f>'Price Model'!$B$12</x:f>
        <x:v>0.15</x:v>
      </x:c>
      <x:c r="M9" s="36" t="n">
        <x:f>POWER(E9,1-L9)*POWER(K9,L9)</x:f>
        <x:v>2.657001827455204</x:v>
      </x:c>
      <x:c r="N9" s="20" t="n">
        <x:f>M9/'Anchors &amp; Method'!$B$12</x:f>
        <x:v>0.8771386077576587</x:v>
      </x:c>
      <x:c r="O9" s="20" t="n">
        <x:f>M9*'Anchors &amp; Method'!$B$12</x:f>
        <x:v>8.048509834891204</x:v>
      </x:c>
      <x:c r="P9" s="23" t="str">
        <x:v>Regression estimate</x:v>
      </x:c>
      <x:c r="Q9" s="23" t="str">
        <x:v>Base service price only; Pro service tiers are not separate base-model observations.</x:v>
      </x:c>
      <x:c r="R9" s="23" t="str">
        <x:v>https://developers.openai.com/api/docs/pricing</x:v>
      </x:c>
    </x:row>
    <x:row r="10">
      <x:c r="A10" s="31" t="n">
        <x:v>46170</x:v>
      </x:c>
      <x:c r="B10" s="17" t="str">
        <x:v>Claude Opus 4.7 / 4.8 shared base</x:v>
      </x:c>
      <x:c r="C10" s="20" t="n">
        <x:v>55</x:v>
      </x:c>
      <x:c r="D10" s="20" t="n">
        <x:v>156.93</x:v>
      </x:c>
      <x:c r="E10" s="20" t="n">
        <x:v>2.2732075784117405</x:v>
      </x:c>
      <x:c r="F10" s="20" t="str">
        <x:v>Anthropic</x:v>
      </x:c>
      <x:c r="G10" s="20" t="n">
        <x:v>5</x:v>
      </x:c>
      <x:c r="H10" s="20" t="n">
        <x:v>25</x:v>
      </x:c>
      <x:c r="I10" s="20" t="n">
        <x:v>1.3</x:v>
      </x:c>
      <x:c r="J10" s="20" t="n">
        <x:f>SQRT(G10*H10)*I10</x:f>
        <x:v>14.534441853748634</x:v>
      </x:c>
      <x:c r="K10" s="20" t="n">
        <x:f>'Price Model'!N18</x:f>
        <x:v>2.6952034847314126</x:v>
      </x:c>
      <x:c r="L10" s="34" t="n">
        <x:f>'Price Model'!$B$12</x:f>
        <x:v>0.15</x:v>
      </x:c>
      <x:c r="M10" s="36" t="n">
        <x:f>POWER(E10,1-L10)*POWER(K10,L10)</x:f>
        <x:v>2.332018357636161</x:v>
      </x:c>
      <x:c r="N10" s="20" t="n">
        <x:f>M10/'Anchors &amp; Method'!$B$12</x:f>
        <x:v>0.7698539437744404</x:v>
      </x:c>
      <x:c r="O10" s="20" t="n">
        <x:f>M10*'Anchors &amp; Method'!$B$12</x:f>
        <x:v>7.064079705416731</x:v>
      </x:c>
      <x:c r="P10" s="23" t="str">
        <x:v>Regression estimate</x:v>
      </x:c>
      <x:c r="Q10" s="23" t="str">
        <x:v>One latent base observation; 4.7 and 4.8 checkpoint estimates are collapsed geometrically.</x:v>
      </x:c>
      <x:c r="R10" s="23" t="str">
        <x:v>https://platform.claude.com/docs/en/about-claude/pricing</x:v>
      </x:c>
    </x:row>
    <x:row r="11">
      <x:c r="A11" s="31" t="n">
        <x:v>46212</x:v>
      </x:c>
      <x:c r="B11" s="17" t="str">
        <x:v>GPT-5.6 Terra</x:v>
      </x:c>
      <x:c r="C11" s="20" t="n">
        <x:v>55</x:v>
      </x:c>
      <x:c r="D11" s="20" t="n">
        <x:v>158.25</x:v>
      </x:c>
      <x:c r="E11" s="20" t="n">
        <x:v>2.2508969861487285</x:v>
      </x:c>
      <x:c r="F11" s="20" t="str">
        <x:v>OpenAI</x:v>
      </x:c>
      <x:c r="G11" s="20" t="n">
        <x:v>2.5</x:v>
      </x:c>
      <x:c r="H11" s="20" t="n">
        <x:v>15</x:v>
      </x:c>
      <x:c r="I11" s="20" t="n">
        <x:v>1</x:v>
      </x:c>
      <x:c r="J11" s="20" t="n">
        <x:f>SQRT(G11*H11)*I11</x:f>
        <x:v>6.123724356957945</x:v>
      </x:c>
      <x:c r="K11" s="20" t="n">
        <x:f>'Price Model'!N19</x:f>
        <x:v>2.226203154213069</x:v>
      </x:c>
      <x:c r="L11" s="34" t="n">
        <x:f>'Price Model'!$B$12</x:f>
        <x:v>0.15</x:v>
      </x:c>
      <x:c r="M11" s="36" t="n">
        <x:f>POWER(E11,1-L11)*POWER(K11,L11)</x:f>
        <x:v>2.2471755232329462</x:v>
      </x:c>
      <x:c r="N11" s="20" t="n">
        <x:f>M11/'Anchors &amp; Method'!$B$12</x:f>
        <x:v>0.7418453346430249</x:v>
      </x:c>
      <x:c r="O11" s="20" t="n">
        <x:f>M11*'Anchors &amp; Method'!$B$12</x:f>
        <x:v>6.807076349205892</x:v>
      </x:c>
      <x:c r="P11" s="23" t="str">
        <x:v>Regression estimate</x:v>
      </x:c>
      <x:c r="Q11" s="23" t="str">
        <x:v>Standard short-context price.</x:v>
      </x:c>
      <x:c r="R11" s="23" t="str">
        <x:v>https://developers.openai.com/api/docs/pricing</x:v>
      </x:c>
    </x:row>
    <x:row r="12">
      <x:c r="A12" s="31" t="n">
        <x:v>46203</x:v>
      </x:c>
      <x:c r="B12" s="17" t="str">
        <x:v>Claude Sonnet 5</x:v>
      </x:c>
      <x:c r="C12" s="20" t="n">
        <x:v>53</x:v>
      </x:c>
      <x:c r="D12" s="20" t="n">
        <x:v>153.2</x:v>
      </x:c>
      <x:c r="E12" s="20" t="n">
        <x:v>1.589314956775509</x:v>
      </x:c>
      <x:c r="F12" s="20" t="str">
        <x:v>Anthropic</x:v>
      </x:c>
      <x:c r="G12" s="20" t="n">
        <x:v>2</x:v>
      </x:c>
      <x:c r="H12" s="20" t="n">
        <x:v>10</x:v>
      </x:c>
      <x:c r="I12" s="20" t="n">
        <x:v>1.3</x:v>
      </x:c>
      <x:c r="J12" s="20" t="n">
        <x:f>SQRT(G12*H12)*I12</x:f>
        <x:v>5.813776741499454</x:v>
      </x:c>
      <x:c r="K12" s="20" t="n">
        <x:f>'Price Model'!N20</x:f>
        <x:v>1.875952028866749</x:v>
      </x:c>
      <x:c r="L12" s="34" t="n">
        <x:f>'Price Model'!$B$12</x:f>
        <x:v>0.15</x:v>
      </x:c>
      <x:c r="M12" s="36" t="n">
        <x:f>POWER(E12,1-L12)*POWER(K12,L12)</x:f>
        <x:v>1.6293400551610284</x:v>
      </x:c>
      <x:c r="N12" s="20" t="n">
        <x:f>M12/'Anchors &amp; Method'!$B$12</x:f>
        <x:v>0.537883358897248</x:v>
      </x:c>
      <x:c r="O12" s="20" t="n">
        <x:f>M12*'Anchors &amp; Method'!$B$12</x:f>
        <x:v>4.935547775255268</x:v>
      </x:c>
      <x:c r="P12" s="23" t="str">
        <x:v>Regression estimate</x:v>
      </x:c>
      <x:c r="Q12" s="23" t="str">
        <x:v>Current introductory price through 2026-08-31; announced future $3/$15 excluded.</x:v>
      </x:c>
      <x:c r="R12" s="23" t="str">
        <x:v>https://platform.claude.com/docs/en/about-claude/pricing</x:v>
      </x:c>
    </x:row>
    <x:row r="13">
      <x:c r="A13" s="31" t="n">
        <x:v>46212</x:v>
      </x:c>
      <x:c r="B13" s="17" t="str">
        <x:v>GPT-5.6 Luna</x:v>
      </x:c>
      <x:c r="C13" s="20" t="n">
        <x:v>51</x:v>
      </x:c>
      <x:c r="D13" s="20" t="n">
        <x:v>155.62</x:v>
      </x:c>
      <x:c r="E13" s="20" t="n">
        <x:v>1.566890306380872</x:v>
      </x:c>
      <x:c r="F13" s="20" t="str">
        <x:v>OpenAI</x:v>
      </x:c>
      <x:c r="G13" s="20" t="n">
        <x:v>1</x:v>
      </x:c>
      <x:c r="H13" s="20" t="n">
        <x:v>6</x:v>
      </x:c>
      <x:c r="I13" s="20" t="n">
        <x:v>1</x:v>
      </x:c>
      <x:c r="J13" s="20" t="n">
        <x:f>SQRT(G13*H13)*I13</x:f>
        <x:v>2.449489742783178</x:v>
      </x:c>
      <x:c r="K13" s="20" t="n">
        <x:f>'Price Model'!N21</x:f>
        <x:v>1.3922076796534568</x:v>
      </x:c>
      <x:c r="L13" s="34" t="n">
        <x:f>'Price Model'!$B$12</x:f>
        <x:v>0.15</x:v>
      </x:c>
      <x:c r="M13" s="36" t="n">
        <x:f>POWER(E13,1-L13)*POWER(K13,L13)</x:f>
        <x:v>1.5393536595149218</x:v>
      </x:c>
      <x:c r="N13" s="20" t="n">
        <x:f>M13/'Anchors &amp; Method'!$B$12</x:f>
        <x:v>0.5081767395872594</x:v>
      </x:c>
      <x:c r="O13" s="20" t="n">
        <x:f>M13*'Anchors &amp; Method'!$B$12</x:f>
        <x:v>4.662963698390793</x:v>
      </x:c>
      <x:c r="P13" s="23" t="str">
        <x:v>Regression estimate</x:v>
      </x:c>
      <x:c r="Q13" s="23" t="str">
        <x:v>Standard short-context price.</x:v>
      </x:c>
      <x:c r="R13" s="23" t="str">
        <x:v>https://developers.openai.com/api/docs/pricing</x:v>
      </x:c>
    </x:row>
    <x:row r="14">
      <x:c r="A14" s="31" t="n">
        <x:v>46161</x:v>
      </x:c>
      <x:c r="B14" s="17" t="str">
        <x:v>Gemini 3.5 Flash</x:v>
      </x:c>
      <x:c r="C14" s="20" t="n">
        <x:v>50</x:v>
      </x:c>
      <x:c r="D14" s="20" t="n">
        <x:v>154.58</x:v>
      </x:c>
      <x:c r="E14" s="20" t="n">
        <x:v>1.540459094830831</x:v>
      </x:c>
      <x:c r="F14" s="20" t="str">
        <x:v>Google</x:v>
      </x:c>
      <x:c r="G14" s="20"/>
      <x:c r="H14" s="20"/>
      <x:c r="I14" s="20" t="n">
        <x:v>1</x:v>
      </x:c>
      <x:c r="J14" s="20"/>
      <x:c r="K14" s="20"/>
      <x:c r="L14" s="34" t="n">
        <x:v>0</x:v>
      </x:c>
      <x:c r="M14" s="36" t="n">
        <x:f>E14</x:f>
        <x:v>1.540459094830831</x:v>
      </x:c>
      <x:c r="N14" s="20" t="n">
        <x:f>M14/'Anchors &amp; Method'!$B$12</x:f>
        <x:v>0.508541669706593</x:v>
      </x:c>
      <x:c r="O14" s="20" t="n">
        <x:f>M14*'Anchors &amp; Method'!$B$12</x:f>
        <x:v>4.666312249724102</x:v>
      </x:c>
      <x:c r="P14" s="23" t="str">
        <x:v>Regression estimate</x:v>
      </x:c>
      <x:c r="Q14" s="23" t="str">
        <x:v>No OpenAI/Anthropic price signal; benchmark estimate is unchanged.</x:v>
      </x:c>
      <x:c r="R14" s="23" t="str"/>
    </x:row>
    <x:row r="15">
      <x:c r="A15" s="31" t="n">
        <x:v>46211</x:v>
      </x:c>
      <x:c r="B15" s="17" t="str">
        <x:v>Grok 4.5</x:v>
      </x:c>
      <x:c r="C15" s="20" t="n">
        <x:v>53.8265951657731</x:v>
      </x:c>
      <x:c r="D15" s="20" t="n">
        <x:v>153.17</x:v>
      </x:c>
      <x:c r="E15" s="20" t="n">
        <x:v>1.5</x:v>
      </x:c>
      <x:c r="F15" s="20" t="str">
        <x:v>SpaceXAI</x:v>
      </x:c>
      <x:c r="G15" s="20" t="n">
        <x:v>2</x:v>
      </x:c>
      <x:c r="H15" s="20" t="n">
        <x:v>6</x:v>
      </x:c>
      <x:c r="I15" s="20" t="n">
        <x:v>1</x:v>
      </x:c>
      <x:c r="J15" s="20" t="n">
        <x:f>SQRT(G15*H15)*I15</x:f>
        <x:v>3.4641016151377544</x:v>
      </x:c>
      <x:c r="K15" s="20"/>
      <x:c r="L15" s="34" t="n">
        <x:v>0</x:v>
      </x:c>
      <x:c r="M15" s="36" t="n">
        <x:f>E15</x:f>
        <x:v>1.5</x:v>
      </x:c>
      <x:c r="N15" s="20"/>
      <x:c r="O15" s="20"/>
      <x:c r="P15" s="23" t="str">
        <x:v>Disclosed anchor</x:v>
      </x:c>
      <x:c r="Q15" s="23" t="str">
        <x:v>Pegged to the public 1.5T V9 foundation disclosure; active count and architecture undisclosed.</x:v>
      </x:c>
      <x:c r="R15" s="23" t="str">
        <x:v>https://docs.x.ai/developers/models/grok-4.5</x:v>
      </x:c>
    </x:row>
    <x:row r="16">
      <x:c r="A16" s="31" t="n">
        <x:v>46072</x:v>
      </x:c>
      <x:c r="B16" s="17" t="str">
        <x:v>Gemini 3.1 Pro</x:v>
      </x:c>
      <x:c r="C16" s="20" t="n">
        <x:v>46</x:v>
      </x:c>
      <x:c r="D16" s="20" t="n">
        <x:v>154.84</x:v>
      </x:c>
      <x:c r="E16" s="20" t="n">
        <x:v>1.478125456579956</x:v>
      </x:c>
      <x:c r="F16" s="20" t="str">
        <x:v>Google</x:v>
      </x:c>
      <x:c r="G16" s="20"/>
      <x:c r="H16" s="20"/>
      <x:c r="I16" s="20" t="n">
        <x:v>1</x:v>
      </x:c>
      <x:c r="J16" s="20"/>
      <x:c r="K16" s="20"/>
      <x:c r="L16" s="34" t="n">
        <x:v>0</x:v>
      </x:c>
      <x:c r="M16" s="36" t="n">
        <x:f>E16</x:f>
        <x:v>1.478125456579956</x:v>
      </x:c>
      <x:c r="N16" s="20" t="n">
        <x:f>M16/'Anchors &amp; Method'!$B$12</x:f>
        <x:v>0.487963874047262</x:v>
      </x:c>
      <x:c r="O16" s="20" t="n">
        <x:f>M16*'Anchors &amp; Method'!$B$12</x:f>
        <x:v>4.477493071911484</x:v>
      </x:c>
      <x:c r="P16" s="23" t="str">
        <x:v>Regression estimate</x:v>
      </x:c>
      <x:c r="Q16" s="23" t="str">
        <x:v>No OpenAI/Anthropic price signal; benchmark estimate is unchanged.</x:v>
      </x:c>
      <x:c r="R16" s="23" t="str"/>
    </x:row>
    <x:row r="17">
      <x:c r="A17" s="32" t="n">
        <x:v>46227</x:v>
      </x:c>
      <x:c r="B17" s="18" t="str">
        <x:v>Claude Opus 5</x:v>
      </x:c>
      <x:c r="C17" s="21" t="n">
        <x:v>60.6918740157091</x:v>
      </x:c>
      <x:c r="D17" s="21" t="n">
        <x:v>159.3778667882398</x:v>
      </x:c>
      <x:c r="E17" s="21" t="n">
        <x:v>3.1697509144367997</x:v>
      </x:c>
      <x:c r="F17" s="21" t="str">
        <x:v>Anthropic</x:v>
      </x:c>
      <x:c r="G17" s="21" t="n">
        <x:v>5</x:v>
      </x:c>
      <x:c r="H17" s="21" t="n">
        <x:v>25</x:v>
      </x:c>
      <x:c r="I17" s="21" t="n">
        <x:v>1.3</x:v>
      </x:c>
      <x:c r="J17" s="21" t="n">
        <x:f>SQRT(G17*H17)*I17</x:f>
        <x:v>14.534441853748634</x:v>
      </x:c>
      <x:c r="K17" s="21" t="n">
        <x:f>'Price Model'!N22</x:f>
        <x:v>2.4110202558207794</x:v>
      </x:c>
      <x:c r="L17" s="29" t="n">
        <x:f>'Price Model'!$B$12</x:f>
        <x:v>0.15</x:v>
      </x:c>
      <x:c r="M17" s="37" t="n">
        <x:f>POWER(E17,1-L17)*POWER(K17,L17)</x:f>
        <x:v>3.042296195182693</x:v>
      </x:c>
      <x:c r="N17" s="21" t="n">
        <x:f>M17/'Anchors &amp; Method'!$B$12</x:f>
        <x:v>1.0043333133815693</x:v>
      </x:c>
      <x:c r="O17" s="21" t="n">
        <x:f>M17*'Anchors &amp; Method'!$B$12</x:f>
        <x:v>9.215631918112717</x:v>
      </x:c>
      <x:c r="P17" s="24" t="str">
        <x:v>Regression estimate</x:v>
      </x:c>
      <x:c r="Q17" s="24" t="str">
        <x:v>Distinct newly pretrained base. AA max used Opus 4.8 fallback; parameter count, architecture, training compute, and shared-weight identity are undisclosed.</x:v>
      </x:c>
      <x:c r="R17" s="24" t="str">
        <x:v>https://platform.claude.com/docs/en/about-claude/pricing</x:v>
      </x:c>
    </x:row>
  </x:sheetData>
  <x:mergeCells>
    <x:mergeCell ref="A1:R1"/>
    <x:mergeCell ref="A2:R3"/>
  </x:mergeCells>
  <x:conditionalFormatting sqref="P6:P17">
    <x:cfRule type="containsText" dxfId="0" priority="1" operator="containsText" text="anchor"/>
  </x:conditionalFormatting>
  <x:pageMargins left="0.7" right="0.7" top="0.75" bottom="0.75" header="0.3" footer="0.3"/>
  <x:legacyDrawing xmlns:r="http://schemas.openxmlformats.org/officeDocument/2006/relationships" r:id="Rd68523681776438f"/>
  <x:tableParts count="1">
    <x:tablePart xmlns:r="http://schemas.openxmlformats.org/officeDocument/2006/relationships" r:id="R74c05b6cea5443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55" hidden="0" customWidth="1"/>
    <x:col min="12" max="12" width="52" hidden="0" customWidth="1"/>
  </x:cols>
  <x:sheetData>
    <x:row r="1" ht="36" customHeight="1">
      <x:c r="A1" s="3" t="str">
        <x:v>API pricing inputs — current standard rates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USD per million tokens as of 2026-07-31. The calibration uses only standard uncached input and output rates; cached, batch, fast, regional, and long-context modifiers are retained for audit context but excluded from the price signal.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5" ht="34" customHeight="1">
      <x:c r="A5" s="11" t="str">
        <x:v>Base model</x:v>
      </x:c>
      <x:c r="B5" s="11" t="str">
        <x:v>Provider</x:v>
      </x:c>
      <x:c r="C5" s="11" t="str">
        <x:v>Input $/MTok</x:v>
      </x:c>
      <x:c r="D5" s="11" t="str">
        <x:v>Output $/MTok</x:v>
      </x:c>
      <x:c r="E5" s="11" t="str">
        <x:v>Cached input $/MTok</x:v>
      </x:c>
      <x:c r="F5" s="11" t="str">
        <x:v>5m cache write $/MTok</x:v>
      </x:c>
      <x:c r="G5" s="11" t="str">
        <x:v>Long input $/MTok</x:v>
      </x:c>
      <x:c r="H5" s="11" t="str">
        <x:v>Long output $/MTok</x:v>
      </x:c>
      <x:c r="I5" s="11" t="str">
        <x:v>Tokenizer factor</x:v>
      </x:c>
      <x:c r="J5" s="11" t="str">
        <x:v>Rate used</x:v>
      </x:c>
      <x:c r="K5" s="11" t="str">
        <x:v>Official source</x:v>
      </x:c>
      <x:c r="L5" s="11" t="str">
        <x:v>Note</x:v>
      </x:c>
    </x:row>
    <x:row r="6">
      <x:c r="A6" s="16" t="str">
        <x:v>Claude Fable 5</x:v>
      </x:c>
      <x:c r="B6" s="16" t="str">
        <x:v>Anthropic</x:v>
      </x:c>
      <x:c r="C6" s="19" t="n">
        <x:v>10</x:v>
      </x:c>
      <x:c r="D6" s="19" t="n">
        <x:v>50</x:v>
      </x:c>
      <x:c r="E6" s="19" t="n">
        <x:v>1</x:v>
      </x:c>
      <x:c r="F6" s="19" t="n">
        <x:v>12.5</x:v>
      </x:c>
      <x:c r="G6" s="19" t="n">
        <x:v>10</x:v>
      </x:c>
      <x:c r="H6" s="19" t="n">
        <x:v>50</x:v>
      </x:c>
      <x:c r="I6" s="19" t="n">
        <x:v>1.3</x:v>
      </x:c>
      <x:c r="J6" s="22" t="str">
        <x:v>Current standard</x:v>
      </x:c>
      <x:c r="K6" s="22" t="str">
        <x:v>https://platform.claude.com/docs/en/about-claude/pricing</x:v>
      </x:c>
      <x:c r="L6" s="22" t="str">
        <x:v>New tokenizer; approximately 30% more tokens for equivalent text.</x:v>
      </x:c>
    </x:row>
    <x:row r="7">
      <x:c r="A7" s="17" t="str">
        <x:v>GPT-5.6 Sol</x:v>
      </x:c>
      <x:c r="B7" s="17" t="str">
        <x:v>OpenAI</x:v>
      </x:c>
      <x:c r="C7" s="20" t="n">
        <x:v>5</x:v>
      </x:c>
      <x:c r="D7" s="20" t="n">
        <x:v>30</x:v>
      </x:c>
      <x:c r="E7" s="20" t="n">
        <x:v>0.5</x:v>
      </x:c>
      <x:c r="F7" s="20" t="n">
        <x:v>6.25</x:v>
      </x:c>
      <x:c r="G7" s="20" t="n">
        <x:v>10</x:v>
      </x:c>
      <x:c r="H7" s="20" t="n">
        <x:v>45</x:v>
      </x:c>
      <x:c r="I7" s="20" t="n">
        <x:v>1</x:v>
      </x:c>
      <x:c r="J7" s="23" t="str">
        <x:v>Short context</x:v>
      </x:c>
      <x:c r="K7" s="23" t="str">
        <x:v>https://developers.openai.com/api/docs/pricing</x:v>
      </x:c>
      <x:c r="L7" s="23" t="str">
        <x:v>Long-context tier excluded from calibration.</x:v>
      </x:c>
    </x:row>
    <x:row r="8">
      <x:c r="A8" s="17" t="str">
        <x:v>GPT-5.5</x:v>
      </x:c>
      <x:c r="B8" s="17" t="str">
        <x:v>OpenAI</x:v>
      </x:c>
      <x:c r="C8" s="20" t="n">
        <x:v>5</x:v>
      </x:c>
      <x:c r="D8" s="20" t="n">
        <x:v>30</x:v>
      </x:c>
      <x:c r="E8" s="20" t="n">
        <x:v>0.5</x:v>
      </x:c>
      <x:c r="F8" s="20"/>
      <x:c r="G8" s="20" t="n">
        <x:v>10</x:v>
      </x:c>
      <x:c r="H8" s="20" t="n">
        <x:v>45</x:v>
      </x:c>
      <x:c r="I8" s="20" t="n">
        <x:v>1</x:v>
      </x:c>
      <x:c r="J8" s="23" t="str">
        <x:v>Short context</x:v>
      </x:c>
      <x:c r="K8" s="23" t="str">
        <x:v>https://developers.openai.com/api/docs/pricing</x:v>
      </x:c>
      <x:c r="L8" s="23" t="str">
        <x:v>Pro price tier excluded as a service configuration.</x:v>
      </x:c>
    </x:row>
    <x:row r="9">
      <x:c r="A9" s="17" t="str">
        <x:v>Claude Opus 4.7 / 4.8 shared base</x:v>
      </x:c>
      <x:c r="B9" s="17" t="str">
        <x:v>Anthropic</x:v>
      </x:c>
      <x:c r="C9" s="20" t="n">
        <x:v>5</x:v>
      </x:c>
      <x:c r="D9" s="20" t="n">
        <x:v>25</x:v>
      </x:c>
      <x:c r="E9" s="20" t="n">
        <x:v>0.5</x:v>
      </x:c>
      <x:c r="F9" s="20" t="n">
        <x:v>6.25</x:v>
      </x:c>
      <x:c r="G9" s="20" t="n">
        <x:v>5</x:v>
      </x:c>
      <x:c r="H9" s="20" t="n">
        <x:v>25</x:v>
      </x:c>
      <x:c r="I9" s="20" t="n">
        <x:v>1.3</x:v>
      </x:c>
      <x:c r="J9" s="23" t="str">
        <x:v>Current standard</x:v>
      </x:c>
      <x:c r="K9" s="23" t="str">
        <x:v>https://platform.claude.com/docs/en/about-claude/pricing</x:v>
      </x:c>
      <x:c r="L9" s="23" t="str">
        <x:v>Same base and same standard price; fast-mode premiums excluded.</x:v>
      </x:c>
    </x:row>
    <x:row r="10">
      <x:c r="A10" s="17" t="str">
        <x:v>GPT-5.6 Terra</x:v>
      </x:c>
      <x:c r="B10" s="17" t="str">
        <x:v>OpenAI</x:v>
      </x:c>
      <x:c r="C10" s="20" t="n">
        <x:v>2.5</x:v>
      </x:c>
      <x:c r="D10" s="20" t="n">
        <x:v>15</x:v>
      </x:c>
      <x:c r="E10" s="20" t="n">
        <x:v>0.25</x:v>
      </x:c>
      <x:c r="F10" s="20" t="n">
        <x:v>3.125</x:v>
      </x:c>
      <x:c r="G10" s="20" t="n">
        <x:v>5</x:v>
      </x:c>
      <x:c r="H10" s="20" t="n">
        <x:v>22.5</x:v>
      </x:c>
      <x:c r="I10" s="20" t="n">
        <x:v>1</x:v>
      </x:c>
      <x:c r="J10" s="23" t="str">
        <x:v>Short context</x:v>
      </x:c>
      <x:c r="K10" s="23" t="str">
        <x:v>https://developers.openai.com/api/docs/pricing</x:v>
      </x:c>
      <x:c r="L10" s="23" t="str">
        <x:v>Long-context tier excluded from calibration.</x:v>
      </x:c>
    </x:row>
    <x:row r="11">
      <x:c r="A11" s="17" t="str">
        <x:v>Claude Sonnet 5</x:v>
      </x:c>
      <x:c r="B11" s="17" t="str">
        <x:v>Anthropic</x:v>
      </x:c>
      <x:c r="C11" s="20" t="n">
        <x:v>2</x:v>
      </x:c>
      <x:c r="D11" s="20" t="n">
        <x:v>10</x:v>
      </x:c>
      <x:c r="E11" s="20" t="n">
        <x:v>0.2</x:v>
      </x:c>
      <x:c r="F11" s="20" t="n">
        <x:v>2.5</x:v>
      </x:c>
      <x:c r="G11" s="20" t="n">
        <x:v>2</x:v>
      </x:c>
      <x:c r="H11" s="20" t="n">
        <x:v>10</x:v>
      </x:c>
      <x:c r="I11" s="20" t="n">
        <x:v>1.3</x:v>
      </x:c>
      <x:c r="J11" s="23" t="str">
        <x:v>Intro through 2026-08-31</x:v>
      </x:c>
      <x:c r="K11" s="23" t="str">
        <x:v>https://platform.claude.com/docs/en/about-claude/pricing</x:v>
      </x:c>
      <x:c r="L11" s="23" t="str">
        <x:v>Future $3/$15 standard price is shown in source but not used.</x:v>
      </x:c>
    </x:row>
    <x:row r="12">
      <x:c r="A12" s="17" t="str">
        <x:v>GPT-5.6 Luna</x:v>
      </x:c>
      <x:c r="B12" s="17" t="str">
        <x:v>OpenAI</x:v>
      </x:c>
      <x:c r="C12" s="20" t="n">
        <x:v>1</x:v>
      </x:c>
      <x:c r="D12" s="20" t="n">
        <x:v>6</x:v>
      </x:c>
      <x:c r="E12" s="20" t="n">
        <x:v>0.1</x:v>
      </x:c>
      <x:c r="F12" s="20" t="n">
        <x:v>1.25</x:v>
      </x:c>
      <x:c r="G12" s="20" t="n">
        <x:v>2</x:v>
      </x:c>
      <x:c r="H12" s="20" t="n">
        <x:v>9</x:v>
      </x:c>
      <x:c r="I12" s="20" t="n">
        <x:v>1</x:v>
      </x:c>
      <x:c r="J12" s="23" t="str">
        <x:v>Short context</x:v>
      </x:c>
      <x:c r="K12" s="23" t="str">
        <x:v>https://developers.openai.com/api/docs/pricing</x:v>
      </x:c>
      <x:c r="L12" s="23" t="str">
        <x:v>Long-context tier excluded from calibration.</x:v>
      </x:c>
    </x:row>
    <x:row r="13">
      <x:c r="A13" s="17" t="str">
        <x:v>Grok 4.5</x:v>
      </x:c>
      <x:c r="B13" s="17" t="str">
        <x:v>SpaceXAI</x:v>
      </x:c>
      <x:c r="C13" s="20" t="n">
        <x:v>2</x:v>
      </x:c>
      <x:c r="D13" s="20" t="n">
        <x:v>6</x:v>
      </x:c>
      <x:c r="E13" s="20" t="n">
        <x:v>0.5</x:v>
      </x:c>
      <x:c r="F13" s="20"/>
      <x:c r="G13" s="20"/>
      <x:c r="H13" s="20"/>
      <x:c r="I13" s="20" t="n">
        <x:v>1</x:v>
      </x:c>
      <x:c r="J13" s="23" t="str">
        <x:v>Standard</x:v>
      </x:c>
      <x:c r="K13" s="23" t="str">
        <x:v>https://docs.x.ai/developers/models/grok-4.5</x:v>
      </x:c>
      <x:c r="L13" s="23" t="str">
        <x:v>Validation only; not used to fit the OpenAI/Anthropic price model.</x:v>
      </x:c>
    </x:row>
    <x:row r="14">
      <x:c r="A14" s="18" t="str">
        <x:v>Claude Opus 5</x:v>
      </x:c>
      <x:c r="B14" s="18" t="str">
        <x:v>Anthropic</x:v>
      </x:c>
      <x:c r="C14" s="21" t="n">
        <x:v>5</x:v>
      </x:c>
      <x:c r="D14" s="21" t="n">
        <x:v>25</x:v>
      </x:c>
      <x:c r="E14" s="21" t="n">
        <x:v>0.5</x:v>
      </x:c>
      <x:c r="F14" s="21" t="n">
        <x:v>6.25</x:v>
      </x:c>
      <x:c r="G14" s="21" t="n">
        <x:v>5</x:v>
      </x:c>
      <x:c r="H14" s="21" t="n">
        <x:v>25</x:v>
      </x:c>
      <x:c r="I14" s="21" t="n">
        <x:v>1.3</x:v>
      </x:c>
      <x:c r="J14" s="24" t="str">
        <x:v>Current standard</x:v>
      </x:c>
      <x:c r="K14" s="24" t="str">
        <x:v>https://platform.claude.com/docs/en/about-claude/pricing</x:v>
      </x:c>
      <x:c r="L14" s="24" t="str">
        <x:v>Fast mode is a service tier and is excluded; Opus 5 is a distinct base observation.</x:v>
      </x:c>
    </x:row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795c97c30afe42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6" customHeight="1">
      <x:c r="A1" s="3" t="str">
        <x:v>Weak API-price calibration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For eight unique OpenAI/Anthropic base models: z = sqrt(input price × output price) × tokenizer factor. A provider fixed effect prevents Anthropic and OpenAI commercial schedules from being treated as identical. Each model receives a leave-one-base-out price prediction, then only 15% log weight.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5" ht="34" customHeight="1">
      <x:c r="A5" s="11" t="str">
        <x:v>Diagnostic / assumption</x:v>
      </x:c>
      <x:c r="B5" s="11" t="str">
        <x:v>Value</x:v>
      </x:c>
    </x:row>
    <x:row r="6">
      <x:c r="A6" s="16" t="str">
        <x:v>Full-fit slope on log10(z)</x:v>
      </x:c>
      <x:c r="B6" s="25" t="n">
        <x:f>((SUM(R15:R22)-SUM(P15:P22)*SUM(Q15:Q22)/COUNTIF(B15:B22,"OpenAI"))+(SUM(V15:V22)-SUM(T15:T22)*SUM(U15:U22)/COUNTIF(B15:B22,"Anthropic")))/((SUM(S15:S22)-POWER(SUM(P15:P22),2)/COUNTIF(B15:B22,"OpenAI"))+(SUM(W15:W22)-POWER(SUM(T15:T22),2)/COUNTIF(B15:B22,"Anthropic")))</x:f>
        <x:v>0.4379445168785773</x:v>
      </x:c>
    </x:row>
    <x:row r="7">
      <x:c r="A7" s="17" t="str">
        <x:v>Full-fit OpenAI intercept, T units</x:v>
      </x:c>
      <x:c r="B7" s="26" t="n">
        <x:f>SUM(Q15:Q22)/COUNTIF(B15:B22,"OpenAI")-B6*SUM(P15:P22)/COUNTIF(B15:B22,"OpenAI")</x:f>
        <x:v>0.004114985023315143</x:v>
      </x:c>
    </x:row>
    <x:row r="8">
      <x:c r="A8" s="17" t="str">
        <x:v>Full-fit Anthropic effect</x:v>
      </x:c>
      <x:c r="B8" s="26" t="n">
        <x:f>SUM(U15:U22)/COUNTIF(B15:B22,"Anthropic")-B7-B6*SUM(T15:T22)/COUNTIF(B15:B22,"Anthropic")</x:f>
        <x:v>-0.1011529158649701</x:v>
      </x:c>
    </x:row>
    <x:row r="9">
      <x:c r="A9" s="17" t="str">
        <x:v>Full-fit R²</x:v>
      </x:c>
      <x:c r="B9" s="27" t="n">
        <x:f>1-SUM(AI15:AI22)/SUM(AJ15:AJ22)</x:f>
        <x:v>0.8450798887401041</x:v>
      </x:c>
    </x:row>
    <x:row r="10">
      <x:c r="A10" s="17" t="str">
        <x:v>LOBO RMSE, log10</x:v>
      </x:c>
      <x:c r="B10" s="27" t="n">
        <x:f>SQRT(AVERAGE(AK15:AK22))</x:f>
        <x:v>0.07620027654478584</x:v>
      </x:c>
    </x:row>
    <x:row r="11">
      <x:c r="A11" s="17" t="str">
        <x:v>LOBO multiplicative error</x:v>
      </x:c>
      <x:c r="B11" s="28" t="n">
        <x:f>POWER(10,B10)</x:f>
        <x:v>1.1917914804759273</x:v>
      </x:c>
    </x:row>
    <x:row r="12">
      <x:c r="A12" s="18" t="str">
        <x:v>Price log weight</x:v>
      </x:c>
      <x:c r="B12" s="29" t="n">
        <x:v>0.15</x:v>
      </x:c>
    </x:row>
    <x:row r="14" ht="34" customHeight="1">
      <x:c r="A14" s="11" t="str">
        <x:v>Model</x:v>
      </x:c>
      <x:c r="B14" s="11" t="str">
        <x:v>Provider</x:v>
      </x:c>
      <x:c r="C14" s="11" t="str">
        <x:v>Benchmark central (T)</x:v>
      </x:c>
      <x:c r="D14" s="11" t="str">
        <x:v>Input</x:v>
      </x:c>
      <x:c r="E14" s="11" t="str">
        <x:v>Output</x:v>
      </x:c>
      <x:c r="F14" s="11" t="str">
        <x:v>Tokenizer factor</x:v>
      </x:c>
      <x:c r="G14" s="11" t="str">
        <x:v>z</x:v>
      </x:c>
      <x:c r="H14" s="11" t="str">
        <x:v>log10(z)</x:v>
      </x:c>
      <x:c r="I14" s="11" t="str">
        <x:v>log10(P)</x:v>
      </x:c>
      <x:c r="J14" s="11" t="str">
        <x:v>Anthropic dummy</x:v>
      </x:c>
      <x:c r="K14" s="11" t="str">
        <x:v>LOBO slope</x:v>
      </x:c>
      <x:c r="L14" s="11" t="str">
        <x:v>LOBO intercept</x:v>
      </x:c>
      <x:c r="M14" s="11" t="str">
        <x:v>LOBO Anthropic effect</x:v>
      </x:c>
      <x:c r="N14" s="11" t="str">
        <x:v>LOBO price-implied (T)</x:v>
      </x:c>
      <x:c r="O14" s="11" t="str">
        <x:v>15% blended (T)</x:v>
      </x:c>
    </x:row>
    <x:row r="15">
      <x:c r="A15" s="16" t="str">
        <x:f>'API Prices'!A6</x:f>
        <x:v>Claude Fable 5</x:v>
      </x:c>
      <x:c r="B15" s="16" t="str">
        <x:f>'API Prices'!B6</x:f>
        <x:v>Anthropic</x:v>
      </x:c>
      <x:c r="C15" s="19" t="n">
        <x:f>'Frontier Estimates'!E6</x:f>
        <x:v>3.5220605422523943</x:v>
      </x:c>
      <x:c r="D15" s="19" t="n">
        <x:f>'API Prices'!C6</x:f>
        <x:v>10</x:v>
      </x:c>
      <x:c r="E15" s="19" t="n">
        <x:f>'API Prices'!D6</x:f>
        <x:v>50</x:v>
      </x:c>
      <x:c r="F15" s="19" t="n">
        <x:f>'API Prices'!I6</x:f>
        <x:v>1.3</x:v>
      </x:c>
      <x:c r="G15" s="19" t="n">
        <x:f>SQRT(D15*E15)*F15</x:f>
        <x:v>29.068883707497267</x:v>
      </x:c>
      <x:c r="H15" s="19" t="n">
        <x:f>LOG10(G15)</x:f>
        <x:v>1.46342835447485</x:v>
      </x:c>
      <x:c r="I15" s="19" t="n">
        <x:f>LOG10(C15)</x:f>
        <x:v>0.546796816974856</x:v>
      </x:c>
      <x:c r="J15" s="19" t="n">
        <x:f>IF(B15="Anthropic",1,0)</x:f>
        <x:v>1</x:v>
      </x:c>
      <x:c r="K15" s="19" t="n">
        <x:f>((AB15-Z15*AA15/X15)+(AF15-AD15*AE15/Y15))/((AC15-Z15*Z15/X15)+(AG15-AD15*AD15/Y15))</x:f>
        <x:v>0.4350174301608242</x:v>
      </x:c>
      <x:c r="L15" s="19" t="n">
        <x:f>AA15/X15-K15*Z15/X15</x:f>
        <x:v>0.0065680172543770565</x:v>
      </x:c>
      <x:c r="M15" s="19" t="n">
        <x:f>AE15/Y15-L15-K15*AD15/Y15</x:f>
        <x:v>-0.10156988364703812</x:v>
      </x:c>
      <x:c r="N15" s="19" t="n">
        <x:f>POWER(10,L15+K15*H15+M15*J15)</x:f>
        <x:v>3.48028632934279</x:v>
      </x:c>
      <x:c r="O15" s="19" t="n">
        <x:f>POWER(C15,1-$B$12)*POWER(N15,$B$12)</x:f>
        <x:v>3.5157625909341204</x:v>
      </x:c>
      <x:c r="P15" t="n">
        <x:f>IF(B15="OpenAI",H15,0)</x:f>
        <x:v>0</x:v>
      </x:c>
      <x:c r="Q15" t="n">
        <x:f>IF(B15="OpenAI",I15,0)</x:f>
        <x:v>0</x:v>
      </x:c>
      <x:c r="R15" t="n">
        <x:f>IF(B15="OpenAI",H15*I15,0)</x:f>
        <x:v>0</x:v>
      </x:c>
      <x:c r="S15" t="n">
        <x:f>IF(B15="OpenAI",H15*H15,0)</x:f>
        <x:v>0</x:v>
      </x:c>
      <x:c r="T15" t="n">
        <x:f>IF(B15="Anthropic",H15,0)</x:f>
        <x:v>1.46342835447485</x:v>
      </x:c>
      <x:c r="U15" t="n">
        <x:f>IF(B15="Anthropic",I15,0)</x:f>
        <x:v>0.546796816974856</x:v>
      </x:c>
      <x:c r="V15" t="n">
        <x:f>IF(B15="Anthropic",H15*I15,0)</x:f>
        <x:v>0.8001979660975994</x:v>
      </x:c>
      <x:c r="W15" t="n">
        <x:f>IF(B15="Anthropic",H15*H15,0)</x:f>
        <x:v>2.1416225486809677</x:v>
      </x:c>
      <x:c r="X15" t="n">
        <x:f>COUNTIF($B$15:$B$22,"OpenAI")-IF(B15="OpenAI",1,0)</x:f>
        <x:v>4</x:v>
      </x:c>
      <x:c r="Y15" t="n">
        <x:f>COUNTIF($B$15:$B$22,"Anthropic")-IF(B15="Anthropic",1,0)</x:f>
        <x:v>3</x:v>
      </x:c>
      <x:c r="Z15" t="n">
        <x:f>SUM($P$15:$P$22)-P15</x:f>
        <x:v>3.352182518111361</x:v>
      </x:c>
      <x:c r="AA15" t="n">
        <x:f>SUM($Q$15:$Q$22)-Q15</x:f>
        <x:v>1.4845298934763531</x:v>
      </x:c>
      <x:c r="AB15" t="n">
        <x:f>SUM($R$15:$R$22)-R15</x:f>
        <x:v>1.3728405250937286</x:v>
      </x:c>
      <x:c r="AC15" t="n">
        <x:f>SUM($S$15:$S$22)-S15</x:f>
        <x:v>3.1384600339338062</x:v>
      </x:c>
      <x:c r="AD15" t="n">
        <x:f>SUM($T$15:$T$22)-T15</x:f>
        <x:v>3.089255067760547</x:v>
      </x:c>
      <x:c r="AE15" t="n">
        <x:f>SUM($U$15:$U$22)-U15</x:f>
        <x:v>1.0588742015105128</x:v>
      </x:c>
      <x:c r="AF15" t="n">
        <x:f>SUM($V$15:$V$22)-V15</x:f>
        <x:v>1.1507641366239634</x:v>
      </x:c>
      <x:c r="AG15" t="n">
        <x:f>SUM($W$15:$W$22)-W15</x:f>
        <x:v>3.286736458229339</x:v>
      </x:c>
      <x:c r="AH15" t="n">
        <x:f>$B$7+$B$6*H15+$B$8*J15</x:f>
        <x:v>0.5438624928452446</x:v>
      </x:c>
      <x:c r="AI15" t="n">
        <x:f>POWER(I15-AH15,2)</x:f>
        <x:v>0.000008610258097620149</x:v>
      </x:c>
      <x:c r="AJ15" t="n">
        <x:f>POWER(I15-AVERAGE($I$15:$I$22),2)</x:f>
        <x:v>0.025767217127484022</x:v>
      </x:c>
      <x:c r="AK15" t="n">
        <x:f>POWER(I15-LOG10(N15),2)</x:f>
        <x:v>0.000026851480081096737</x:v>
      </x:c>
    </x:row>
    <x:row r="16">
      <x:c r="A16" s="17" t="str">
        <x:f>'API Prices'!A7</x:f>
        <x:v>GPT-5.6 Sol</x:v>
      </x:c>
      <x:c r="B16" s="17" t="str">
        <x:f>'API Prices'!B7</x:f>
        <x:v>OpenAI</x:v>
      </x:c>
      <x:c r="C16" s="20" t="n">
        <x:f>'Frontier Estimates'!E7</x:f>
        <x:v>3.3877011320930173</x:v>
      </x:c>
      <x:c r="D16" s="20" t="n">
        <x:f>'API Prices'!C7</x:f>
        <x:v>5</x:v>
      </x:c>
      <x:c r="E16" s="20" t="n">
        <x:f>'API Prices'!D7</x:f>
        <x:v>30</x:v>
      </x:c>
      <x:c r="F16" s="20" t="n">
        <x:f>'API Prices'!I7</x:f>
        <x:v>1</x:v>
      </x:c>
      <x:c r="G16" s="20" t="n">
        <x:f>SQRT(D16*E16)*F16</x:f>
        <x:v>12.24744871391589</x:v>
      </x:c>
      <x:c r="H16" s="20" t="n">
        <x:f>LOG10(G16)</x:f>
        <x:v>1.08804562952784</x:v>
      </x:c>
      <x:c r="I16" s="20" t="n">
        <x:f>LOG10(C16)</x:f>
        <x:v>0.529905089259591</x:v>
      </x:c>
      <x:c r="J16" s="20" t="n">
        <x:f>IF(B16="Anthropic",1,0)</x:f>
        <x:v>0</x:v>
      </x:c>
      <x:c r="K16" s="20" t="n">
        <x:f>((AB16-Z16*AA16/X16)+(AF16-AD16*AE16/Y16))/((AC16-Z16*Z16/X16)+(AG16-AD16*AD16/Y16))</x:f>
        <x:v>0.40458460650228295</x:v>
      </x:c>
      <x:c r="L16" s="20" t="n">
        <x:f>AA16/X16-K16*Z16/X16</x:f>
        <x:v>0.012863290693964968</x:v>
      </x:c>
      <x:c r="M16" s="20" t="n">
        <x:f>AE16/Y16-L16-K16*AD16/Y16</x:f>
        <x:v>-0.0719319438012665</x:v>
      </x:c>
      <x:c r="N16" s="20" t="n">
        <x:f>POWER(10,L16+K16*H16+M16*J16)</x:f>
        <x:v>2.838375200042036</x:v>
      </x:c>
      <x:c r="O16" s="20" t="n">
        <x:f>POWER(C16,1-$B$12)*POWER(N16,$B$12)</x:f>
        <x:v>3.2989808641027114</x:v>
      </x:c>
      <x:c r="P16" t="n">
        <x:f>IF(B16="OpenAI",H16,0)</x:f>
        <x:v>1.08804562952784</x:v>
      </x:c>
      <x:c r="Q16" t="n">
        <x:f>IF(B16="OpenAI",I16,0)</x:f>
        <x:v>0.529905089259591</x:v>
      </x:c>
      <x:c r="R16" t="n">
        <x:f>IF(B16="OpenAI",H16*I16,0)</x:f>
        <x:v>0.576560916433458</x:v>
      </x:c>
      <x:c r="S16" t="n">
        <x:f>IF(B16="OpenAI",H16*H16,0)</x:f>
        <x:v>1.1838432919346338</x:v>
      </x:c>
      <x:c r="T16" t="n">
        <x:f>IF(B16="Anthropic",H16,0)</x:f>
        <x:v>0</x:v>
      </x:c>
      <x:c r="U16" t="n">
        <x:f>IF(B16="Anthropic",I16,0)</x:f>
        <x:v>0</x:v>
      </x:c>
      <x:c r="V16" t="n">
        <x:f>IF(B16="Anthropic",H16*I16,0)</x:f>
        <x:v>0</x:v>
      </x:c>
      <x:c r="W16" t="n">
        <x:f>IF(B16="Anthropic",H16*H16,0)</x:f>
        <x:v>0</x:v>
      </x:c>
      <x:c r="X16" t="n">
        <x:f>COUNTIF($B$15:$B$22,"OpenAI")-IF(B16="OpenAI",1,0)</x:f>
        <x:v>3</x:v>
      </x:c>
      <x:c r="Y16" t="n">
        <x:f>COUNTIF($B$15:$B$22,"Anthropic")-IF(B16="Anthropic",1,0)</x:f>
        <x:v>4</x:v>
      </x:c>
      <x:c r="Z16" t="n">
        <x:f>SUM($P$15:$P$22)-P16</x:f>
        <x:v>2.264136888583521</x:v>
      </x:c>
      <x:c r="AA16" t="n">
        <x:f>SUM($Q$15:$Q$22)-Q16</x:f>
        <x:v>0.9546248042167621</x:v>
      </x:c>
      <x:c r="AB16" t="n">
        <x:f>SUM($R$15:$R$22)-R16</x:f>
        <x:v>0.7962796086602706</x:v>
      </x:c>
      <x:c r="AC16" t="n">
        <x:f>SUM($S$15:$S$22)-S16</x:f>
        <x:v>1.9546167419991725</x:v>
      </x:c>
      <x:c r="AD16" t="n">
        <x:f>SUM($T$15:$T$22)-T16</x:f>
        <x:v>4.552683422235397</x:v>
      </x:c>
      <x:c r="AE16" t="n">
        <x:f>SUM($U$15:$U$22)-U16</x:f>
        <x:v>1.6056710184853689</x:v>
      </x:c>
      <x:c r="AF16" t="n">
        <x:f>SUM($V$15:$V$22)-V16</x:f>
        <x:v>1.950962102721563</x:v>
      </x:c>
      <x:c r="AG16" t="n">
        <x:f>SUM($W$15:$W$22)-W16</x:f>
        <x:v>5.4283590069103065</x:v>
      </x:c>
      <x:c r="AH16" t="n">
        <x:f>$B$7+$B$6*H16+$B$8*J16</x:f>
        <x:v>0.4806186025887325</x:v>
      </x:c>
      <x:c r="AI16" t="n">
        <x:f>POWER(I16-AH16,2)</x:f>
        <x:v>0.0024291577683567124</x:v>
      </x:c>
      <x:c r="AJ16" t="n">
        <x:f>POWER(I16-AVERAGE($I$15:$I$22),2)</x:f>
        <x:v>0.020629569794445194</x:v>
      </x:c>
      <x:c r="AK16" t="n">
        <x:f>POWER(I16-LOG10(N16),2)</x:f>
        <x:v>0.00590366112653775</x:v>
      </x:c>
    </x:row>
    <x:row r="17">
      <x:c r="A17" s="17" t="str">
        <x:f>'API Prices'!A8</x:f>
        <x:v>GPT-5.5</x:v>
      </x:c>
      <x:c r="B17" s="17" t="str">
        <x:f>'API Prices'!B8</x:f>
        <x:v>OpenAI</x:v>
      </x:c>
      <x:c r="C17" s="20" t="n">
        <x:f>'Frontier Estimates'!E9</x:f>
        <x:v>2.5540570316728863</x:v>
      </x:c>
      <x:c r="D17" s="20" t="n">
        <x:f>'API Prices'!C8</x:f>
        <x:v>5</x:v>
      </x:c>
      <x:c r="E17" s="20" t="n">
        <x:f>'API Prices'!D8</x:f>
        <x:v>30</x:v>
      </x:c>
      <x:c r="F17" s="20" t="n">
        <x:f>'API Prices'!I8</x:f>
        <x:v>1</x:v>
      </x:c>
      <x:c r="G17" s="20" t="n">
        <x:f>SQRT(D17*E17)*F17</x:f>
        <x:v>12.24744871391589</x:v>
      </x:c>
      <x:c r="H17" s="20" t="n">
        <x:f>LOG10(G17)</x:f>
        <x:v>1.08804562952784</x:v>
      </x:c>
      <x:c r="I17" s="20" t="n">
        <x:f>LOG10(C17)</x:f>
        <x:v>0.407230590759929</x:v>
      </x:c>
      <x:c r="J17" s="20" t="n">
        <x:f>IF(B17="Anthropic",1,0)</x:f>
        <x:v>0</x:v>
      </x:c>
      <x:c r="K17" s="20" t="n">
        <x:f>((AB17-Z17*AA17/X17)+(AF17-AD17*AE17/Y17))/((AC17-Z17*Z17/X17)+(AG17-AD17*AD17/Y17))</x:f>
        <x:v>0.48761771662707865</x:v>
      </x:c>
      <x:c r="L17" s="20" t="n">
        <x:f>AA17/X17-K17*Z17/X17</x:f>
        <x:v>-0.008911319008603535</x:v>
      </x:c>
      <x:c r="M17" s="20" t="n">
        <x:f>AE17/Y17-L17-K17*AD17/Y17</x:f>
        <x:v>-0.1446632000891489</x:v>
      </x:c>
      <x:c r="N17" s="20" t="n">
        <x:f>POWER(10,L17+K17*H17+M17*J17)</x:f>
        <x:v>3.3238315545112043</x:v>
      </x:c>
      <x:c r="O17" s="20" t="n">
        <x:f>POWER(C17,1-$B$12)*POWER(N17,$B$12)</x:f>
        <x:v>2.657001827455204</x:v>
      </x:c>
      <x:c r="P17" t="n">
        <x:f>IF(B17="OpenAI",H17,0)</x:f>
        <x:v>1.08804562952784</x:v>
      </x:c>
      <x:c r="Q17" t="n">
        <x:f>IF(B17="OpenAI",I17,0)</x:f>
        <x:v>0.407230590759929</x:v>
      </x:c>
      <x:c r="R17" t="n">
        <x:f>IF(B17="OpenAI",H17*I17,0)</x:f>
        <x:v>0.44308546448638114</x:v>
      </x:c>
      <x:c r="S17" t="n">
        <x:f>IF(B17="OpenAI",H17*H17,0)</x:f>
        <x:v>1.1838432919346338</x:v>
      </x:c>
      <x:c r="T17" t="n">
        <x:f>IF(B17="Anthropic",H17,0)</x:f>
        <x:v>0</x:v>
      </x:c>
      <x:c r="U17" t="n">
        <x:f>IF(B17="Anthropic",I17,0)</x:f>
        <x:v>0</x:v>
      </x:c>
      <x:c r="V17" t="n">
        <x:f>IF(B17="Anthropic",H17*I17,0)</x:f>
        <x:v>0</x:v>
      </x:c>
      <x:c r="W17" t="n">
        <x:f>IF(B17="Anthropic",H17*H17,0)</x:f>
        <x:v>0</x:v>
      </x:c>
      <x:c r="X17" t="n">
        <x:f>COUNTIF($B$15:$B$22,"OpenAI")-IF(B17="OpenAI",1,0)</x:f>
        <x:v>3</x:v>
      </x:c>
      <x:c r="Y17" t="n">
        <x:f>COUNTIF($B$15:$B$22,"Anthropic")-IF(B17="Anthropic",1,0)</x:f>
        <x:v>4</x:v>
      </x:c>
      <x:c r="Z17" t="n">
        <x:f>SUM($P$15:$P$22)-P17</x:f>
        <x:v>2.264136888583521</x:v>
      </x:c>
      <x:c r="AA17" t="n">
        <x:f>SUM($Q$15:$Q$22)-Q17</x:f>
        <x:v>1.0772993027164242</x:v>
      </x:c>
      <x:c r="AB17" t="n">
        <x:f>SUM($R$15:$R$22)-R17</x:f>
        <x:v>0.9297550606073475</x:v>
      </x:c>
      <x:c r="AC17" t="n">
        <x:f>SUM($S$15:$S$22)-S17</x:f>
        <x:v>1.9546167419991725</x:v>
      </x:c>
      <x:c r="AD17" t="n">
        <x:f>SUM($T$15:$T$22)-T17</x:f>
        <x:v>4.552683422235397</x:v>
      </x:c>
      <x:c r="AE17" t="n">
        <x:f>SUM($U$15:$U$22)-U17</x:f>
        <x:v>1.6056710184853689</x:v>
      </x:c>
      <x:c r="AF17" t="n">
        <x:f>SUM($V$15:$V$22)-V17</x:f>
        <x:v>1.950962102721563</x:v>
      </x:c>
      <x:c r="AG17" t="n">
        <x:f>SUM($W$15:$W$22)-W17</x:f>
        <x:v>5.4283590069103065</x:v>
      </x:c>
      <x:c r="AH17" t="n">
        <x:f>$B$7+$B$6*H17+$B$8*J17</x:f>
        <x:v>0.4806186025887325</x:v>
      </x:c>
      <x:c r="AI17" t="n">
        <x:f>POWER(I17-AH17,2)</x:f>
        <x:v>0.0053858002801846026</x:v>
      </x:c>
      <x:c r="AJ17" t="n">
        <x:f>POWER(I17-AVERAGE($I$15:$I$22),2)</x:f>
        <x:v>0.00043913200643645847</x:v>
      </x:c>
      <x:c r="AK17" t="n">
        <x:f>POWER(I17-LOG10(N17),2)</x:f>
        <x:v>0.013089285580216466</x:v>
      </x:c>
    </x:row>
    <x:row r="18">
      <x:c r="A18" s="17" t="str">
        <x:f>'API Prices'!A9</x:f>
        <x:v>Claude Opus 4.7 / 4.8 shared base</x:v>
      </x:c>
      <x:c r="B18" s="17" t="str">
        <x:f>'API Prices'!B9</x:f>
        <x:v>Anthropic</x:v>
      </x:c>
      <x:c r="C18" s="20" t="n">
        <x:f>'Frontier Estimates'!E10</x:f>
        <x:v>2.2732075784117405</x:v>
      </x:c>
      <x:c r="D18" s="20" t="n">
        <x:f>'API Prices'!C9</x:f>
        <x:v>5</x:v>
      </x:c>
      <x:c r="E18" s="20" t="n">
        <x:f>'API Prices'!D9</x:f>
        <x:v>25</x:v>
      </x:c>
      <x:c r="F18" s="20" t="n">
        <x:f>'API Prices'!I9</x:f>
        <x:v>1.3</x:v>
      </x:c>
      <x:c r="G18" s="20" t="n">
        <x:f>SQRT(D18*E18)*F18</x:f>
        <x:v>14.534441853748634</x:v>
      </x:c>
      <x:c r="H18" s="20" t="n">
        <x:f>LOG10(G18)</x:f>
        <x:v>1.16239835881086</x:v>
      </x:c>
      <x:c r="I18" s="20" t="n">
        <x:f>LOG10(C18)</x:f>
        <x:v>0.356639095224582</x:v>
      </x:c>
      <x:c r="J18" s="20" t="n">
        <x:f>IF(B18="Anthropic",1,0)</x:f>
        <x:v>1</x:v>
      </x:c>
      <x:c r="K18" s="20" t="n">
        <x:f>((AB18-Z18*AA18/X18)+(AF18-AD18*AE18/Y18))/((AC18-Z18*Z18/X18)+(AG18-AD18*AD18/Y18))</x:f>
        <x:v>0.4410561290881337</x:v>
      </x:c>
      <x:c r="L18" s="20" t="n">
        <x:f>AA18/X18-K18*Z18/X18</x:f>
        <x:v>0.0015073120103109017</x:v>
      </x:c>
      <x:c r="M18" s="20" t="n">
        <x:f>AE18/Y18-L18-K18*AD18/Y18</x:f>
        <x:v>-0.08359867311649666</x:v>
      </x:c>
      <x:c r="N18" s="20" t="n">
        <x:f>POWER(10,L18+K18*H18+M18*J18)</x:f>
        <x:v>2.6952034847314126</x:v>
      </x:c>
      <x:c r="O18" s="20" t="n">
        <x:f>POWER(C18,1-$B$12)*POWER(N18,$B$12)</x:f>
        <x:v>2.332018357636161</x:v>
      </x:c>
      <x:c r="P18" t="n">
        <x:f>IF(B18="OpenAI",H18,0)</x:f>
        <x:v>0</x:v>
      </x:c>
      <x:c r="Q18" t="n">
        <x:f>IF(B18="OpenAI",I18,0)</x:f>
        <x:v>0</x:v>
      </x:c>
      <x:c r="R18" t="n">
        <x:f>IF(B18="OpenAI",H18*I18,0)</x:f>
        <x:v>0</x:v>
      </x:c>
      <x:c r="S18" t="n">
        <x:f>IF(B18="OpenAI",H18*H18,0)</x:f>
        <x:v>0</x:v>
      </x:c>
      <x:c r="T18" t="n">
        <x:f>IF(B18="Anthropic",H18,0)</x:f>
        <x:v>1.16239835881086</x:v>
      </x:c>
      <x:c r="U18" t="n">
        <x:f>IF(B18="Anthropic",I18,0)</x:f>
        <x:v>0.356639095224582</x:v>
      </x:c>
      <x:c r="V18" t="n">
        <x:f>IF(B18="Anthropic",H18*I18,0)</x:f>
        <x:v>0.4145566989768441</x:v>
      </x:c>
      <x:c r="W18" t="n">
        <x:f>IF(B18="Anthropic",H18*H18,0)</x:f>
        <x:v>1.3511699445661807</x:v>
      </x:c>
      <x:c r="X18" t="n">
        <x:f>COUNTIF($B$15:$B$22,"OpenAI")-IF(B18="OpenAI",1,0)</x:f>
        <x:v>4</x:v>
      </x:c>
      <x:c r="Y18" t="n">
        <x:f>COUNTIF($B$15:$B$22,"Anthropic")-IF(B18="Anthropic",1,0)</x:f>
        <x:v>3</x:v>
      </x:c>
      <x:c r="Z18" t="n">
        <x:f>SUM($P$15:$P$22)-P18</x:f>
        <x:v>3.352182518111361</x:v>
      </x:c>
      <x:c r="AA18" t="n">
        <x:f>SUM($Q$15:$Q$22)-Q18</x:f>
        <x:v>1.4845298934763531</x:v>
      </x:c>
      <x:c r="AB18" t="n">
        <x:f>SUM($R$15:$R$22)-R18</x:f>
        <x:v>1.3728405250937286</x:v>
      </x:c>
      <x:c r="AC18" t="n">
        <x:f>SUM($S$15:$S$22)-S18</x:f>
        <x:v>3.1384600339338062</x:v>
      </x:c>
      <x:c r="AD18" t="n">
        <x:f>SUM($T$15:$T$22)-T18</x:f>
        <x:v>3.390285063424537</x:v>
      </x:c>
      <x:c r="AE18" t="n">
        <x:f>SUM($U$15:$U$22)-U18</x:f>
        <x:v>1.249031923260787</x:v>
      </x:c>
      <x:c r="AF18" t="n">
        <x:f>SUM($V$15:$V$22)-V18</x:f>
        <x:v>1.5364054037447188</x:v>
      </x:c>
      <x:c r="AG18" t="n">
        <x:f>SUM($W$15:$W$22)-W18</x:f>
        <x:v>4.077189062344126</x:v>
      </x:c>
      <x:c r="AH18" t="n">
        <x:f>$B$7+$B$6*H18+$B$8*J18</x:f>
        <x:v>0.4120280568282183</x:v>
      </x:c>
      <x:c r="AI18" t="n">
        <x:f>POWER(I18-AH18,2)</x:f>
        <x:v>0.003067937067529099</x:v>
      </x:c>
      <x:c r="AJ18" t="n">
        <x:f>POWER(I18-AVERAGE($I$15:$I$22),2)</x:f>
        <x:v>0.0008782936085733273</x:v>
      </x:c>
      <x:c r="AK18" t="n">
        <x:f>POWER(I18-LOG10(N18),2)</x:f>
        <x:v>0.005468966970829125</x:v>
      </x:c>
    </x:row>
    <x:row r="19">
      <x:c r="A19" s="17" t="str">
        <x:f>'API Prices'!A10</x:f>
        <x:v>GPT-5.6 Terra</x:v>
      </x:c>
      <x:c r="B19" s="17" t="str">
        <x:f>'API Prices'!B10</x:f>
        <x:v>OpenAI</x:v>
      </x:c>
      <x:c r="C19" s="20" t="n">
        <x:f>'Frontier Estimates'!E11</x:f>
        <x:v>2.2508969861487285</x:v>
      </x:c>
      <x:c r="D19" s="20" t="n">
        <x:f>'API Prices'!C10</x:f>
        <x:v>2.5</x:v>
      </x:c>
      <x:c r="E19" s="20" t="n">
        <x:f>'API Prices'!D10</x:f>
        <x:v>15</x:v>
      </x:c>
      <x:c r="F19" s="20" t="n">
        <x:f>'API Prices'!I10</x:f>
        <x:v>1</x:v>
      </x:c>
      <x:c r="G19" s="20" t="n">
        <x:f>SQRT(D19*E19)*F19</x:f>
        <x:v>6.123724356957945</x:v>
      </x:c>
      <x:c r="H19" s="20" t="n">
        <x:f>LOG10(G19)</x:f>
        <x:v>0.787015633863859</x:v>
      </x:c>
      <x:c r="I19" s="20" t="n">
        <x:f>LOG10(C19)</x:f>
        <x:v>0.35235561966916</x:v>
      </x:c>
      <x:c r="J19" s="20" t="n">
        <x:f>IF(B19="Anthropic",1,0)</x:f>
        <x:v>0</x:v>
      </x:c>
      <x:c r="K19" s="20" t="n">
        <x:f>((AB19-Z19*AA19/X19)+(AF19-AD19*AE19/Y19))/((AC19-Z19*Z19/X19)+(AG19-AD19*AD19/Y19))</x:f>
        <x:v>0.43836909741183844</x:v>
      </x:c>
      <x:c r="L19" s="20" t="n">
        <x:f>AA19/X19-K19*Z19/X19</x:f>
        <x:v>0.0025614606829593156</x:v>
      </x:c>
      <x:c r="M19" s="20" t="n">
        <x:f>AE19/Y19-L19-K19*AD19/Y19</x:f>
        <x:v>-0.10008263671340978</x:v>
      </x:c>
      <x:c r="N19" s="20" t="n">
        <x:f>POWER(10,L19+K19*H19+M19*J19)</x:f>
        <x:v>2.226203154213069</x:v>
      </x:c>
      <x:c r="O19" s="20" t="n">
        <x:f>POWER(C19,1-$B$12)*POWER(N19,$B$12)</x:f>
        <x:v>2.2471755232329462</x:v>
      </x:c>
      <x:c r="P19" t="n">
        <x:f>IF(B19="OpenAI",H19,0)</x:f>
        <x:v>0.787015633863859</x:v>
      </x:c>
      <x:c r="Q19" t="n">
        <x:f>IF(B19="OpenAI",I19,0)</x:f>
        <x:v>0.35235561966916</x:v>
      </x:c>
      <x:c r="R19" t="n">
        <x:f>IF(B19="OpenAI",H19*I19,0)</x:f>
        <x:v>0.2773093813594168</x:v>
      </x:c>
      <x:c r="S19" t="n">
        <x:f>IF(B19="OpenAI",H19*H19,0)</x:f>
        <x:v>0.6193936079461317</x:v>
      </x:c>
      <x:c r="T19" t="n">
        <x:f>IF(B19="Anthropic",H19,0)</x:f>
        <x:v>0</x:v>
      </x:c>
      <x:c r="U19" t="n">
        <x:f>IF(B19="Anthropic",I19,0)</x:f>
        <x:v>0</x:v>
      </x:c>
      <x:c r="V19" t="n">
        <x:f>IF(B19="Anthropic",H19*I19,0)</x:f>
        <x:v>0</x:v>
      </x:c>
      <x:c r="W19" t="n">
        <x:f>IF(B19="Anthropic",H19*H19,0)</x:f>
        <x:v>0</x:v>
      </x:c>
      <x:c r="X19" t="n">
        <x:f>COUNTIF($B$15:$B$22,"OpenAI")-IF(B19="OpenAI",1,0)</x:f>
        <x:v>3</x:v>
      </x:c>
      <x:c r="Y19" t="n">
        <x:f>COUNTIF($B$15:$B$22,"Anthropic")-IF(B19="Anthropic",1,0)</x:f>
        <x:v>4</x:v>
      </x:c>
      <x:c r="Z19" t="n">
        <x:f>SUM($P$15:$P$22)-P19</x:f>
        <x:v>2.565166884247502</x:v>
      </x:c>
      <x:c r="AA19" t="n">
        <x:f>SUM($Q$15:$Q$22)-Q19</x:f>
        <x:v>1.1321742738071932</x:v>
      </x:c>
      <x:c r="AB19" t="n">
        <x:f>SUM($R$15:$R$22)-R19</x:f>
        <x:v>1.0955311437343118</x:v>
      </x:c>
      <x:c r="AC19" t="n">
        <x:f>SUM($S$15:$S$22)-S19</x:f>
        <x:v>2.5190664259876745</x:v>
      </x:c>
      <x:c r="AD19" t="n">
        <x:f>SUM($T$15:$T$22)-T19</x:f>
        <x:v>4.552683422235397</x:v>
      </x:c>
      <x:c r="AE19" t="n">
        <x:f>SUM($U$15:$U$22)-U19</x:f>
        <x:v>1.6056710184853689</x:v>
      </x:c>
      <x:c r="AF19" t="n">
        <x:f>SUM($V$15:$V$22)-V19</x:f>
        <x:v>1.950962102721563</x:v>
      </x:c>
      <x:c r="AG19" t="n">
        <x:f>SUM($W$15:$W$22)-W19</x:f>
        <x:v>5.4283590069103065</x:v>
      </x:c>
      <x:c r="AH19" t="n">
        <x:f>$B$7+$B$6*H19+$B$8*J19</x:f>
        <x:v>0.34878416657171013</x:v>
      </x:c>
      <x:c r="AI19" t="n">
        <x:f>POWER(I19-AH19,2)</x:f>
        <x:v>0.000012755277227284368</x:v>
      </x:c>
      <x:c r="AJ19" t="n">
        <x:f>POWER(I19-AVERAGE($I$15:$I$22),2)</x:f>
        <x:v>0.0011505320953352932</x:v>
      </x:c>
      <x:c r="AK19" t="n">
        <x:f>POWER(I19-LOG10(N19),2)</x:f>
        <x:v>0.000022952012998570485</x:v>
      </x:c>
    </x:row>
    <x:row r="20">
      <x:c r="A20" s="17" t="str">
        <x:f>'API Prices'!A11</x:f>
        <x:v>Claude Sonnet 5</x:v>
      </x:c>
      <x:c r="B20" s="17" t="str">
        <x:f>'API Prices'!B11</x:f>
        <x:v>Anthropic</x:v>
      </x:c>
      <x:c r="C20" s="20" t="n">
        <x:f>'Frontier Estimates'!E12</x:f>
        <x:v>1.589314956775509</x:v>
      </x:c>
      <x:c r="D20" s="20" t="n">
        <x:f>'API Prices'!C11</x:f>
        <x:v>2</x:v>
      </x:c>
      <x:c r="E20" s="20" t="n">
        <x:f>'API Prices'!D11</x:f>
        <x:v>10</x:v>
      </x:c>
      <x:c r="F20" s="20" t="n">
        <x:f>'API Prices'!I11</x:f>
        <x:v>1.3</x:v>
      </x:c>
      <x:c r="G20" s="20" t="n">
        <x:f>SQRT(D20*E20)*F20</x:f>
        <x:v>5.813776741499454</x:v>
      </x:c>
      <x:c r="H20" s="20" t="n">
        <x:f>LOG10(G20)</x:f>
        <x:v>0.764458350138827</x:v>
      </x:c>
      <x:c r="I20" s="20" t="n">
        <x:f>LOG10(C20)</x:f>
        <x:v>0.201209970483282</x:v>
      </x:c>
      <x:c r="J20" s="20" t="n">
        <x:f>IF(B20="Anthropic",1,0)</x:f>
        <x:v>1</x:v>
      </x:c>
      <x:c r="K20" s="20" t="n">
        <x:f>((AB20-Z20*AA20/X20)+(AF20-AD20*AE20/Y20))/((AC20-Z20*Z20/X20)+(AG20-AD20*AD20/Y20))</x:f>
        <x:v>0.3912070467314619</x:v>
      </x:c>
      <x:c r="L20" s="20" t="n">
        <x:f>AA20/X20-K20*Z20/X20</x:f>
        <x:v>0.043283117615293076</x:v>
      </x:c>
      <x:c r="M20" s="20" t="n">
        <x:f>AE20/Y20-L20-K20*AD20/Y20</x:f>
        <x:v>-0.06912288255092358</x:v>
      </x:c>
      <x:c r="N20" s="20" t="n">
        <x:f>POWER(10,L20+K20*H20+M20*J20)</x:f>
        <x:v>1.875952028866749</x:v>
      </x:c>
      <x:c r="O20" s="20" t="n">
        <x:f>POWER(C20,1-$B$12)*POWER(N20,$B$12)</x:f>
        <x:v>1.6293400551610284</x:v>
      </x:c>
      <x:c r="P20" t="n">
        <x:f>IF(B20="OpenAI",H20,0)</x:f>
        <x:v>0</x:v>
      </x:c>
      <x:c r="Q20" t="n">
        <x:f>IF(B20="OpenAI",I20,0)</x:f>
        <x:v>0</x:v>
      </x:c>
      <x:c r="R20" t="n">
        <x:f>IF(B20="OpenAI",H20*I20,0)</x:f>
        <x:v>0</x:v>
      </x:c>
      <x:c r="S20" t="n">
        <x:f>IF(B20="OpenAI",H20*H20,0)</x:f>
        <x:v>0</x:v>
      </x:c>
      <x:c r="T20" t="n">
        <x:f>IF(B20="Anthropic",H20,0)</x:f>
        <x:v>0.764458350138827</x:v>
      </x:c>
      <x:c r="U20" t="n">
        <x:f>IF(B20="Anthropic",I20,0)</x:f>
        <x:v>0.201209970483282</x:v>
      </x:c>
      <x:c r="V20" t="n">
        <x:f>IF(B20="Anthropic",H20*I20,0)</x:f>
        <x:v>0.15381664206713186</x:v>
      </x:c>
      <x:c r="W20" t="n">
        <x:f>IF(B20="Anthropic",H20*H20,0)</x:f>
        <x:v>0.5843965690969775</x:v>
      </x:c>
      <x:c r="X20" t="n">
        <x:f>COUNTIF($B$15:$B$22,"OpenAI")-IF(B20="OpenAI",1,0)</x:f>
        <x:v>4</x:v>
      </x:c>
      <x:c r="Y20" t="n">
        <x:f>COUNTIF($B$15:$B$22,"Anthropic")-IF(B20="Anthropic",1,0)</x:f>
        <x:v>3</x:v>
      </x:c>
      <x:c r="Z20" t="n">
        <x:f>SUM($P$15:$P$22)-P20</x:f>
        <x:v>3.352182518111361</x:v>
      </x:c>
      <x:c r="AA20" t="n">
        <x:f>SUM($Q$15:$Q$22)-Q20</x:f>
        <x:v>1.4845298934763531</x:v>
      </x:c>
      <x:c r="AB20" t="n">
        <x:f>SUM($R$15:$R$22)-R20</x:f>
        <x:v>1.3728405250937286</x:v>
      </x:c>
      <x:c r="AC20" t="n">
        <x:f>SUM($S$15:$S$22)-S20</x:f>
        <x:v>3.1384600339338062</x:v>
      </x:c>
      <x:c r="AD20" t="n">
        <x:f>SUM($T$15:$T$22)-T20</x:f>
        <x:v>3.78822507209657</x:v>
      </x:c>
      <x:c r="AE20" t="n">
        <x:f>SUM($U$15:$U$22)-U20</x:f>
        <x:v>1.404461048002087</x:v>
      </x:c>
      <x:c r="AF20" t="n">
        <x:f>SUM($V$15:$V$22)-V20</x:f>
        <x:v>1.797145460654431</x:v>
      </x:c>
      <x:c r="AG20" t="n">
        <x:f>SUM($W$15:$W$22)-W20</x:f>
        <x:v>4.843962437813329</x:v>
      </x:c>
      <x:c r="AH20" t="n">
        <x:f>$B$7+$B$6*H20+$B$8*J20</x:f>
        <x:v>0.2377524119836879</x:v>
      </x:c>
      <x:c r="AI20" t="n">
        <x:f>POWER(I20-AH20,2)</x:f>
        <x:v>0.0013353500308105868</x:v>
      </x:c>
      <x:c r="AJ20" t="n">
        <x:f>POWER(I20-AVERAGE($I$15:$I$22),2)</x:f>
        <x:v>0.034249107343092444</x:v>
      </x:c>
      <x:c r="AK20" t="n">
        <x:f>POWER(I20-LOG10(N20),2)</x:f>
        <x:v>0.005185693302939609</x:v>
      </x:c>
    </x:row>
    <x:row r="21">
      <x:c r="A21" s="17" t="str">
        <x:f>'API Prices'!A12</x:f>
        <x:v>GPT-5.6 Luna</x:v>
      </x:c>
      <x:c r="B21" s="17" t="str">
        <x:f>'API Prices'!B12</x:f>
        <x:v>OpenAI</x:v>
      </x:c>
      <x:c r="C21" s="20" t="n">
        <x:f>'Frontier Estimates'!E13</x:f>
        <x:v>1.566890306380872</x:v>
      </x:c>
      <x:c r="D21" s="20" t="n">
        <x:f>'API Prices'!C12</x:f>
        <x:v>1</x:v>
      </x:c>
      <x:c r="E21" s="20" t="n">
        <x:f>'API Prices'!D12</x:f>
        <x:v>6</x:v>
      </x:c>
      <x:c r="F21" s="20" t="n">
        <x:f>'API Prices'!I12</x:f>
        <x:v>1</x:v>
      </x:c>
      <x:c r="G21" s="20" t="n">
        <x:f>SQRT(D21*E21)*F21</x:f>
        <x:v>2.449489742783178</x:v>
      </x:c>
      <x:c r="H21" s="20" t="n">
        <x:f>LOG10(G21)</x:f>
        <x:v>0.389075625191822</x:v>
      </x:c>
      <x:c r="I21" s="20" t="n">
        <x:f>LOG10(C21)</x:f>
        <x:v>0.195038593787673</x:v>
      </x:c>
      <x:c r="J21" s="20" t="n">
        <x:f>IF(B21="Anthropic",1,0)</x:f>
        <x:v>0</x:v>
      </x:c>
      <x:c r="K21" s="20" t="n">
        <x:f>((AB21-Z21*AA21/X21)+(AF21-AD21*AE21/Y21))/((AC21-Z21*Z21/X21)+(AG21-AD21*AD21/Y21))</x:f>
        <x:v>0.47797136566960574</x:v>
      </x:c>
      <x:c r="L21" s="20" t="n">
        <x:f>AA21/X21-K21*Z21/X21</x:f>
        <x:v>-0.042262982848364716</x:v>
      </x:c>
      <x:c r="M21" s="20" t="n">
        <x:f>AE21/Y21-L21-K21*AD21/Y21</x:f>
        <x:v>-0.10033234072709984</x:v>
      </x:c>
      <x:c r="N21" s="20" t="n">
        <x:f>POWER(10,L21+K21*H21+M21*J21)</x:f>
        <x:v>1.3922076796534568</x:v>
      </x:c>
      <x:c r="O21" s="20" t="n">
        <x:f>POWER(C21,1-$B$12)*POWER(N21,$B$12)</x:f>
        <x:v>1.5393536595149218</x:v>
      </x:c>
      <x:c r="P21" t="n">
        <x:f>IF(B21="OpenAI",H21,0)</x:f>
        <x:v>0.389075625191822</x:v>
      </x:c>
      <x:c r="Q21" t="n">
        <x:f>IF(B21="OpenAI",I21,0)</x:f>
        <x:v>0.195038593787673</x:v>
      </x:c>
      <x:c r="R21" t="n">
        <x:f>IF(B21="OpenAI",H21*I21,0)</x:f>
        <x:v>0.07588476281447268</x:v>
      </x:c>
      <x:c r="S21" t="n">
        <x:f>IF(B21="OpenAI",H21*H21,0)</x:f>
        <x:v>0.15137984211840713</x:v>
      </x:c>
      <x:c r="T21" t="n">
        <x:f>IF(B21="Anthropic",H21,0)</x:f>
        <x:v>0</x:v>
      </x:c>
      <x:c r="U21" t="n">
        <x:f>IF(B21="Anthropic",I21,0)</x:f>
        <x:v>0</x:v>
      </x:c>
      <x:c r="V21" t="n">
        <x:f>IF(B21="Anthropic",H21*I21,0)</x:f>
        <x:v>0</x:v>
      </x:c>
      <x:c r="W21" t="n">
        <x:f>IF(B21="Anthropic",H21*H21,0)</x:f>
        <x:v>0</x:v>
      </x:c>
      <x:c r="X21" t="n">
        <x:f>COUNTIF($B$15:$B$22,"OpenAI")-IF(B21="OpenAI",1,0)</x:f>
        <x:v>3</x:v>
      </x:c>
      <x:c r="Y21" t="n">
        <x:f>COUNTIF($B$15:$B$22,"Anthropic")-IF(B21="Anthropic",1,0)</x:f>
        <x:v>4</x:v>
      </x:c>
      <x:c r="Z21" t="n">
        <x:f>SUM($P$15:$P$22)-P21</x:f>
        <x:v>2.963106892919539</x:v>
      </x:c>
      <x:c r="AA21" t="n">
        <x:f>SUM($Q$15:$Q$22)-Q21</x:f>
        <x:v>1.28949129968868</x:v>
      </x:c>
      <x:c r="AB21" t="n">
        <x:f>SUM($R$15:$R$22)-R21</x:f>
        <x:v>1.2969557622792558</x:v>
      </x:c>
      <x:c r="AC21" t="n">
        <x:f>SUM($S$15:$S$22)-S21</x:f>
        <x:v>2.9870801918153993</x:v>
      </x:c>
      <x:c r="AD21" t="n">
        <x:f>SUM($T$15:$T$22)-T21</x:f>
        <x:v>4.552683422235397</x:v>
      </x:c>
      <x:c r="AE21" t="n">
        <x:f>SUM($U$15:$U$22)-U21</x:f>
        <x:v>1.6056710184853689</x:v>
      </x:c>
      <x:c r="AF21" t="n">
        <x:f>SUM($V$15:$V$22)-V21</x:f>
        <x:v>1.950962102721563</x:v>
      </x:c>
      <x:c r="AG21" t="n">
        <x:f>SUM($W$15:$W$22)-W21</x:f>
        <x:v>5.4283590069103065</x:v>
      </x:c>
      <x:c r="AH21" t="n">
        <x:f>$B$7+$B$6*H21+$B$8*J21</x:f>
        <x:v>0.17450852172717804</x:v>
      </x:c>
      <x:c r="AI21" t="n">
        <x:f>POWER(I21-AH21,2)</x:f>
        <x:v>0.00042148385880911546</x:v>
      </x:c>
      <x:c r="AJ21" t="n">
        <x:f>POWER(I21-AVERAGE($I$15:$I$22),2)</x:f>
        <x:v>0.03657140666108972</x:v>
      </x:c>
      <x:c r="AK21" t="n">
        <x:f>POWER(I21-LOG10(N21),2)</x:f>
        <x:v>0.0026352379450880134</x:v>
      </x:c>
    </x:row>
    <x:row r="22">
      <x:c r="A22" s="18" t="str">
        <x:f>'API Prices'!A14</x:f>
        <x:v>Claude Opus 5</x:v>
      </x:c>
      <x:c r="B22" s="18" t="str">
        <x:f>'API Prices'!B14</x:f>
        <x:v>Anthropic</x:v>
      </x:c>
      <x:c r="C22" s="21" t="n">
        <x:f>'Frontier Estimates'!E17</x:f>
        <x:v>3.1697509144367997</x:v>
      </x:c>
      <x:c r="D22" s="21" t="n">
        <x:f>'API Prices'!C14</x:f>
        <x:v>5</x:v>
      </x:c>
      <x:c r="E22" s="21" t="n">
        <x:f>'API Prices'!D14</x:f>
        <x:v>25</x:v>
      </x:c>
      <x:c r="F22" s="21" t="n">
        <x:f>'API Prices'!I14</x:f>
        <x:v>1.3</x:v>
      </x:c>
      <x:c r="G22" s="21" t="n">
        <x:f>SQRT(D22*E22)*F22</x:f>
        <x:v>14.534441853748634</x:v>
      </x:c>
      <x:c r="H22" s="21" t="n">
        <x:f>LOG10(G22)</x:f>
        <x:v>1.16239835881086</x:v>
      </x:c>
      <x:c r="I22" s="21" t="n">
        <x:f>LOG10(C22)</x:f>
        <x:v>0.501025135802649</x:v>
      </x:c>
      <x:c r="J22" s="21" t="n">
        <x:f>IF(B22="Anthropic",1,0)</x:f>
        <x:v>1</x:v>
      </x:c>
      <x:c r="K22" s="21" t="n">
        <x:f>((AB22-Z22*AA22/X22)+(AF22-AD22*AE22/Y22))/((AC22-Z22*Z22/X22)+(AG22-AD22*AD22/Y22))</x:f>
        <x:v>0.4329448853719708</x:v>
      </x:c>
      <x:c r="L22" s="21" t="n">
        <x:f>AA22/X22-K22*Z22/X22</x:f>
        <x:v>0.008304904356676412</x:v>
      </x:c>
      <x:c r="M22" s="21" t="n">
        <x:f>AE22/Y22-L22-K22*AD22/Y22</x:f>
        <x:v>-0.1293584695166501</x:v>
      </x:c>
      <x:c r="N22" s="21" t="n">
        <x:f>POWER(10,L22+K22*H22+M22*J22)</x:f>
        <x:v>2.4110202558207794</x:v>
      </x:c>
      <x:c r="O22" s="21" t="n">
        <x:f>POWER(C22,1-$B$12)*POWER(N22,$B$12)</x:f>
        <x:v>3.042296195182693</x:v>
      </x:c>
      <x:c r="P22" t="n">
        <x:f>IF(B22="OpenAI",H22,0)</x:f>
        <x:v>0</x:v>
      </x:c>
      <x:c r="Q22" t="n">
        <x:f>IF(B22="OpenAI",I22,0)</x:f>
        <x:v>0</x:v>
      </x:c>
      <x:c r="R22" t="n">
        <x:f>IF(B22="OpenAI",H22*I22,0)</x:f>
        <x:v>0</x:v>
      </x:c>
      <x:c r="S22" t="n">
        <x:f>IF(B22="OpenAI",H22*H22,0)</x:f>
        <x:v>0</x:v>
      </x:c>
      <x:c r="T22" t="n">
        <x:f>IF(B22="Anthropic",H22,0)</x:f>
        <x:v>1.16239835881086</x:v>
      </x:c>
      <x:c r="U22" t="n">
        <x:f>IF(B22="Anthropic",I22,0)</x:f>
        <x:v>0.501025135802649</x:v>
      </x:c>
      <x:c r="V22" t="n">
        <x:f>IF(B22="Anthropic",H22*I22,0)</x:f>
        <x:v>0.5823907955799874</x:v>
      </x:c>
      <x:c r="W22" t="n">
        <x:f>IF(B22="Anthropic",H22*H22,0)</x:f>
        <x:v>1.3511699445661807</x:v>
      </x:c>
      <x:c r="X22" t="n">
        <x:f>COUNTIF($B$15:$B$22,"OpenAI")-IF(B22="OpenAI",1,0)</x:f>
        <x:v>4</x:v>
      </x:c>
      <x:c r="Y22" t="n">
        <x:f>COUNTIF($B$15:$B$22,"Anthropic")-IF(B22="Anthropic",1,0)</x:f>
        <x:v>3</x:v>
      </x:c>
      <x:c r="Z22" t="n">
        <x:f>SUM($P$15:$P$22)-P22</x:f>
        <x:v>3.352182518111361</x:v>
      </x:c>
      <x:c r="AA22" t="n">
        <x:f>SUM($Q$15:$Q$22)-Q22</x:f>
        <x:v>1.4845298934763531</x:v>
      </x:c>
      <x:c r="AB22" t="n">
        <x:f>SUM($R$15:$R$22)-R22</x:f>
        <x:v>1.3728405250937286</x:v>
      </x:c>
      <x:c r="AC22" t="n">
        <x:f>SUM($S$15:$S$22)-S22</x:f>
        <x:v>3.1384600339338062</x:v>
      </x:c>
      <x:c r="AD22" t="n">
        <x:f>SUM($T$15:$T$22)-T22</x:f>
        <x:v>3.390285063424537</x:v>
      </x:c>
      <x:c r="AE22" t="n">
        <x:f>SUM($U$15:$U$22)-U22</x:f>
        <x:v>1.10464588268272</x:v>
      </x:c>
      <x:c r="AF22" t="n">
        <x:f>SUM($V$15:$V$22)-V22</x:f>
        <x:v>1.3685713071415755</x:v>
      </x:c>
      <x:c r="AG22" t="n">
        <x:f>SUM($W$15:$W$22)-W22</x:f>
        <x:v>4.077189062344126</x:v>
      </x:c>
      <x:c r="AH22" t="n">
        <x:f>$B$7+$B$6*H22+$B$8*J22</x:f>
        <x:v>0.4120280568282183</x:v>
      </x:c>
      <x:c r="AI22" t="n">
        <x:f>POWER(I22-AH22,2)</x:f>
        <x:v>0.007920480065981048</x:v>
      </x:c>
      <x:c r="AJ22" t="n">
        <x:f>POWER(I22-AVERAGE($I$15:$I$22),2)</x:f>
        <x:v>0.013167567504806512</x:v>
      </x:c>
      <x:c r="AK22" t="n">
        <x:f>POWER(I22-LOG10(N22),2)</x:f>
        <x:v>0.014119208745324083</x:v>
      </x:c>
    </x:row>
  </x:sheetData>
  <x:mergeCells>
    <x:mergeCell ref="A1:O1"/>
    <x:mergeCell ref="A2:O3"/>
  </x:mergeCells>
  <x:pageMargins left="0.7" right="0.7" top="0.75" bottom="0.75" header="0.3" footer="0.3"/>
  <x:legacyDrawing xmlns:r="http://schemas.openxmlformats.org/officeDocument/2006/relationships" r:id="R3164bfd0a9b5476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6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6" customHeight="1">
      <x:c r="A1" s="3" t="str">
        <x:v>Anchors, uncertainty, and model-choice audit</x:v>
      </x:c>
      <x:c r="B1" s="3"/>
      <x:c r="C1" s="3"/>
      <x:c r="D1" s="3"/>
      <x:c r="E1" s="3"/>
      <x:c r="F1" s="3"/>
      <x:c r="G1" s="3"/>
      <x:c r="H1" s="3"/>
    </x:row>
    <x:row r="2">
      <x:c r="A2" s="6" t="str">
        <x:v>The primary benchmark remains date-aware and K3-anchored. Grok is used as a fixed disclosed row and validation check, not to rotate the entire frontier scale. Price is commercial evidence and therefore receives only weak cross-fitted weight.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5" ht="34" customHeight="1">
      <x:c r="A5" s="11" t="str">
        <x:v>Parameter / check</x:v>
      </x:c>
      <x:c r="B5" s="11" t="str">
        <x:v>Value</x:v>
      </x:c>
      <x:c r="C5" s="11" t="str">
        <x:v>Interpretation</x:v>
      </x:c>
    </x:row>
    <x:row r="6">
      <x:c r="A6" s="38" t="str">
        <x:v>K3 exact AA v4.1</x:v>
      </x:c>
      <x:c r="B6" s="19" t="n">
        <x:v>57.1123394372091</x:v>
      </x:c>
      <x:c r="C6" s="16" t="str">
        <x:v>UI displays 57</x:v>
      </x:c>
    </x:row>
    <x:row r="7">
      <x:c r="A7" s="39" t="str">
        <x:v>K3 disclosed total (T)</x:v>
      </x:c>
      <x:c r="B7" s="20" t="n">
        <x:v>2.78</x:v>
      </x:c>
      <x:c r="C7" s="17" t="str">
        <x:v>Exact technical-report disclosure; 104.2B activated</x:v>
      </x:c>
    </x:row>
    <x:row r="8">
      <x:c r="A8" s="39" t="str">
        <x:v>Grok exact AA v4.1</x:v>
      </x:c>
      <x:c r="B8" s="20" t="n">
        <x:v>53.8265951657731</x:v>
      </x:c>
      <x:c r="C8" s="17" t="str">
        <x:v>UI displays 54</x:v>
      </x:c>
    </x:row>
    <x:row r="9">
      <x:c r="A9" s="39" t="str">
        <x:v>Grok disclosed foundation scale (T)</x:v>
      </x:c>
      <x:c r="B9" s="20" t="n">
        <x:v>1.5</x:v>
      </x:c>
      <x:c r="C9" s="17" t="str">
        <x:v>Medium-confidence first-party executive disclosure</x:v>
      </x:c>
    </x:row>
    <x:row r="10">
      <x:c r="A10" s="39" t="str">
        <x:v>Grok prior regression estimate (T)</x:v>
      </x:c>
      <x:c r="B10" s="20" t="n">
        <x:v>1.601005407941694</x:v>
      </x:c>
      <x:c r="C10" s="17" t="str">
        <x:v>Only 6.7% above the 1.5T anchor</x:v>
      </x:c>
    </x:row>
    <x:row r="11">
      <x:c r="A11" s="39" t="str">
        <x:v>Conservative LOFO log10 RMSE</x:v>
      </x:c>
      <x:c r="B11" s="20" t="n">
        <x:v>0.48132362596390643</x:v>
      </x:c>
      <x:c r="C11" s="17" t="str">
        <x:v>Worse leave-family-out scale retained</x:v>
      </x:c>
    </x:row>
    <x:row r="12">
      <x:c r="A12" s="39" t="str">
        <x:v>Conservative error factor</x:v>
      </x:c>
      <x:c r="B12" s="28" t="n">
        <x:f>POWER(10,B11)</x:f>
        <x:v>3.0291698529239715</x:v>
      </x:c>
      <x:c r="C12" s="17" t="str">
        <x:v>10^LOFO RMSE</x:v>
      </x:c>
    </x:row>
    <x:row r="13">
      <x:c r="A13" s="39" t="str">
        <x:v>Price log weight</x:v>
      </x:c>
      <x:c r="B13" s="34" t="n">
        <x:v>0.15</x:v>
      </x:c>
      <x:c r="C13" s="17" t="str">
        <x:v>Weak secondary regularizer</x:v>
      </x:c>
    </x:row>
    <x:row r="14">
      <x:c r="A14" s="39" t="str">
        <x:v>Anthropic tokenizer factor</x:v>
      </x:c>
      <x:c r="B14" s="41" t="n">
        <x:v>1.3</x:v>
      </x:c>
      <x:c r="C14" s="17" t="str">
        <x:v>Approximate same-text token-count adjustment</x:v>
      </x:c>
    </x:row>
    <x:row r="15">
      <x:c r="A15" s="40" t="str">
        <x:v>As of</x:v>
      </x:c>
      <x:c r="B15" s="32" t="n">
        <x:v>46234</x:v>
      </x:c>
      <x:c r="C15" s="18" t="str">
        <x:v>Pricing and benchmark snapshot date</x:v>
      </x:c>
    </x:row>
    <x:row r="18">
      <x:c r="A18" s="44" t="str">
        <x:v>Specification decisions</x:v>
      </x:c>
      <x:c r="B18" s="44"/>
      <x:c r="C18" s="44"/>
      <x:c r="D18" s="44"/>
      <x:c r="E18" s="44"/>
      <x:c r="F18" s="44"/>
      <x:c r="G18" s="44"/>
      <x:c r="H18" s="44"/>
    </x:row>
    <x:row r="20">
      <x:c r="A20" s="48" t="str">
        <x:v>Central estimate: 85% log weight on the existing benchmark/date estimate and 15% on a leave-one-base-out API-price estimate. Standard uncached input/output prices enter through z = sqrt(input × output), with an Anthropic provider effect and a 1.3× same-text tokenizer factor.</x:v>
      </x:c>
      <x:c r="B20" s="48"/>
      <x:c r="C20" s="48"/>
      <x:c r="D20" s="48"/>
      <x:c r="E20" s="48"/>
      <x:c r="F20" s="48"/>
      <x:c r="G20" s="48"/>
      <x:c r="H20" s="48"/>
    </x:row>
    <x:row r="21">
      <x:c r="A21" s="48"/>
      <x:c r="B21" s="48"/>
      <x:c r="C21" s="48"/>
      <x:c r="D21" s="48"/>
      <x:c r="E21" s="48"/>
      <x:c r="F21" s="48"/>
      <x:c r="G21" s="48"/>
      <x:c r="H21" s="48"/>
    </x:row>
    <x:row r="22">
      <x:c r="A22" s="48" t="str">
        <x:v>Grok choice: peg the row at 1.5T, but do not force the entire regression through K3 and Grok. The prior model was already within 6.7%; exact two-anchor rotation would add model risk and widen the uncertainty band.</x:v>
      </x:c>
      <x:c r="B22" s="48"/>
      <x:c r="C22" s="48"/>
      <x:c r="D22" s="48"/>
      <x:c r="E22" s="48"/>
      <x:c r="F22" s="48"/>
      <x:c r="G22" s="48"/>
      <x:c r="H22" s="48"/>
    </x:row>
    <x:row r="23">
      <x:c r="A23" s="48"/>
      <x:c r="B23" s="48"/>
      <x:c r="C23" s="48"/>
      <x:c r="D23" s="48"/>
      <x:c r="E23" s="48"/>
      <x:c r="F23" s="48"/>
      <x:c r="G23" s="48"/>
      <x:c r="H23" s="48"/>
    </x:row>
    <x:row r="24">
      <x:c r="A24" s="48" t="str">
        <x:v>Identity choice: Opus 4.7 and 4.8 are one shared base observation. Opus 5 is a separate newly pretrained base because Anthropic discloses neither same weights nor a reused base. Fable is modeled as a regular frontier model. Service tiers, fast mode, and reasoning settings are not separate base sizes.</x:v>
      </x:c>
      <x:c r="B24" s="48"/>
      <x:c r="C24" s="48"/>
      <x:c r="D24" s="48"/>
      <x:c r="E24" s="48"/>
      <x:c r="F24" s="48"/>
      <x:c r="G24" s="48"/>
      <x:c r="H24" s="48"/>
    </x:row>
    <x:row r="25">
      <x:c r="A25" s="48"/>
      <x:c r="B25" s="48"/>
      <x:c r="C25" s="48"/>
      <x:c r="D25" s="48"/>
      <x:c r="E25" s="48"/>
      <x:c r="F25" s="48"/>
      <x:c r="G25" s="48"/>
      <x:c r="H25" s="48"/>
    </x:row>
    <x:row r="28">
      <x:c r="A28" s="44" t="str">
        <x:v>Price-model diagnostics</x:v>
      </x:c>
      <x:c r="B28" s="44"/>
      <x:c r="C28" s="44"/>
      <x:c r="D28" s="44"/>
      <x:c r="E28" s="44"/>
      <x:c r="F28" s="44"/>
      <x:c r="G28" s="44"/>
      <x:c r="H28" s="44"/>
    </x:row>
    <x:row r="30" ht="34" customHeight="1">
      <x:c r="A30" s="11" t="str">
        <x:v>Diagnostic</x:v>
      </x:c>
      <x:c r="B30" s="11" t="str">
        <x:v>Result</x:v>
      </x:c>
      <x:c r="C30" s="11" t="str">
        <x:v>Meaning</x:v>
      </x:c>
    </x:row>
    <x:row r="31">
      <x:c r="A31" s="16" t="str">
        <x:v>Full-fit price slope</x:v>
      </x:c>
      <x:c r="B31" s="49" t="n">
        <x:f>'Price Model'!B6</x:f>
        <x:v>0.4379445168785773</x:v>
      </x:c>
      <x:c r="C31" s="16" t="str">
        <x:v>Price elasticity after provider adjustment</x:v>
      </x:c>
    </x:row>
    <x:row r="32">
      <x:c r="A32" s="17" t="str">
        <x:v>OpenAI intercept, T units</x:v>
      </x:c>
      <x:c r="B32" s="27" t="n">
        <x:f>'Price Model'!B7</x:f>
        <x:v>0.004114985023315143</x:v>
      </x:c>
      <x:c r="C32" s="17" t="str">
        <x:v>OpenAI baseline</x:v>
      </x:c>
    </x:row>
    <x:row r="33">
      <x:c r="A33" s="17" t="str">
        <x:v>Anthropic provider effect</x:v>
      </x:c>
      <x:c r="B33" s="27" t="n">
        <x:f>'Price Model'!B8</x:f>
        <x:v>-0.1011529158649701</x:v>
      </x:c>
      <x:c r="C33" s="17" t="str">
        <x:v>Commercial/provider offset</x:v>
      </x:c>
    </x:row>
    <x:row r="34">
      <x:c r="A34" s="17" t="str">
        <x:v>Full-fit R²</x:v>
      </x:c>
      <x:c r="B34" s="27" t="n">
        <x:f>'Price Model'!B9</x:f>
        <x:v>0.8450798887401041</x:v>
      </x:c>
      <x:c r="C34" s="17" t="str">
        <x:v>Coherence with benchmark estimates, not physical ground truth</x:v>
      </x:c>
    </x:row>
    <x:row r="35">
      <x:c r="A35" s="17" t="str">
        <x:v>LOBO price RMSE</x:v>
      </x:c>
      <x:c r="B35" s="27" t="n">
        <x:f>'Price Model'!B10</x:f>
        <x:v>0.07620027654478584</x:v>
      </x:c>
      <x:c r="C35" s="17" t="str">
        <x:v>Leave-one-base-out log10 error</x:v>
      </x:c>
    </x:row>
    <x:row r="36">
      <x:c r="A36" s="17" t="str">
        <x:v>LOBO multiplicative error</x:v>
      </x:c>
      <x:c r="B36" s="28" t="n">
        <x:f>'Price Model'!B11</x:f>
        <x:v>1.1917914804759273</x:v>
      </x:c>
      <x:c r="C36" s="17" t="str">
        <x:v>Price-only cross-fit error</x:v>
      </x:c>
    </x:row>
    <x:row r="37">
      <x:c r="A37" s="18" t="str">
        <x:v>Main parameter error factor</x:v>
      </x:c>
      <x:c r="B37" s="50" t="n">
        <x:f>B12</x:f>
        <x:v>3.0291698529239715</x:v>
      </x:c>
      <x:c r="C37" s="18" t="str">
        <x:v>Used for final whiskers; not narrowed by price</x:v>
      </x:c>
    </x:row>
  </x:sheetData>
  <x:mergeCells>
    <x:mergeCell ref="A1:H1"/>
    <x:mergeCell ref="A2:H3"/>
    <x:mergeCell ref="A18:H18"/>
    <x:mergeCell ref="A20:H21"/>
    <x:mergeCell ref="A22:H23"/>
    <x:mergeCell ref="A24:H25"/>
    <x:mergeCell ref="A28:H28"/>
  </x:mergeCells>
  <x:pageMargins left="0.7" right="0.7" top="0.75" bottom="0.75" header="0.3" footer="0.3"/>
  <x:legacyDrawing xmlns:r="http://schemas.openxmlformats.org/officeDocument/2006/relationships" r:id="R8efd3b753011402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5" hidden="0" customWidth="1"/>
    <x:col min="3" max="3" width="55" hidden="0" customWidth="1"/>
    <x:col min="4" max="4" width="48" hidden="0" customWidth="1"/>
  </x:cols>
  <x:sheetData>
    <x:row r="1" ht="36" customHeight="1">
      <x:c r="A1" s="3" t="str">
        <x:v>Sources and audit trail</x:v>
      </x:c>
      <x:c r="B1" s="3"/>
      <x:c r="C1" s="3"/>
      <x:c r="D1" s="3"/>
    </x:row>
    <x:row r="2">
      <x:c r="A2" s="6" t="str">
        <x:v>Plain-text URLs and local paths are retained for reproducibility. Opus 5 evidence and pricing were verified and frozen on 2026-07-31.</x:v>
      </x:c>
      <x:c r="B2" s="6"/>
      <x:c r="C2" s="6"/>
      <x:c r="D2" s="6"/>
    </x:row>
    <x:row r="3">
      <x:c r="A3" s="6"/>
      <x:c r="B3" s="6"/>
      <x:c r="C3" s="6"/>
      <x:c r="D3" s="6"/>
    </x:row>
    <x:row r="5" ht="34" customHeight="1">
      <x:c r="A5" s="11" t="str">
        <x:v>Source</x:v>
      </x:c>
      <x:c r="B5" s="11" t="str">
        <x:v>URL / path</x:v>
      </x:c>
      <x:c r="C5" s="11" t="str">
        <x:v>Use</x:v>
      </x:c>
      <x:c r="D5" s="11" t="str">
        <x:v>Caveat / snapshot</x:v>
      </x:c>
    </x:row>
    <x:row r="6">
      <x:c r="A6" s="16" t="str">
        <x:v>OpenAI official API pricing</x:v>
      </x:c>
      <x:c r="B6" s="22" t="str">
        <x:v>https://developers.openai.com/api/docs/pricing</x:v>
      </x:c>
      <x:c r="C6" s="22" t="str">
        <x:v>GPT-5.6 Sol/Terra/Luna and GPT-5.5 input/output prices</x:v>
      </x:c>
      <x:c r="D6" s="22" t="str">
        <x:v>Standard short-context rates as of 2026-07-17</x:v>
      </x:c>
    </x:row>
    <x:row r="7">
      <x:c r="A7" s="17" t="str">
        <x:v>Anthropic official pricing</x:v>
      </x:c>
      <x:c r="B7" s="23" t="str">
        <x:v>https://platform.claude.com/docs/en/about-claude/pricing</x:v>
      </x:c>
      <x:c r="C7" s="23" t="str">
        <x:v>Fable, Opus, Sonnet prices and tokenizer note</x:v>
      </x:c>
      <x:c r="D7" s="23" t="str">
        <x:v>Sonnet introductory $2/$10 used; future price excluded</x:v>
      </x:c>
    </x:row>
    <x:row r="8">
      <x:c r="A8" s="17" t="str">
        <x:v>SpaceXAI Grok 4.5 model page</x:v>
      </x:c>
      <x:c r="B8" s="23" t="str">
        <x:v>https://docs.x.ai/developers/models/grok-4.5</x:v>
      </x:c>
      <x:c r="C8" s="23" t="str">
        <x:v>Grok API $2/$6 validation price</x:v>
      </x:c>
      <x:c r="D8" s="23" t="str">
        <x:v>Not used in OpenAI/Anthropic fit</x:v>
      </x:c>
    </x:row>
    <x:row r="9">
      <x:c r="A9" s="17" t="str">
        <x:v>Grok 4.5 1.5T disclosure</x:v>
      </x:c>
      <x:c r="B9" s="23" t="str">
        <x:v>https://x.com/elonmusk/status/2071184354756477041</x:v>
      </x:c>
      <x:c r="C9" s="23" t="str">
        <x:v>Public first-party 1.5T V9 foundation scale</x:v>
      </x:c>
      <x:c r="D9" s="23" t="str">
        <x:v>Executive disclosure; not model-card-grade exactness</x:v>
      </x:c>
    </x:row>
    <x:row r="10">
      <x:c r="A10" s="17" t="str">
        <x:v>Claude Opus 5 evidence bundle</x:v>
      </x:c>
      <x:c r="B10" s="23" t="str">
        <x:v>./sources/claude_opus_5_evidence_2026-07-31.json</x:v>
      </x:c>
      <x:c r="C10" s="23" t="str">
        <x:v>Exact release, API identity/pricing, AA max score and fallback, public ECI with 90% CI, availability checks, and source hashes</x:v>
      </x:c>
      <x:c r="D10" s="23" t="str">
        <x:v>Frozen 2026-07-31; distinct undisclosed base; no METR, no-CoT, IKP, public training compute, architecture, or parameter-count observation</x:v>
      </x:c>
    </x:row>
    <x:row r="11">
      <x:c r="A11" s="17" t="str">
        <x:v>Kimi K3 technical report evidence</x:v>
      </x:c>
      <x:c r="B11" s="23" t="str">
        <x:v>./sources/kimi_k3_release_evidence_2026-07-31.json</x:v>
      </x:c>
      <x:c r="C11" s="23" t="str">
        <x:v>2.78T total and 104.2B activated</x:v>
      </x:c>
      <x:c r="D11" s="23" t="str">
        <x:v>Kimi K3 official technical report Table 1</x:v>
      </x:c>
    </x:row>
    <x:row r="12">
      <x:c r="A12" s="17" t="str">
        <x:v>Artificial Analysis K3</x:v>
      </x:c>
      <x:c r="B12" s="23" t="str">
        <x:v>https://artificialanalysis.ai/models/kimi-k3</x:v>
      </x:c>
      <x:c r="C12" s="23" t="str">
        <x:v>K3 exact AA v4.1 score</x:v>
      </x:c>
      <x:c r="D12" s="23" t="str">
        <x:v>UI displays rounded 57</x:v>
      </x:c>
    </x:row>
    <x:row r="13">
      <x:c r="A13" s="17" t="str">
        <x:v>Artificial Analysis Grok 4.5</x:v>
      </x:c>
      <x:c r="B13" s="23" t="str">
        <x:v>https://artificialanalysis.ai/models/grok-4-5</x:v>
      </x:c>
      <x:c r="C13" s="23" t="str">
        <x:v>Grok AA v4.1 score and release date</x:v>
      </x:c>
      <x:c r="D13" s="23" t="str">
        <x:v>AA parameter fields remain blank</x:v>
      </x:c>
    </x:row>
    <x:row r="14">
      <x:c r="A14" s="17" t="str">
        <x:v>Supplied ECI workbook</x:v>
      </x:c>
      <x:c r="B14" s="23" t="str">
        <x:v>./sources/input_eci_parameter_regression_workbook_2026-07-17.xlsx</x:v>
      </x:c>
      <x:c r="C14" s="23" t="str">
        <x:v>Dated and no-date ECI cross-check</x:v>
      </x:c>
      <x:c r="D14" s="23" t="str">
        <x:v>Read-only reference</x:v>
      </x:c>
    </x:row>
    <x:row r="15">
      <x:c r="A15" s="17" t="str">
        <x:v>Prior K3-calibrated workbook</x:v>
      </x:c>
      <x:c r="B15" s="23" t="str">
        <x:v>./outputs/019f6c42-2d53-7743-ab07-6293e2618dd7/k3_calibrated_frontier_parameter_crosscheck_2026-07-17.xlsx</x:v>
      </x:c>
      <x:c r="C15" s="23" t="str">
        <x:v>Primary benchmark estimates before price smoothing</x:v>
      </x:c>
      <x:c r="D15" s="23" t="str">
        <x:v>Opus rows collapsed here; Fable treated as regular per user</x:v>
      </x:c>
    </x:row>
    <x:row r="16">
      <x:c r="A16" s="17" t="str">
        <x:v>OpenAI pricing attachment</x:v>
      </x:c>
      <x:c r="B16" s="23" t="str">
        <x:v>./sources/input_openai_api_pricing_docs_2026-07-17.txt</x:v>
      </x:c>
      <x:c r="C16" s="23" t="str">
        <x:v>User-provided official-doc snapshot</x:v>
      </x:c>
      <x:c r="D16" s="23" t="str">
        <x:v>Cross-checked with live official page</x:v>
      </x:c>
    </x:row>
    <x:row r="17">
      <x:c r="A17" s="18" t="str">
        <x:v>Anthropic pricing attachment</x:v>
      </x:c>
      <x:c r="B17" s="24" t="str">
        <x:v>./sources/input_anthropic_api_pricing_docs_2026-07-17.txt</x:v>
      </x:c>
      <x:c r="C17" s="24" t="str">
        <x:v>User-provided official-doc snapshot</x:v>
      </x:c>
      <x:c r="D17" s="24" t="str">
        <x:v>Cross-checked with live official page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8ee4d87adec04f49"/>
  </x:tableParts>
</x:worksheet>
</file>