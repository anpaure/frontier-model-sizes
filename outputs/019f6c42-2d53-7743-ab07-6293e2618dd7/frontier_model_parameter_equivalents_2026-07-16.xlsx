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17e007f83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bc8e8ff69c49c0"/>
    <x:sheet xmlns:r="http://schemas.openxmlformats.org/officeDocument/2006/relationships" name="Frontier Estimates" sheetId="2" r:id="R69a171a7c4ac4988"/>
    <x:sheet xmlns:r="http://schemas.openxmlformats.org/officeDocument/2006/relationships" name="Recent Open Models" sheetId="3" r:id="Raf5fdd3377944992"/>
    <x:sheet xmlns:r="http://schemas.openxmlformats.org/officeDocument/2006/relationships" name="ECI Calibration" sheetId="4" r:id="Rb9aae6b09de048ae"/>
    <x:sheet xmlns:r="http://schemas.openxmlformats.org/officeDocument/2006/relationships" name="MoE Scenarios" sheetId="5" r:id="Ra8906a68038f4263"/>
    <x:sheet xmlns:r="http://schemas.openxmlformats.org/officeDocument/2006/relationships" name="Regression Model" sheetId="6" r:id="R052e592f939947a9"/>
    <x:sheet xmlns:r="http://schemas.openxmlformats.org/officeDocument/2006/relationships" name="Sources" sheetId="7" r:id="Rfeff723b9b4f49fa"/>
  </x:sheets>
</x:workbook>
</file>

<file path=xl/comments1.xml><?xml version="1.0" encoding="utf-8"?>
<x:comments xmlns:x="http://schemas.openxmlformats.org/spreadsheetml/2006/main">
  <x:authors>
    <x:author>tc={739B0B6A-5D69-D04E-8AAE-135E16652AE2}</x:author>
    <x:author>tc={062EA266-5F74-244E-82C0-BF80050E4326}</x:author>
    <x:author>tc={A9DD0E85-1F71-F794-C369-ACB7500BD0EC}</x:author>
  </x:authors>
  <x:commentList>
    <x:comment ref="J1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Observed median total-to-active parameter ratio among MoE rows in the 12-month open-weight comparison set. Change this assumption through the MoE Scenarios sheet rather than treating it as a disclosure about proprietary models.</x:t>
        </x:r>
      </x:text>
    </x:comment>
    <x:comment ref="J1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Structural half-width is the worse of the AA and ECI leave-one-family-out 80th-percentile absolute inversion errors. It captures model-family misspecification that ordinary coefficient intervals miss.</x:t>
        </x:r>
      </x:text>
    </x:comment>
    <x:comment ref="B1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Reasoning uplift is fixed at the robust median of paired reasoning versus non-reasoning AA configurations, reducing collinearity between release date and the rise of reasoning models.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00"/>
    <x:numFmt numFmtId="201" formatCode="yyyy-mm-dd"/>
    <x:numFmt numFmtId="202" formatCode="0%"/>
    <x:numFmt numFmtId="203" formatCode="0.0x"/>
    <x:numFmt numFmtId="204" formatCode="#,##0"/>
    <x:numFmt numFmtId="205" formatCode="0.00"/>
    <x:numFmt numFmtId="206" formatCode="0"/>
    <x:numFmt numFmtId="207" formatCode="0.0"/>
    <x:numFmt numFmtId="208" formatCode="#,##0.0"/>
    <x:numFmt numFmtId="209" formatCode="#,##0.00"/>
    <x:numFmt numFmtId="210" formatCode="0.00 &quot;doublings&quot;"/>
  </x:numFmts>
  <x:fonts count="10">
    <x:font>
      <x:sz val="11"/>
      <x:name val="Carlito"/>
    </x:font>
    <x:font>
      <x:b/>
      <x:sz val="18"/>
      <x:color rgb="FFFFFFFF"/>
      <x:name val="Aptos Display"/>
    </x:font>
    <x:font>
      <x:sz val="10"/>
      <x:color rgb="FF3A4848"/>
      <x:name val="Aptos"/>
    </x:font>
    <x:font>
      <x:b/>
      <x:sz val="9"/>
      <x:color rgb="FFFFFFFF"/>
      <x:name val="Aptos"/>
    </x:font>
    <x:font>
      <x:sz val="9"/>
      <x:color rgb="FF3A4848"/>
      <x:name val="Aptos"/>
    </x:font>
    <x:font>
      <x:b/>
      <x:sz val="9"/>
      <x:color rgb="FF3A4848"/>
      <x:name val="Aptos"/>
    </x:font>
    <x:font>
      <x:b/>
      <x:sz val="11"/>
      <x:color rgb="FF087879"/>
      <x:name val="Aptos"/>
    </x:font>
    <x:font>
      <x:b/>
      <x:sz val="9"/>
      <x:color rgb="FF243838"/>
      <x:name val="Aptos"/>
    </x:font>
    <x:font>
      <x:b/>
      <x:sz val="10"/>
      <x:color rgb="FF243838"/>
      <x:name val="Aptos"/>
    </x:font>
    <x:font>
      <x:i/>
      <x:sz val="9"/>
      <x:color rgb="FF3A4848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243838"/>
      </x:patternFill>
    </x:fill>
    <x:fill>
      <x:patternFill patternType="solid">
        <x:fgColor rgb="FF087879"/>
      </x:patternFill>
    </x:fill>
    <x:fill>
      <x:patternFill patternType="solid">
        <x:fgColor rgb="FFE8F4F4"/>
      </x:patternFill>
    </x:fill>
    <x:fill>
      <x:patternFill patternType="solid">
        <x:fgColor rgb="FFF3F6F6"/>
      </x:patternFill>
    </x:fill>
    <x:fill>
      <x:patternFill patternType="solid">
        <x:fgColor rgb="FFFFF4FA"/>
      </x:patternFill>
    </x:fill>
  </x:fills>
  <x:borders count="7">
    <x:border/>
    <x:border>
      <x:bottom style="medium">
        <x:color rgb="FF00A5A6"/>
      </x:bottom>
    </x:border>
    <x:border>
      <x:bottom style="thin">
        <x:color rgb="FFD2DCDC"/>
      </x:bottom>
    </x:border>
    <x:border>
      <x:top style="thin">
        <x:color rgb="FFD2DCDC"/>
      </x:top>
      <x:bottom style="thin">
        <x:color rgb="FFD2DCDC"/>
      </x:bottom>
    </x:border>
    <x:border>
      <x:top style="thin">
        <x:color rgb="FFD2DCDC"/>
      </x:top>
    </x:border>
    <x:border>
      <x:left style="medium">
        <x:color rgb="FF00A5A6"/>
      </x:left>
    </x:border>
    <x:border>
      <x:left style="medium">
        <x:color rgb="FFE03D90"/>
      </x:left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5" fontId="4" fillId="0" borderId="3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205" fontId="4" fillId="0" borderId="2" xfId="0" applyNumberFormat="1" applyFont="1" applyFill="1" applyBorder="1" applyAlignment="1">
      <x:alignment vertical="center"/>
    </x:xf>
    <x:xf numFmtId="205" fontId="4" fillId="0" borderId="4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/>
    </x:xf>
    <x:xf numFmtId="206" fontId="4" fillId="0" borderId="2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206" fontId="4" fillId="0" borderId="4" xfId="0" applyNumberFormat="1" applyFont="1" applyFill="1" applyBorder="1" applyAlignment="1">
      <x:alignment vertical="center"/>
    </x:xf>
    <x:xf numFmtId="207" fontId="4" fillId="0" borderId="2" xfId="0" applyNumberFormat="1" applyFont="1" applyFill="1" applyBorder="1" applyAlignment="1">
      <x:alignment vertical="center"/>
    </x:xf>
    <x:xf numFmtId="207" fontId="4" fillId="0" borderId="3" xfId="0" applyNumberFormat="1" applyFont="1" applyFill="1" applyBorder="1" applyAlignment="1">
      <x:alignment vertical="center"/>
    </x:xf>
    <x:xf numFmtId="207" fontId="4" fillId="0" borderId="4" xfId="0" applyNumberFormat="1" applyFont="1" applyFill="1" applyBorder="1" applyAlignment="1">
      <x:alignment vertical="center"/>
    </x:xf>
    <x:xf numFmtId="208" fontId="4" fillId="0" borderId="2" xfId="0" applyNumberFormat="1" applyFont="1" applyFill="1" applyBorder="1" applyAlignment="1">
      <x:alignment vertical="center"/>
    </x:xf>
    <x:xf numFmtId="208" fontId="4" fillId="0" borderId="3" xfId="0" applyNumberFormat="1" applyFont="1" applyFill="1" applyBorder="1" applyAlignment="1">
      <x:alignment vertical="center"/>
    </x:xf>
    <x:xf numFmtId="208" fontId="4" fillId="0" borderId="4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207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207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207" fontId="4" fillId="0" borderId="4" xfId="0" applyNumberFormat="1" applyFont="1" applyFill="1" applyBorder="1" applyAlignment="1">
      <x:alignment vertical="center" wrapText="1"/>
    </x:xf>
    <x:xf numFmtId="208" fontId="7" fillId="0" borderId="2" xfId="0" applyNumberFormat="1" applyFont="1" applyFill="1" applyBorder="1" applyAlignment="1">
      <x:alignment vertical="center"/>
    </x:xf>
    <x:xf numFmtId="208" fontId="7" fillId="0" borderId="3" xfId="0" applyNumberFormat="1" applyFont="1" applyFill="1" applyBorder="1" applyAlignment="1">
      <x:alignment vertical="center"/>
    </x:xf>
    <x:xf numFmtId="208" fontId="7" fillId="0" borderId="4" xfId="0" applyNumberFormat="1" applyFont="1" applyFill="1" applyBorder="1" applyAlignment="1">
      <x:alignment vertical="center"/>
    </x:xf>
    <x:xf numFmtId="209" fontId="4" fillId="0" borderId="2" xfId="0" applyNumberFormat="1" applyFont="1" applyFill="1" applyBorder="1" applyAlignment="1">
      <x:alignment vertical="center"/>
    </x:xf>
    <x:xf numFmtId="209" fontId="4" fillId="0" borderId="3" xfId="0" applyNumberFormat="1" applyFont="1" applyFill="1" applyBorder="1" applyAlignment="1">
      <x:alignment vertical="center"/>
    </x:xf>
    <x:xf numFmtId="209" fontId="4" fillId="0" borderId="4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 wrapText="1"/>
    </x:xf>
    <x:xf numFmtId="205" fontId="4" fillId="0" borderId="3" xfId="0" applyNumberFormat="1" applyFont="1" applyFill="1" applyBorder="1" applyAlignment="1">
      <x:alignment vertical="center" wrapText="1"/>
    </x:xf>
    <x:xf numFmtId="205" fontId="4" fillId="0" borderId="4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201" fontId="8" fillId="0" borderId="2" xfId="0" applyNumberFormat="1" applyFont="1" applyFill="1" applyBorder="1" applyAlignment="1">
      <x:alignment vertical="center"/>
    </x:xf>
    <x:xf numFmtId="204" fontId="8" fillId="0" borderId="3" xfId="0" applyNumberFormat="1" applyFont="1" applyFill="1" applyBorder="1" applyAlignment="1">
      <x:alignment vertical="center"/>
    </x:xf>
    <x:xf numFmtId="203" fontId="8" fillId="0" borderId="3" xfId="0" applyNumberFormat="1" applyFont="1" applyFill="1" applyBorder="1" applyAlignment="1">
      <x:alignment vertical="center"/>
    </x:xf>
    <x:xf numFmtId="210" fontId="8" fillId="0" borderId="4" xfId="0" applyNumberFormat="1" applyFont="1" applyFill="1" applyBorder="1" applyAlignment="1">
      <x:alignment vertical="center"/>
    </x:xf>
    <x:xf numFmtId="204" fontId="8" fillId="0" borderId="2" xfId="0" applyNumberFormat="1" applyFont="1" applyFill="1" applyBorder="1" applyAlignment="1">
      <x:alignment vertical="center"/>
    </x:xf>
    <x:xf numFmtId="204" fontId="8" fillId="0" borderId="4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5" xfId="0" applyNumberFormat="1" applyFont="1" applyFill="1" applyBorder="1"/>
    <x:xf numFmtId="0" fontId="8" fillId="4" borderId="5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5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6" xfId="0" applyNumberFormat="1" applyFont="1" applyFill="1" applyBorder="1"/>
    <x:xf numFmtId="0" fontId="9" fillId="6" borderId="6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6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76E00"/>
      </x:font>
      <x:fill>
        <x:patternFill patternType="solid">
          <x:bgColor rgb="FFFFF0D9"/>
        </x:patternFill>
      </x:fill>
    </x:dxf>
    <x:dxf>
      <x:font>
        <x:color rgb="FFB76E00"/>
      </x:font>
      <x:fill>
        <x:patternFill patternType="solid">
          <x:bgColor rgb="FFFFF0D9"/>
        </x:patternFill>
      </x:fill>
    </x:dxf>
    <x:dxf>
      <x:font>
        <x:b/>
        <x:color rgb="FF087879"/>
      </x:font>
      <x:fill>
        <x:patternFill patternType="solid">
          <x:bgColor rgb="FFE8F4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ec70fd8404ed8" /><Relationship Type="http://schemas.openxmlformats.org/officeDocument/2006/relationships/theme" Target="/xl/theme/theme1.xml" Id="R4550915f4d0340a4" /><Relationship Type="http://schemas.openxmlformats.org/officeDocument/2006/relationships/sharedStrings" Target="/xl/sharedStrings.xml" Id="R55f45172ba9e4be9" /><Relationship Type="http://schemas.openxmlformats.org/officeDocument/2006/relationships/worksheet" Target="/xl/worksheets/sheet1.xml" Id="R8fbc8e8ff69c49c0" /><Relationship Type="http://schemas.openxmlformats.org/officeDocument/2006/relationships/worksheet" Target="/xl/worksheets/sheet2.xml" Id="R69a171a7c4ac4988" /><Relationship Type="http://schemas.openxmlformats.org/officeDocument/2006/relationships/worksheet" Target="/xl/worksheets/sheet3.xml" Id="Raf5fdd3377944992" /><Relationship Type="http://schemas.openxmlformats.org/officeDocument/2006/relationships/worksheet" Target="/xl/worksheets/sheet4.xml" Id="Rb9aae6b09de048ae" /><Relationship Type="http://schemas.openxmlformats.org/officeDocument/2006/relationships/worksheet" Target="/xl/worksheets/sheet5.xml" Id="Ra8906a68038f4263" /><Relationship Type="http://schemas.openxmlformats.org/officeDocument/2006/relationships/worksheet" Target="/xl/worksheets/sheet6.xml" Id="R052e592f939947a9" /><Relationship Type="http://schemas.openxmlformats.org/officeDocument/2006/relationships/worksheet" Target="/xl/worksheets/sheet7.xml" Id="Rfeff723b9b4f49fa" /><Relationship Type="http://schemas.microsoft.com/office/2017/10/relationships/person" Target="/xl/persons/person.xml" Id="Red09292e6e2c45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522771efef46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Frontier open-weight-equivalent total parameters (B)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Implied total (B)</c:v>
          </c:tx>
          <c:spPr>
            <a:solidFill xmlns:a="http://schemas.openxmlformats.org/drawingml/2006/main">
              <a:srgbClr val="00A5A6"/>
            </a:solidFill>
          </c:spPr>
          <c:cat>
            <c:strRef>
              <c:f>'Summary'!$A$17:$A$22</c:f>
              <c:strCache>
                <c:ptCount val="0"/>
              </c:strCache>
            </c:strRef>
          </c:cat>
          <c:val>
            <c:numRef>
              <c:f>'Summary'!$D$17:$D$22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522771efef46f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AD5769F6-91FC-434D-8A5F-BABA30EBE355}"/>
</xltc:personList>
</file>

<file path=xl/tables/table1.xml><?xml version="1.0" encoding="utf-8"?>
<x:table xmlns:x="http://schemas.openxmlformats.org/spreadsheetml/2006/main" id="1" name="FrontierEstimatesTable" displayName="FrontierEstimatesTable" ref="A4:V15" headerRowCount="1" totalsRowCount="0" totalsRowShown="0">
  <x:tableColumns count="22">
    <x:tableColumn id="1" name="Release Date"/>
    <x:tableColumn id="2" name="Model"/>
    <x:tableColumn id="3" name="AA v4.1"/>
    <x:tableColumn id="4" name="AA Output Tokens (M)"/>
    <x:tableColumn id="5" name="Reasoning Config"/>
    <x:tableColumn id="6" name="ECI"/>
    <x:tableColumn id="7" name="ECI 90% Low"/>
    <x:tableColumn id="8" name="ECI 90% High"/>
    <x:tableColumn id="9" name="Classification"/>
    <x:tableColumn id="10" name="AA Dense-Equivalent (B)"/>
    <x:tableColumn id="11" name="ECI Dense-Equivalent (B)"/>
    <x:tableColumn id="12" name="Ensemble Dense-Equivalent (B)"/>
    <x:tableColumn id="13" name="MoE Ratio Scenario"/>
    <x:tableColumn id="14" name="Implied Active (B)"/>
    <x:tableColumn id="15" name="Implied Total (B)"/>
    <x:tableColumn id="16" name="Fit 80% Total Low (B)"/>
    <x:tableColumn id="17" name="Fit 80% Total High (B)"/>
    <x:tableColumn id="18" name="Structural Low (B)"/>
    <x:tableColumn id="19" name="Structural High (B)"/>
    <x:tableColumn id="20" name="AA Source"/>
    <x:tableColumn id="21" name="Epoch Source"/>
    <x:tableColumn id="2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entOpenModelsTable" displayName="RecentOpenModelsTable" ref="A4:Q54" headerRowCount="1" totalsRowCount="0" totalsRowShown="0">
  <x:tableColumns count="17">
    <x:tableColumn id="1" name="Release Date"/>
    <x:tableColumn id="2" name="Model"/>
    <x:tableColumn id="3" name="Total Params (B)"/>
    <x:tableColumn id="4" name="Active Params (B)"/>
    <x:tableColumn id="5" name="Total / Active"/>
    <x:tableColumn id="6" name="Architecture"/>
    <x:tableColumn id="7" name="Reasoning"/>
    <x:tableColumn id="8" name="Lineage Cluster"/>
    <x:tableColumn id="9" name="AA v4.1"/>
    <x:tableColumn id="10" name="AA Score Estimated"/>
    <x:tableColumn id="11" name="AA Output Tokens (M)"/>
    <x:tableColumn id="12" name="Parameter Source"/>
    <x:tableColumn id="13" name="AA Source"/>
    <x:tableColumn id="14" name="Effective Scale (B)"/>
    <x:tableColumn id="15" name="As-of Adjusted Score"/>
    <x:tableColumn id="16" name="Fitted Score"/>
    <x:tableColumn id="17" name="Residu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CICalibrationTable" displayName="ECICalibrationTable" ref="A4:Q92" headerRowCount="1" totalsRowCount="0" totalsRowShown="0">
  <x:tableColumns count="17">
    <x:tableColumn id="1" name="Release Date"/>
    <x:tableColumn id="2" name="Model"/>
    <x:tableColumn id="3" name="Total Params (B)"/>
    <x:tableColumn id="4" name="Active Params (B)"/>
    <x:tableColumn id="5" name="Total / Active"/>
    <x:tableColumn id="6" name="Architecture"/>
    <x:tableColumn id="7" name="Reasoning"/>
    <x:tableColumn id="8" name="Lineage Cluster"/>
    <x:tableColumn id="9" name="ECI"/>
    <x:tableColumn id="10" name="ECI 90% Low"/>
    <x:tableColumn id="11" name="ECI 90% High"/>
    <x:tableColumn id="12" name="CI Width"/>
    <x:tableColumn id="13" name="Epoch Model Source"/>
    <x:tableColumn id="14" name="Effective Scale (B)"/>
    <x:tableColumn id="15" name="Fitted Score"/>
    <x:tableColumn id="16" name="Residual"/>
    <x:tableColumn id="17" name="Parameter Source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EScenariosTable" displayName="MoEScenariosTable" ref="A4:G59" headerRowCount="1" totalsRowCount="0" totalsRowShown="0">
  <x:tableColumns count="7">
    <x:tableColumn id="1" name="Model"/>
    <x:tableColumn id="2" name="AA v4.1"/>
    <x:tableColumn id="3" name="Release Date"/>
    <x:tableColumn id="4" name="Total / Active Ratio"/>
    <x:tableColumn id="5" name="Implied Active (B)"/>
    <x:tableColumn id="6" name="Implied Total (B)"/>
    <x:tableColumn id="7" name="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5:D22" headerRowCount="1" totalsRowCount="0" totalsRowShown="0">
  <x:tableColumns count="4">
    <x:tableColumn id="1" name="Source"/>
    <x:tableColumn id="2" name="URL"/>
    <x:tableColumn id="3" name="Role in analysis"/>
    <x:tableColumn id="4" name="Snapshot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J10" dT="2026-07-16T19:20:51.494" personId="{AD5769F6-91FC-434D-8A5F-BABA30EBE355}" id="{739B0B6A-5D69-D04E-8AAE-135E16652AE2}">
    <xltc:text>Observed median total-to-active parameter ratio among MoE rows in the 12-month open-weight comparison set. Change this assumption through the MoE Scenarios sheet rather than treating it as a disclosure about proprietary models.</xltc:text>
  </xltc:threadedComment>
  <xltc:threadedComment ref="J12" dT="2026-07-16T19:20:51.494" personId="{AD5769F6-91FC-434D-8A5F-BABA30EBE355}" id="{062EA266-5F74-244E-82C0-BF80050E4326}">
    <xltc:text>Structural half-width is the worse of the AA and ECI leave-one-family-out 80th-percentile absolute inversion errors. It captures model-family misspecification that ordinary coefficient intervals miss.</xltc:text>
  </xltc:threadedComment>
  <xltc:threadedComment ref="B13" dT="2026-07-16T19:20:51.494" personId="{AD5769F6-91FC-434D-8A5F-BABA30EBE355}" id="{A9DD0E85-1F71-F794-C369-ACB7500BD0EC}">
    <xltc:text>Reasoning uplift is fixed at the robust median of paired reasoning versus non-reasoning AA configurations, reducing collinearity between release date and the rise of reasoning models.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13a24405604f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083afe4d0f49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665cd0b0c84b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124ba2f3ab4c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6faaca6c3c40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1.xml" Id="R89de48ed61ea4c68" /><Relationship Type="http://schemas.openxmlformats.org/officeDocument/2006/relationships/vmlDrawing" Target="/xl/drawings/vmldrawing.vml" Id="Rc174258cdd624d5b" /><Relationship Type="http://schemas.microsoft.com/office/2017/10/relationships/threadedComment" Target="/xl/threadedcomments/threadedcomment.xml" Id="Ree7ff65b0ec940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30ef118d56947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7" hidden="0" customWidth="1"/>
    <x:col min="4" max="4" width="17" hidden="0" customWidth="1"/>
    <x:col min="5" max="5" width="22" hidden="0" customWidth="1"/>
    <x:col min="6" max="6" width="22" hidden="0" customWidth="1"/>
    <x:col min="7" max="7" width="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6" customHeight="1">
      <x:c r="A1" s="3" t="str">
        <x:v>Frontier model parameter equivalents — 2026-07-16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3">
      <x:c r="A3" s="6" t="str">
        <x:v>Performance does not uniquely identify literal hidden weights. These are date-, reasoning-, and MoE-sparsity-conditioned open-weight equivalents, estimated from 50 recent open models on AA v4.1 and cross-checked against an 88-model Epoch ECI panel.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6" ht="34" customHeight="1">
      <x:c r="A6" s="11" t="str">
        <x:v>Dataset / assumption</x:v>
      </x:c>
      <x:c r="B6" s="11" t="str">
        <x:v>Value</x:v>
      </x:c>
    </x:row>
    <x:row r="7">
      <x:c r="A7" s="22" t="str">
        <x:v>As-of date</x:v>
      </x:c>
      <x:c r="B7" s="72" t="n">
        <x:v>46219</x:v>
      </x:c>
    </x:row>
    <x:row r="8">
      <x:c r="A8" s="23" t="str">
        <x:v>Recent open checkpoints</x:v>
      </x:c>
      <x:c r="B8" s="73" t="n">
        <x:v>50</x:v>
      </x:c>
    </x:row>
    <x:row r="9">
      <x:c r="A9" s="23" t="str">
        <x:v>Extended ECI calibration</x:v>
      </x:c>
      <x:c r="B9" s="73" t="n">
        <x:v>88</x:v>
      </x:c>
    </x:row>
    <x:row r="10">
      <x:c r="A10" s="23" t="str">
        <x:v>Current open AA ceiling</x:v>
      </x:c>
      <x:c r="B10" s="73" t="n">
        <x:v>51</x:v>
      </x:c>
    </x:row>
    <x:row r="11">
      <x:c r="A11" s="23" t="str">
        <x:v>Recent-open median MoE ratio</x:v>
      </x:c>
      <x:c r="B11" s="74" t="n">
        <x:v>18.6</x:v>
      </x:c>
    </x:row>
    <x:row r="12">
      <x:c r="A12" s="24" t="str">
        <x:v>Structural stress half-width</x:v>
      </x:c>
      <x:c r="B12" s="75" t="n">
        <x:v>2.519091716896432</x:v>
      </x:c>
    </x:row>
    <x:row r="15">
      <x:c r="A15" s="33" t="str">
        <x:v>Selected pure-model equivalents at the 18.6:1 MoE scenario</x:v>
      </x:c>
      <x:c r="B15" s="33"/>
      <x:c r="C15" s="33"/>
      <x:c r="D15" s="33"/>
      <x:c r="E15" s="33"/>
      <x:c r="F15" s="33"/>
    </x:row>
    <x:row r="16" ht="34" customHeight="1">
      <x:c r="A16" s="11" t="str">
        <x:v>Model</x:v>
      </x:c>
      <x:c r="B16" s="11" t="str">
        <x:v>AA v4.1</x:v>
      </x:c>
      <x:c r="C16" s="11" t="str">
        <x:v>Implied Active (B)</x:v>
      </x:c>
      <x:c r="D16" s="11" t="str">
        <x:v>Implied Total (B)</x:v>
      </x:c>
      <x:c r="E16" s="11" t="str">
        <x:v>Fit 80% Total (B)</x:v>
      </x:c>
      <x:c r="F16" s="11" t="str">
        <x:v>Structural Stress Band (B)</x:v>
      </x:c>
    </x:row>
    <x:row r="17">
      <x:c r="A17" s="16" t="str">
        <x:f>'Frontier Estimates'!B5</x:f>
        <x:v>GPT-5.6 Sol</x:v>
      </x:c>
      <x:c r="B17" s="43" t="n">
        <x:f>'Frontier Estimates'!C5</x:f>
        <x:v>59</x:v>
      </x:c>
      <x:c r="C17" s="36" t="n">
        <x:f>'Frontier Estimates'!N5</x:f>
        <x:v>133.07018681822453</x:v>
      </x:c>
      <x:c r="D17" s="76" t="n">
        <x:f>'Frontier Estimates'!O5</x:f>
        <x:v>2475.1054748189763</x:v>
      </x:c>
      <x:c r="E17" s="16" t="str">
        <x:f>TEXT('Frontier Estimates'!P5,"#,##0")&amp;"–"&amp;TEXT('Frontier Estimates'!Q5,"#,##0")</x:f>
        <x:v>1,199–4,283</x:v>
      </x:c>
      <x:c r="F17" s="16" t="str">
        <x:f>TEXT('Frontier Estimates'!R5,"#,##0")&amp;"–"&amp;TEXT('Frontier Estimates'!S5,"#,##0")</x:f>
        <x:v>432–14,188</x:v>
      </x:c>
    </x:row>
    <x:row r="18">
      <x:c r="A18" s="17" t="str">
        <x:f>'Frontier Estimates'!B7</x:f>
        <x:v>Claude Opus 4.8</x:v>
      </x:c>
      <x:c r="B18" s="44" t="n">
        <x:f>'Frontier Estimates'!C7</x:f>
        <x:v>56</x:v>
      </x:c>
      <x:c r="C18" s="29" t="n">
        <x:f>'Frontier Estimates'!N7</x:f>
        <x:v>95.13624445507332</x:v>
      </x:c>
      <x:c r="D18" s="73" t="n">
        <x:f>'Frontier Estimates'!O7</x:f>
        <x:v>1769.534146864364</x:v>
      </x:c>
      <x:c r="E18" s="17" t="str">
        <x:f>TEXT('Frontier Estimates'!P7,"#,##0")&amp;"–"&amp;TEXT('Frontier Estimates'!Q7,"#,##0")</x:f>
        <x:v>915–2,966</x:v>
      </x:c>
      <x:c r="F18" s="17" t="str">
        <x:f>TEXT('Frontier Estimates'!R7,"#,##0")&amp;"–"&amp;TEXT('Frontier Estimates'!S7,"#,##0")</x:f>
        <x:v>309–10,143</x:v>
      </x:c>
    </x:row>
    <x:row r="19">
      <x:c r="A19" s="17" t="str">
        <x:f>'Frontier Estimates'!B9</x:f>
        <x:v>GPT-5.5</x:v>
      </x:c>
      <x:c r="B19" s="44" t="n">
        <x:f>'Frontier Estimates'!C9</x:f>
        <x:v>55</x:v>
      </x:c>
      <x:c r="C19" s="29" t="n">
        <x:f>'Frontier Estimates'!N9</x:f>
        <x:v>122.22949541862454</x:v>
      </x:c>
      <x:c r="D19" s="73" t="n">
        <x:f>'Frontier Estimates'!O9</x:f>
        <x:v>2273.4686147864168</x:v>
      </x:c>
      <x:c r="E19" s="17" t="str">
        <x:f>TEXT('Frontier Estimates'!P9,"#,##0")&amp;"–"&amp;TEXT('Frontier Estimates'!Q9,"#,##0")</x:f>
        <x:v>1,211–3,840</x:v>
      </x:c>
      <x:c r="F19" s="17" t="str">
        <x:f>TEXT('Frontier Estimates'!R9,"#,##0")&amp;"–"&amp;TEXT('Frontier Estimates'!S9,"#,##0")</x:f>
        <x:v>397–13,032</x:v>
      </x:c>
    </x:row>
    <x:row r="20">
      <x:c r="A20" s="17" t="str">
        <x:f>'Frontier Estimates'!B10</x:f>
        <x:v>Claude Opus 4.7</x:v>
      </x:c>
      <x:c r="B20" s="44" t="n">
        <x:f>'Frontier Estimates'!C10</x:f>
        <x:v>54</x:v>
      </x:c>
      <x:c r="C20" s="29" t="n">
        <x:f>'Frontier Estimates'!N10</x:f>
        <x:v>93.18552373567836</x:v>
      </x:c>
      <x:c r="D20" s="73" t="n">
        <x:f>'Frontier Estimates'!O10</x:f>
        <x:v>1733.2507414836175</x:v>
      </x:c>
      <x:c r="E20" s="17" t="str">
        <x:f>TEXT('Frontier Estimates'!P10,"#,##0")&amp;"–"&amp;TEXT('Frontier Estimates'!Q10,"#,##0")</x:f>
        <x:v>939–2,816</x:v>
      </x:c>
      <x:c r="F20" s="17" t="str">
        <x:f>TEXT('Frontier Estimates'!R10,"#,##0")&amp;"–"&amp;TEXT('Frontier Estimates'!S10,"#,##0")</x:f>
        <x:v>302–9,935</x:v>
      </x:c>
    </x:row>
    <x:row r="21">
      <x:c r="A21" s="17" t="str">
        <x:f>'Frontier Estimates'!B11</x:f>
        <x:v>Grok 4.5</x:v>
      </x:c>
      <x:c r="B21" s="44" t="n">
        <x:f>'Frontier Estimates'!C11</x:f>
        <x:v>54</x:v>
      </x:c>
      <x:c r="C21" s="29" t="n">
        <x:f>'Frontier Estimates'!N11</x:f>
        <x:v>32.86771440384406</x:v>
      </x:c>
      <x:c r="D21" s="73" t="n">
        <x:f>'Frontier Estimates'!O11</x:f>
        <x:v>611.3394879114996</x:v>
      </x:c>
      <x:c r="E21" s="17" t="str">
        <x:f>TEXT('Frontier Estimates'!P11,"#,##0")&amp;"–"&amp;TEXT('Frontier Estimates'!Q11,"#,##0")</x:f>
        <x:v>328–956</x:v>
      </x:c>
      <x:c r="F21" s="17" t="str">
        <x:f>TEXT('Frontier Estimates'!R11,"#,##0")&amp;"–"&amp;TEXT('Frontier Estimates'!S11,"#,##0")</x:f>
        <x:v>107–3,504</x:v>
      </x:c>
    </x:row>
    <x:row r="22">
      <x:c r="A22" s="18" t="str">
        <x:f>'Frontier Estimates'!B14</x:f>
        <x:v>Gemini 3.5 Flash</x:v>
      </x:c>
      <x:c r="B22" s="45" t="n">
        <x:f>'Frontier Estimates'!C14</x:f>
        <x:v>50</x:v>
      </x:c>
      <x:c r="C22" s="37" t="n">
        <x:f>'Frontier Estimates'!N14</x:f>
        <x:v>36.68977602421449</x:v>
      </x:c>
      <x:c r="D22" s="77" t="n">
        <x:f>'Frontier Estimates'!O14</x:f>
        <x:v>682.4298340503896</x:v>
      </x:c>
      <x:c r="E22" s="18" t="str">
        <x:f>TEXT('Frontier Estimates'!P14,"#,##0")&amp;"–"&amp;TEXT('Frontier Estimates'!Q14,"#,##0")</x:f>
        <x:v>392–1,029</x:v>
      </x:c>
      <x:c r="F22" s="18" t="str">
        <x:f>TEXT('Frontier Estimates'!R14,"#,##0")&amp;"–"&amp;TEXT('Frontier Estimates'!S14,"#,##0")</x:f>
        <x:v>119–3,912</x:v>
      </x:c>
    </x:row>
    <x:row r="25">
      <x:c r="A25" s="82" t="str">
        <x:v>Headline: under the median recent-open MoE sparsity scenario, GPT-5.6 Sol is about 133B active / 2.5T total open-weight-equivalent parameters. Claude Opus 4.8 is about 95B active / 1.8T total. These are system-equivalent scales at the tested reasoning budgets, not physical architecture disclosures.</x:v>
      </x:c>
      <x:c r="B25" s="83"/>
      <x:c r="C25" s="83"/>
      <x:c r="D25" s="83"/>
      <x:c r="E25" s="83"/>
      <x:c r="F25" s="83"/>
      <x:c r="G25" s="83"/>
      <x:c r="H25" s="83"/>
      <x:c r="I25" s="83"/>
      <x:c r="J25" s="83"/>
      <x:c r="K25" s="83"/>
      <x:c r="L25" s="83"/>
      <x:c r="M25" s="83"/>
      <x:c r="N25" s="83"/>
      <x:c r="O25" s="83"/>
      <x:c r="P25" s="83"/>
    </x:row>
    <x:row r="26">
      <x:c r="A26" s="82"/>
      <x:c r="B26" s="83"/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83"/>
      <x:c r="N26" s="83"/>
      <x:c r="O26" s="83"/>
      <x:c r="P26" s="83"/>
    </x:row>
    <x:row r="28">
      <x:c r="A28" s="89" t="str">
        <x:v>Uncertainty: the fit-only 80% intervals come from 2,500 family-clustered bootstraps plus benchmark-score uncertainty. Leave-one-family-out validation is much harsher: its 80th-percentile error is ±2.52 parameter doublings (about ×5.7). The structural stress band reflects that model risk and should be preferred for decisions.</x:v>
      </x:c>
      <x:c r="B28" s="90"/>
      <x:c r="C28" s="90"/>
      <x:c r="D28" s="90"/>
      <x:c r="E28" s="90"/>
      <x:c r="F28" s="90"/>
      <x:c r="G28" s="90"/>
      <x:c r="H28" s="90"/>
      <x:c r="I28" s="90"/>
      <x:c r="J28" s="90"/>
      <x:c r="K28" s="90"/>
      <x:c r="L28" s="90"/>
      <x:c r="M28" s="90"/>
      <x:c r="N28" s="90"/>
      <x:c r="O28" s="90"/>
      <x:c r="P28" s="90"/>
    </x:row>
    <x:row r="29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0"/>
      <x:c r="L29" s="90"/>
      <x:c r="M29" s="90"/>
      <x:c r="N29" s="90"/>
      <x:c r="O29" s="90"/>
      <x:c r="P29" s="90"/>
    </x:row>
    <x:row r="30">
      <x:c r="A30" s="89"/>
      <x:c r="B30" s="90"/>
      <x:c r="C30" s="90"/>
      <x:c r="D30" s="90"/>
      <x:c r="E30" s="90"/>
      <x:c r="F30" s="90"/>
      <x:c r="G30" s="90"/>
      <x:c r="H30" s="90"/>
      <x:c r="I30" s="90"/>
      <x:c r="J30" s="90"/>
      <x:c r="K30" s="90"/>
      <x:c r="L30" s="90"/>
      <x:c r="M30" s="90"/>
      <x:c r="N30" s="90"/>
      <x:c r="O30" s="90"/>
      <x:c r="P30" s="90"/>
    </x:row>
    <x:row r="32">
      <x:c r="A32" s="41" t="str">
        <x:v>Validation: xAI's founder-attributed claim that Grok 4.5 is based on a 1.5T-parameter foundation model exceeds the 0.6T central regression equivalent but lies inside the 0.1–3.5T structural band. This is evidence that benchmark inversion is informative only at order-of-magnitude scale.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</x:row>
  </x:sheetData>
  <x:mergeCells>
    <x:mergeCell ref="A1:P1"/>
    <x:mergeCell ref="A3:P4"/>
    <x:mergeCell ref="A15:F15"/>
    <x:mergeCell ref="A25:P26"/>
    <x:mergeCell ref="A28:P30"/>
    <x:mergeCell ref="A32:P34"/>
  </x:mergeCells>
  <x:pageMargins left="0.7" right="0.7" top="0.75" bottom="0.75" header="0.3" footer="0.3"/>
  <x:drawing xmlns:r="http://schemas.openxmlformats.org/officeDocument/2006/relationships" r:id="Rce13a24405604f1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2" hidden="0" customWidth="1"/>
    <x:col min="4" max="4" width="12" hidden="0" customWidth="1"/>
    <x:col min="5" max="5" width="22" hidden="0" customWidth="1"/>
    <x:col min="6" max="6" width="12" hidden="0" customWidth="1"/>
    <x:col min="7" max="7" width="12" hidden="0" customWidth="1"/>
    <x:col min="8" max="8" width="12" hidden="0" customWidth="1"/>
    <x:col min="9" max="9" width="2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39" hidden="0" customWidth="1"/>
    <x:col min="21" max="21" width="39" hidden="0" customWidth="1"/>
    <x:col min="22" max="22" width="38" hidden="0" customWidth="1"/>
  </x:cols>
  <x:sheetData>
    <x:row r="1" ht="36" customHeight="1">
      <x:c r="A1" s="3" t="str">
        <x:v>Current frontier-model parameter equivalents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>
      <x:c r="A2" s="6" t="str">
        <x:v>Central values are a geometric ensemble of the AA v4.1 and Epoch ECI date-aware frontier regressions. Active/total columns assume an 18.6:1 MoE ratio; use the MoE Scenarios sheet for other architectures. Fable is a model cascade and should not be read as one model's size.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</x:row>
    <x:row r="4" ht="34" customHeight="1">
      <x:c r="A4" s="11" t="str">
        <x:v>Release Date</x:v>
      </x:c>
      <x:c r="B4" s="11" t="str">
        <x:v>Model</x:v>
      </x:c>
      <x:c r="C4" s="11" t="str">
        <x:v>AA v4.1</x:v>
      </x:c>
      <x:c r="D4" s="11" t="str">
        <x:v>AA Output Tokens (M)</x:v>
      </x:c>
      <x:c r="E4" s="11" t="str">
        <x:v>Reasoning Config</x:v>
      </x:c>
      <x:c r="F4" s="11" t="str">
        <x:v>ECI</x:v>
      </x:c>
      <x:c r="G4" s="11" t="str">
        <x:v>ECI 90% Low</x:v>
      </x:c>
      <x:c r="H4" s="11" t="str">
        <x:v>ECI 90% High</x:v>
      </x:c>
      <x:c r="I4" s="11" t="str">
        <x:v>Classification</x:v>
      </x:c>
      <x:c r="J4" s="11" t="str">
        <x:v>AA Dense-Equivalent (B)</x:v>
      </x:c>
      <x:c r="K4" s="11" t="str">
        <x:v>ECI Dense-Equivalent (B)</x:v>
      </x:c>
      <x:c r="L4" s="11" t="str">
        <x:v>Ensemble Dense-Equivalent (B)</x:v>
      </x:c>
      <x:c r="M4" s="11" t="str">
        <x:v>MoE Ratio Scenario</x:v>
      </x:c>
      <x:c r="N4" s="11" t="str">
        <x:v>Implied Active (B)</x:v>
      </x:c>
      <x:c r="O4" s="11" t="str">
        <x:v>Implied Total (B)</x:v>
      </x:c>
      <x:c r="P4" s="11" t="str">
        <x:v>Fit 80% Total Low (B)</x:v>
      </x:c>
      <x:c r="Q4" s="11" t="str">
        <x:v>Fit 80% Total High (B)</x:v>
      </x:c>
      <x:c r="R4" s="11" t="str">
        <x:v>Structural Low (B)</x:v>
      </x:c>
      <x:c r="S4" s="11" t="str">
        <x:v>Structural High (B)</x:v>
      </x:c>
      <x:c r="T4" s="11" t="str">
        <x:v>AA Source</x:v>
      </x:c>
      <x:c r="U4" s="11" t="str">
        <x:v>Epoch Source</x:v>
      </x:c>
      <x:c r="V4" s="11" t="str">
        <x:v>Notes</x:v>
      </x:c>
    </x:row>
    <x:row r="5">
      <x:c r="A5" s="25" t="n">
        <x:v>46212</x:v>
      </x:c>
      <x:c r="B5" s="16" t="str">
        <x:v>GPT-5.6 Sol</x:v>
      </x:c>
      <x:c r="C5" s="43" t="n">
        <x:v>59</x:v>
      </x:c>
      <x:c r="D5" s="36" t="n">
        <x:v>70</x:v>
      </x:c>
      <x:c r="E5" s="54" t="str">
        <x:v>max</x:v>
      </x:c>
      <x:c r="F5" s="55" t="n">
        <x:v>161.77</x:v>
      </x:c>
      <x:c r="G5" s="55" t="n">
        <x:v>159.26</x:v>
      </x:c>
      <x:c r="H5" s="55" t="n">
        <x:v>166.01</x:v>
      </x:c>
      <x:c r="I5" s="54" t="str">
        <x:v>pure</x:v>
      </x:c>
      <x:c r="J5" s="49" t="n">
        <x:f>POWER(2,(C5-'Regression Model'!$B$10-'Regression Model'!$B$12*((A5-'Regression Model'!$J$8)/365.25)-'Regression Model'!$B$13-'Regression Model'!$B$14)/'Regression Model'!$B$11)</x:f>
        <x:v>9395.754473296232</x:v>
      </x:c>
      <x:c r="K5" s="49" t="n">
        <x:f>POWER(2,(F5-'Regression Model'!$F$10-'Regression Model'!$F$12*((A5-'Regression Model'!$J$8)/365.25)-'Regression Model'!$F$13-'Regression Model'!$F$14)/'Regression Model'!$F$11)</x:f>
        <x:v>35.05442259746747</x:v>
      </x:c>
      <x:c r="L5" s="49" t="n">
        <x:f>SQRT(J5*K5)</x:f>
        <x:v>573.9013398912496</x:v>
      </x:c>
      <x:c r="M5" s="52" t="n">
        <x:f>'Regression Model'!$J$10</x:f>
        <x:v>18.6</x:v>
      </x:c>
      <x:c r="N5" s="49" t="n">
        <x:f>SQRT((J5/POWER(M5,'Regression Model'!$B$7))*(K5/POWER(M5,'Regression Model'!$F$7)))</x:f>
        <x:v>133.07018681822453</x:v>
      </x:c>
      <x:c r="O5" s="60" t="n">
        <x:f>N5*M5</x:f>
        <x:v>2475.1054748189763</x:v>
      </x:c>
      <x:c r="P5" s="49" t="n">
        <x:v>1199.2097867692187</x:v>
      </x:c>
      <x:c r="Q5" s="49" t="n">
        <x:v>4283.1479080117515</x:v>
      </x:c>
      <x:c r="R5" s="49" t="n">
        <x:f>O5/POWER(2,'Regression Model'!$J$12)</x:f>
        <x:v>431.7889680671167</x:v>
      </x:c>
      <x:c r="S5" s="49" t="n">
        <x:f>O5*POWER(2,'Regression Model'!$J$12)</x:f>
        <x:v>14187.82684259462</x:v>
      </x:c>
      <x:c r="T5" s="54" t="str">
        <x:v>https://artificialanalysis.ai/models/gpt-5-6-sol</x:v>
      </x:c>
      <x:c r="U5" s="54" t="str">
        <x:v>https://epoch.ai/models/gpt-5-6-sol</x:v>
      </x:c>
      <x:c r="V5" s="54" t="str">
        <x:v>Undisclosed physical count; regression equivalent only.</x:v>
      </x:c>
    </x:row>
    <x:row r="6">
      <x:c r="A6" s="26" t="n">
        <x:v>46182</x:v>
      </x:c>
      <x:c r="B6" s="17" t="str">
        <x:v>Claude Fable 5</x:v>
      </x:c>
      <x:c r="C6" s="44" t="n">
        <x:v>60</x:v>
      </x:c>
      <x:c r="D6" s="29" t="n">
        <x:v>87</x:v>
      </x:c>
      <x:c r="E6" s="56" t="str">
        <x:v>adaptive max + fallback</x:v>
      </x:c>
      <x:c r="F6" s="57" t="n">
        <x:v>160.44</x:v>
      </x:c>
      <x:c r="G6" s="57" t="n">
        <x:v>157.84</x:v>
      </x:c>
      <x:c r="H6" s="57" t="n">
        <x:v>164.91</x:v>
      </x:c>
      <x:c r="I6" s="56" t="str">
        <x:v>cascade</x:v>
      </x:c>
      <x:c r="J6" s="50" t="n">
        <x:f>POWER(2,(C6-'Regression Model'!$B$10-'Regression Model'!$B$12*((A6-'Regression Model'!$J$8)/365.25)-'Regression Model'!$B$13-'Regression Model'!$B$14)/'Regression Model'!$B$11)</x:f>
        <x:v>17470.640848539395</x:v>
      </x:c>
      <x:c r="K6" s="50" t="n">
        <x:f>POWER(2,(F6-'Regression Model'!$F$10-'Regression Model'!$F$12*((A6-'Regression Model'!$J$8)/365.25)-'Regression Model'!$F$13-'Regression Model'!$F$14)/'Regression Model'!$F$11)</x:f>
        <x:v>33.0844788893398</x:v>
      </x:c>
      <x:c r="L6" s="50" t="n">
        <x:f>SQRT(J6*K6)</x:f>
        <x:v>760.2677477946432</x:v>
      </x:c>
      <x:c r="M6" s="28" t="n">
        <x:f>'Regression Model'!$J$10</x:f>
        <x:v>18.6</x:v>
      </x:c>
      <x:c r="N6" s="50" t="n">
        <x:f>SQRT((J6/POWER(M6,'Regression Model'!$B$7))*(K6/POWER(M6,'Regression Model'!$F$7)))</x:f>
        <x:v>176.28286292217896</x:v>
      </x:c>
      <x:c r="O6" s="61" t="n">
        <x:f>N6*M6</x:f>
        <x:v>3278.861250352529</x:v>
      </x:c>
      <x:c r="P6" s="50" t="n">
        <x:v>1578.2264951093061</x:v>
      </x:c>
      <x:c r="Q6" s="50" t="n">
        <x:v>6003.834706809457</x:v>
      </x:c>
      <x:c r="R6" s="50" t="n">
        <x:f>O6/POWER(2,'Regression Model'!$J$12)</x:f>
        <x:v>572.0063771538953</x:v>
      </x:c>
      <x:c r="S6" s="50" t="n">
        <x:f>O6*POWER(2,'Regression Model'!$J$12)</x:f>
        <x:v>18795.124544863018</x:v>
      </x:c>
      <x:c r="T6" s="56" t="str">
        <x:v>https://artificialanalysis.ai/models/claude-fable-5</x:v>
      </x:c>
      <x:c r="U6" s="56" t="str">
        <x:v>https://epoch.ai/models/claude-fable-5</x:v>
      </x:c>
      <x:c r="V6" s="56" t="str">
        <x:v>Exclude from literal single-model interpretation.</x:v>
      </x:c>
    </x:row>
    <x:row r="7">
      <x:c r="A7" s="26" t="n">
        <x:v>46170</x:v>
      </x:c>
      <x:c r="B7" s="17" t="str">
        <x:v>Claude Opus 4.8</x:v>
      </x:c>
      <x:c r="C7" s="44" t="n">
        <x:v>56</x:v>
      </x:c>
      <x:c r="D7" s="29" t="n">
        <x:v>120</x:v>
      </x:c>
      <x:c r="E7" s="56" t="str">
        <x:v>adaptive max</x:v>
      </x:c>
      <x:c r="F7" s="57" t="n">
        <x:v>157.85</x:v>
      </x:c>
      <x:c r="G7" s="57" t="n">
        <x:v>154.78</x:v>
      </x:c>
      <x:c r="H7" s="57" t="n">
        <x:v>160.71</x:v>
      </x:c>
      <x:c r="I7" s="56" t="str">
        <x:v>pure</x:v>
      </x:c>
      <x:c r="J7" s="50" t="n">
        <x:f>POWER(2,(C7-'Regression Model'!$B$10-'Regression Model'!$B$12*((A7-'Regression Model'!$J$8)/365.25)-'Regression Model'!$B$13-'Regression Model'!$B$14)/'Regression Model'!$B$11)</x:f>
        <x:v>7619.837101027485</x:v>
      </x:c>
      <x:c r="K7" s="50" t="n">
        <x:f>POWER(2,(F7-'Regression Model'!$F$10-'Regression Model'!$F$12*((A7-'Regression Model'!$J$8)/365.25)-'Regression Model'!$F$13-'Regression Model'!$F$14)/'Regression Model'!$F$11)</x:f>
        <x:v>22.09323256332964</x:v>
      </x:c>
      <x:c r="L7" s="50" t="n">
        <x:f>SQRT(J7*K7)</x:f>
        <x:v>410.30090563839576</x:v>
      </x:c>
      <x:c r="M7" s="28" t="n">
        <x:f>'Regression Model'!$J$10</x:f>
        <x:v>18.6</x:v>
      </x:c>
      <x:c r="N7" s="50" t="n">
        <x:f>SQRT((J7/POWER(M7,'Regression Model'!$B$7))*(K7/POWER(M7,'Regression Model'!$F$7)))</x:f>
        <x:v>95.13624445507332</x:v>
      </x:c>
      <x:c r="O7" s="61" t="n">
        <x:f>N7*M7</x:f>
        <x:v>1769.534146864364</x:v>
      </x:c>
      <x:c r="P7" s="50" t="n">
        <x:v>915.032102994161</x:v>
      </x:c>
      <x:c r="Q7" s="50" t="n">
        <x:v>2966.4788388696047</x:v>
      </x:c>
      <x:c r="R7" s="50" t="n">
        <x:f>O7/POWER(2,'Regression Model'!$J$12)</x:f>
        <x:v>308.70010632172006</x:v>
      </x:c>
      <x:c r="S7" s="50" t="n">
        <x:f>O7*POWER(2,'Regression Model'!$J$12)</x:f>
        <x:v>10143.343111309703</x:v>
      </x:c>
      <x:c r="T7" s="56" t="str">
        <x:v>https://artificialanalysis.ai/models/claude-opus-4-8</x:v>
      </x:c>
      <x:c r="U7" s="56" t="str">
        <x:v>https://epoch.ai/models/claude-opus-4-8</x:v>
      </x:c>
      <x:c r="V7" s="56" t="str">
        <x:v>Undisclosed physical count; regression equivalent only.</x:v>
      </x:c>
    </x:row>
    <x:row r="8">
      <x:c r="A8" s="26" t="n">
        <x:v>46212</x:v>
      </x:c>
      <x:c r="B8" s="17" t="str">
        <x:v>GPT-5.6 Terra</x:v>
      </x:c>
      <x:c r="C8" s="44" t="n">
        <x:v>55</x:v>
      </x:c>
      <x:c r="D8" s="29" t="n">
        <x:v>96</x:v>
      </x:c>
      <x:c r="E8" s="56" t="str">
        <x:v>max</x:v>
      </x:c>
      <x:c r="F8" s="57" t="n">
        <x:v>158.25</x:v>
      </x:c>
      <x:c r="G8" s="57" t="n">
        <x:v>155.19</x:v>
      </x:c>
      <x:c r="H8" s="57" t="n">
        <x:v>160.57</x:v>
      </x:c>
      <x:c r="I8" s="56" t="str">
        <x:v>pure</x:v>
      </x:c>
      <x:c r="J8" s="50" t="n">
        <x:f>POWER(2,(C8-'Regression Model'!$B$10-'Regression Model'!$B$12*((A8-'Regression Model'!$J$8)/365.25)-'Regression Model'!$B$13-'Regression Model'!$B$14)/'Regression Model'!$B$11)</x:f>
        <x:v>3526.7401328356673</x:v>
      </x:c>
      <x:c r="K8" s="50" t="n">
        <x:f>POWER(2,(F8-'Regression Model'!$F$10-'Regression Model'!$F$12*((A8-'Regression Model'!$J$8)/365.25)-'Regression Model'!$F$13-'Regression Model'!$F$14)/'Regression Model'!$F$11)</x:f>
        <x:v>18.280320535713734</x:v>
      </x:c>
      <x:c r="L8" s="50" t="n">
        <x:f>SQRT(J8*K8)</x:f>
        <x:v>253.90931466648016</x:v>
      </x:c>
      <x:c r="M8" s="28" t="n">
        <x:f>'Regression Model'!$J$10</x:f>
        <x:v>18.6</x:v>
      </x:c>
      <x:c r="N8" s="50" t="n">
        <x:f>SQRT((J8/POWER(M8,'Regression Model'!$B$7))*(K8/POWER(M8,'Regression Model'!$F$7)))</x:f>
        <x:v>58.8738126033273</x:v>
      </x:c>
      <x:c r="O8" s="61" t="n">
        <x:f>N8*M8</x:f>
        <x:v>1095.0529144218879</x:v>
      </x:c>
      <x:c r="P8" s="50" t="n">
        <x:v>582.5893782996903</x:v>
      </x:c>
      <x:c r="Q8" s="50" t="n">
        <x:v>1753.380664824532</x:v>
      </x:c>
      <x:c r="R8" s="50" t="n">
        <x:f>O8/POWER(2,'Regression Model'!$J$12)</x:f>
        <x:v>191.03499737993891</x:v>
      </x:c>
      <x:c r="S8" s="50" t="n">
        <x:f>O8*POWER(2,'Regression Model'!$J$12)</x:f>
        <x:v>6277.074367682303</x:v>
      </x:c>
      <x:c r="T8" s="56" t="str">
        <x:v>https://artificialanalysis.ai/models/gpt-5-6-terra</x:v>
      </x:c>
      <x:c r="U8" s="56" t="str">
        <x:v>https://epoch.ai/models/gpt-5-6-terra</x:v>
      </x:c>
      <x:c r="V8" s="56" t="str">
        <x:v>Undisclosed physical count; regression equivalent only.</x:v>
      </x:c>
    </x:row>
    <x:row r="9">
      <x:c r="A9" s="26" t="n">
        <x:v>46135</x:v>
      </x:c>
      <x:c r="B9" s="17" t="str">
        <x:v>GPT-5.5</x:v>
      </x:c>
      <x:c r="C9" s="44" t="n">
        <x:v>55</x:v>
      </x:c>
      <x:c r="D9" s="29" t="n">
        <x:v>72</x:v>
      </x:c>
      <x:c r="E9" s="56" t="str">
        <x:v>xhigh</x:v>
      </x:c>
      <x:c r="F9" s="57" t="n">
        <x:v>158.33</x:v>
      </x:c>
      <x:c r="G9" s="57" t="n">
        <x:v>155.66</x:v>
      </x:c>
      <x:c r="H9" s="57" t="n">
        <x:v>160.73</x:v>
      </x:c>
      <x:c r="I9" s="56" t="str">
        <x:v>pure</x:v>
      </x:c>
      <x:c r="J9" s="50" t="n">
        <x:f>POWER(2,(C9-'Regression Model'!$B$10-'Regression Model'!$B$12*((A9-'Regression Model'!$J$8)/365.25)-'Regression Model'!$B$13-'Regression Model'!$B$14)/'Regression Model'!$B$11)</x:f>
        <x:v>9240.774407720904</x:v>
      </x:c>
      <x:c r="K9" s="50" t="n">
        <x:f>POWER(2,(F9-'Regression Model'!$F$10-'Regression Model'!$F$12*((A9-'Regression Model'!$J$8)/365.25)-'Regression Model'!$F$13-'Regression Model'!$F$14)/'Regression Model'!$F$11)</x:f>
        <x:v>30.071605406062396</x:v>
      </x:c>
      <x:c r="L9" s="50" t="n">
        <x:f>SQRT(J9*K9)</x:f>
        <x:v>527.147912483226</x:v>
      </x:c>
      <x:c r="M9" s="28" t="n">
        <x:f>'Regression Model'!$J$10</x:f>
        <x:v>18.6</x:v>
      </x:c>
      <x:c r="N9" s="50" t="n">
        <x:f>SQRT((J9/POWER(M9,'Regression Model'!$B$7))*(K9/POWER(M9,'Regression Model'!$F$7)))</x:f>
        <x:v>122.22949541862454</x:v>
      </x:c>
      <x:c r="O9" s="61" t="n">
        <x:f>N9*M9</x:f>
        <x:v>2273.4686147864168</x:v>
      </x:c>
      <x:c r="P9" s="50" t="n">
        <x:v>1210.7441032745016</x:v>
      </x:c>
      <x:c r="Q9" s="50" t="n">
        <x:v>3839.8817305215216</x:v>
      </x:c>
      <x:c r="R9" s="50" t="n">
        <x:f>O9/POWER(2,'Regression Model'!$J$12)</x:f>
        <x:v>396.6128624007025</x:v>
      </x:c>
      <x:c r="S9" s="50" t="n">
        <x:f>O9*POWER(2,'Regression Model'!$J$12)</x:f>
        <x:v>13032.001814396308</x:v>
      </x:c>
      <x:c r="T9" s="56" t="str">
        <x:v>https://artificialanalysis.ai/models/gpt-5-5</x:v>
      </x:c>
      <x:c r="U9" s="56" t="str">
        <x:v>https://epoch.ai/models/gpt-5-5</x:v>
      </x:c>
      <x:c r="V9" s="56" t="str">
        <x:v>Undisclosed physical count; regression equivalent only.</x:v>
      </x:c>
    </x:row>
    <x:row r="10">
      <x:c r="A10" s="26" t="n">
        <x:v>46128</x:v>
      </x:c>
      <x:c r="B10" s="17" t="str">
        <x:v>Claude Opus 4.7</x:v>
      </x:c>
      <x:c r="C10" s="44" t="n">
        <x:v>54</x:v>
      </x:c>
      <x:c r="D10" s="29" t="n">
        <x:v>100</x:v>
      </x:c>
      <x:c r="E10" s="56" t="str">
        <x:v>adaptive max</x:v>
      </x:c>
      <x:c r="F10" s="57" t="n">
        <x:v>156.01</x:v>
      </x:c>
      <x:c r="G10" s="57" t="n">
        <x:v>153.64</x:v>
      </x:c>
      <x:c r="H10" s="57" t="n">
        <x:v>157.75</x:v>
      </x:c>
      <x:c r="I10" s="56" t="str">
        <x:v>pure</x:v>
      </x:c>
      <x:c r="J10" s="50" t="n">
        <x:f>POWER(2,(C10-'Regression Model'!$B$10-'Regression Model'!$B$12*((A10-'Regression Model'!$J$8)/365.25)-'Regression Model'!$B$13-'Regression Model'!$B$14)/'Regression Model'!$B$11)</x:f>
        <x:v>7894.9478276516165</x:v>
      </x:c>
      <x:c r="K10" s="50" t="n">
        <x:f>POWER(2,(F10-'Regression Model'!$F$10-'Regression Model'!$F$12*((A10-'Regression Model'!$J$8)/365.25)-'Regression Model'!$F$13-'Regression Model'!$F$14)/'Regression Model'!$F$11)</x:f>
        <x:v>20.457877827223932</x:v>
      </x:c>
      <x:c r="L10" s="50" t="n">
        <x:f>SQRT(J10*K10)</x:f>
        <x:v>401.8878924655528</x:v>
      </x:c>
      <x:c r="M10" s="28" t="n">
        <x:f>'Regression Model'!$J$10</x:f>
        <x:v>18.6</x:v>
      </x:c>
      <x:c r="N10" s="50" t="n">
        <x:f>SQRT((J10/POWER(M10,'Regression Model'!$B$7))*(K10/POWER(M10,'Regression Model'!$F$7)))</x:f>
        <x:v>93.18552373567836</x:v>
      </x:c>
      <x:c r="O10" s="61" t="n">
        <x:f>N10*M10</x:f>
        <x:v>1733.2507414836175</x:v>
      </x:c>
      <x:c r="P10" s="50" t="n">
        <x:v>939.4663970035472</x:v>
      </x:c>
      <x:c r="Q10" s="50" t="n">
        <x:v>2816.1782194712378</x:v>
      </x:c>
      <x:c r="R10" s="50" t="n">
        <x:f>O10/POWER(2,'Regression Model'!$J$12)</x:f>
        <x:v>302.37036630590956</x:v>
      </x:c>
      <x:c r="S10" s="50" t="n">
        <x:f>O10*POWER(2,'Regression Model'!$J$12)</x:f>
        <x:v>9935.358975668232</x:v>
      </x:c>
      <x:c r="T10" s="56" t="str">
        <x:v>https://artificialanalysis.ai/models/claude-opus-4-7</x:v>
      </x:c>
      <x:c r="U10" s="56" t="str">
        <x:v>https://epoch.ai/models/claude-opus-4-7</x:v>
      </x:c>
      <x:c r="V10" s="56" t="str">
        <x:v>Undisclosed physical count; regression equivalent only.</x:v>
      </x:c>
    </x:row>
    <x:row r="11">
      <x:c r="A11" s="26" t="n">
        <x:v>46211</x:v>
      </x:c>
      <x:c r="B11" s="17" t="str">
        <x:v>Grok 4.5</x:v>
      </x:c>
      <x:c r="C11" s="44" t="n">
        <x:v>54</x:v>
      </x:c>
      <x:c r="D11" s="29" t="n">
        <x:v>60</x:v>
      </x:c>
      <x:c r="E11" s="56" t="str">
        <x:v>high</x:v>
      </x:c>
      <x:c r="F11" s="57" t="n">
        <x:v>153.17</x:v>
      </x:c>
      <x:c r="G11" s="57" t="n">
        <x:v>151.59</x:v>
      </x:c>
      <x:c r="H11" s="57" t="n">
        <x:v>155.83</x:v>
      </x:c>
      <x:c r="I11" s="56" t="str">
        <x:v>pure; founder says 1.5T total</x:v>
      </x:c>
      <x:c r="J11" s="50" t="n">
        <x:f>POWER(2,(C11-'Regression Model'!$B$10-'Regression Model'!$B$12*((A11-'Regression Model'!$J$8)/365.25)-'Regression Model'!$B$13-'Regression Model'!$B$14)/'Regression Model'!$B$11)</x:f>
        <x:v>2795.2253800482213</x:v>
      </x:c>
      <x:c r="K11" s="50" t="n">
        <x:f>POWER(2,(F11-'Regression Model'!$F$10-'Regression Model'!$F$12*((A11-'Regression Model'!$J$8)/365.25)-'Regression Model'!$F$13-'Regression Model'!$F$14)/'Regression Model'!$F$11)</x:f>
        <x:v>7.188447785244711</x:v>
      </x:c>
      <x:c r="L11" s="50" t="n">
        <x:f>SQRT(J11*K11)</x:f>
        <x:v>141.75094952933276</x:v>
      </x:c>
      <x:c r="M11" s="28" t="n">
        <x:f>'Regression Model'!$J$10</x:f>
        <x:v>18.6</x:v>
      </x:c>
      <x:c r="N11" s="50" t="n">
        <x:f>SQRT((J11/POWER(M11,'Regression Model'!$B$7))*(K11/POWER(M11,'Regression Model'!$F$7)))</x:f>
        <x:v>32.86771440384406</x:v>
      </x:c>
      <x:c r="O11" s="61" t="n">
        <x:f>N11*M11</x:f>
        <x:v>611.3394879114996</x:v>
      </x:c>
      <x:c r="P11" s="50" t="n">
        <x:v>327.75654677087164</x:v>
      </x:c>
      <x:c r="Q11" s="50" t="n">
        <x:v>956.2910064906478</x:v>
      </x:c>
      <x:c r="R11" s="50" t="n">
        <x:f>O11/POWER(2,'Regression Model'!$J$12)</x:f>
        <x:v>106.64985767658736</x:v>
      </x:c>
      <x:c r="S11" s="50" t="n">
        <x:f>O11*POWER(2,'Regression Model'!$J$12)</x:f>
        <x:v>3504.326940718836</x:v>
      </x:c>
      <x:c r="T11" s="56" t="str">
        <x:v>https://artificialanalysis.ai/models/grok-4-5</x:v>
      </x:c>
      <x:c r="U11" s="56" t="str">
        <x:v>https://epoch.ai/models/grok-4-5</x:v>
      </x:c>
      <x:c r="V11" s="56" t="str">
        <x:v>Founder-attributed 1.5T total parameter claim is an external validation point; active count is unknown.</x:v>
      </x:c>
    </x:row>
    <x:row r="12">
      <x:c r="A12" s="26" t="n">
        <x:v>46203</x:v>
      </x:c>
      <x:c r="B12" s="17" t="str">
        <x:v>Claude Sonnet 5</x:v>
      </x:c>
      <x:c r="C12" s="44" t="n">
        <x:v>53</x:v>
      </x:c>
      <x:c r="D12" s="29" t="n">
        <x:v>300</x:v>
      </x:c>
      <x:c r="E12" s="56" t="str">
        <x:v>adaptive max</x:v>
      </x:c>
      <x:c r="F12" s="57" t="n">
        <x:v>153.2</x:v>
      </x:c>
      <x:c r="G12" s="57" t="n">
        <x:v>149.91</x:v>
      </x:c>
      <x:c r="H12" s="57" t="n">
        <x:v>155.34</x:v>
      </x:c>
      <x:c r="I12" s="56" t="str">
        <x:v>pure</x:v>
      </x:c>
      <x:c r="J12" s="50" t="n">
        <x:f>POWER(2,(C12-'Regression Model'!$B$10-'Regression Model'!$B$12*((A12-'Regression Model'!$J$8)/365.25)-'Regression Model'!$B$13-'Regression Model'!$B$14)/'Regression Model'!$B$11)</x:f>
        <x:v>2418.1912655138703</x:v>
      </x:c>
      <x:c r="K12" s="50" t="n">
        <x:f>POWER(2,(F12-'Regression Model'!$F$10-'Regression Model'!$F$12*((A12-'Regression Model'!$J$8)/365.25)-'Regression Model'!$F$13-'Regression Model'!$F$14)/'Regression Model'!$F$11)</x:f>
        <x:v>7.6004068568001975</x:v>
      </x:c>
      <x:c r="L12" s="50" t="n">
        <x:f>SQRT(J12*K12)</x:f>
        <x:v>135.5700463799654</x:v>
      </x:c>
      <x:c r="M12" s="28" t="n">
        <x:f>'Regression Model'!$J$10</x:f>
        <x:v>18.6</x:v>
      </x:c>
      <x:c r="N12" s="50" t="n">
        <x:f>SQRT((J12/POWER(M12,'Regression Model'!$B$7))*(K12/POWER(M12,'Regression Model'!$F$7)))</x:f>
        <x:v>31.434551803199977</x:v>
      </x:c>
      <x:c r="O12" s="61" t="n">
        <x:f>N12*M12</x:f>
        <x:v>584.6826635395196</x:v>
      </x:c>
      <x:c r="P12" s="50" t="n">
        <x:v>308.3475179685264</x:v>
      </x:c>
      <x:c r="Q12" s="50" t="n">
        <x:v>923.2025654003311</x:v>
      </x:c>
      <x:c r="R12" s="50" t="n">
        <x:f>O12/POWER(2,'Regression Model'!$J$12)</x:f>
        <x:v>101.99950123536722</x:v>
      </x:c>
      <x:c r="S12" s="50" t="n">
        <x:f>O12*POWER(2,'Regression Model'!$J$12)</x:f>
        <x:v>3351.524398681402</x:v>
      </x:c>
      <x:c r="T12" s="56" t="str">
        <x:v>https://artificialanalysis.ai/models/claude-sonnet-5</x:v>
      </x:c>
      <x:c r="U12" s="56" t="str">
        <x:v>https://epoch.ai/models/claude-sonnet-5</x:v>
      </x:c>
      <x:c r="V12" s="56" t="str">
        <x:v>Undisclosed physical count; regression equivalent only.</x:v>
      </x:c>
    </x:row>
    <x:row r="13">
      <x:c r="A13" s="26" t="n">
        <x:v>46212</x:v>
      </x:c>
      <x:c r="B13" s="17" t="str">
        <x:v>GPT-5.6 Luna</x:v>
      </x:c>
      <x:c r="C13" s="44" t="n">
        <x:v>51</x:v>
      </x:c>
      <x:c r="D13" s="29" t="n">
        <x:v>130</x:v>
      </x:c>
      <x:c r="E13" s="56" t="str">
        <x:v>max</x:v>
      </x:c>
      <x:c r="F13" s="57" t="n">
        <x:v>155.62</x:v>
      </x:c>
      <x:c r="G13" s="57" t="n">
        <x:v>152.83</x:v>
      </x:c>
      <x:c r="H13" s="57" t="n">
        <x:v>158.72</x:v>
      </x:c>
      <x:c r="I13" s="56" t="str">
        <x:v>pure</x:v>
      </x:c>
      <x:c r="J13" s="50" t="n">
        <x:f>POWER(2,(C13-'Regression Model'!$B$10-'Regression Model'!$B$12*((A13-'Regression Model'!$J$8)/365.25)-'Regression Model'!$B$13-'Regression Model'!$B$14)/'Regression Model'!$B$11)</x:f>
        <x:v>1323.7783085864605</x:v>
      </x:c>
      <x:c r="K13" s="50" t="n">
        <x:f>POWER(2,(F13-'Regression Model'!$F$10-'Regression Model'!$F$12*((A13-'Regression Model'!$J$8)/365.25)-'Regression Model'!$F$13-'Regression Model'!$F$14)/'Regression Model'!$F$11)</x:f>
        <x:v>11.238745601117587</x:v>
      </x:c>
      <x:c r="L13" s="50" t="n">
        <x:f>SQRT(J13*K13)</x:f>
        <x:v>121.97379899995312</x:v>
      </x:c>
      <x:c r="M13" s="28" t="n">
        <x:f>'Regression Model'!$J$10</x:f>
        <x:v>18.6</x:v>
      </x:c>
      <x:c r="N13" s="50" t="n">
        <x:f>SQRT((J13/POWER(M13,'Regression Model'!$B$7))*(K13/POWER(M13,'Regression Model'!$F$7)))</x:f>
        <x:v>28.281997429955485</x:v>
      </x:c>
      <x:c r="O13" s="61" t="n">
        <x:f>N13*M13</x:f>
        <x:v>526.0451521971721</x:v>
      </x:c>
      <x:c r="P13" s="50" t="n">
        <x:v>284.2704160826728</x:v>
      </x:c>
      <x:c r="Q13" s="50" t="n">
        <x:v>797.2901848766612</x:v>
      </x:c>
      <x:c r="R13" s="50" t="n">
        <x:f>O13/POWER(2,'Regression Model'!$J$12)</x:f>
        <x:v>91.7700258573986</x:v>
      </x:c>
      <x:c r="S13" s="50" t="n">
        <x:f>O13*POWER(2,'Regression Model'!$J$12)</x:f>
        <x:v>3015.401810828151</x:v>
      </x:c>
      <x:c r="T13" s="56" t="str">
        <x:v>https://artificialanalysis.ai/models/gpt-5-6-luna</x:v>
      </x:c>
      <x:c r="U13" s="56" t="str">
        <x:v>https://epoch.ai/models/gpt-5-6-luna</x:v>
      </x:c>
      <x:c r="V13" s="56" t="str">
        <x:v>Undisclosed physical count; regression equivalent only.</x:v>
      </x:c>
    </x:row>
    <x:row r="14">
      <x:c r="A14" s="26" t="n">
        <x:v>46161</x:v>
      </x:c>
      <x:c r="B14" s="17" t="str">
        <x:v>Gemini 3.5 Flash</x:v>
      </x:c>
      <x:c r="C14" s="44" t="n">
        <x:v>50</x:v>
      </x:c>
      <x:c r="D14" s="29" t="n">
        <x:v>75</x:v>
      </x:c>
      <x:c r="E14" s="56" t="str">
        <x:v>high</x:v>
      </x:c>
      <x:c r="F14" s="57" t="n">
        <x:v>154.58</x:v>
      </x:c>
      <x:c r="G14" s="57" t="n">
        <x:v>152.62</x:v>
      </x:c>
      <x:c r="H14" s="57" t="n">
        <x:v>157.21</x:v>
      </x:c>
      <x:c r="I14" s="56" t="str">
        <x:v>pure</x:v>
      </x:c>
      <x:c r="J14" s="50" t="n">
        <x:f>POWER(2,(C14-'Regression Model'!$B$10-'Regression Model'!$B$12*((A14-'Regression Model'!$J$8)/365.25)-'Regression Model'!$B$13-'Regression Model'!$B$14)/'Regression Model'!$B$11)</x:f>
        <x:v>1961.122289297003</x:v>
      </x:c>
      <x:c r="K14" s="50" t="n">
        <x:f>POWER(2,(F14-'Regression Model'!$F$10-'Regression Model'!$F$12*((A14-'Regression Model'!$J$8)/365.25)-'Regression Model'!$F$13-'Regression Model'!$F$14)/'Regression Model'!$F$11)</x:f>
        <x:v>12.767280194712392</x:v>
      </x:c>
      <x:c r="L14" s="50" t="n">
        <x:f>SQRT(J14*K14)</x:f>
        <x:v>158.23462883816126</x:v>
      </x:c>
      <x:c r="M14" s="28" t="n">
        <x:f>'Regression Model'!$J$10</x:f>
        <x:v>18.6</x:v>
      </x:c>
      <x:c r="N14" s="50" t="n">
        <x:f>SQRT((J14/POWER(M14,'Regression Model'!$B$7))*(K14/POWER(M14,'Regression Model'!$F$7)))</x:f>
        <x:v>36.68977602421449</x:v>
      </x:c>
      <x:c r="O14" s="61" t="n">
        <x:f>N14*M14</x:f>
        <x:v>682.4298340503896</x:v>
      </x:c>
      <x:c r="P14" s="50" t="n">
        <x:v>392.4706466172659</x:v>
      </x:c>
      <x:c r="Q14" s="50" t="n">
        <x:v>1028.8606269091874</x:v>
      </x:c>
      <x:c r="R14" s="50" t="n">
        <x:f>O14/POWER(2,'Regression Model'!$J$12)</x:f>
        <x:v>119.05176438769043</x:v>
      </x:c>
      <x:c r="S14" s="50" t="n">
        <x:f>O14*POWER(2,'Regression Model'!$J$12)</x:f>
        <x:v>3911.8318052428226</x:v>
      </x:c>
      <x:c r="T14" s="56" t="str">
        <x:v>https://artificialanalysis.ai/models/gemini-3-5-flash</x:v>
      </x:c>
      <x:c r="U14" s="56" t="str">
        <x:v>https://epoch.ai/models/gemini-3-5-flash</x:v>
      </x:c>
      <x:c r="V14" s="56" t="str">
        <x:v>Undisclosed physical count; regression equivalent only.</x:v>
      </x:c>
    </x:row>
    <x:row r="15">
      <x:c r="A15" s="42" t="n">
        <x:v>46072</x:v>
      </x:c>
      <x:c r="B15" s="18" t="str">
        <x:v>Gemini 3.1 Pro Preview</x:v>
      </x:c>
      <x:c r="C15" s="45" t="n">
        <x:v>46</x:v>
      </x:c>
      <x:c r="D15" s="37" t="n">
        <x:v>56</x:v>
      </x:c>
      <x:c r="E15" s="58" t="str">
        <x:v>reasoning/default</x:v>
      </x:c>
      <x:c r="F15" s="59" t="n">
        <x:v>154.84</x:v>
      </x:c>
      <x:c r="G15" s="59" t="n">
        <x:v>152.75</x:v>
      </x:c>
      <x:c r="H15" s="59" t="n">
        <x:v>158.15</x:v>
      </x:c>
      <x:c r="I15" s="58" t="str">
        <x:v>pure</x:v>
      </x:c>
      <x:c r="J15" s="51" t="n">
        <x:f>POWER(2,(C15-'Regression Model'!$B$10-'Regression Model'!$B$12*((A15-'Regression Model'!$J$8)/365.25)-'Regression Model'!$B$13-'Regression Model'!$B$14)/'Regression Model'!$B$11)</x:f>
        <x:v>2241.178435186377</x:v>
      </x:c>
      <x:c r="K15" s="51" t="n">
        <x:f>POWER(2,(F15-'Regression Model'!$F$10-'Regression Model'!$F$12*((A15-'Regression Model'!$J$8)/365.25)-'Regression Model'!$F$13-'Regression Model'!$F$14)/'Regression Model'!$F$11)</x:f>
        <x:v>23.410906242434876</x:v>
      </x:c>
      <x:c r="L15" s="51" t="n">
        <x:f>SQRT(J15*K15)</x:f>
        <x:v>229.05898414756663</x:v>
      </x:c>
      <x:c r="M15" s="53" t="n">
        <x:f>'Regression Model'!$J$10</x:f>
        <x:v>18.6</x:v>
      </x:c>
      <x:c r="N15" s="51" t="n">
        <x:f>SQRT((J15/POWER(M15,'Regression Model'!$B$7))*(K15/POWER(M15,'Regression Model'!$F$7)))</x:f>
        <x:v>53.111780186269215</x:v>
      </x:c>
      <x:c r="O15" s="62" t="n">
        <x:f>N15*M15</x:f>
        <x:v>987.8791114646075</x:v>
      </x:c>
      <x:c r="P15" s="51" t="n">
        <x:v>596.9456281707033</x:v>
      </x:c>
      <x:c r="Q15" s="51" t="n">
        <x:v>1449.7509101820076</x:v>
      </x:c>
      <x:c r="R15" s="51" t="n">
        <x:f>O15/POWER(2,'Regression Model'!$J$12)</x:f>
        <x:v>172.33823223051144</x:v>
      </x:c>
      <x:c r="S15" s="51" t="n">
        <x:f>O15*POWER(2,'Regression Model'!$J$12)</x:f>
        <x:v>5662.731514866521</x:v>
      </x:c>
      <x:c r="T15" s="58" t="str">
        <x:v>https://artificialanalysis.ai/models/gemini-3-1-pro-preview</x:v>
      </x:c>
      <x:c r="U15" s="58" t="str">
        <x:v>https://epoch.ai/models/gemini-3-1-pro</x:v>
      </x:c>
      <x:c r="V15" s="58" t="str">
        <x:v>Undisclosed physical count; regression equivalent only.</x:v>
      </x:c>
    </x:row>
  </x:sheetData>
  <x:mergeCells>
    <x:mergeCell ref="A1:V1"/>
    <x:mergeCell ref="A2:V3"/>
  </x:mergeCells>
  <x:conditionalFormatting sqref="I5:I15">
    <x:cfRule type="containsText" dxfId="0" priority="1" operator="containsText" text="cascade"/>
  </x:conditionalFormatting>
  <x:pageMargins left="0.7" right="0.7" top="0.75" bottom="0.75" header="0.3" footer="0.3"/>
  <x:tableParts count="1">
    <x:tablePart xmlns:r="http://schemas.openxmlformats.org/officeDocument/2006/relationships" r:id="R91083afe4d0f49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13" hidden="0" customWidth="1"/>
    <x:col min="4" max="4" width="13" hidden="0" customWidth="1"/>
    <x:col min="5" max="5" width="13" hidden="0" customWidth="1"/>
    <x:col min="6" max="6" width="2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44" hidden="0" customWidth="1"/>
    <x:col min="13" max="13" width="44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6" customHeight="1">
      <x:c r="A1" s="3" t="str">
        <x:v>Open-weight model parameter sizes: last 12 months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One canonical AA Intelligence Index v4.1 endpoint per checkpoint, released 2025-07-16 through 2026-07-16. Total and active parameters are separate for MoE models. Estimated-score rows receive half weight; models sharing a base lineage are clustered in validation and bootstrap.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</x:row>
    <x:row r="4" ht="34" customHeight="1">
      <x:c r="A4" s="11" t="str">
        <x:v>Release Date</x:v>
      </x:c>
      <x:c r="B4" s="11" t="str">
        <x:v>Model</x:v>
      </x:c>
      <x:c r="C4" s="11" t="str">
        <x:v>Total Params (B)</x:v>
      </x:c>
      <x:c r="D4" s="11" t="str">
        <x:v>Active Params (B)</x:v>
      </x:c>
      <x:c r="E4" s="11" t="str">
        <x:v>Total / Active</x:v>
      </x:c>
      <x:c r="F4" s="11" t="str">
        <x:v>Architecture</x:v>
      </x:c>
      <x:c r="G4" s="11" t="str">
        <x:v>Reasoning</x:v>
      </x:c>
      <x:c r="H4" s="11" t="str">
        <x:v>Lineage Cluster</x:v>
      </x:c>
      <x:c r="I4" s="11" t="str">
        <x:v>AA v4.1</x:v>
      </x:c>
      <x:c r="J4" s="11" t="str">
        <x:v>AA Score Estimated</x:v>
      </x:c>
      <x:c r="K4" s="11" t="str">
        <x:v>AA Output Tokens (M)</x:v>
      </x:c>
      <x:c r="L4" s="11" t="str">
        <x:v>Parameter Source</x:v>
      </x:c>
      <x:c r="M4" s="11" t="str">
        <x:v>AA Source</x:v>
      </x:c>
      <x:c r="N4" s="11" t="str">
        <x:v>Effective Scale (B)</x:v>
      </x:c>
      <x:c r="O4" s="11" t="str">
        <x:v>As-of Adjusted Score</x:v>
      </x:c>
      <x:c r="P4" s="11" t="str">
        <x:v>Fitted Score</x:v>
      </x:c>
      <x:c r="Q4" s="11" t="str">
        <x:v>Residual</x:v>
      </x:c>
    </x:row>
    <x:row r="5">
      <x:c r="A5" s="25" t="n">
        <x:v>45859</x:v>
      </x:c>
      <x:c r="B5" s="16" t="str">
        <x:v>Qwen3-235B-A22B-Instruct-2507</x:v>
      </x:c>
      <x:c r="C5" s="63" t="n">
        <x:v>235</x:v>
      </x:c>
      <x:c r="D5" s="63" t="n">
        <x:v>22</x:v>
      </x:c>
      <x:c r="E5" s="63" t="n">
        <x:f>C5/D5</x:f>
        <x:v>10.681818181818182</x:v>
      </x:c>
      <x:c r="F5" s="16" t="str">
        <x:v>MoE</x:v>
      </x:c>
      <x:c r="G5" s="16" t="str">
        <x:v>No</x:v>
      </x:c>
      <x:c r="H5" s="16" t="str">
        <x:v>qwen3_235</x:v>
      </x:c>
      <x:c r="I5" s="43" t="n">
        <x:v>18</x:v>
      </x:c>
      <x:c r="J5" s="16" t="str">
        <x:v>Yes</x:v>
      </x:c>
      <x:c r="K5" s="36"/>
      <x:c r="L5" s="54" t="str">
        <x:v>https://huggingface.co/Qwen/Qwen3-235B-A22B-Instruct-2507</x:v>
      </x:c>
      <x:c r="M5" s="54" t="str">
        <x:v>https://artificialanalysis.ai/models/qwen3-235b-a22b-instruct-2507</x:v>
      </x:c>
      <x:c r="N5" s="63" t="n">
        <x:f>D5*POWER(E5,'Regression Model'!$B$7)</x:f>
        <x:v>235</x:v>
      </x:c>
      <x:c r="O5" s="34" t="n">
        <x:f>I5+'Regression Model'!$B$12*('Regression Model'!$J$7-A5)/365.25</x:f>
        <x:v>36.38386872530721</x:v>
      </x:c>
      <x:c r="P5" s="34" t="n">
        <x:f>'Regression Model'!$B$8+'Regression Model'!$B$11*LOG(N5,2)+'Regression Model'!$B$12*((A5-'Regression Model'!$J$8)/365.25)+'Regression Model'!$B$13*IF(G5="Yes",1,0)+'Regression Model'!$B$14*IF(E5&gt;1.05,1,0)</x:f>
        <x:v>15.00005625031759</x:v>
      </x:c>
      <x:c r="Q5" s="34" t="n">
        <x:f>I5-P5</x:f>
        <x:v>2.9999437496824104</x:v>
      </x:c>
    </x:row>
    <x:row r="6">
      <x:c r="A6" s="26" t="n">
        <x:v>45860</x:v>
      </x:c>
      <x:c r="B6" s="17" t="str">
        <x:v>Qwen3-Coder-480B-A35B-Instruct</x:v>
      </x:c>
      <x:c r="C6" s="64" t="n">
        <x:v>480</x:v>
      </x:c>
      <x:c r="D6" s="64" t="n">
        <x:v>35</x:v>
      </x:c>
      <x:c r="E6" s="64" t="n">
        <x:f>C6/D6</x:f>
        <x:v>13.714285714285714</x:v>
      </x:c>
      <x:c r="F6" s="17" t="str">
        <x:v>MoE/coder</x:v>
      </x:c>
      <x:c r="G6" s="17" t="str">
        <x:v>No</x:v>
      </x:c>
      <x:c r="H6" s="17" t="str">
        <x:v>qwen3_coder</x:v>
      </x:c>
      <x:c r="I6" s="44" t="n">
        <x:v>18</x:v>
      </x:c>
      <x:c r="J6" s="17" t="str">
        <x:v>Yes</x:v>
      </x:c>
      <x:c r="K6" s="29"/>
      <x:c r="L6" s="56" t="str">
        <x:v>https://huggingface.co/Qwen/Qwen3-Coder-480B-A35B-Instruct</x:v>
      </x:c>
      <x:c r="M6" s="56" t="str">
        <x:v>https://artificialanalysis.ai/models/qwen3-coder-480b-a35b-instruct</x:v>
      </x:c>
      <x:c r="N6" s="64" t="n">
        <x:f>D6*POWER(E6,'Regression Model'!$B$7)</x:f>
        <x:v>480</x:v>
      </x:c>
      <x:c r="O6" s="30" t="n">
        <x:f>I6+'Regression Model'!$B$12*('Regression Model'!$J$7-A6)/365.25</x:f>
        <x:v>36.33280242329248</x:v>
      </x:c>
      <x:c r="P6" s="30" t="n">
        <x:f>'Regression Model'!$B$8+'Regression Model'!$B$11*LOG(N6,2)+'Regression Model'!$B$12*((A6-'Regression Model'!$J$8)/365.25)+'Regression Model'!$B$13*IF(G6="Yes",1,0)+'Regression Model'!$B$14*IF(E6&gt;1.05,1,0)</x:f>
        <x:v>17.96657219458384</x:v>
      </x:c>
      <x:c r="Q6" s="30" t="n">
        <x:f>I6-P6</x:f>
        <x:v>0.033427805416160083</x:v>
      </x:c>
    </x:row>
    <x:row r="7">
      <x:c r="A7" s="26" t="n">
        <x:v>45866</x:v>
      </x:c>
      <x:c r="B7" s="17" t="str">
        <x:v>GLM-4.5-Air</x:v>
      </x:c>
      <x:c r="C7" s="64" t="n">
        <x:v>106</x:v>
      </x:c>
      <x:c r="D7" s="64" t="n">
        <x:v>12</x:v>
      </x:c>
      <x:c r="E7" s="64" t="n">
        <x:f>C7/D7</x:f>
        <x:v>8.833333333333334</x:v>
      </x:c>
      <x:c r="F7" s="17" t="str">
        <x:v>MoE/hybrid-thinking</x:v>
      </x:c>
      <x:c r="G7" s="17" t="str">
        <x:v>Yes</x:v>
      </x:c>
      <x:c r="H7" s="17" t="str">
        <x:v>glm</x:v>
      </x:c>
      <x:c r="I7" s="44" t="n">
        <x:v>17</x:v>
      </x:c>
      <x:c r="J7" s="17" t="str">
        <x:v>Yes</x:v>
      </x:c>
      <x:c r="K7" s="29"/>
      <x:c r="L7" s="56" t="str">
        <x:v>https://huggingface.co/zai-org/GLM-4.5-Air-FP8</x:v>
      </x:c>
      <x:c r="M7" s="56" t="str">
        <x:v>https://artificialanalysis.ai/models/glm-4-5-air</x:v>
      </x:c>
      <x:c r="N7" s="64" t="n">
        <x:f>D7*POWER(E7,'Regression Model'!$B$7)</x:f>
        <x:v>106</x:v>
      </x:c>
      <x:c r="O7" s="30" t="n">
        <x:f>I7+'Regression Model'!$B$12*('Regression Model'!$J$7-A7)/365.25</x:f>
        <x:v>35.02640461120402</x:v>
      </x:c>
      <x:c r="P7" s="30" t="n">
        <x:f>'Regression Model'!$B$8+'Regression Model'!$B$11*LOG(N7,2)+'Regression Model'!$B$12*((A7-'Regression Model'!$J$8)/365.25)+'Regression Model'!$B$13*IF(G7="Yes",1,0)+'Regression Model'!$B$14*IF(E7&gt;1.05,1,0)</x:f>
        <x:v>18.107558338696897</x:v>
      </x:c>
      <x:c r="Q7" s="30" t="n">
        <x:f>I7-P7</x:f>
        <x:v>-1.1075583386968972</x:v>
      </x:c>
    </x:row>
    <x:row r="8">
      <x:c r="A8" s="26" t="n">
        <x:v>45866</x:v>
      </x:c>
      <x:c r="B8" s="17" t="str">
        <x:v>GLM-4.5</x:v>
      </x:c>
      <x:c r="C8" s="64" t="n">
        <x:v>355</x:v>
      </x:c>
      <x:c r="D8" s="64" t="n">
        <x:v>32</x:v>
      </x:c>
      <x:c r="E8" s="64" t="n">
        <x:f>C8/D8</x:f>
        <x:v>11.09375</x:v>
      </x:c>
      <x:c r="F8" s="17" t="str">
        <x:v>MoE/hybrid-thinking</x:v>
      </x:c>
      <x:c r="G8" s="17" t="str">
        <x:v>Yes</x:v>
      </x:c>
      <x:c r="H8" s="17" t="str">
        <x:v>glm</x:v>
      </x:c>
      <x:c r="I8" s="44" t="n">
        <x:v>19</x:v>
      </x:c>
      <x:c r="J8" s="17" t="str">
        <x:v>Yes</x:v>
      </x:c>
      <x:c r="K8" s="29"/>
      <x:c r="L8" s="56" t="str">
        <x:v>https://huggingface.co/zai-org/GLM-4.5-FP8</x:v>
      </x:c>
      <x:c r="M8" s="56" t="str">
        <x:v>https://artificialanalysis.ai/models/glm-4-5</x:v>
      </x:c>
      <x:c r="N8" s="64" t="n">
        <x:f>D8*POWER(E8,'Regression Model'!$B$7)</x:f>
        <x:v>355</x:v>
      </x:c>
      <x:c r="O8" s="30" t="n">
        <x:f>I8+'Regression Model'!$B$12*('Regression Model'!$J$7-A8)/365.25</x:f>
        <x:v>37.02640461120402</x:v>
      </x:c>
      <x:c r="P8" s="30" t="n">
        <x:f>'Regression Model'!$B$8+'Regression Model'!$B$11*LOG(N8,2)+'Regression Model'!$B$12*((A8-'Regression Model'!$J$8)/365.25)+'Regression Model'!$B$13*IF(G8="Yes",1,0)+'Regression Model'!$B$14*IF(E8&gt;1.05,1,0)</x:f>
        <x:v>23.041524958899792</x:v>
      </x:c>
      <x:c r="Q8" s="30" t="n">
        <x:f>I8-P8</x:f>
        <x:v>-4.041524958899792</x:v>
      </x:c>
    </x:row>
    <x:row r="9">
      <x:c r="A9" s="26" t="n">
        <x:v>45868</x:v>
      </x:c>
      <x:c r="B9" s="17" t="str">
        <x:v>Qwen3-30B-A3B-2507 Reasoning</x:v>
      </x:c>
      <x:c r="C9" s="64" t="n">
        <x:v>30.5</x:v>
      </x:c>
      <x:c r="D9" s="64" t="n">
        <x:v>3.3</x:v>
      </x:c>
      <x:c r="E9" s="64" t="n">
        <x:f>C9/D9</x:f>
        <x:v>9.242424242424242</x:v>
      </x:c>
      <x:c r="F9" s="17" t="str">
        <x:v>MoE</x:v>
      </x:c>
      <x:c r="G9" s="17" t="str">
        <x:v>Yes</x:v>
      </x:c>
      <x:c r="H9" s="17" t="str">
        <x:v>qwen3_30</x:v>
      </x:c>
      <x:c r="I9" s="44" t="n">
        <x:v>14</x:v>
      </x:c>
      <x:c r="J9" s="17" t="str">
        <x:v>No</x:v>
      </x:c>
      <x:c r="K9" s="29"/>
      <x:c r="L9" s="56" t="str">
        <x:v>https://huggingface.co/Qwen/Qwen3-30B-A3B-Thinking-2507</x:v>
      </x:c>
      <x:c r="M9" s="56" t="str">
        <x:v>https://artificialanalysis.ai/models/qwen3-30b-a3b-2507-reasoning</x:v>
      </x:c>
      <x:c r="N9" s="64" t="n">
        <x:f>D9*POWER(E9,'Regression Model'!$B$7)</x:f>
        <x:v>30.499999999999996</x:v>
      </x:c>
      <x:c r="O9" s="30" t="n">
        <x:f>I9+'Regression Model'!$B$12*('Regression Model'!$J$7-A9)/365.25</x:f>
        <x:v>31.924272007174533</x:v>
      </x:c>
      <x:c r="P9" s="30" t="n">
        <x:f>'Regression Model'!$B$8+'Regression Model'!$B$11*LOG(N9,2)+'Regression Model'!$B$12*((A9-'Regression Model'!$J$8)/365.25)+'Regression Model'!$B$13*IF(G9="Yes",1,0)+'Regression Model'!$B$14*IF(E9&gt;1.05,1,0)</x:f>
        <x:v>13.12454840207343</x:v>
      </x:c>
      <x:c r="Q9" s="30" t="n">
        <x:f>I9-P9</x:f>
        <x:v>0.8754515979265705</x:v>
      </x:c>
    </x:row>
    <x:row r="10">
      <x:c r="A10" s="26" t="n">
        <x:v>45874</x:v>
      </x:c>
      <x:c r="B10" s="17" t="str">
        <x:v>gpt-oss-20b (high)</x:v>
      </x:c>
      <x:c r="C10" s="64" t="n">
        <x:v>20.91</x:v>
      </x:c>
      <x:c r="D10" s="64" t="n">
        <x:v>3.61</x:v>
      </x:c>
      <x:c r="E10" s="64" t="n">
        <x:f>C10/D10</x:f>
        <x:v>5.792243767313019</x:v>
      </x:c>
      <x:c r="F10" s="17" t="str">
        <x:v>MoE</x:v>
      </x:c>
      <x:c r="G10" s="17" t="str">
        <x:v>Yes</x:v>
      </x:c>
      <x:c r="H10" s="17" t="str">
        <x:v>gpt_oss</x:v>
      </x:c>
      <x:c r="I10" s="44" t="n">
        <x:v>15</x:v>
      </x:c>
      <x:c r="J10" s="17" t="str">
        <x:v>No</x:v>
      </x:c>
      <x:c r="K10" s="29"/>
      <x:c r="L10" s="56" t="str">
        <x:v>https://openai.com/index/introducing-gpt-oss/</x:v>
      </x:c>
      <x:c r="M10" s="56" t="str">
        <x:v>https://artificialanalysis.ai/models/gpt-oss-20b</x:v>
      </x:c>
      <x:c r="N10" s="64" t="n">
        <x:f>D10*POWER(E10,'Regression Model'!$B$7)</x:f>
        <x:v>20.91</x:v>
      </x:c>
      <x:c r="O10" s="30" t="n">
        <x:f>I10+'Regression Model'!$B$12*('Regression Model'!$J$7-A10)/365.25</x:f>
        <x:v>32.61787419508608</x:v>
      </x:c>
      <x:c r="P10" s="30" t="n">
        <x:f>'Regression Model'!$B$8+'Regression Model'!$B$11*LOG(N10,2)+'Regression Model'!$B$12*((A10-'Regression Model'!$J$8)/365.25)+'Regression Model'!$B$13*IF(G10="Yes",1,0)+'Regression Model'!$B$14*IF(E10&gt;1.05,1,0)</x:f>
        <x:v>11.889950818171151</x:v>
      </x:c>
      <x:c r="Q10" s="30" t="n">
        <x:f>I10-P10</x:f>
        <x:v>3.110049181828849</x:v>
      </x:c>
    </x:row>
    <x:row r="11">
      <x:c r="A11" s="26" t="n">
        <x:v>45874</x:v>
      </x:c>
      <x:c r="B11" s="17" t="str">
        <x:v>gpt-oss-120b (high)</x:v>
      </x:c>
      <x:c r="C11" s="64" t="n">
        <x:v>116.83</x:v>
      </x:c>
      <x:c r="D11" s="64" t="n">
        <x:v>5.13</x:v>
      </x:c>
      <x:c r="E11" s="64" t="n">
        <x:f>C11/D11</x:f>
        <x:v>22.773879142300196</x:v>
      </x:c>
      <x:c r="F11" s="17" t="str">
        <x:v>MoE</x:v>
      </x:c>
      <x:c r="G11" s="17" t="str">
        <x:v>Yes</x:v>
      </x:c>
      <x:c r="H11" s="17" t="str">
        <x:v>gpt_oss</x:v>
      </x:c>
      <x:c r="I11" s="44" t="n">
        <x:v>24</x:v>
      </x:c>
      <x:c r="J11" s="17" t="str">
        <x:v>No</x:v>
      </x:c>
      <x:c r="K11" s="29"/>
      <x:c r="L11" s="56" t="str">
        <x:v>https://openai.com/index/introducing-gpt-oss/</x:v>
      </x:c>
      <x:c r="M11" s="56" t="str">
        <x:v>https://artificialanalysis.ai/models/gpt-oss-120b</x:v>
      </x:c>
      <x:c r="N11" s="64" t="n">
        <x:f>D11*POWER(E11,'Regression Model'!$B$7)</x:f>
        <x:v>116.83</x:v>
      </x:c>
      <x:c r="O11" s="30" t="n">
        <x:f>I11+'Regression Model'!$B$12*('Regression Model'!$J$7-A11)/365.25</x:f>
        <x:v>41.61787419508608</x:v>
      </x:c>
      <x:c r="P11" s="30" t="n">
        <x:f>'Regression Model'!$B$8+'Regression Model'!$B$11*LOG(N11,2)+'Regression Model'!$B$12*((A11-'Regression Model'!$J$8)/365.25)+'Regression Model'!$B$13*IF(G11="Yes",1,0)+'Regression Model'!$B$14*IF(E11&gt;1.05,1,0)</x:f>
        <x:v>18.913200233159227</x:v>
      </x:c>
      <x:c r="Q11" s="30" t="n">
        <x:f>I11-P11</x:f>
        <x:v>5.086799766840773</x:v>
      </x:c>
    </x:row>
    <x:row r="12">
      <x:c r="A12" s="26" t="n">
        <x:v>45889</x:v>
      </x:c>
      <x:c r="B12" s="17" t="str">
        <x:v>Seed-OSS-36B-Instruct</x:v>
      </x:c>
      <x:c r="C12" s="64" t="n">
        <x:v>36.2</x:v>
      </x:c>
      <x:c r="D12" s="64" t="n">
        <x:v>36.2</x:v>
      </x:c>
      <x:c r="E12" s="64" t="n">
        <x:f>C12/D12</x:f>
        <x:v>1</x:v>
      </x:c>
      <x:c r="F12" s="17" t="str">
        <x:v>dense</x:v>
      </x:c>
      <x:c r="G12" s="17" t="str">
        <x:v>Yes</x:v>
      </x:c>
      <x:c r="H12" s="17" t="str">
        <x:v>seed_oss</x:v>
      </x:c>
      <x:c r="I12" s="44" t="n">
        <x:v>18</x:v>
      </x:c>
      <x:c r="J12" s="17" t="str">
        <x:v>Yes</x:v>
      </x:c>
      <x:c r="K12" s="29"/>
      <x:c r="L12" s="56" t="str">
        <x:v>https://huggingface.co/ByteDance-Seed/Seed-OSS-36B-Instruct</x:v>
      </x:c>
      <x:c r="M12" s="56" t="str">
        <x:v>https://artificialanalysis.ai/models/seed-oss-36b-instruct</x:v>
      </x:c>
      <x:c r="N12" s="64" t="n">
        <x:f>D12*POWER(E12,'Regression Model'!$B$7)</x:f>
        <x:v>36.2</x:v>
      </x:c>
      <x:c r="O12" s="30" t="n">
        <x:f>I12+'Regression Model'!$B$12*('Regression Model'!$J$7-A12)/365.25</x:f>
        <x:v>34.851879664864946</x:v>
      </x:c>
      <x:c r="P12" s="30" t="n">
        <x:f>'Regression Model'!$B$8+'Regression Model'!$B$11*LOG(N12,2)+'Regression Model'!$B$12*((A12-'Regression Model'!$J$8)/365.25)+'Regression Model'!$B$13*IF(G12="Yes",1,0)+'Regression Model'!$B$14*IF(E12&gt;1.05,1,0)</x:f>
        <x:v>14.896339616530206</x:v>
      </x:c>
      <x:c r="Q12" s="30" t="n">
        <x:f>I12-P12</x:f>
        <x:v>3.1036603834697942</x:v>
      </x:c>
    </x:row>
    <x:row r="13">
      <x:c r="A13" s="26" t="n">
        <x:v>45890</x:v>
      </x:c>
      <x:c r="B13" s="17" t="str">
        <x:v>DeepSeek-V3.1 Reasoning</x:v>
      </x:c>
      <x:c r="C13" s="64" t="n">
        <x:v>671</x:v>
      </x:c>
      <x:c r="D13" s="64" t="n">
        <x:v>37</x:v>
      </x:c>
      <x:c r="E13" s="64" t="n">
        <x:f>C13/D13</x:f>
        <x:v>18.135135135135137</x:v>
      </x:c>
      <x:c r="F13" s="17" t="str">
        <x:v>MoE</x:v>
      </x:c>
      <x:c r="G13" s="17" t="str">
        <x:v>Yes</x:v>
      </x:c>
      <x:c r="H13" s="17" t="str">
        <x:v>deepseek_v3</x:v>
      </x:c>
      <x:c r="I13" s="44" t="n">
        <x:v>21</x:v>
      </x:c>
      <x:c r="J13" s="17" t="str">
        <x:v>Yes</x:v>
      </x:c>
      <x:c r="K13" s="29"/>
      <x:c r="L13" s="56" t="str">
        <x:v>https://huggingface.co/deepseek-ai/DeepSeek-V3.1</x:v>
      </x:c>
      <x:c r="M13" s="56" t="str">
        <x:v>https://artificialanalysis.ai/models/deepseek-v3-1-reasoning</x:v>
      </x:c>
      <x:c r="N13" s="64" t="n">
        <x:f>D13*POWER(E13,'Regression Model'!$B$7)</x:f>
        <x:v>671.0000000000001</x:v>
      </x:c>
      <x:c r="O13" s="30" t="n">
        <x:f>I13+'Regression Model'!$B$12*('Regression Model'!$J$7-A13)/365.25</x:f>
        <x:v>37.80081336285021</x:v>
      </x:c>
      <x:c r="P13" s="30" t="n">
        <x:f>'Regression Model'!$B$8+'Regression Model'!$B$11*LOG(N13,2)+'Regression Model'!$B$12*((A13-'Regression Model'!$J$8)/365.25)+'Regression Model'!$B$13*IF(G13="Yes",1,0)+'Regression Model'!$B$14*IF(E13&gt;1.05,1,0)</x:f>
        <x:v>26.866000848228826</x:v>
      </x:c>
      <x:c r="Q13" s="30" t="n">
        <x:f>I13-P13</x:f>
        <x:v>-5.8660008482288255</x:v>
      </x:c>
    </x:row>
    <x:row r="14">
      <x:c r="A14" s="26" t="n">
        <x:v>45930</x:v>
      </x:c>
      <x:c r="B14" s="17" t="str">
        <x:v>GLM-4.6 Reasoning</x:v>
      </x:c>
      <x:c r="C14" s="64" t="n">
        <x:v>357</x:v>
      </x:c>
      <x:c r="D14" s="64" t="n">
        <x:v>32</x:v>
      </x:c>
      <x:c r="E14" s="64" t="n">
        <x:f>C14/D14</x:f>
        <x:v>11.15625</x:v>
      </x:c>
      <x:c r="F14" s="17" t="str">
        <x:v>MoE</x:v>
      </x:c>
      <x:c r="G14" s="17" t="str">
        <x:v>Yes</x:v>
      </x:c>
      <x:c r="H14" s="17" t="str">
        <x:v>glm</x:v>
      </x:c>
      <x:c r="I14" s="44" t="n">
        <x:v>29</x:v>
      </x:c>
      <x:c r="J14" s="17" t="str">
        <x:v>No</x:v>
      </x:c>
      <x:c r="K14" s="29"/>
      <x:c r="L14" s="56" t="str">
        <x:v>https://huggingface.co/zai-org/GLM-4.6</x:v>
      </x:c>
      <x:c r="M14" s="56" t="str">
        <x:v>https://artificialanalysis.ai/models/glm-4-6-reasoning</x:v>
      </x:c>
      <x:c r="N14" s="64" t="n">
        <x:f>D14*POWER(E14,'Regression Model'!$B$7)</x:f>
        <x:v>357</x:v>
      </x:c>
      <x:c r="O14" s="30" t="n">
        <x:f>I14+'Regression Model'!$B$12*('Regression Model'!$J$7-A14)/365.25</x:f>
        <x:v>43.75816128226052</x:v>
      </x:c>
      <x:c r="P14" s="30" t="n">
        <x:f>'Regression Model'!$B$8+'Regression Model'!$B$11*LOG(N14,2)+'Regression Model'!$B$12*((A14-'Regression Model'!$J$8)/365.25)+'Regression Model'!$B$13*IF(G14="Yes",1,0)+'Regression Model'!$B$14*IF(E14&gt;1.05,1,0)</x:f>
        <x:v>26.332701584018636</x:v>
      </x:c>
      <x:c r="Q14" s="30" t="n">
        <x:f>I14-P14</x:f>
        <x:v>2.6672984159813637</x:v>
      </x:c>
    </x:row>
    <x:row r="15">
      <x:c r="A15" s="26" t="n">
        <x:v>45956</x:v>
      </x:c>
      <x:c r="B15" s="17" t="str">
        <x:v>MiniMax-M2</x:v>
      </x:c>
      <x:c r="C15" s="64" t="n">
        <x:v>230</x:v>
      </x:c>
      <x:c r="D15" s="64" t="n">
        <x:v>10</x:v>
      </x:c>
      <x:c r="E15" s="64" t="n">
        <x:f>C15/D15</x:f>
        <x:v>23</x:v>
      </x:c>
      <x:c r="F15" s="17" t="str">
        <x:v>MoE</x:v>
      </x:c>
      <x:c r="G15" s="17" t="str">
        <x:v>Yes</x:v>
      </x:c>
      <x:c r="H15" s="17" t="str">
        <x:v>minimax_m2</x:v>
      </x:c>
      <x:c r="I15" s="44" t="n">
        <x:v>28</x:v>
      </x:c>
      <x:c r="J15" s="17" t="str">
        <x:v>Yes</x:v>
      </x:c>
      <x:c r="K15" s="29"/>
      <x:c r="L15" s="56" t="str">
        <x:v>https://huggingface.co/MiniMaxAI/MiniMax-M2</x:v>
      </x:c>
      <x:c r="M15" s="56" t="str">
        <x:v>https://artificialanalysis.ai/models/minimax-m2</x:v>
      </x:c>
      <x:c r="N15" s="64" t="n">
        <x:f>D15*POWER(E15,'Regression Model'!$B$7)</x:f>
        <x:v>230</x:v>
      </x:c>
      <x:c r="O15" s="30" t="n">
        <x:f>I15+'Regression Model'!$B$12*('Regression Model'!$J$7-A15)/365.25</x:f>
        <x:v>41.430437429877216</x:v>
      </x:c>
      <x:c r="P15" s="30" t="n">
        <x:f>'Regression Model'!$B$8+'Regression Model'!$B$11*LOG(N15,2)+'Regression Model'!$B$12*((A15-'Regression Model'!$J$8)/365.25)+'Regression Model'!$B$13*IF(G15="Yes",1,0)+'Regression Model'!$B$14*IF(E15&gt;1.05,1,0)</x:f>
        <x:v>25.865696721689446</x:v>
      </x:c>
      <x:c r="Q15" s="30" t="n">
        <x:f>I15-P15</x:f>
        <x:v>2.134303278310554</x:v>
      </x:c>
    </x:row>
    <x:row r="16">
      <x:c r="A16" s="26" t="n">
        <x:v>45967</x:v>
      </x:c>
      <x:c r="B16" s="17" t="str">
        <x:v>Kimi K2 Thinking</x:v>
      </x:c>
      <x:c r="C16" s="64" t="n">
        <x:v>1000</x:v>
      </x:c>
      <x:c r="D16" s="64" t="n">
        <x:v>32</x:v>
      </x:c>
      <x:c r="E16" s="64" t="n">
        <x:f>C16/D16</x:f>
        <x:v>31.25</x:v>
      </x:c>
      <x:c r="F16" s="17" t="str">
        <x:v>MoE</x:v>
      </x:c>
      <x:c r="G16" s="17" t="str">
        <x:v>Yes</x:v>
      </x:c>
      <x:c r="H16" s="17" t="str">
        <x:v>kimi_k2</x:v>
      </x:c>
      <x:c r="I16" s="44" t="n">
        <x:v>33</x:v>
      </x:c>
      <x:c r="J16" s="17" t="str">
        <x:v>Yes</x:v>
      </x:c>
      <x:c r="K16" s="29"/>
      <x:c r="L16" s="56" t="str">
        <x:v>https://huggingface.co/moonshotai/Kimi-K2-Thinking</x:v>
      </x:c>
      <x:c r="M16" s="56" t="str">
        <x:v>https://artificialanalysis.ai/models/kimi-k2-thinking</x:v>
      </x:c>
      <x:c r="N16" s="64" t="n">
        <x:f>D16*POWER(E16,'Regression Model'!$B$7)</x:f>
        <x:v>1000</x:v>
      </x:c>
      <x:c r="O16" s="30" t="n">
        <x:f>I16+'Regression Model'!$B$12*('Regression Model'!$J$7-A16)/365.25</x:f>
        <x:v>45.86870810771505</x:v>
      </x:c>
      <x:c r="P16" s="30" t="n">
        <x:f>'Regression Model'!$B$8+'Regression Model'!$B$11*LOG(N16,2)+'Regression Model'!$B$12*((A16-'Regression Model'!$J$8)/365.25)+'Regression Model'!$B$13*IF(G16="Yes",1,0)+'Regression Model'!$B$14*IF(E16&gt;1.05,1,0)</x:f>
        <x:v>32.42681381051135</x:v>
      </x:c>
      <x:c r="Q16" s="30" t="n">
        <x:f>I16-P16</x:f>
        <x:v>0.5731861894886521</x:v>
      </x:c>
    </x:row>
    <x:row r="17">
      <x:c r="A17" s="26" t="n">
        <x:v>45981</x:v>
      </x:c>
      <x:c r="B17" s="17" t="str">
        <x:v>OLMo 3 32B Think</x:v>
      </x:c>
      <x:c r="C17" s="64" t="n">
        <x:v>32.2</x:v>
      </x:c>
      <x:c r="D17" s="64" t="n">
        <x:v>32.2</x:v>
      </x:c>
      <x:c r="E17" s="64" t="n">
        <x:f>C17/D17</x:f>
        <x:v>1</x:v>
      </x:c>
      <x:c r="F17" s="17" t="str">
        <x:v>dense</x:v>
      </x:c>
      <x:c r="G17" s="17" t="str">
        <x:v>Yes</x:v>
      </x:c>
      <x:c r="H17" s="17" t="str">
        <x:v>olmo3</x:v>
      </x:c>
      <x:c r="I17" s="44" t="n">
        <x:v>6</x:v>
      </x:c>
      <x:c r="J17" s="17" t="str">
        <x:v>Yes</x:v>
      </x:c>
      <x:c r="K17" s="29"/>
      <x:c r="L17" s="56" t="str">
        <x:v>https://allenai.org/blog/olmo3</x:v>
      </x:c>
      <x:c r="M17" s="56" t="str">
        <x:v>https://artificialanalysis.ai/models/olmo-3-32b-think</x:v>
      </x:c>
      <x:c r="N17" s="64" t="n">
        <x:f>D17*POWER(E17,'Regression Model'!$B$7)</x:f>
        <x:v>32.2</x:v>
      </x:c>
      <x:c r="O17" s="30" t="n">
        <x:f>I17+'Regression Model'!$B$12*('Regression Model'!$J$7-A17)/365.25</x:f>
        <x:v>18.15377987950866</x:v>
      </x:c>
      <x:c r="P17" s="30" t="n">
        <x:f>'Regression Model'!$B$8+'Regression Model'!$B$11*LOG(N17,2)+'Regression Model'!$B$12*((A17-'Regression Model'!$J$8)/365.25)+'Regression Model'!$B$13*IF(G17="Yes",1,0)+'Regression Model'!$B$14*IF(E17&gt;1.05,1,0)</x:f>
        <x:v>19.116453557410992</x:v>
      </x:c>
      <x:c r="Q17" s="30" t="n">
        <x:f>I17-P17</x:f>
        <x:v>-13.116453557410992</x:v>
      </x:c>
    </x:row>
    <x:row r="18">
      <x:c r="A18" s="26" t="n">
        <x:v>45992</x:v>
      </x:c>
      <x:c r="B18" s="17" t="str">
        <x:v>DeepSeek-V3.2 Reasoning</x:v>
      </x:c>
      <x:c r="C18" s="64" t="n">
        <x:v>671</x:v>
      </x:c>
      <x:c r="D18" s="64" t="n">
        <x:v>37</x:v>
      </x:c>
      <x:c r="E18" s="64" t="n">
        <x:f>C18/D18</x:f>
        <x:v>18.135135135135137</x:v>
      </x:c>
      <x:c r="F18" s="17" t="str">
        <x:v>MoE/DSA</x:v>
      </x:c>
      <x:c r="G18" s="17" t="str">
        <x:v>Yes</x:v>
      </x:c>
      <x:c r="H18" s="17" t="str">
        <x:v>deepseek_v3</x:v>
      </x:c>
      <x:c r="I18" s="44" t="n">
        <x:v>32</x:v>
      </x:c>
      <x:c r="J18" s="17" t="str">
        <x:v>No</x:v>
      </x:c>
      <x:c r="K18" s="29"/>
      <x:c r="L18" s="56" t="str">
        <x:v>https://huggingface.co/deepseek-ai/DeepSeek-V3.2</x:v>
      </x:c>
      <x:c r="M18" s="56" t="str">
        <x:v>https://artificialanalysis.ai/models/deepseek-v3-2-reasoning</x:v>
      </x:c>
      <x:c r="N18" s="64" t="n">
        <x:f>D18*POWER(E18,'Regression Model'!$B$7)</x:f>
        <x:v>671.0000000000001</x:v>
      </x:c>
      <x:c r="O18" s="30" t="n">
        <x:f>I18+'Regression Model'!$B$12*('Regression Model'!$J$7-A18)/365.25</x:f>
        <x:v>43.5920505573465</x:v>
      </x:c>
      <x:c r="P18" s="30" t="n">
        <x:f>'Regression Model'!$B$8+'Regression Model'!$B$11*LOG(N18,2)+'Regression Model'!$B$12*((A18-'Regression Model'!$J$8)/365.25)+'Regression Model'!$B$13*IF(G18="Yes",1,0)+'Regression Model'!$B$14*IF(E18&gt;1.05,1,0)</x:f>
        <x:v>32.07476365373253</x:v>
      </x:c>
      <x:c r="Q18" s="30" t="n">
        <x:f>I18-P18</x:f>
        <x:v>-0.07476365373253202</x:v>
      </x:c>
    </x:row>
    <x:row r="19">
      <x:c r="A19" s="26" t="n">
        <x:v>45993</x:v>
      </x:c>
      <x:c r="B19" s="17" t="str">
        <x:v>Mistral Large 3</x:v>
      </x:c>
      <x:c r="C19" s="64" t="n">
        <x:v>675</x:v>
      </x:c>
      <x:c r="D19" s="64" t="n">
        <x:v>41</x:v>
      </x:c>
      <x:c r="E19" s="64" t="n">
        <x:f>C19/D19</x:f>
        <x:v>16.463414634146343</x:v>
      </x:c>
      <x:c r="F19" s="17" t="str">
        <x:v>MoE/multimodal</x:v>
      </x:c>
      <x:c r="G19" s="17" t="str">
        <x:v>No</x:v>
      </x:c>
      <x:c r="H19" s="17" t="str">
        <x:v>mistral_large3</x:v>
      </x:c>
      <x:c r="I19" s="44" t="n">
        <x:v>16</x:v>
      </x:c>
      <x:c r="J19" s="17" t="str">
        <x:v>No</x:v>
      </x:c>
      <x:c r="K19" s="29"/>
      <x:c r="L19" s="56" t="str">
        <x:v>https://mistral.ai/news/mistral-3/</x:v>
      </x:c>
      <x:c r="M19" s="56" t="str">
        <x:v>https://artificialanalysis.ai/models/mistral-large-3</x:v>
      </x:c>
      <x:c r="N19" s="64" t="n">
        <x:f>D19*POWER(E19,'Regression Model'!$B$7)</x:f>
        <x:v>675</x:v>
      </x:c>
      <x:c r="O19" s="30" t="n">
        <x:f>I19+'Regression Model'!$B$12*('Regression Model'!$J$7-A19)/365.25</x:f>
        <x:v>27.54098425533175</x:v>
      </x:c>
      <x:c r="P19" s="30" t="n">
        <x:f>'Regression Model'!$B$8+'Regression Model'!$B$11*LOG(N19,2)+'Regression Model'!$B$12*((A19-'Regression Model'!$J$8)/365.25)+'Regression Model'!$B$13*IF(G19="Yes",1,0)+'Regression Model'!$B$14*IF(E19&gt;1.05,1,0)</x:f>
        <x:v>26.15009223211953</x:v>
      </x:c>
      <x:c r="Q19" s="30" t="n">
        <x:f>I19-P19</x:f>
        <x:v>-10.15009223211953</x:v>
      </x:c>
    </x:row>
    <x:row r="20">
      <x:c r="A20" s="26" t="n">
        <x:v>46003</x:v>
      </x:c>
      <x:c r="B20" s="17" t="str">
        <x:v>OLMo 3.1 32B Think</x:v>
      </x:c>
      <x:c r="C20" s="64" t="n">
        <x:v>32.2</x:v>
      </x:c>
      <x:c r="D20" s="64" t="n">
        <x:v>32.2</x:v>
      </x:c>
      <x:c r="E20" s="64" t="n">
        <x:f>C20/D20</x:f>
        <x:v>1</x:v>
      </x:c>
      <x:c r="F20" s="17" t="str">
        <x:v>dense</x:v>
      </x:c>
      <x:c r="G20" s="17" t="str">
        <x:v>Yes</x:v>
      </x:c>
      <x:c r="H20" s="17" t="str">
        <x:v>olmo3</x:v>
      </x:c>
      <x:c r="I20" s="44" t="n">
        <x:v>8</x:v>
      </x:c>
      <x:c r="J20" s="17" t="str">
        <x:v>Yes</x:v>
      </x:c>
      <x:c r="K20" s="29"/>
      <x:c r="L20" s="56" t="str">
        <x:v>https://huggingface.co/allenai/Olmo-3.1-32B-Think</x:v>
      </x:c>
      <x:c r="M20" s="56" t="str">
        <x:v>https://artificialanalysis.ai/models/olmo-3-1-32b-think</x:v>
      </x:c>
      <x:c r="N20" s="64" t="n">
        <x:f>D20*POWER(E20,'Regression Model'!$B$7)</x:f>
        <x:v>32.2</x:v>
      </x:c>
      <x:c r="O20" s="30" t="n">
        <x:f>I20+'Regression Model'!$B$12*('Regression Model'!$J$7-A20)/365.25</x:f>
        <x:v>19.03032123518433</x:v>
      </x:c>
      <x:c r="P20" s="30" t="n">
        <x:f>'Regression Model'!$B$8+'Regression Model'!$B$11*LOG(N20,2)+'Regression Model'!$B$12*((A20-'Regression Model'!$J$8)/365.25)+'Regression Model'!$B$13*IF(G20="Yes",1,0)+'Regression Model'!$B$14*IF(E20&gt;1.05,1,0)</x:f>
        <x:v>20.239912201735322</x:v>
      </x:c>
      <x:c r="Q20" s="30" t="n">
        <x:f>I20-P20</x:f>
        <x:v>-12.239912201735322</x:v>
      </x:c>
    </x:row>
    <x:row r="21">
      <x:c r="A21" s="26" t="n">
        <x:v>46006</x:v>
      </x:c>
      <x:c r="B21" s="17" t="str">
        <x:v>Nemotron 3 Nano 30B A3B Reasoning</x:v>
      </x:c>
      <x:c r="C21" s="64" t="n">
        <x:v>31.6</x:v>
      </x:c>
      <x:c r="D21" s="64" t="n">
        <x:v>3.6</x:v>
      </x:c>
      <x:c r="E21" s="64" t="n">
        <x:f>C21/D21</x:f>
        <x:v>8.777777777777779</x:v>
      </x:c>
      <x:c r="F21" s="17" t="str">
        <x:v>MoE/Mamba-hybrid</x:v>
      </x:c>
      <x:c r="G21" s="17" t="str">
        <x:v>Yes</x:v>
      </x:c>
      <x:c r="H21" s="17" t="str">
        <x:v>nemotron3</x:v>
      </x:c>
      <x:c r="I21" s="44" t="n">
        <x:v>14</x:v>
      </x:c>
      <x:c r="J21" s="17" t="str">
        <x:v>No</x:v>
      </x:c>
      <x:c r="K21" s="29"/>
      <x:c r="L21" s="56" t="str">
        <x:v>https://huggingface.co/nvidia/NVIDIA-Nemotron-3-Nano-30B-A3B-BF16</x:v>
      </x:c>
      <x:c r="M21" s="56" t="str">
        <x:v>https://artificialanalysis.ai/models/nvidia-nemotron-3-nano-30b-a3b-reasoning</x:v>
      </x:c>
      <x:c r="N21" s="64" t="n">
        <x:f>D21*POWER(E21,'Regression Model'!$B$7)</x:f>
        <x:v>31.600000000000005</x:v>
      </x:c>
      <x:c r="O21" s="30" t="n">
        <x:f>I21+'Regression Model'!$B$12*('Regression Model'!$J$7-A21)/365.25</x:f>
        <x:v>24.877122329140104</x:v>
      </x:c>
      <x:c r="P21" s="30" t="n">
        <x:f>'Regression Model'!$B$8+'Regression Model'!$B$11*LOG(N21,2)+'Regression Model'!$B$12*((A21-'Regression Model'!$J$8)/365.25)+'Regression Model'!$B$13*IF(G21="Yes",1,0)+'Regression Model'!$B$14*IF(E21&gt;1.05,1,0)</x:f>
        <x:v>20.31632923317332</x:v>
      </x:c>
      <x:c r="Q21" s="30" t="n">
        <x:f>I21-P21</x:f>
        <x:v>-6.31632923317332</x:v>
      </x:c>
    </x:row>
    <x:row r="22">
      <x:c r="A22" s="26" t="n">
        <x:v>46007</x:v>
      </x:c>
      <x:c r="B22" s="17" t="str">
        <x:v>MiMo-V2-Flash Reasoning</x:v>
      </x:c>
      <x:c r="C22" s="64" t="n">
        <x:v>309</x:v>
      </x:c>
      <x:c r="D22" s="64" t="n">
        <x:v>15</x:v>
      </x:c>
      <x:c r="E22" s="64" t="n">
        <x:f>C22/D22</x:f>
        <x:v>20.6</x:v>
      </x:c>
      <x:c r="F22" s="17" t="str">
        <x:v>MoE</x:v>
      </x:c>
      <x:c r="G22" s="17" t="str">
        <x:v>Yes</x:v>
      </x:c>
      <x:c r="H22" s="17" t="str">
        <x:v>mimo_v2</x:v>
      </x:c>
      <x:c r="I22" s="44" t="n">
        <x:v>31</x:v>
      </x:c>
      <x:c r="J22" s="17" t="str">
        <x:v>No</x:v>
      </x:c>
      <x:c r="K22" s="29"/>
      <x:c r="L22" s="56" t="str">
        <x:v>https://huggingface.co/XiaomiMiMo/MiMo-V2-Flash</x:v>
      </x:c>
      <x:c r="M22" s="56" t="str">
        <x:v>https://artificialanalysis.ai/models/mimo-v2-flash-reasoning</x:v>
      </x:c>
      <x:c r="N22" s="64" t="n">
        <x:f>D22*POWER(E22,'Regression Model'!$B$7)</x:f>
        <x:v>309</x:v>
      </x:c>
      <x:c r="O22" s="30" t="n">
        <x:f>I22+'Regression Model'!$B$12*('Regression Model'!$J$7-A22)/365.25</x:f>
        <x:v>41.82605602712536</x:v>
      </x:c>
      <x:c r="P22" s="30" t="n">
        <x:f>'Regression Model'!$B$8+'Regression Model'!$B$11*LOG(N22,2)+'Regression Model'!$B$12*((A22-'Regression Model'!$J$8)/365.25)+'Regression Model'!$B$13*IF(G22="Yes",1,0)+'Regression Model'!$B$14*IF(E22&gt;1.05,1,0)</x:f>
        <x:v>29.675371722971974</x:v>
      </x:c>
      <x:c r="Q22" s="30" t="n">
        <x:f>I22-P22</x:f>
        <x:v>1.324628277028026</x:v>
      </x:c>
    </x:row>
    <x:row r="23">
      <x:c r="A23" s="26" t="n">
        <x:v>46013</x:v>
      </x:c>
      <x:c r="B23" s="17" t="str">
        <x:v>GLM-4.7 Reasoning</x:v>
      </x:c>
      <x:c r="C23" s="64" t="n">
        <x:v>358</x:v>
      </x:c>
      <x:c r="D23" s="64" t="n">
        <x:v>32</x:v>
      </x:c>
      <x:c r="E23" s="64" t="n">
        <x:f>C23/D23</x:f>
        <x:v>11.1875</x:v>
      </x:c>
      <x:c r="F23" s="17" t="str">
        <x:v>MoE</x:v>
      </x:c>
      <x:c r="G23" s="17" t="str">
        <x:v>Yes</x:v>
      </x:c>
      <x:c r="H23" s="17" t="str">
        <x:v>glm</x:v>
      </x:c>
      <x:c r="I23" s="44" t="n">
        <x:v>34</x:v>
      </x:c>
      <x:c r="J23" s="17" t="str">
        <x:v>No</x:v>
      </x:c>
      <x:c r="K23" s="29"/>
      <x:c r="L23" s="56" t="str">
        <x:v>https://huggingface.co/zai-org/GLM-4.7</x:v>
      </x:c>
      <x:c r="M23" s="56" t="str">
        <x:v>https://artificialanalysis.ai/models/glm-4-7</x:v>
      </x:c>
      <x:c r="N23" s="64" t="n">
        <x:f>D23*POWER(E23,'Regression Model'!$B$7)</x:f>
        <x:v>358</x:v>
      </x:c>
      <x:c r="O23" s="30" t="n">
        <x:f>I23+'Regression Model'!$B$12*('Regression Model'!$J$7-A23)/365.25</x:f>
        <x:v>44.519658215036905</x:v>
      </x:c>
      <x:c r="P23" s="30" t="n">
        <x:f>'Regression Model'!$B$8+'Regression Model'!$B$11*LOG(N23,2)+'Regression Model'!$B$12*((A23-'Regression Model'!$J$8)/365.25)+'Regression Model'!$B$13*IF(G23="Yes",1,0)+'Regression Model'!$B$14*IF(E23&gt;1.05,1,0)</x:f>
        <x:v>30.582623164932556</x:v>
      </x:c>
      <x:c r="Q23" s="30" t="n">
        <x:f>I23-P23</x:f>
        <x:v>3.4173768350674436</x:v>
      </x:c>
    </x:row>
    <x:row r="24">
      <x:c r="A24" s="26" t="n">
        <x:v>46014</x:v>
      </x:c>
      <x:c r="B24" s="17" t="str">
        <x:v>MiniMax-M2.1</x:v>
      </x:c>
      <x:c r="C24" s="64" t="n">
        <x:v>230</x:v>
      </x:c>
      <x:c r="D24" s="64" t="n">
        <x:v>10</x:v>
      </x:c>
      <x:c r="E24" s="64" t="n">
        <x:f>C24/D24</x:f>
        <x:v>23</x:v>
      </x:c>
      <x:c r="F24" s="17" t="str">
        <x:v>MoE</x:v>
      </x:c>
      <x:c r="G24" s="17" t="str">
        <x:v>Yes</x:v>
      </x:c>
      <x:c r="H24" s="17" t="str">
        <x:v>minimax_m2</x:v>
      </x:c>
      <x:c r="I24" s="44" t="n">
        <x:v>31</x:v>
      </x:c>
      <x:c r="J24" s="17" t="str">
        <x:v>Yes</x:v>
      </x:c>
      <x:c r="K24" s="29"/>
      <x:c r="L24" s="56" t="str">
        <x:v>https://huggingface.co/MiniMaxAI/MiniMax-M2.1</x:v>
      </x:c>
      <x:c r="M24" s="56" t="str">
        <x:v>https://artificialanalysis.ai/models/minimax-m2-1</x:v>
      </x:c>
      <x:c r="N24" s="64" t="n">
        <x:f>D24*POWER(E24,'Regression Model'!$B$7)</x:f>
        <x:v>230</x:v>
      </x:c>
      <x:c r="O24" s="30" t="n">
        <x:f>I24+'Regression Model'!$B$12*('Regression Model'!$J$7-A24)/365.25</x:f>
        <x:v>41.468591913022166</x:v>
      </x:c>
      <x:c r="P24" s="30" t="n">
        <x:f>'Regression Model'!$B$8+'Regression Model'!$B$11*LOG(N24,2)+'Regression Model'!$B$12*((A24-'Regression Model'!$J$8)/365.25)+'Regression Model'!$B$13*IF(G24="Yes",1,0)+'Regression Model'!$B$14*IF(E24&gt;1.05,1,0)</x:f>
        <x:v>28.8275422385445</x:v>
      </x:c>
      <x:c r="Q24" s="30" t="n">
        <x:f>I24-P24</x:f>
        <x:v>2.172457761455501</x:v>
      </x:c>
    </x:row>
    <x:row r="25">
      <x:c r="A25" s="26" t="n">
        <x:v>46022</x:v>
      </x:c>
      <x:c r="B25" s="17" t="str">
        <x:v>K-EXAONE</x:v>
      </x:c>
      <x:c r="C25" s="64" t="n">
        <x:v>236</x:v>
      </x:c>
      <x:c r="D25" s="64" t="n">
        <x:v>23</x:v>
      </x:c>
      <x:c r="E25" s="64" t="n">
        <x:f>C25/D25</x:f>
        <x:v>10.26086956521739</x:v>
      </x:c>
      <x:c r="F25" s="17" t="str">
        <x:v>MoE</x:v>
      </x:c>
      <x:c r="G25" s="17" t="str">
        <x:v>Yes</x:v>
      </x:c>
      <x:c r="H25" s="17" t="str">
        <x:v>k_exaone</x:v>
      </x:c>
      <x:c r="I25" s="44" t="n">
        <x:v>25</x:v>
      </x:c>
      <x:c r="J25" s="17" t="str">
        <x:v>Yes</x:v>
      </x:c>
      <x:c r="K25" s="29"/>
      <x:c r="L25" s="56" t="str">
        <x:v>https://huggingface.co/LGAI-EXAONE/K-EXAONE-236B-A23B</x:v>
      </x:c>
      <x:c r="M25" s="56" t="str">
        <x:v>https://artificialanalysis.ai/models/k-exaone</x:v>
      </x:c>
      <x:c r="N25" s="64" t="n">
        <x:f>D25*POWER(E25,'Regression Model'!$B$7)</x:f>
        <x:v>236</x:v>
      </x:c>
      <x:c r="O25" s="30" t="n">
        <x:f>I25+'Regression Model'!$B$12*('Regression Model'!$J$7-A25)/365.25</x:f>
        <x:v>35.060061496904225</x:v>
      </x:c>
      <x:c r="P25" s="30" t="n">
        <x:f>'Regression Model'!$B$8+'Regression Model'!$B$11*LOG(N25,2)+'Regression Model'!$B$12*((A25-'Regression Model'!$J$8)/365.25)+'Regression Model'!$B$13*IF(G25="Yes",1,0)+'Regression Model'!$B$14*IF(E25&gt;1.05,1,0)</x:f>
        <x:v>29.341197330594632</x:v>
      </x:c>
      <x:c r="Q25" s="30" t="n">
        <x:f>I25-P25</x:f>
        <x:v>-4.341197330594632</x:v>
      </x:c>
    </x:row>
    <x:row r="26">
      <x:c r="A26" s="26" t="n">
        <x:v>46049</x:v>
      </x:c>
      <x:c r="B26" s="17" t="str">
        <x:v>Kimi K2.5 Reasoning</x:v>
      </x:c>
      <x:c r="C26" s="64" t="n">
        <x:v>1000</x:v>
      </x:c>
      <x:c r="D26" s="64" t="n">
        <x:v>32</x:v>
      </x:c>
      <x:c r="E26" s="64" t="n">
        <x:f>C26/D26</x:f>
        <x:v>31.25</x:v>
      </x:c>
      <x:c r="F26" s="17" t="str">
        <x:v>MoE/multimodal</x:v>
      </x:c>
      <x:c r="G26" s="17" t="str">
        <x:v>Yes</x:v>
      </x:c>
      <x:c r="H26" s="17" t="str">
        <x:v>kimi_k2</x:v>
      </x:c>
      <x:c r="I26" s="44" t="n">
        <x:v>35</x:v>
      </x:c>
      <x:c r="J26" s="17" t="str">
        <x:v>No</x:v>
      </x:c>
      <x:c r="K26" s="29"/>
      <x:c r="L26" s="56" t="str">
        <x:v>https://huggingface.co/moonshotai/Kimi-K2.5</x:v>
      </x:c>
      <x:c r="M26" s="56" t="str">
        <x:v>https://artificialanalysis.ai/models/kimi-k2-5</x:v>
      </x:c>
      <x:c r="N26" s="64" t="n">
        <x:f>D26*POWER(E26,'Regression Model'!$B$7)</x:f>
        <x:v>1000</x:v>
      </x:c>
      <x:c r="O26" s="30" t="n">
        <x:f>I26+'Regression Model'!$B$12*('Regression Model'!$J$7-A26)/365.25</x:f>
        <x:v>43.681271342506186</x:v>
      </x:c>
      <x:c r="P26" s="30" t="n">
        <x:f>'Regression Model'!$B$8+'Regression Model'!$B$11*LOG(N26,2)+'Regression Model'!$B$12*((A26-'Regression Model'!$J$8)/365.25)+'Regression Model'!$B$13*IF(G26="Yes",1,0)+'Regression Model'!$B$14*IF(E26&gt;1.05,1,0)</x:f>
        <x:v>36.61425057572022</x:v>
      </x:c>
      <x:c r="Q26" s="30" t="n">
        <x:f>I26-P26</x:f>
        <x:v>-1.6142505757202201</x:v>
      </x:c>
    </x:row>
    <x:row r="27">
      <x:c r="A27" s="26" t="n">
        <x:v>46050</x:v>
      </x:c>
      <x:c r="B27" s="17" t="str">
        <x:v>LongCat Flash Lite</x:v>
      </x:c>
      <x:c r="C27" s="64" t="n">
        <x:v>68.5</x:v>
      </x:c>
      <x:c r="D27" s="64" t="n">
        <x:v>3</x:v>
      </x:c>
      <x:c r="E27" s="64" t="n">
        <x:f>C27/D27</x:f>
        <x:v>22.833333333333332</x:v>
      </x:c>
      <x:c r="F27" s="17" t="str">
        <x:v>MoE</x:v>
      </x:c>
      <x:c r="G27" s="17" t="str">
        <x:v>No</x:v>
      </x:c>
      <x:c r="H27" s="17" t="str">
        <x:v>longcat</x:v>
      </x:c>
      <x:c r="I27" s="44" t="n">
        <x:v>17</x:v>
      </x:c>
      <x:c r="J27" s="17" t="str">
        <x:v>Yes</x:v>
      </x:c>
      <x:c r="K27" s="29"/>
      <x:c r="L27" s="56" t="str">
        <x:v>https://huggingface.co/meituan-longcat/LongCat-Flash-Lite</x:v>
      </x:c>
      <x:c r="M27" s="56" t="str">
        <x:v>https://artificialanalysis.ai/models/longcat-flash-lite</x:v>
      </x:c>
      <x:c r="N27" s="64" t="n">
        <x:f>D27*POWER(E27,'Regression Model'!$B$7)</x:f>
        <x:v>68.5</x:v>
      </x:c>
      <x:c r="O27" s="30" t="n">
        <x:f>I27+'Regression Model'!$B$12*('Regression Model'!$J$7-A27)/365.25</x:f>
        <x:v>25.630205040491443</x:v>
      </x:c>
      <x:c r="P27" s="30" t="n">
        <x:f>'Regression Model'!$B$8+'Regression Model'!$B$11*LOG(N27,2)+'Regression Model'!$B$12*((A27-'Regression Model'!$J$8)/365.25)+'Regression Model'!$B$13*IF(G27="Yes",1,0)+'Regression Model'!$B$14*IF(E27&gt;1.05,1,0)</x:f>
        <x:v>19.721484236793614</x:v>
      </x:c>
      <x:c r="Q27" s="30" t="n">
        <x:f>I27-P27</x:f>
        <x:v>-2.7214842367936143</x:v>
      </x:c>
    </x:row>
    <x:row r="28">
      <x:c r="A28" s="26" t="n">
        <x:v>46064</x:v>
      </x:c>
      <x:c r="B28" s="17" t="str">
        <x:v>GLM-5 Reasoning</x:v>
      </x:c>
      <x:c r="C28" s="64" t="n">
        <x:v>744</x:v>
      </x:c>
      <x:c r="D28" s="64" t="n">
        <x:v>40</x:v>
      </x:c>
      <x:c r="E28" s="64" t="n">
        <x:f>C28/D28</x:f>
        <x:v>18.6</x:v>
      </x:c>
      <x:c r="F28" s="17" t="str">
        <x:v>MoE/DSA</x:v>
      </x:c>
      <x:c r="G28" s="17" t="str">
        <x:v>Yes</x:v>
      </x:c>
      <x:c r="H28" s="17" t="str">
        <x:v>glm</x:v>
      </x:c>
      <x:c r="I28" s="44" t="n">
        <x:v>40</x:v>
      </x:c>
      <x:c r="J28" s="17" t="str">
        <x:v>Yes</x:v>
      </x:c>
      <x:c r="K28" s="29"/>
      <x:c r="L28" s="56" t="str">
        <x:v>https://huggingface.co/zai-org/GLM-5</x:v>
      </x:c>
      <x:c r="M28" s="56" t="str">
        <x:v>https://artificialanalysis.ai/models/glm-5</x:v>
      </x:c>
      <x:c r="N28" s="64" t="n">
        <x:f>D28*POWER(E28,'Regression Model'!$B$7)</x:f>
        <x:v>744</x:v>
      </x:c>
      <x:c r="O28" s="30" t="n">
        <x:f>I28+'Regression Model'!$B$12*('Regression Model'!$J$7-A28)/365.25</x:f>
        <x:v>47.91527681228505</x:v>
      </x:c>
      <x:c r="P28" s="30" t="n">
        <x:f>'Regression Model'!$B$8+'Regression Model'!$B$11*LOG(N28,2)+'Regression Model'!$B$12*((A28-'Regression Model'!$J$8)/365.25)+'Regression Model'!$B$13*IF(G28="Yes",1,0)+'Regression Model'!$B$14*IF(E28&gt;1.05,1,0)</x:f>
        <x:v>36.17310526361021</x:v>
      </x:c>
      <x:c r="Q28" s="30" t="n">
        <x:f>I28-P28</x:f>
        <x:v>3.8268947363897894</x:v>
      </x:c>
    </x:row>
    <x:row r="29">
      <x:c r="A29" s="26" t="n">
        <x:v>46065</x:v>
      </x:c>
      <x:c r="B29" s="17" t="str">
        <x:v>MiniMax-M2.5</x:v>
      </x:c>
      <x:c r="C29" s="64" t="n">
        <x:v>230</x:v>
      </x:c>
      <x:c r="D29" s="64" t="n">
        <x:v>10</x:v>
      </x:c>
      <x:c r="E29" s="64" t="n">
        <x:f>C29/D29</x:f>
        <x:v>23</x:v>
      </x:c>
      <x:c r="F29" s="17" t="str">
        <x:v>MoE</x:v>
      </x:c>
      <x:c r="G29" s="17" t="str">
        <x:v>Yes</x:v>
      </x:c>
      <x:c r="H29" s="17" t="str">
        <x:v>minimax_m2</x:v>
      </x:c>
      <x:c r="I29" s="44" t="n">
        <x:v>34</x:v>
      </x:c>
      <x:c r="J29" s="17" t="str">
        <x:v>Yes</x:v>
      </x:c>
      <x:c r="K29" s="29"/>
      <x:c r="L29" s="56" t="str">
        <x:v>https://huggingface.co/MiniMaxAI/MiniMax-M2.5</x:v>
      </x:c>
      <x:c r="M29" s="56" t="str">
        <x:v>https://artificialanalysis.ai/models/minimax-m2-5</x:v>
      </x:c>
      <x:c r="N29" s="64" t="n">
        <x:f>D29*POWER(E29,'Regression Model'!$B$7)</x:f>
        <x:v>230</x:v>
      </x:c>
      <x:c r="O29" s="30" t="n">
        <x:f>I29+'Regression Model'!$B$12*('Regression Model'!$J$7-A29)/365.25</x:f>
        <x:v>41.86421051027031</x:v>
      </x:c>
      <x:c r="P29" s="30" t="n">
        <x:f>'Regression Model'!$B$8+'Regression Model'!$B$11*LOG(N29,2)+'Regression Model'!$B$12*((A29-'Regression Model'!$J$8)/365.25)+'Regression Model'!$B$13*IF(G29="Yes",1,0)+'Regression Model'!$B$14*IF(E29&gt;1.05,1,0)</x:f>
        <x:v>31.431923641296354</x:v>
      </x:c>
      <x:c r="Q29" s="30" t="n">
        <x:f>I29-P29</x:f>
        <x:v>2.568076358703646</x:v>
      </x:c>
    </x:row>
    <x:row r="30">
      <x:c r="A30" s="26" t="n">
        <x:v>46069</x:v>
      </x:c>
      <x:c r="B30" s="17" t="str">
        <x:v>Qwen3.5-397B-A17B Reasoning</x:v>
      </x:c>
      <x:c r="C30" s="64" t="n">
        <x:v>397</x:v>
      </x:c>
      <x:c r="D30" s="64" t="n">
        <x:v>17</x:v>
      </x:c>
      <x:c r="E30" s="64" t="n">
        <x:f>C30/D30</x:f>
        <x:v>23.352941176470587</x:v>
      </x:c>
      <x:c r="F30" s="17" t="str">
        <x:v>MoE/Gated-DeltaNet/multimodal</x:v>
      </x:c>
      <x:c r="G30" s="17" t="str">
        <x:v>Yes</x:v>
      </x:c>
      <x:c r="H30" s="17" t="str">
        <x:v>qwen35</x:v>
      </x:c>
      <x:c r="I30" s="44" t="n">
        <x:v>34</x:v>
      </x:c>
      <x:c r="J30" s="17" t="str">
        <x:v>No</x:v>
      </x:c>
      <x:c r="K30" s="29"/>
      <x:c r="L30" s="56" t="str">
        <x:v>https://huggingface.co/Qwen/Qwen3.5-397B-A17B</x:v>
      </x:c>
      <x:c r="M30" s="56" t="str">
        <x:v>https://artificialanalysis.ai/models/qwen3-5-397b-a17b</x:v>
      </x:c>
      <x:c r="N30" s="64" t="n">
        <x:f>D30*POWER(E30,'Regression Model'!$B$7)</x:f>
        <x:v>397</x:v>
      </x:c>
      <x:c r="O30" s="30" t="n">
        <x:f>I30+'Regression Model'!$B$12*('Regression Model'!$J$7-A30)/365.25</x:f>
        <x:v>41.65994530221134</x:v>
      </x:c>
      <x:c r="P30" s="30" t="n">
        <x:f>'Regression Model'!$B$8+'Regression Model'!$B$11*LOG(N30,2)+'Regression Model'!$B$12*((A30-'Regression Model'!$J$8)/365.25)+'Regression Model'!$B$13*IF(G30="Yes",1,0)+'Regression Model'!$B$14*IF(E30&gt;1.05,1,0)</x:f>
        <x:v>33.86444031802124</x:v>
      </x:c>
      <x:c r="Q30" s="30" t="n">
        <x:f>I30-P30</x:f>
        <x:v>0.13555968197876211</x:v>
      </x:c>
    </x:row>
    <x:row r="31">
      <x:c r="A31" s="26" t="n">
        <x:v>46077</x:v>
      </x:c>
      <x:c r="B31" s="17" t="str">
        <x:v>Qwen3.5-35B-A3B Reasoning</x:v>
      </x:c>
      <x:c r="C31" s="64" t="n">
        <x:v>36</x:v>
      </x:c>
      <x:c r="D31" s="64" t="n">
        <x:v>3</x:v>
      </x:c>
      <x:c r="E31" s="64" t="n">
        <x:f>C31/D31</x:f>
        <x:v>12</x:v>
      </x:c>
      <x:c r="F31" s="17" t="str">
        <x:v>MoE/Gated-DeltaNet</x:v>
      </x:c>
      <x:c r="G31" s="17" t="str">
        <x:v>Yes</x:v>
      </x:c>
      <x:c r="H31" s="17" t="str">
        <x:v>qwen35</x:v>
      </x:c>
      <x:c r="I31" s="44" t="n">
        <x:v>29</x:v>
      </x:c>
      <x:c r="J31" s="17" t="str">
        <x:v>Yes</x:v>
      </x:c>
      <x:c r="K31" s="29"/>
      <x:c r="L31" s="56" t="str">
        <x:v>https://huggingface.co/Qwen/Qwen3.5-35B-A3B</x:v>
      </x:c>
      <x:c r="M31" s="56" t="str">
        <x:v>https://artificialanalysis.ai/models/qwen3-5-35b-a3b</x:v>
      </x:c>
      <x:c r="N31" s="64" t="n">
        <x:f>D31*POWER(E31,'Regression Model'!$B$7)</x:f>
        <x:v>36</x:v>
      </x:c>
      <x:c r="O31" s="30" t="n">
        <x:f>I31+'Regression Model'!$B$12*('Regression Model'!$J$7-A31)/365.25</x:f>
        <x:v>36.2514148860934</x:v>
      </x:c>
      <x:c r="P31" s="30" t="n">
        <x:f>'Regression Model'!$B$8+'Regression Model'!$B$11*LOG(N31,2)+'Regression Model'!$B$12*((A31-'Regression Model'!$J$8)/365.25)+'Regression Model'!$B$13*IF(G31="Yes",1,0)+'Regression Model'!$B$14*IF(E31&gt;1.05,1,0)</x:f>
        <x:v>24.474188736443818</x:v>
      </x:c>
      <x:c r="Q31" s="30" t="n">
        <x:f>I31-P31</x:f>
        <x:v>4.525811263556182</x:v>
      </x:c>
    </x:row>
    <x:row r="32">
      <x:c r="A32" s="26" t="n">
        <x:v>46077</x:v>
      </x:c>
      <x:c r="B32" s="17" t="str">
        <x:v>Qwen3.5-122B-A10B Reasoning</x:v>
      </x:c>
      <x:c r="C32" s="64" t="n">
        <x:v>125</x:v>
      </x:c>
      <x:c r="D32" s="64" t="n">
        <x:v>10</x:v>
      </x:c>
      <x:c r="E32" s="64" t="n">
        <x:f>C32/D32</x:f>
        <x:v>12.5</x:v>
      </x:c>
      <x:c r="F32" s="17" t="str">
        <x:v>MoE/Gated-DeltaNet</x:v>
      </x:c>
      <x:c r="G32" s="17" t="str">
        <x:v>Yes</x:v>
      </x:c>
      <x:c r="H32" s="17" t="str">
        <x:v>qwen35</x:v>
      </x:c>
      <x:c r="I32" s="44" t="n">
        <x:v>32</x:v>
      </x:c>
      <x:c r="J32" s="17" t="str">
        <x:v>No</x:v>
      </x:c>
      <x:c r="K32" s="29" t="n">
        <x:v>96</x:v>
      </x:c>
      <x:c r="L32" s="56" t="str">
        <x:v>https://huggingface.co/Qwen/Qwen3.5-122B-A10B</x:v>
      </x:c>
      <x:c r="M32" s="56" t="str">
        <x:v>https://artificialanalysis.ai/models/qwen3-5-122b-a10b</x:v>
      </x:c>
      <x:c r="N32" s="64" t="n">
        <x:f>D32*POWER(E32,'Regression Model'!$B$7)</x:f>
        <x:v>125</x:v>
      </x:c>
      <x:c r="O32" s="30" t="n">
        <x:f>I32+'Regression Model'!$B$12*('Regression Model'!$J$7-A32)/365.25</x:f>
        <x:v>39.2514148860934</x:v>
      </x:c>
      <x:c r="P32" s="30" t="n">
        <x:f>'Regression Model'!$B$8+'Regression Model'!$B$11*LOG(N32,2)+'Regression Model'!$B$12*((A32-'Regression Model'!$J$8)/365.25)+'Regression Model'!$B$13*IF(G32="Yes",1,0)+'Regression Model'!$B$14*IF(E32&gt;1.05,1,0)</x:f>
        <x:v>29.555585479904217</x:v>
      </x:c>
      <x:c r="Q32" s="30" t="n">
        <x:f>I32-P32</x:f>
        <x:v>2.4444145200957834</x:v>
      </x:c>
    </x:row>
    <x:row r="33">
      <x:c r="A33" s="26" t="n">
        <x:v>46077</x:v>
      </x:c>
      <x:c r="B33" s="17" t="str">
        <x:v>Qwen3.5-27B Reasoning</x:v>
      </x:c>
      <x:c r="C33" s="64" t="n">
        <x:v>27.8</x:v>
      </x:c>
      <x:c r="D33" s="64" t="n">
        <x:v>27.8</x:v>
      </x:c>
      <x:c r="E33" s="64" t="n">
        <x:f>C33/D33</x:f>
        <x:v>1</x:v>
      </x:c>
      <x:c r="F33" s="17" t="str">
        <x:v>dense/Gated-DeltaNet</x:v>
      </x:c>
      <x:c r="G33" s="17" t="str">
        <x:v>Yes</x:v>
      </x:c>
      <x:c r="H33" s="17" t="str">
        <x:v>qwen35</x:v>
      </x:c>
      <x:c r="I33" s="44" t="n">
        <x:v>34</x:v>
      </x:c>
      <x:c r="J33" s="17" t="str">
        <x:v>Yes</x:v>
      </x:c>
      <x:c r="K33" s="29"/>
      <x:c r="L33" s="56" t="str">
        <x:v>https://huggingface.co/Qwen/Qwen3.5-27B</x:v>
      </x:c>
      <x:c r="M33" s="56" t="str">
        <x:v>https://artificialanalysis.ai/models/qwen3-5-27b</x:v>
      </x:c>
      <x:c r="N33" s="64" t="n">
        <x:f>D33*POWER(E33,'Regression Model'!$B$7)</x:f>
        <x:v>27.8</x:v>
      </x:c>
      <x:c r="O33" s="30" t="n">
        <x:f>I33+'Regression Model'!$B$12*('Regression Model'!$J$7-A33)/365.25</x:f>
        <x:v>41.2514148860934</x:v>
      </x:c>
      <x:c r="P33" s="30" t="n">
        <x:f>'Regression Model'!$B$8+'Regression Model'!$B$11*LOG(N33,2)+'Regression Model'!$B$12*((A33-'Regression Model'!$J$8)/365.25)+'Regression Model'!$B$13*IF(G33="Yes",1,0)+'Regression Model'!$B$14*IF(E33&gt;1.05,1,0)</x:f>
        <x:v>23.41903148662175</x:v>
      </x:c>
      <x:c r="Q33" s="30" t="n">
        <x:f>I33-P33</x:f>
        <x:v>10.580968513378249</x:v>
      </x:c>
    </x:row>
    <x:row r="34">
      <x:c r="A34" s="26" t="n">
        <x:v>46083</x:v>
      </x:c>
      <x:c r="B34" s="17" t="str">
        <x:v>Qwen3.5-0.8B Reasoning</x:v>
      </x:c>
      <x:c r="C34" s="64" t="n">
        <x:v>0.873</x:v>
      </x:c>
      <x:c r="D34" s="64" t="n">
        <x:v>0.873</x:v>
      </x:c>
      <x:c r="E34" s="64" t="n">
        <x:f>C34/D34</x:f>
        <x:v>1</x:v>
      </x:c>
      <x:c r="F34" s="17" t="str">
        <x:v>dense</x:v>
      </x:c>
      <x:c r="G34" s="17" t="str">
        <x:v>Yes</x:v>
      </x:c>
      <x:c r="H34" s="17" t="str">
        <x:v>qwen35</x:v>
      </x:c>
      <x:c r="I34" s="44" t="n">
        <x:v>5</x:v>
      </x:c>
      <x:c r="J34" s="17" t="str">
        <x:v>No</x:v>
      </x:c>
      <x:c r="K34" s="29"/>
      <x:c r="L34" s="56" t="str">
        <x:v>https://huggingface.co/Qwen/Qwen3.5-0.8B</x:v>
      </x:c>
      <x:c r="M34" s="56" t="str">
        <x:v>https://artificialanalysis.ai/models/qwen3-5-0-8b</x:v>
      </x:c>
      <x:c r="N34" s="64" t="n">
        <x:f>D34*POWER(E34,'Regression Model'!$B$7)</x:f>
        <x:v>0.873</x:v>
      </x:c>
      <x:c r="O34" s="30" t="n">
        <x:f>I34+'Regression Model'!$B$12*('Regression Model'!$J$7-A34)/365.25</x:f>
        <x:v>11.945017074004948</x:v>
      </x:c>
      <x:c r="P34" s="30" t="n">
        <x:f>'Regression Model'!$B$8+'Regression Model'!$B$11*LOG(N34,2)+'Regression Model'!$B$12*((A34-'Regression Model'!$J$8)/365.25)+'Regression Model'!$B$13*IF(G34="Yes",1,0)+'Regression Model'!$B$14*IF(E34&gt;1.05,1,0)</x:f>
        <x:v>9.597814753219723</x:v>
      </x:c>
      <x:c r="Q34" s="30" t="n">
        <x:f>I34-P34</x:f>
        <x:v>-4.597814753219723</x:v>
      </x:c>
    </x:row>
    <x:row r="35">
      <x:c r="A35" s="26" t="n">
        <x:v>46083</x:v>
      </x:c>
      <x:c r="B35" s="17" t="str">
        <x:v>Qwen3.5-2B Reasoning</x:v>
      </x:c>
      <x:c r="C35" s="64" t="n">
        <x:v>2.27</x:v>
      </x:c>
      <x:c r="D35" s="64" t="n">
        <x:v>2.27</x:v>
      </x:c>
      <x:c r="E35" s="64" t="n">
        <x:f>C35/D35</x:f>
        <x:v>1</x:v>
      </x:c>
      <x:c r="F35" s="17" t="str">
        <x:v>dense</x:v>
      </x:c>
      <x:c r="G35" s="17" t="str">
        <x:v>Yes</x:v>
      </x:c>
      <x:c r="H35" s="17" t="str">
        <x:v>qwen35</x:v>
      </x:c>
      <x:c r="I35" s="44" t="n">
        <x:v>8</x:v>
      </x:c>
      <x:c r="J35" s="17" t="str">
        <x:v>No</x:v>
      </x:c>
      <x:c r="K35" s="29"/>
      <x:c r="L35" s="56" t="str">
        <x:v>https://huggingface.co/Qwen/Qwen3.5-2B</x:v>
      </x:c>
      <x:c r="M35" s="56" t="str">
        <x:v>https://artificialanalysis.ai/models/qwen3-5-2b</x:v>
      </x:c>
      <x:c r="N35" s="64" t="n">
        <x:f>D35*POWER(E35,'Regression Model'!$B$7)</x:f>
        <x:v>2.27</x:v>
      </x:c>
      <x:c r="O35" s="30" t="n">
        <x:f>I35+'Regression Model'!$B$12*('Regression Model'!$J$7-A35)/365.25</x:f>
        <x:v>14.945017074004948</x:v>
      </x:c>
      <x:c r="P35" s="30" t="n">
        <x:f>'Regression Model'!$B$8+'Regression Model'!$B$11*LOG(N35,2)+'Regression Model'!$B$12*((A35-'Regression Model'!$J$8)/365.25)+'Regression Model'!$B$13*IF(G35="Yes",1,0)+'Regression Model'!$B$14*IF(E35&gt;1.05,1,0)</x:f>
        <x:v>13.498682968189492</x:v>
      </x:c>
      <x:c r="Q35" s="30" t="n">
        <x:f>I35-P35</x:f>
        <x:v>-5.498682968189492</x:v>
      </x:c>
    </x:row>
    <x:row r="36">
      <x:c r="A36" s="26" t="n">
        <x:v>46083</x:v>
      </x:c>
      <x:c r="B36" s="17" t="str">
        <x:v>Qwen3.5-4B Reasoning</x:v>
      </x:c>
      <x:c r="C36" s="64" t="n">
        <x:v>4.66</x:v>
      </x:c>
      <x:c r="D36" s="64" t="n">
        <x:v>4.66</x:v>
      </x:c>
      <x:c r="E36" s="64" t="n">
        <x:f>C36/D36</x:f>
        <x:v>1</x:v>
      </x:c>
      <x:c r="F36" s="17" t="str">
        <x:v>dense</x:v>
      </x:c>
      <x:c r="G36" s="17" t="str">
        <x:v>Yes</x:v>
      </x:c>
      <x:c r="H36" s="17" t="str">
        <x:v>qwen35</x:v>
      </x:c>
      <x:c r="I36" s="44" t="n">
        <x:v>20</x:v>
      </x:c>
      <x:c r="J36" s="17" t="str">
        <x:v>Yes</x:v>
      </x:c>
      <x:c r="K36" s="29"/>
      <x:c r="L36" s="56" t="str">
        <x:v>https://huggingface.co/Qwen/Qwen3.5-4B</x:v>
      </x:c>
      <x:c r="M36" s="56" t="str">
        <x:v>https://artificialanalysis.ai/models/qwen3-5-4b</x:v>
      </x:c>
      <x:c r="N36" s="64" t="n">
        <x:f>D36*POWER(E36,'Regression Model'!$B$7)</x:f>
        <x:v>4.66</x:v>
      </x:c>
      <x:c r="O36" s="30" t="n">
        <x:f>I36+'Regression Model'!$B$12*('Regression Model'!$J$7-A36)/365.25</x:f>
        <x:v>26.945017074004948</x:v>
      </x:c>
      <x:c r="P36" s="30" t="n">
        <x:f>'Regression Model'!$B$8+'Regression Model'!$B$11*LOG(N36,2)+'Regression Model'!$B$12*((A36-'Regression Model'!$J$8)/365.25)+'Regression Model'!$B$13*IF(G36="Yes",1,0)+'Regression Model'!$B$14*IF(E36&gt;1.05,1,0)</x:f>
        <x:v>16.434686174167197</x:v>
      </x:c>
      <x:c r="Q36" s="30" t="n">
        <x:f>I36-P36</x:f>
        <x:v>3.5653138258328028</x:v>
      </x:c>
    </x:row>
    <x:row r="37">
      <x:c r="A37" s="26" t="n">
        <x:v>46083</x:v>
      </x:c>
      <x:c r="B37" s="17" t="str">
        <x:v>Qwen3.5-9B Reasoning</x:v>
      </x:c>
      <x:c r="C37" s="64" t="n">
        <x:v>9.7</x:v>
      </x:c>
      <x:c r="D37" s="64" t="n">
        <x:v>9.7</x:v>
      </x:c>
      <x:c r="E37" s="64" t="n">
        <x:f>C37/D37</x:f>
        <x:v>1</x:v>
      </x:c>
      <x:c r="F37" s="17" t="str">
        <x:v>dense</x:v>
      </x:c>
      <x:c r="G37" s="17" t="str">
        <x:v>Yes</x:v>
      </x:c>
      <x:c r="H37" s="17" t="str">
        <x:v>qwen35</x:v>
      </x:c>
      <x:c r="I37" s="44" t="n">
        <x:v>21</x:v>
      </x:c>
      <x:c r="J37" s="17" t="str">
        <x:v>No</x:v>
      </x:c>
      <x:c r="K37" s="29"/>
      <x:c r="L37" s="56" t="str">
        <x:v>https://huggingface.co/Qwen/Qwen3.5-9B</x:v>
      </x:c>
      <x:c r="M37" s="56" t="str">
        <x:v>https://artificialanalysis.ai/models/qwen3-5-9b</x:v>
      </x:c>
      <x:c r="N37" s="64" t="n">
        <x:f>D37*POWER(E37,'Regression Model'!$B$7)</x:f>
        <x:v>9.7</x:v>
      </x:c>
      <x:c r="O37" s="30" t="n">
        <x:f>I37+'Regression Model'!$B$12*('Regression Model'!$J$7-A37)/365.25</x:f>
        <x:v>27.945017074004948</x:v>
      </x:c>
      <x:c r="P37" s="30" t="n">
        <x:f>'Regression Model'!$B$8+'Regression Model'!$B$11*LOG(N37,2)+'Regression Model'!$B$12*((A37-'Regression Model'!$J$8)/365.25)+'Regression Model'!$B$13*IF(G37="Yes",1,0)+'Regression Model'!$B$14*IF(E37&gt;1.05,1,0)</x:f>
        <x:v>19.427328007592866</x:v>
      </x:c>
      <x:c r="Q37" s="30" t="n">
        <x:f>I37-P37</x:f>
        <x:v>1.572671992407134</x:v>
      </x:c>
    </x:row>
    <x:row r="38">
      <x:c r="A38" s="26" t="n">
        <x:v>46092</x:v>
      </x:c>
      <x:c r="B38" s="17" t="str">
        <x:v>Nemotron 3 Super 120B A12B</x:v>
      </x:c>
      <x:c r="C38" s="64" t="n">
        <x:v>120.6</x:v>
      </x:c>
      <x:c r="D38" s="64" t="n">
        <x:v>12.7</x:v>
      </x:c>
      <x:c r="E38" s="64" t="n">
        <x:f>C38/D38</x:f>
        <x:v>9.496062992125985</x:v>
      </x:c>
      <x:c r="F38" s="17" t="str">
        <x:v>MoE/LatentMoE/Mamba2</x:v>
      </x:c>
      <x:c r="G38" s="17" t="str">
        <x:v>Yes</x:v>
      </x:c>
      <x:c r="H38" s="17" t="str">
        <x:v>nemotron3</x:v>
      </x:c>
      <x:c r="I38" s="44" t="n">
        <x:v>25</x:v>
      </x:c>
      <x:c r="J38" s="17" t="str">
        <x:v>No</x:v>
      </x:c>
      <x:c r="K38" s="29"/>
      <x:c r="L38" s="56" t="str">
        <x:v>https://huggingface.co/nvidia/NVIDIA-Nemotron-3-Super-120B-A12B-BF16</x:v>
      </x:c>
      <x:c r="M38" s="56" t="str">
        <x:v>https://artificialanalysis.ai/models/nvidia-nemotron-3-super-120b-a12b</x:v>
      </x:c>
      <x:c r="N38" s="64" t="n">
        <x:f>D38*POWER(E38,'Regression Model'!$B$7)</x:f>
        <x:v>120.60000000000001</x:v>
      </x:c>
      <x:c r="O38" s="30" t="n">
        <x:f>I38+'Regression Model'!$B$12*('Regression Model'!$J$7-A38)/365.25</x:f>
        <x:v>31.485420355872268</x:v>
      </x:c>
      <x:c r="P38" s="30" t="n">
        <x:f>'Regression Model'!$B$8+'Regression Model'!$B$11*LOG(N38,2)+'Regression Model'!$B$12*((A38-'Regression Model'!$J$8)/365.25)+'Regression Model'!$B$13*IF(G38="Yes",1,0)+'Regression Model'!$B$14*IF(E38&gt;1.05,1,0)</x:f>
        <x:v>30.175299616767745</x:v>
      </x:c>
      <x:c r="Q38" s="30" t="n">
        <x:f>I38-P38</x:f>
        <x:v>-5.175299616767745</x:v>
      </x:c>
    </x:row>
    <x:row r="39">
      <x:c r="A39" s="26" t="n">
        <x:v>46099</x:v>
      </x:c>
      <x:c r="B39" s="17" t="str">
        <x:v>MiniMax-M2.7</x:v>
      </x:c>
      <x:c r="C39" s="64" t="n">
        <x:v>230</x:v>
      </x:c>
      <x:c r="D39" s="64" t="n">
        <x:v>10</x:v>
      </x:c>
      <x:c r="E39" s="64" t="n">
        <x:f>C39/D39</x:f>
        <x:v>23</x:v>
      </x:c>
      <x:c r="F39" s="17" t="str">
        <x:v>MoE</x:v>
      </x:c>
      <x:c r="G39" s="17" t="str">
        <x:v>Yes</x:v>
      </x:c>
      <x:c r="H39" s="17" t="str">
        <x:v>minimax_m2</x:v>
      </x:c>
      <x:c r="I39" s="44" t="n">
        <x:v>38</x:v>
      </x:c>
      <x:c r="J39" s="17" t="str">
        <x:v>No</x:v>
      </x:c>
      <x:c r="K39" s="29"/>
      <x:c r="L39" s="56" t="str">
        <x:v>https://huggingface.co/MiniMaxAI/MiniMax-M2.7</x:v>
      </x:c>
      <x:c r="M39" s="56" t="str">
        <x:v>https://artificialanalysis.ai/models/minimax-m2-7</x:v>
      </x:c>
      <x:c r="N39" s="64" t="n">
        <x:f>D39*POWER(E39,'Regression Model'!$B$7)</x:f>
        <x:v>230</x:v>
      </x:c>
      <x:c r="O39" s="30" t="n">
        <x:f>I39+'Regression Model'!$B$12*('Regression Model'!$J$7-A39)/365.25</x:f>
        <x:v>44.12795624176907</x:v>
      </x:c>
      <x:c r="P39" s="30" t="n">
        <x:f>'Regression Model'!$B$8+'Regression Model'!$B$11*LOG(N39,2)+'Regression Model'!$B$12*((A39-'Regression Model'!$J$8)/365.25)+'Regression Model'!$B$13*IF(G39="Yes",1,0)+'Regression Model'!$B$14*IF(E39&gt;1.05,1,0)</x:f>
        <x:v>33.16817790979759</x:v>
      </x:c>
      <x:c r="Q39" s="30" t="n">
        <x:f>I39-P39</x:f>
        <x:v>4.831822090202408</x:v>
      </x:c>
    </x:row>
    <x:row r="40">
      <x:c r="A40" s="26" t="n">
        <x:v>46119</x:v>
      </x:c>
      <x:c r="B40" s="17" t="str">
        <x:v>GLM-5.1 Reasoning</x:v>
      </x:c>
      <x:c r="C40" s="64" t="n">
        <x:v>744</x:v>
      </x:c>
      <x:c r="D40" s="64" t="n">
        <x:v>40</x:v>
      </x:c>
      <x:c r="E40" s="64" t="n">
        <x:f>C40/D40</x:f>
        <x:v>18.6</x:v>
      </x:c>
      <x:c r="F40" s="17" t="str">
        <x:v>MoE</x:v>
      </x:c>
      <x:c r="G40" s="17" t="str">
        <x:v>Yes</x:v>
      </x:c>
      <x:c r="H40" s="17" t="str">
        <x:v>glm</x:v>
      </x:c>
      <x:c r="I40" s="44" t="n">
        <x:v>40</x:v>
      </x:c>
      <x:c r="J40" s="17" t="str">
        <x:v>No</x:v>
      </x:c>
      <x:c r="K40" s="29" t="n">
        <x:v>120</x:v>
      </x:c>
      <x:c r="L40" s="56" t="str">
        <x:v>https://huggingface.co/zai-org/GLM-5.1</x:v>
      </x:c>
      <x:c r="M40" s="56" t="str">
        <x:v>https://artificialanalysis.ai/models/glm-5-1</x:v>
      </x:c>
      <x:c r="N40" s="64" t="n">
        <x:f>D40*POWER(E40,'Regression Model'!$B$7)</x:f>
        <x:v>744</x:v>
      </x:c>
      <x:c r="O40" s="30" t="n">
        <x:f>I40+'Regression Model'!$B$12*('Regression Model'!$J$7-A40)/365.25</x:f>
        <x:v>45.106630201474225</x:v>
      </x:c>
      <x:c r="P40" s="30" t="n">
        <x:f>'Regression Model'!$B$8+'Regression Model'!$B$11*LOG(N40,2)+'Regression Model'!$B$12*((A40-'Regression Model'!$J$8)/365.25)+'Regression Model'!$B$13*IF(G40="Yes",1,0)+'Regression Model'!$B$14*IF(E40&gt;1.05,1,0)</x:f>
        <x:v>38.981751874421036</x:v>
      </x:c>
      <x:c r="Q40" s="30" t="n">
        <x:f>I40-P40</x:f>
        <x:v>1.018248125578964</x:v>
      </x:c>
    </x:row>
    <x:row r="41">
      <x:c r="A41" s="26" t="n">
        <x:v>46128</x:v>
      </x:c>
      <x:c r="B41" s="17" t="str">
        <x:v>Qwen3.6-35B-A3B Reasoning</x:v>
      </x:c>
      <x:c r="C41" s="64" t="n">
        <x:v>36</x:v>
      </x:c>
      <x:c r="D41" s="64" t="n">
        <x:v>3</x:v>
      </x:c>
      <x:c r="E41" s="64" t="n">
        <x:f>C41/D41</x:f>
        <x:v>12</x:v>
      </x:c>
      <x:c r="F41" s="17" t="str">
        <x:v>MoE/Gated-DeltaNet/multimodal</x:v>
      </x:c>
      <x:c r="G41" s="17" t="str">
        <x:v>Yes</x:v>
      </x:c>
      <x:c r="H41" s="17" t="str">
        <x:v>qwen36</x:v>
      </x:c>
      <x:c r="I41" s="44" t="n">
        <x:v>32</x:v>
      </x:c>
      <x:c r="J41" s="17" t="str">
        <x:v>No</x:v>
      </x:c>
      <x:c r="K41" s="29" t="n">
        <x:v>150</x:v>
      </x:c>
      <x:c r="L41" s="56" t="str">
        <x:v>https://huggingface.co/Qwen/Qwen3.6-35B-A3B</x:v>
      </x:c>
      <x:c r="M41" s="56" t="str">
        <x:v>https://artificialanalysis.ai/models/qwen3-6-35b-a3b</x:v>
      </x:c>
      <x:c r="N41" s="64" t="n">
        <x:f>D41*POWER(E41,'Regression Model'!$B$7)</x:f>
        <x:v>36</x:v>
      </x:c>
      <x:c r="O41" s="30" t="n">
        <x:f>I41+'Regression Model'!$B$12*('Regression Model'!$J$7-A41)/365.25</x:f>
        <x:v>36.647033483341545</x:v>
      </x:c>
      <x:c r="P41" s="30" t="n">
        <x:f>'Regression Model'!$B$8+'Regression Model'!$B$11*LOG(N41,2)+'Regression Model'!$B$12*((A41-'Regression Model'!$J$8)/365.25)+'Regression Model'!$B$13*IF(G41="Yes",1,0)+'Regression Model'!$B$14*IF(E41&gt;1.05,1,0)</x:f>
        <x:v>27.078570139195673</x:v>
      </x:c>
      <x:c r="Q41" s="30" t="n">
        <x:f>I41-P41</x:f>
        <x:v>4.921429860804327</x:v>
      </x:c>
    </x:row>
    <x:row r="42">
      <x:c r="A42" s="26" t="n">
        <x:v>46132</x:v>
      </x:c>
      <x:c r="B42" s="17" t="str">
        <x:v>Kimi K2.6 Reasoning</x:v>
      </x:c>
      <x:c r="C42" s="64" t="n">
        <x:v>1000</x:v>
      </x:c>
      <x:c r="D42" s="64" t="n">
        <x:v>32</x:v>
      </x:c>
      <x:c r="E42" s="64" t="n">
        <x:f>C42/D42</x:f>
        <x:v>31.25</x:v>
      </x:c>
      <x:c r="F42" s="17" t="str">
        <x:v>MoE/multimodal</x:v>
      </x:c>
      <x:c r="G42" s="17" t="str">
        <x:v>Yes</x:v>
      </x:c>
      <x:c r="H42" s="17" t="str">
        <x:v>kimi_k2</x:v>
      </x:c>
      <x:c r="I42" s="44" t="n">
        <x:v>44</x:v>
      </x:c>
      <x:c r="J42" s="17" t="str">
        <x:v>No</x:v>
      </x:c>
      <x:c r="K42" s="29"/>
      <x:c r="L42" s="56" t="str">
        <x:v>https://huggingface.co/moonshotai/Kimi-K2.6</x:v>
      </x:c>
      <x:c r="M42" s="56" t="str">
        <x:v>https://artificialanalysis.ai/models/kimi-k2-6</x:v>
      </x:c>
      <x:c r="N42" s="64" t="n">
        <x:f>D42*POWER(E42,'Regression Model'!$B$7)</x:f>
        <x:v>1000</x:v>
      </x:c>
      <x:c r="O42" s="30" t="n">
        <x:f>I42+'Regression Model'!$B$12*('Regression Model'!$J$7-A42)/365.25</x:f>
        <x:v>48.442768275282575</x:v>
      </x:c>
      <x:c r="P42" s="30" t="n">
        <x:f>'Regression Model'!$B$8+'Regression Model'!$B$11*LOG(N42,2)+'Regression Model'!$B$12*((A42-'Regression Model'!$J$8)/365.25)+'Regression Model'!$B$13*IF(G42="Yes",1,0)+'Regression Model'!$B$14*IF(E42&gt;1.05,1,0)</x:f>
        <x:v>40.852753642943824</x:v>
      </x:c>
      <x:c r="Q42" s="30" t="n">
        <x:f>I42-P42</x:f>
        <x:v>3.1472463570561757</x:v>
      </x:c>
    </x:row>
    <x:row r="43">
      <x:c r="A43" s="26" t="n">
        <x:v>46134</x:v>
      </x:c>
      <x:c r="B43" s="17" t="str">
        <x:v>MiMo-V2.5</x:v>
      </x:c>
      <x:c r="C43" s="64" t="n">
        <x:v>310</x:v>
      </x:c>
      <x:c r="D43" s="64" t="n">
        <x:v>15</x:v>
      </x:c>
      <x:c r="E43" s="64" t="n">
        <x:f>C43/D43</x:f>
        <x:v>20.666666666666668</x:v>
      </x:c>
      <x:c r="F43" s="17" t="str">
        <x:v>MoE/multimodal</x:v>
      </x:c>
      <x:c r="G43" s="17" t="str">
        <x:v>Yes</x:v>
      </x:c>
      <x:c r="H43" s="17" t="str">
        <x:v>mimo_v2</x:v>
      </x:c>
      <x:c r="I43" s="44" t="n">
        <x:v>37</x:v>
      </x:c>
      <x:c r="J43" s="17" t="str">
        <x:v>No</x:v>
      </x:c>
      <x:c r="K43" s="29" t="n">
        <x:v>71</x:v>
      </x:c>
      <x:c r="L43" s="56" t="str">
        <x:v>https://huggingface.co/XiaomiMiMo/MiMo-V2.5</x:v>
      </x:c>
      <x:c r="M43" s="56" t="str">
        <x:v>https://artificialanalysis.ai/models/mimo-v2-5-0424</x:v>
      </x:c>
      <x:c r="N43" s="64" t="n">
        <x:f>D43*POWER(E43,'Regression Model'!$B$7)</x:f>
        <x:v>310</x:v>
      </x:c>
      <x:c r="O43" s="30" t="n">
        <x:f>I43+'Regression Model'!$B$12*('Regression Model'!$J$7-A43)/365.25</x:f>
        <x:v>41.3406356712531</x:v>
      </x:c>
      <x:c r="P43" s="30" t="n">
        <x:f>'Regression Model'!$B$8+'Regression Model'!$B$11*LOG(N43,2)+'Regression Model'!$B$12*((A43-'Regression Model'!$J$8)/365.25)+'Regression Model'!$B$13*IF(G43="Yes",1,0)+'Regression Model'!$B$14*IF(E43&gt;1.05,1,0)</x:f>
        <x:v>36.17398147959996</x:v>
      </x:c>
      <x:c r="Q43" s="30" t="n">
        <x:f>I43-P43</x:f>
        <x:v>0.8260185204000408</x:v>
      </x:c>
    </x:row>
    <x:row r="44">
      <x:c r="A44" s="26" t="n">
        <x:v>46134</x:v>
      </x:c>
      <x:c r="B44" s="17" t="str">
        <x:v>Qwen3.6-27B Reasoning</x:v>
      </x:c>
      <x:c r="C44" s="64" t="n">
        <x:v>27.8</x:v>
      </x:c>
      <x:c r="D44" s="64" t="n">
        <x:v>27.8</x:v>
      </x:c>
      <x:c r="E44" s="64" t="n">
        <x:f>C44/D44</x:f>
        <x:v>1</x:v>
      </x:c>
      <x:c r="F44" s="17" t="str">
        <x:v>dense/Gated-DeltaNet/multimodal</x:v>
      </x:c>
      <x:c r="G44" s="17" t="str">
        <x:v>Yes</x:v>
      </x:c>
      <x:c r="H44" s="17" t="str">
        <x:v>qwen36</x:v>
      </x:c>
      <x:c r="I44" s="44" t="n">
        <x:v>37</x:v>
      </x:c>
      <x:c r="J44" s="17" t="str">
        <x:v>No</x:v>
      </x:c>
      <x:c r="K44" s="29" t="n">
        <x:v>140</x:v>
      </x:c>
      <x:c r="L44" s="56" t="str">
        <x:v>https://huggingface.co/Qwen/Qwen3.6-27B</x:v>
      </x:c>
      <x:c r="M44" s="56" t="str">
        <x:v>https://artificialanalysis.ai/models/qwen3-6-27b</x:v>
      </x:c>
      <x:c r="N44" s="64" t="n">
        <x:f>D44*POWER(E44,'Regression Model'!$B$7)</x:f>
        <x:v>27.8</x:v>
      </x:c>
      <x:c r="O44" s="30" t="n">
        <x:f>I44+'Regression Model'!$B$12*('Regression Model'!$J$7-A44)/365.25</x:f>
        <x:v>41.3406356712531</x:v>
      </x:c>
      <x:c r="P44" s="30" t="n">
        <x:f>'Regression Model'!$B$8+'Regression Model'!$B$11*LOG(N44,2)+'Regression Model'!$B$12*((A44-'Regression Model'!$J$8)/365.25)+'Regression Model'!$B$13*IF(G44="Yes",1,0)+'Regression Model'!$B$14*IF(E44&gt;1.05,1,0)</x:f>
        <x:v>26.32981070146206</x:v>
      </x:c>
      <x:c r="Q44" s="30" t="n">
        <x:f>I44-P44</x:f>
        <x:v>10.670189298537942</x:v>
      </x:c>
    </x:row>
    <x:row r="45">
      <x:c r="A45" s="26" t="n">
        <x:v>46136</x:v>
      </x:c>
      <x:c r="B45" s="17" t="str">
        <x:v>DeepSeek-V4-Pro (max)</x:v>
      </x:c>
      <x:c r="C45" s="64" t="n">
        <x:v>1600</x:v>
      </x:c>
      <x:c r="D45" s="64" t="n">
        <x:v>49</x:v>
      </x:c>
      <x:c r="E45" s="64" t="n">
        <x:f>C45/D45</x:f>
        <x:v>32.6530612244898</x:v>
      </x:c>
      <x:c r="F45" s="17" t="str">
        <x:v>MoE/hybrid-compressed-attention</x:v>
      </x:c>
      <x:c r="G45" s="17" t="str">
        <x:v>Yes</x:v>
      </x:c>
      <x:c r="H45" s="17" t="str">
        <x:v>deepseek_v4</x:v>
      </x:c>
      <x:c r="I45" s="44" t="n">
        <x:v>44</x:v>
      </x:c>
      <x:c r="J45" s="17" t="str">
        <x:v>No</x:v>
      </x:c>
      <x:c r="K45" s="29"/>
      <x:c r="L45" s="56" t="str">
        <x:v>https://huggingface.co/deepseek-ai/DeepSeek-V4-Pro</x:v>
      </x:c>
      <x:c r="M45" s="56" t="str">
        <x:v>https://artificialanalysis.ai/models/deepseek-v4-pro</x:v>
      </x:c>
      <x:c r="N45" s="64" t="n">
        <x:f>D45*POWER(E45,'Regression Model'!$B$7)</x:f>
        <x:v>1600</x:v>
      </x:c>
      <x:c r="O45" s="30" t="n">
        <x:f>I45+'Regression Model'!$B$12*('Regression Model'!$J$7-A45)/365.25</x:f>
        <x:v>48.23850306722361</x:v>
      </x:c>
      <x:c r="P45" s="30" t="n">
        <x:f>'Regression Model'!$B$8+'Regression Model'!$B$11*LOG(N45,2)+'Regression Model'!$B$12*((A45-'Regression Model'!$J$8)/365.25)+'Regression Model'!$B$13*IF(G45="Yes",1,0)+'Regression Model'!$B$14*IF(E45&gt;1.05,1,0)</x:f>
        <x:v>42.975628177839276</x:v>
      </x:c>
      <x:c r="Q45" s="30" t="n">
        <x:f>I45-P45</x:f>
        <x:v>1.0243718221607239</x:v>
      </x:c>
    </x:row>
    <x:row r="46">
      <x:c r="A46" s="26" t="n">
        <x:v>46174</x:v>
      </x:c>
      <x:c r="B46" s="17" t="str">
        <x:v>MiniMax-M3</x:v>
      </x:c>
      <x:c r="C46" s="64" t="n">
        <x:v>428</x:v>
      </x:c>
      <x:c r="D46" s="64" t="n">
        <x:v>23</x:v>
      </x:c>
      <x:c r="E46" s="64" t="n">
        <x:f>C46/D46</x:f>
        <x:v>18.608695652173914</x:v>
      </x:c>
      <x:c r="F46" s="17" t="str">
        <x:v>MoE/multimodal/sparse-attention</x:v>
      </x:c>
      <x:c r="G46" s="17" t="str">
        <x:v>Yes</x:v>
      </x:c>
      <x:c r="H46" s="17" t="str">
        <x:v>minimax_m3</x:v>
      </x:c>
      <x:c r="I46" s="44" t="n">
        <x:v>44</x:v>
      </x:c>
      <x:c r="J46" s="17" t="str">
        <x:v>No</x:v>
      </x:c>
      <x:c r="K46" s="29" t="n">
        <x:v>89</x:v>
      </x:c>
      <x:c r="L46" s="56" t="str">
        <x:v>https://huggingface.co/MiniMaxAI/MiniMax-M3</x:v>
      </x:c>
      <x:c r="M46" s="56" t="str">
        <x:v>https://artificialanalysis.ai/models/minimax-m3</x:v>
      </x:c>
      <x:c r="N46" s="64" t="n">
        <x:f>D46*POWER(E46,'Regression Model'!$B$7)</x:f>
        <x:v>428</x:v>
      </x:c>
      <x:c r="O46" s="30" t="n">
        <x:f>I46+'Regression Model'!$B$12*('Regression Model'!$J$7-A46)/365.25</x:f>
        <x:v>46.2979835906634</x:v>
      </x:c>
      <x:c r="P46" s="30" t="n">
        <x:f>'Regression Model'!$B$8+'Regression Model'!$B$11*LOG(N46,2)+'Regression Model'!$B$12*((A46-'Regression Model'!$J$8)/365.25)+'Regression Model'!$B$13*IF(G46="Yes",1,0)+'Regression Model'!$B$14*IF(E46&gt;1.05,1,0)</x:f>
        <x:v>39.53332373654483</x:v>
      </x:c>
      <x:c r="Q46" s="30" t="n">
        <x:f>I46-P46</x:f>
        <x:v>4.46667626345517</x:v>
      </x:c>
    </x:row>
    <x:row r="47">
      <x:c r="A47" s="26" t="n">
        <x:v>46175</x:v>
      </x:c>
      <x:c r="B47" s="17" t="str">
        <x:v>Nex-N2-Pro</x:v>
      </x:c>
      <x:c r="C47" s="64" t="n">
        <x:v>397</x:v>
      </x:c>
      <x:c r="D47" s="64" t="n">
        <x:v>17</x:v>
      </x:c>
      <x:c r="E47" s="64" t="n">
        <x:f>C47/D47</x:f>
        <x:v>23.352941176470587</x:v>
      </x:c>
      <x:c r="F47" s="17" t="str">
        <x:v>MoE/multimodal</x:v>
      </x:c>
      <x:c r="G47" s="17" t="str">
        <x:v>Yes</x:v>
      </x:c>
      <x:c r="H47" s="17" t="str">
        <x:v>qwen35</x:v>
      </x:c>
      <x:c r="I47" s="44" t="n">
        <x:v>41</x:v>
      </x:c>
      <x:c r="J47" s="17" t="str">
        <x:v>No</x:v>
      </x:c>
      <x:c r="K47" s="29" t="n">
        <x:v>97</x:v>
      </x:c>
      <x:c r="L47" s="56" t="str">
        <x:v>https://huggingface.co/nex-agi/Nex-N2-Pro</x:v>
      </x:c>
      <x:c r="M47" s="56" t="str">
        <x:v>https://artificialanalysis.ai/models/nex-n2-pro</x:v>
      </x:c>
      <x:c r="N47" s="64" t="n">
        <x:f>D47*POWER(E47,'Regression Model'!$B$7)</x:f>
        <x:v>397</x:v>
      </x:c>
      <x:c r="O47" s="30" t="n">
        <x:f>I47+'Regression Model'!$B$12*('Regression Model'!$J$7-A47)/365.25</x:f>
        <x:v>43.24691728864866</x:v>
      </x:c>
      <x:c r="P47" s="30" t="n">
        <x:f>'Regression Model'!$B$8+'Regression Model'!$B$11*LOG(N47,2)+'Regression Model'!$B$12*((A47-'Regression Model'!$J$8)/365.25)+'Regression Model'!$B$13*IF(G47="Yes",1,0)+'Regression Model'!$B$14*IF(E47&gt;1.05,1,0)</x:f>
        <x:v>39.27746833158392</x:v>
      </x:c>
      <x:c r="Q47" s="30" t="n">
        <x:f>I47-P47</x:f>
        <x:v>1.7225316684160816</x:v>
      </x:c>
    </x:row>
    <x:row r="48">
      <x:c r="A48" s="26" t="n">
        <x:v>46177</x:v>
      </x:c>
      <x:c r="B48" s="17" t="str">
        <x:v>Nemotron 3 Ultra 550B A55B</x:v>
      </x:c>
      <x:c r="C48" s="64" t="n">
        <x:v>550</x:v>
      </x:c>
      <x:c r="D48" s="64" t="n">
        <x:v>55</x:v>
      </x:c>
      <x:c r="E48" s="64" t="n">
        <x:f>C48/D48</x:f>
        <x:v>10</x:v>
      </x:c>
      <x:c r="F48" s="17" t="str">
        <x:v>MoE/LatentMoE/Mamba2</x:v>
      </x:c>
      <x:c r="G48" s="17" t="str">
        <x:v>Yes</x:v>
      </x:c>
      <x:c r="H48" s="17" t="str">
        <x:v>nemotron3</x:v>
      </x:c>
      <x:c r="I48" s="44" t="n">
        <x:v>38</x:v>
      </x:c>
      <x:c r="J48" s="17" t="str">
        <x:v>No</x:v>
      </x:c>
      <x:c r="K48" s="29"/>
      <x:c r="L48" s="56" t="str">
        <x:v>https://huggingface.co/nvidia/NVIDIA-Nemotron-3-Ultra-550B-A55B-BF16</x:v>
      </x:c>
      <x:c r="M48" s="56" t="str">
        <x:v>https://artificialanalysis.ai/models/nvidia-nemotron-3-ultra-550b-a55b</x:v>
      </x:c>
      <x:c r="N48" s="64" t="n">
        <x:f>D48*POWER(E48,'Regression Model'!$B$7)</x:f>
        <x:v>550</x:v>
      </x:c>
      <x:c r="O48" s="30" t="n">
        <x:f>I48+'Regression Model'!$B$12*('Regression Model'!$J$7-A48)/365.25</x:f>
        <x:v>40.144784684619175</x:v>
      </x:c>
      <x:c r="P48" s="30" t="n">
        <x:f>'Regression Model'!$B$8+'Regression Model'!$B$11*LOG(N48,2)+'Regression Model'!$B$12*((A48-'Regression Model'!$J$8)/365.25)+'Regression Model'!$B$13*IF(G48="Yes",1,0)+'Regression Model'!$B$14*IF(E48&gt;1.05,1,0)</x:f>
        <x:v>40.7102972578172</x:v>
      </x:c>
      <x:c r="Q48" s="30" t="n">
        <x:f>I48-P48</x:f>
        <x:v>-2.710297257817203</x:v>
      </x:c>
    </x:row>
    <x:row r="49">
      <x:c r="A49" s="26" t="n">
        <x:v>46182</x:v>
      </x:c>
      <x:c r="B49" s="17" t="str">
        <x:v>North Mini Code</x:v>
      </x:c>
      <x:c r="C49" s="64" t="n">
        <x:v>30</x:v>
      </x:c>
      <x:c r="D49" s="64" t="n">
        <x:v>3</x:v>
      </x:c>
      <x:c r="E49" s="64" t="n">
        <x:f>C49/D49</x:f>
        <x:v>10</x:v>
      </x:c>
      <x:c r="F49" s="17" t="str">
        <x:v>MoE/coder</x:v>
      </x:c>
      <x:c r="G49" s="17" t="str">
        <x:v>Yes</x:v>
      </x:c>
      <x:c r="H49" s="17" t="str">
        <x:v>north</x:v>
      </x:c>
      <x:c r="I49" s="44" t="n">
        <x:v>21</x:v>
      </x:c>
      <x:c r="J49" s="17" t="str">
        <x:v>Yes</x:v>
      </x:c>
      <x:c r="K49" s="29"/>
      <x:c r="L49" s="56" t="str">
        <x:v>https://docs.cohere.com/changelog/north-mini-code-1-0</x:v>
      </x:c>
      <x:c r="M49" s="56" t="str">
        <x:v>https://artificialanalysis.ai/models/north-mini-code</x:v>
      </x:c>
      <x:c r="N49" s="64" t="n">
        <x:f>D49*POWER(E49,'Regression Model'!$B$7)</x:f>
        <x:v>30</x:v>
      </x:c>
      <x:c r="O49" s="30" t="n">
        <x:f>I49+'Regression Model'!$B$12*('Regression Model'!$J$7-A49)/365.25</x:f>
        <x:v>22.889453174545466</x:v>
      </x:c>
      <x:c r="P49" s="30" t="n">
        <x:f>'Regression Model'!$B$8+'Regression Model'!$B$11*LOG(N49,2)+'Regression Model'!$B$12*((A49-'Regression Model'!$J$8)/365.25)+'Regression Model'!$B$13*IF(G49="Yes",1,0)+'Regression Model'!$B$14*IF(E49&gt;1.05,1,0)</x:f>
        <x:v>29.091892707025806</x:v>
      </x:c>
      <x:c r="Q49" s="30" t="n">
        <x:f>I49-P49</x:f>
        <x:v>-8.091892707025806</x:v>
      </x:c>
    </x:row>
    <x:row r="50">
      <x:c r="A50" s="26" t="n">
        <x:v>46185</x:v>
      </x:c>
      <x:c r="B50" s="17" t="str">
        <x:v>Kimi K2.7 Code</x:v>
      </x:c>
      <x:c r="C50" s="64" t="n">
        <x:v>1000</x:v>
      </x:c>
      <x:c r="D50" s="64" t="n">
        <x:v>32</x:v>
      </x:c>
      <x:c r="E50" s="64" t="n">
        <x:f>C50/D50</x:f>
        <x:v>31.25</x:v>
      </x:c>
      <x:c r="F50" s="17" t="str">
        <x:v>MoE/coder/multimodal</x:v>
      </x:c>
      <x:c r="G50" s="17" t="str">
        <x:v>Yes</x:v>
      </x:c>
      <x:c r="H50" s="17" t="str">
        <x:v>kimi_k2</x:v>
      </x:c>
      <x:c r="I50" s="44" t="n">
        <x:v>42</x:v>
      </x:c>
      <x:c r="J50" s="17" t="str">
        <x:v>No</x:v>
      </x:c>
      <x:c r="K50" s="29" t="n">
        <x:v>100</x:v>
      </x:c>
      <x:c r="L50" s="56" t="str">
        <x:v>https://www.kimi.com/zh-cn/resources/kimi-k2-7-code</x:v>
      </x:c>
      <x:c r="M50" s="56" t="str">
        <x:v>https://artificialanalysis.ai/models/kimi-k2-7-code</x:v>
      </x:c>
      <x:c r="N50" s="64" t="n">
        <x:f>D50*POWER(E50,'Regression Model'!$B$7)</x:f>
        <x:v>1000</x:v>
      </x:c>
      <x:c r="O50" s="30" t="n">
        <x:f>I50+'Regression Model'!$B$12*('Regression Model'!$J$7-A50)/365.25</x:f>
        <x:v>43.736254268501234</x:v>
      </x:c>
      <x:c r="P50" s="30" t="n">
        <x:f>'Regression Model'!$B$8+'Regression Model'!$B$11*LOG(N50,2)+'Regression Model'!$B$12*((A50-'Regression Model'!$J$8)/365.25)+'Regression Model'!$B$13*IF(G50="Yes",1,0)+'Regression Model'!$B$14*IF(E50&gt;1.05,1,0)</x:f>
        <x:v>43.559267649725165</x:v>
      </x:c>
      <x:c r="Q50" s="30" t="n">
        <x:f>I50-P50</x:f>
        <x:v>-1.5592676497251645</x:v>
      </x:c>
    </x:row>
    <x:row r="51">
      <x:c r="A51" s="26" t="n">
        <x:v>46189</x:v>
      </x:c>
      <x:c r="B51" s="17" t="str">
        <x:v>GLM-5.2 (max)</x:v>
      </x:c>
      <x:c r="C51" s="64" t="n">
        <x:v>744</x:v>
      </x:c>
      <x:c r="D51" s="64" t="n">
        <x:v>40</x:v>
      </x:c>
      <x:c r="E51" s="64" t="n">
        <x:f>C51/D51</x:f>
        <x:v>18.6</x:v>
      </x:c>
      <x:c r="F51" s="17" t="str">
        <x:v>MoE/IndexShare-sparse-attention</x:v>
      </x:c>
      <x:c r="G51" s="17" t="str">
        <x:v>Yes</x:v>
      </x:c>
      <x:c r="H51" s="17" t="str">
        <x:v>glm</x:v>
      </x:c>
      <x:c r="I51" s="44" t="n">
        <x:v>51</x:v>
      </x:c>
      <x:c r="J51" s="17" t="str">
        <x:v>No</x:v>
      </x:c>
      <x:c r="K51" s="29" t="n">
        <x:v>140</x:v>
      </x:c>
      <x:c r="L51" s="56" t="str">
        <x:v>https://huggingface.co/zai-org/GLM-5.2</x:v>
      </x:c>
      <x:c r="M51" s="56" t="str">
        <x:v>https://artificialanalysis.ai/models/glm-5-2</x:v>
      </x:c>
      <x:c r="N51" s="64" t="n">
        <x:f>D51*POWER(E51,'Regression Model'!$B$7)</x:f>
        <x:v>744</x:v>
      </x:c>
      <x:c r="O51" s="30" t="n">
        <x:f>I51+'Regression Model'!$B$12*('Regression Model'!$J$7-A51)/365.25</x:f>
        <x:v>52.53198906044227</x:v>
      </x:c>
      <x:c r="P51" s="30" t="n">
        <x:f>'Regression Model'!$B$8+'Regression Model'!$B$11*LOG(N51,2)+'Regression Model'!$B$12*((A51-'Regression Model'!$J$8)/365.25)+'Regression Model'!$B$13*IF(G51="Yes",1,0)+'Regression Model'!$B$14*IF(E51&gt;1.05,1,0)</x:f>
        <x:v>42.55639301545299</x:v>
      </x:c>
      <x:c r="Q51" s="30" t="n">
        <x:f>I51-P51</x:f>
        <x:v>8.44360698454701</x:v>
      </x:c>
    </x:row>
    <x:row r="52">
      <x:c r="A52" s="26" t="n">
        <x:v>46202</x:v>
      </x:c>
      <x:c r="B52" s="17" t="str">
        <x:v>LongCat 2.0</x:v>
      </x:c>
      <x:c r="C52" s="64" t="n">
        <x:v>1600</x:v>
      </x:c>
      <x:c r="D52" s="64" t="n">
        <x:v>48</x:v>
      </x:c>
      <x:c r="E52" s="64" t="n">
        <x:f>C52/D52</x:f>
        <x:v>33.333333333333336</x:v>
      </x:c>
      <x:c r="F52" s="17" t="str">
        <x:v>MoE</x:v>
      </x:c>
      <x:c r="G52" s="17" t="str">
        <x:v>Yes</x:v>
      </x:c>
      <x:c r="H52" s="17" t="str">
        <x:v>longcat</x:v>
      </x:c>
      <x:c r="I52" s="44" t="n">
        <x:v>33</x:v>
      </x:c>
      <x:c r="J52" s="17" t="str">
        <x:v>No</x:v>
      </x:c>
      <x:c r="K52" s="29" t="n">
        <x:v>130</x:v>
      </x:c>
      <x:c r="L52" s="56" t="str">
        <x:v>https://huggingface.co/meituan-longcat/LongCat-2.0</x:v>
      </x:c>
      <x:c r="M52" s="56" t="str">
        <x:v>https://artificialanalysis.ai/models/longcat-2-0</x:v>
      </x:c>
      <x:c r="N52" s="64" t="n">
        <x:f>D52*POWER(E52,'Regression Model'!$B$7)</x:f>
        <x:v>1600</x:v>
      </x:c>
      <x:c r="O52" s="30" t="n">
        <x:f>I52+'Regression Model'!$B$12*('Regression Model'!$J$7-A52)/365.25</x:f>
        <x:v>33.86812713425062</x:v>
      </x:c>
      <x:c r="P52" s="30" t="n">
        <x:f>'Regression Model'!$B$8+'Regression Model'!$B$11*LOG(N52,2)+'Regression Model'!$B$12*((A52-'Regression Model'!$J$8)/365.25)+'Regression Model'!$B$13*IF(G52="Yes",1,0)+'Regression Model'!$B$14*IF(E52&gt;1.05,1,0)</x:f>
        <x:v>46.34600411081227</x:v>
      </x:c>
      <x:c r="Q52" s="30" t="n">
        <x:f>I52-P52</x:f>
        <x:v>-13.346004110812267</x:v>
      </x:c>
    </x:row>
    <x:row r="53">
      <x:c r="A53" s="26" t="n">
        <x:v>46209</x:v>
      </x:c>
      <x:c r="B53" s="17" t="str">
        <x:v>Hy3</x:v>
      </x:c>
      <x:c r="C53" s="64" t="n">
        <x:v>295</x:v>
      </x:c>
      <x:c r="D53" s="64" t="n">
        <x:v>21</x:v>
      </x:c>
      <x:c r="E53" s="64" t="n">
        <x:f>C53/D53</x:f>
        <x:v>14.047619047619047</x:v>
      </x:c>
      <x:c r="F53" s="17" t="str">
        <x:v>MoE/hybrid-thinking</x:v>
      </x:c>
      <x:c r="G53" s="17" t="str">
        <x:v>Yes</x:v>
      </x:c>
      <x:c r="H53" s="17" t="str">
        <x:v>hy3</x:v>
      </x:c>
      <x:c r="I53" s="44" t="n">
        <x:v>41</x:v>
      </x:c>
      <x:c r="J53" s="17" t="str">
        <x:v>No</x:v>
      </x:c>
      <x:c r="K53" s="29" t="n">
        <x:v>140</x:v>
      </x:c>
      <x:c r="L53" s="56" t="str">
        <x:v>https://huggingface.co/tencent/Hy3</x:v>
      </x:c>
      <x:c r="M53" s="56" t="str">
        <x:v>https://artificialanalysis.ai/models/hy3</x:v>
      </x:c>
      <x:c r="N53" s="64" t="n">
        <x:f>D53*POWER(E53,'Regression Model'!$B$7)</x:f>
        <x:v>295</x:v>
      </x:c>
      <x:c r="O53" s="30" t="n">
        <x:f>I53+'Regression Model'!$B$12*('Regression Model'!$J$7-A53)/365.25</x:f>
        <x:v>41.510663020147426</x:v>
      </x:c>
      <x:c r="P53" s="30" t="n">
        <x:f>'Regression Model'!$B$8+'Regression Model'!$B$11*LOG(N53,2)+'Regression Model'!$B$12*((A53-'Regression Model'!$J$8)/365.25)+'Regression Model'!$B$13*IF(G53="Yes",1,0)+'Regression Model'!$B$14*IF(E53&gt;1.05,1,0)</x:f>
        <x:v>39.80149366459121</x:v>
      </x:c>
      <x:c r="Q53" s="30" t="n">
        <x:f>I53-P53</x:f>
        <x:v>1.198506335408787</x:v>
      </x:c>
    </x:row>
    <x:row r="54">
      <x:c r="A54" s="42" t="n">
        <x:v>46218</x:v>
      </x:c>
      <x:c r="B54" s="18" t="str">
        <x:v>Inkling (xhigh)</x:v>
      </x:c>
      <x:c r="C54" s="65" t="n">
        <x:v>975</x:v>
      </x:c>
      <x:c r="D54" s="65" t="n">
        <x:v>41</x:v>
      </x:c>
      <x:c r="E54" s="65" t="n">
        <x:f>C54/D54</x:f>
        <x:v>23.78048780487805</x:v>
      </x:c>
      <x:c r="F54" s="18" t="str">
        <x:v>MoE/multimodal</x:v>
      </x:c>
      <x:c r="G54" s="18" t="str">
        <x:v>Yes</x:v>
      </x:c>
      <x:c r="H54" s="18" t="str">
        <x:v>inkling</x:v>
      </x:c>
      <x:c r="I54" s="45" t="n">
        <x:v>41</x:v>
      </x:c>
      <x:c r="J54" s="18" t="str">
        <x:v>No</x:v>
      </x:c>
      <x:c r="K54" s="37" t="n">
        <x:v>130</x:v>
      </x:c>
      <x:c r="L54" s="58" t="str">
        <x:v>https://thinkingmachines.ai/news/introducing-inkling/</x:v>
      </x:c>
      <x:c r="M54" s="58" t="str">
        <x:v>https://artificialanalysis.ai/models/inkling</x:v>
      </x:c>
      <x:c r="N54" s="65" t="n">
        <x:f>D54*POWER(E54,'Regression Model'!$B$7)</x:f>
        <x:v>975</x:v>
      </x:c>
      <x:c r="O54" s="35" t="n">
        <x:f>I54+'Regression Model'!$B$12*('Regression Model'!$J$7-A54)/365.25</x:f>
        <x:v>41.05106630201474</x:v>
      </x:c>
      <x:c r="P54" s="35" t="n">
        <x:f>'Regression Model'!$B$8+'Regression Model'!$B$11*LOG(N54,2)+'Regression Model'!$B$12*((A54-'Regression Model'!$J$8)/365.25)+'Regression Model'!$B$13*IF(G54="Yes",1,0)+'Regression Model'!$B$14*IF(E54&gt;1.05,1,0)</x:f>
        <x:v>45.14110538759392</x:v>
      </x:c>
      <x:c r="Q54" s="35" t="n">
        <x:f>I54-P54</x:f>
        <x:v>-4.141105387593917</x:v>
      </x:c>
    </x:row>
  </x:sheetData>
  <x:mergeCells>
    <x:mergeCell ref="A1:Q1"/>
    <x:mergeCell ref="A2:Q3"/>
  </x:mergeCells>
  <x:conditionalFormatting sqref="J5:J54">
    <x:cfRule type="containsText" dxfId="1" priority="1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2f665cd0b0c84b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13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44" hidden="0" customWidth="1"/>
    <x:col min="14" max="14" width="16" hidden="0" customWidth="1"/>
    <x:col min="15" max="15" width="16" hidden="0" customWidth="1"/>
    <x:col min="16" max="16" width="16" hidden="0" customWidth="1"/>
    <x:col min="17" max="17" width="42" hidden="0" customWidth="1"/>
  </x:cols>
  <x:sheetData>
    <x:row r="1" ht="36" customHeight="1">
      <x:c r="A1" s="3" t="str">
        <x:v>Extended open-weight calibration panel: Epoch ECI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The 2023–2026 panel identifies the vintage effect over multiple generations. ECI is a broad latent-capability index and an upper envelope across available evaluation settings; it is used as a robustness model, not mixed directly into AA scores.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</x:row>
    <x:row r="4" ht="34" customHeight="1">
      <x:c r="A4" s="11" t="str">
        <x:v>Release Date</x:v>
      </x:c>
      <x:c r="B4" s="11" t="str">
        <x:v>Model</x:v>
      </x:c>
      <x:c r="C4" s="11" t="str">
        <x:v>Total Params (B)</x:v>
      </x:c>
      <x:c r="D4" s="11" t="str">
        <x:v>Active Params (B)</x:v>
      </x:c>
      <x:c r="E4" s="11" t="str">
        <x:v>Total / Active</x:v>
      </x:c>
      <x:c r="F4" s="11" t="str">
        <x:v>Architecture</x:v>
      </x:c>
      <x:c r="G4" s="11" t="str">
        <x:v>Reasoning</x:v>
      </x:c>
      <x:c r="H4" s="11" t="str">
        <x:v>Lineage Cluster</x:v>
      </x:c>
      <x:c r="I4" s="11" t="str">
        <x:v>ECI</x:v>
      </x:c>
      <x:c r="J4" s="11" t="str">
        <x:v>ECI 90% Low</x:v>
      </x:c>
      <x:c r="K4" s="11" t="str">
        <x:v>ECI 90% High</x:v>
      </x:c>
      <x:c r="L4" s="11" t="str">
        <x:v>CI Width</x:v>
      </x:c>
      <x:c r="M4" s="11" t="str">
        <x:v>Epoch Model Source</x:v>
      </x:c>
      <x:c r="N4" s="11" t="str">
        <x:v>Effective Scale (B)</x:v>
      </x:c>
      <x:c r="O4" s="11" t="str">
        <x:v>Fitted Score</x:v>
      </x:c>
      <x:c r="P4" s="11" t="str">
        <x:v>Residual</x:v>
      </x:c>
      <x:c r="Q4" s="11" t="str">
        <x:v>Parameter Source Note</x:v>
      </x:c>
    </x:row>
    <x:row r="5">
      <x:c r="A5" s="25" t="n">
        <x:v>46189</x:v>
      </x:c>
      <x:c r="B5" s="16" t="str">
        <x:v>GLM-5.2</x:v>
      </x:c>
      <x:c r="C5" s="63" t="n">
        <x:v>744</x:v>
      </x:c>
      <x:c r="D5" s="63" t="n">
        <x:v>40</x:v>
      </x:c>
      <x:c r="E5" s="63" t="n">
        <x:f>C5/D5</x:f>
        <x:v>18.6</x:v>
      </x:c>
      <x:c r="F5" s="16" t="str">
        <x:v>MoE</x:v>
      </x:c>
      <x:c r="G5" s="16" t="str">
        <x:v>Yes</x:v>
      </x:c>
      <x:c r="H5" s="16" t="str">
        <x:v>glm</x:v>
      </x:c>
      <x:c r="I5" s="34" t="n">
        <x:v>151.6</x:v>
      </x:c>
      <x:c r="J5" s="34" t="n">
        <x:v>149.97</x:v>
      </x:c>
      <x:c r="K5" s="34" t="n">
        <x:v>153.86</x:v>
      </x:c>
      <x:c r="L5" s="34" t="n">
        <x:v>3.890000000000015</x:v>
      </x:c>
      <x:c r="M5" s="66" t="str">
        <x:v>https://epoch.ai/models/glm-5-2</x:v>
      </x:c>
      <x:c r="N5" s="34" t="n">
        <x:f>D5*POWER(E5,'Regression Model'!$F$7)</x:f>
        <x:v>40</x:v>
      </x:c>
      <x:c r="O5" s="34" t="n">
        <x:f>'Regression Model'!$F$8+'Regression Model'!$F$11*LOG(N5,2)+'Regression Model'!$F$12*((A5-'Regression Model'!$J$8)/365.25)+'Regression Model'!$F$13*IF(G5="Yes",1,0)+'Regression Model'!$F$14*IF(E5&gt;1.05,1,0)</x:f>
        <x:v>155.7777418167941</x:v>
      </x:c>
      <x:c r="P5" s="34" t="n">
        <x:f>I5-O5</x:f>
        <x:v>-4.177741816794111</x:v>
      </x:c>
      <x:c r="Q5" s="54" t="str">
        <x:v>Parameter mapping from official model names/cards; Epoch AI Models dataset provides the common metadata cross-check.</x:v>
      </x:c>
    </x:row>
    <x:row r="6">
      <x:c r="A6" s="26" t="n">
        <x:v>46185</x:v>
      </x:c>
      <x:c r="B6" s="17" t="str">
        <x:v>Kimi K2.7 Code</x:v>
      </x:c>
      <x:c r="C6" s="64" t="n">
        <x:v>1040</x:v>
      </x:c>
      <x:c r="D6" s="64" t="n">
        <x:v>32</x:v>
      </x:c>
      <x:c r="E6" s="64" t="n">
        <x:f>C6/D6</x:f>
        <x:v>32.5</x:v>
      </x:c>
      <x:c r="F6" s="17" t="str">
        <x:v>MoE</x:v>
      </x:c>
      <x:c r="G6" s="17" t="str">
        <x:v>Yes</x:v>
      </x:c>
      <x:c r="H6" s="17" t="str">
        <x:v>kimi_k2</x:v>
      </x:c>
      <x:c r="I6" s="30" t="n">
        <x:v>150.07</x:v>
      </x:c>
      <x:c r="J6" s="30" t="n">
        <x:v>148.48</x:v>
      </x:c>
      <x:c r="K6" s="30" t="n">
        <x:v>151.25</x:v>
      </x:c>
      <x:c r="L6" s="30" t="n">
        <x:v>2.7700000000000102</x:v>
      </x:c>
      <x:c r="M6" s="67" t="str">
        <x:v>https://epoch.ai/models/kimi-k2-7-code</x:v>
      </x:c>
      <x:c r="N6" s="30" t="n">
        <x:f>D6*POWER(E6,'Regression Model'!$F$7)</x:f>
        <x:v>32</x:v>
      </x:c>
      <x:c r="O6" s="30" t="n">
        <x:f>'Regression Model'!$F$8+'Regression Model'!$F$11*LOG(N6,2)+'Regression Model'!$F$12*((A6-'Regression Model'!$J$8)/365.25)+'Regression Model'!$F$13*IF(G6="Yes",1,0)+'Regression Model'!$F$14*IF(E6&gt;1.05,1,0)</x:f>
        <x:v>154.43569127183258</x:v>
      </x:c>
      <x:c r="P6" s="30" t="n">
        <x:f>I6-O6</x:f>
        <x:v>-4.365691271832588</x:v>
      </x:c>
      <x:c r="Q6" s="56" t="str">
        <x:v>Parameter mapping from official model names/cards; Epoch AI Models dataset provides the common metadata cross-check.</x:v>
      </x:c>
    </x:row>
    <x:row r="7">
      <x:c r="A7" s="26" t="n">
        <x:v>46136</x:v>
      </x:c>
      <x:c r="B7" s="17" t="str">
        <x:v>DeepSeek-V4-Pro</x:v>
      </x:c>
      <x:c r="C7" s="64" t="n">
        <x:v>1600</x:v>
      </x:c>
      <x:c r="D7" s="64" t="n">
        <x:v>49</x:v>
      </x:c>
      <x:c r="E7" s="64" t="n">
        <x:f>C7/D7</x:f>
        <x:v>32.6530612244898</x:v>
      </x:c>
      <x:c r="F7" s="17" t="str">
        <x:v>MoE</x:v>
      </x:c>
      <x:c r="G7" s="17" t="str">
        <x:v>Yes</x:v>
      </x:c>
      <x:c r="H7" s="17" t="str">
        <x:v>deepseek_v4</x:v>
      </x:c>
      <x:c r="I7" s="30" t="n">
        <x:v>149.74</x:v>
      </x:c>
      <x:c r="J7" s="30" t="n">
        <x:v>147.87</x:v>
      </x:c>
      <x:c r="K7" s="30" t="n">
        <x:v>152.06</x:v>
      </x:c>
      <x:c r="L7" s="30" t="n">
        <x:v>4.189999999999998</x:v>
      </x:c>
      <x:c r="M7" s="67" t="str">
        <x:v>https://epoch.ai/models/deepseek-v4-pro</x:v>
      </x:c>
      <x:c r="N7" s="30" t="n">
        <x:f>D7*POWER(E7,'Regression Model'!$F$7)</x:f>
        <x:v>49</x:v>
      </x:c>
      <x:c r="O7" s="30" t="n">
        <x:f>'Regression Model'!$F$8+'Regression Model'!$F$11*LOG(N7,2)+'Regression Model'!$F$12*((A7-'Regression Model'!$J$8)/365.25)+'Regression Model'!$F$13*IF(G7="Yes",1,0)+'Regression Model'!$F$14*IF(E7&gt;1.05,1,0)</x:f>
        <x:v>155.07768741089188</x:v>
      </x:c>
      <x:c r="P7" s="30" t="n">
        <x:f>I7-O7</x:f>
        <x:v>-5.337687410891874</x:v>
      </x:c>
      <x:c r="Q7" s="56" t="str">
        <x:v>Parameter mapping from official model names/cards; Epoch AI Models dataset provides the common metadata cross-check.</x:v>
      </x:c>
    </x:row>
    <x:row r="8">
      <x:c r="A8" s="26" t="n">
        <x:v>46132</x:v>
      </x:c>
      <x:c r="B8" s="17" t="str">
        <x:v>Kimi K2.6</x:v>
      </x:c>
      <x:c r="C8" s="64" t="n">
        <x:v>1040</x:v>
      </x:c>
      <x:c r="D8" s="64" t="n">
        <x:v>32</x:v>
      </x:c>
      <x:c r="E8" s="64" t="n">
        <x:f>C8/D8</x:f>
        <x:v>32.5</x:v>
      </x:c>
      <x:c r="F8" s="17" t="str">
        <x:v>MoE</x:v>
      </x:c>
      <x:c r="G8" s="17" t="str">
        <x:v>Yes</x:v>
      </x:c>
      <x:c r="H8" s="17" t="str">
        <x:v>kimi_k2</x:v>
      </x:c>
      <x:c r="I8" s="30" t="n">
        <x:v>151.02</x:v>
      </x:c>
      <x:c r="J8" s="30" t="n">
        <x:v>149.18</x:v>
      </x:c>
      <x:c r="K8" s="30" t="n">
        <x:v>152.53</x:v>
      </x:c>
      <x:c r="L8" s="30" t="n">
        <x:v>3.3499999999999943</x:v>
      </x:c>
      <x:c r="M8" s="67" t="str">
        <x:v>https://epoch.ai/models/kimi-k2-6</x:v>
      </x:c>
      <x:c r="N8" s="30" t="n">
        <x:f>D8*POWER(E8,'Regression Model'!$F$7)</x:f>
        <x:v>32</x:v>
      </x:c>
      <x:c r="O8" s="30" t="n">
        <x:f>'Regression Model'!$F$8+'Regression Model'!$F$11*LOG(N8,2)+'Regression Model'!$F$12*((A8-'Regression Model'!$J$8)/365.25)+'Regression Model'!$F$13*IF(G8="Yes",1,0)+'Regression Model'!$F$14*IF(E8&gt;1.05,1,0)</x:f>
        <x:v>152.6384515606849</x:v>
      </x:c>
      <x:c r="P8" s="30" t="n">
        <x:f>I8-O8</x:f>
        <x:v>-1.618451560684889</x:v>
      </x:c>
      <x:c r="Q8" s="56" t="str">
        <x:v>Parameter mapping from official model names/cards; Epoch AI Models dataset provides the common metadata cross-check.</x:v>
      </x:c>
    </x:row>
    <x:row r="9">
      <x:c r="A9" s="26" t="n">
        <x:v>46099</x:v>
      </x:c>
      <x:c r="B9" s="17" t="str">
        <x:v>MiniMax-M2.7</x:v>
      </x:c>
      <x:c r="C9" s="64" t="n">
        <x:v>229</x:v>
      </x:c>
      <x:c r="D9" s="64" t="n">
        <x:v>10</x:v>
      </x:c>
      <x:c r="E9" s="64" t="n">
        <x:f>C9/D9</x:f>
        <x:v>22.9</x:v>
      </x:c>
      <x:c r="F9" s="17" t="str">
        <x:v>MoE</x:v>
      </x:c>
      <x:c r="G9" s="17" t="str">
        <x:v>Yes</x:v>
      </x:c>
      <x:c r="H9" s="17" t="str">
        <x:v>minimax_m2</x:v>
      </x:c>
      <x:c r="I9" s="30" t="n">
        <x:v>145.61</x:v>
      </x:c>
      <x:c r="J9" s="30" t="n">
        <x:v>138.06</x:v>
      </x:c>
      <x:c r="K9" s="30" t="n">
        <x:v>147.75</x:v>
      </x:c>
      <x:c r="L9" s="30" t="n">
        <x:v>9.689999999999998</x:v>
      </x:c>
      <x:c r="M9" s="67" t="str">
        <x:v>https://epoch.ai/models/minimax-m2-7</x:v>
      </x:c>
      <x:c r="N9" s="30" t="n">
        <x:f>D9*POWER(E9,'Regression Model'!$F$7)</x:f>
        <x:v>10</x:v>
      </x:c>
      <x:c r="O9" s="30" t="n">
        <x:f>'Regression Model'!$F$8+'Regression Model'!$F$11*LOG(N9,2)+'Regression Model'!$F$12*((A9-'Regression Model'!$J$8)/365.25)+'Regression Model'!$F$13*IF(G9="Yes",1,0)+'Regression Model'!$F$14*IF(E9&gt;1.05,1,0)</x:f>
        <x:v>145.23092300975398</x:v>
      </x:c>
      <x:c r="P9" s="30" t="n">
        <x:f>I9-O9</x:f>
        <x:v>0.37907699024603403</x:v>
      </x:c>
      <x:c r="Q9" s="56" t="str">
        <x:v>Parameter mapping from official model names/cards; Epoch AI Models dataset provides the common metadata cross-check.</x:v>
      </x:c>
    </x:row>
    <x:row r="10">
      <x:c r="A10" s="26" t="n">
        <x:v>46065</x:v>
      </x:c>
      <x:c r="B10" s="17" t="str">
        <x:v>MiniMax-M2.5</x:v>
      </x:c>
      <x:c r="C10" s="64" t="n">
        <x:v>229</x:v>
      </x:c>
      <x:c r="D10" s="64" t="n">
        <x:v>10</x:v>
      </x:c>
      <x:c r="E10" s="64" t="n">
        <x:f>C10/D10</x:f>
        <x:v>22.9</x:v>
      </x:c>
      <x:c r="F10" s="17" t="str">
        <x:v>MoE</x:v>
      </x:c>
      <x:c r="G10" s="17" t="str">
        <x:v>Yes</x:v>
      </x:c>
      <x:c r="H10" s="17" t="str">
        <x:v>minimax_m2</x:v>
      </x:c>
      <x:c r="I10" s="30" t="n">
        <x:v>147.07</x:v>
      </x:c>
      <x:c r="J10" s="30" t="n">
        <x:v>142.34</x:v>
      </x:c>
      <x:c r="K10" s="30" t="n">
        <x:v>148.14</x:v>
      </x:c>
      <x:c r="L10" s="30" t="n">
        <x:v>5.799999999999983</x:v>
      </x:c>
      <x:c r="M10" s="67" t="str">
        <x:v>https://epoch.ai/models/minimax-m2-5</x:v>
      </x:c>
      <x:c r="N10" s="30" t="n">
        <x:f>D10*POWER(E10,'Regression Model'!$F$7)</x:f>
        <x:v>10</x:v>
      </x:c>
      <x:c r="O10" s="30" t="n">
        <x:f>'Regression Model'!$F$8+'Regression Model'!$F$11*LOG(N10,2)+'Regression Model'!$F$12*((A10-'Regression Model'!$J$8)/365.25)+'Regression Model'!$F$13*IF(G10="Yes",1,0)+'Regression Model'!$F$14*IF(E10&gt;1.05,1,0)</x:f>
        <x:v>144.07797677996112</x:v>
      </x:c>
      <x:c r="P10" s="30" t="n">
        <x:f>I10-O10</x:f>
        <x:v>2.992023220038874</x:v>
      </x:c>
      <x:c r="Q10" s="56" t="str">
        <x:v>Parameter mapping from official model names/cards; Epoch AI Models dataset provides the common metadata cross-check.</x:v>
      </x:c>
    </x:row>
    <x:row r="11">
      <x:c r="A11" s="26" t="n">
        <x:v>46064</x:v>
      </x:c>
      <x:c r="B11" s="17" t="str">
        <x:v>GLM-5</x:v>
      </x:c>
      <x:c r="C11" s="64" t="n">
        <x:v>744</x:v>
      </x:c>
      <x:c r="D11" s="64" t="n">
        <x:v>40</x:v>
      </x:c>
      <x:c r="E11" s="64" t="n">
        <x:f>C11/D11</x:f>
        <x:v>18.6</x:v>
      </x:c>
      <x:c r="F11" s="17" t="str">
        <x:v>MoE</x:v>
      </x:c>
      <x:c r="G11" s="17" t="str">
        <x:v>Yes</x:v>
      </x:c>
      <x:c r="H11" s="17" t="str">
        <x:v>glm</x:v>
      </x:c>
      <x:c r="I11" s="30" t="n">
        <x:v>146.39</x:v>
      </x:c>
      <x:c r="J11" s="30" t="n">
        <x:v>144.52</x:v>
      </x:c>
      <x:c r="K11" s="30" t="n">
        <x:v>147.86</x:v>
      </x:c>
      <x:c r="L11" s="30" t="n">
        <x:v>3.3400000000000034</x:v>
      </x:c>
      <x:c r="M11" s="67" t="str">
        <x:v>https://epoch.ai/models/glm-5</x:v>
      </x:c>
      <x:c r="N11" s="30" t="n">
        <x:f>D11*POWER(E11,'Regression Model'!$F$7)</x:f>
        <x:v>40</x:v>
      </x:c>
      <x:c r="O11" s="30" t="n">
        <x:f>'Regression Model'!$F$8+'Regression Model'!$F$11*LOG(N11,2)+'Regression Model'!$F$12*((A11-'Regression Model'!$J$8)/365.25)+'Regression Model'!$F$13*IF(G11="Yes",1,0)+'Regression Model'!$F$14*IF(E11&gt;1.05,1,0)</x:f>
        <x:v>151.53896891314392</x:v>
      </x:c>
      <x:c r="P11" s="30" t="n">
        <x:f>I11-O11</x:f>
        <x:v>-5.148968913143932</x:v>
      </x:c>
      <x:c r="Q11" s="56" t="str">
        <x:v>Parameter mapping from official model names/cards; Epoch AI Models dataset provides the common metadata cross-check.</x:v>
      </x:c>
    </x:row>
    <x:row r="12">
      <x:c r="A12" s="26" t="n">
        <x:v>46049</x:v>
      </x:c>
      <x:c r="B12" s="17" t="str">
        <x:v>Kimi K2.5</x:v>
      </x:c>
      <x:c r="C12" s="64" t="n">
        <x:v>1040</x:v>
      </x:c>
      <x:c r="D12" s="64" t="n">
        <x:v>32</x:v>
      </x:c>
      <x:c r="E12" s="64" t="n">
        <x:f>C12/D12</x:f>
        <x:v>32.5</x:v>
      </x:c>
      <x:c r="F12" s="17" t="str">
        <x:v>MoE</x:v>
      </x:c>
      <x:c r="G12" s="17" t="str">
        <x:v>Yes</x:v>
      </x:c>
      <x:c r="H12" s="17" t="str">
        <x:v>kimi_k2</x:v>
      </x:c>
      <x:c r="I12" s="30" t="n">
        <x:v>148.24</x:v>
      </x:c>
      <x:c r="J12" s="30" t="n">
        <x:v>146.58</x:v>
      </x:c>
      <x:c r="K12" s="30" t="n">
        <x:v>149.36</x:v>
      </x:c>
      <x:c r="L12" s="30" t="n">
        <x:v>2.780000000000001</x:v>
      </x:c>
      <x:c r="M12" s="67" t="str">
        <x:v>https://epoch.ai/models/kimi-k2-5</x:v>
      </x:c>
      <x:c r="N12" s="30" t="n">
        <x:f>D12*POWER(E12,'Regression Model'!$F$7)</x:f>
        <x:v>32</x:v>
      </x:c>
      <x:c r="O12" s="30" t="n">
        <x:f>'Regression Model'!$F$8+'Regression Model'!$F$11*LOG(N12,2)+'Regression Model'!$F$12*((A12-'Regression Model'!$J$8)/365.25)+'Regression Model'!$F$13*IF(G12="Yes",1,0)+'Regression Model'!$F$14*IF(E12&gt;1.05,1,0)</x:f>
        <x:v>149.82390635266117</x:v>
      </x:c>
      <x:c r="P12" s="30" t="n">
        <x:f>I12-O12</x:f>
        <x:v>-1.5839063526611596</x:v>
      </x:c>
      <x:c r="Q12" s="56" t="str">
        <x:v>Parameter mapping from official model names/cards; Epoch AI Models dataset provides the common metadata cross-check.</x:v>
      </x:c>
    </x:row>
    <x:row r="13">
      <x:c r="A13" s="26" t="n">
        <x:v>46013</x:v>
      </x:c>
      <x:c r="B13" s="17" t="str">
        <x:v>GLM-4.7</x:v>
      </x:c>
      <x:c r="C13" s="64" t="n">
        <x:v>358</x:v>
      </x:c>
      <x:c r="D13" s="64" t="n">
        <x:v>32</x:v>
      </x:c>
      <x:c r="E13" s="64" t="n">
        <x:f>C13/D13</x:f>
        <x:v>11.1875</x:v>
      </x:c>
      <x:c r="F13" s="17" t="str">
        <x:v>MoE</x:v>
      </x:c>
      <x:c r="G13" s="17" t="str">
        <x:v>Yes</x:v>
      </x:c>
      <x:c r="H13" s="17" t="str">
        <x:v>glm</x:v>
      </x:c>
      <x:c r="I13" s="30" t="n">
        <x:v>143.73</x:v>
      </x:c>
      <x:c r="J13" s="30" t="n">
        <x:v>141.11</x:v>
      </x:c>
      <x:c r="K13" s="30" t="n">
        <x:v>145.38</x:v>
      </x:c>
      <x:c r="L13" s="30" t="n">
        <x:v>4.269999999999982</x:v>
      </x:c>
      <x:c r="M13" s="67" t="str">
        <x:v>https://epoch.ai/models/glm-4-7</x:v>
      </x:c>
      <x:c r="N13" s="30" t="n">
        <x:f>D13*POWER(E13,'Regression Model'!$F$7)</x:f>
        <x:v>32</x:v>
      </x:c>
      <x:c r="O13" s="30" t="n">
        <x:f>'Regression Model'!$F$8+'Regression Model'!$F$11*LOG(N13,2)+'Regression Model'!$F$12*((A13-'Regression Model'!$J$8)/365.25)+'Regression Model'!$F$13*IF(G13="Yes",1,0)+'Regression Model'!$F$14*IF(E13&gt;1.05,1,0)</x:f>
        <x:v>148.60313975640992</x:v>
      </x:c>
      <x:c r="P13" s="30" t="n">
        <x:f>I13-O13</x:f>
        <x:v>-4.873139756409927</x:v>
      </x:c>
      <x:c r="Q13" s="56" t="str">
        <x:v>Parameter mapping from official model names/cards; Epoch AI Models dataset provides the common metadata cross-check.</x:v>
      </x:c>
    </x:row>
    <x:row r="14">
      <x:c r="A14" s="26" t="n">
        <x:v>45992</x:v>
      </x:c>
      <x:c r="B14" s="17" t="str">
        <x:v>DeepSeek-V3.2</x:v>
      </x:c>
      <x:c r="C14" s="64" t="n">
        <x:v>671</x:v>
      </x:c>
      <x:c r="D14" s="64" t="n">
        <x:v>37</x:v>
      </x:c>
      <x:c r="E14" s="64" t="n">
        <x:f>C14/D14</x:f>
        <x:v>18.135135135135137</x:v>
      </x:c>
      <x:c r="F14" s="17" t="str">
        <x:v>MoE</x:v>
      </x:c>
      <x:c r="G14" s="17" t="str">
        <x:v>Yes</x:v>
      </x:c>
      <x:c r="H14" s="17" t="str">
        <x:v>deepseek_v3</x:v>
      </x:c>
      <x:c r="I14" s="30" t="n">
        <x:v>146.56</x:v>
      </x:c>
      <x:c r="J14" s="30" t="n">
        <x:v>144.63</x:v>
      </x:c>
      <x:c r="K14" s="30" t="n">
        <x:v>147.62</x:v>
      </x:c>
      <x:c r="L14" s="30" t="n">
        <x:v>2.990000000000009</x:v>
      </x:c>
      <x:c r="M14" s="67" t="str">
        <x:v>https://epoch.ai/models/deepseek-v3-2</x:v>
      </x:c>
      <x:c r="N14" s="30" t="n">
        <x:f>D14*POWER(E14,'Regression Model'!$F$7)</x:f>
        <x:v>37</x:v>
      </x:c>
      <x:c r="O14" s="30" t="n">
        <x:f>'Regression Model'!$F$8+'Regression Model'!$F$11*LOG(N14,2)+'Regression Model'!$F$12*((A14-'Regression Model'!$J$8)/365.25)+'Regression Model'!$F$13*IF(G14="Yes",1,0)+'Regression Model'!$F$14*IF(E14&gt;1.05,1,0)</x:f>
        <x:v>148.67594216621302</x:v>
      </x:c>
      <x:c r="P14" s="30" t="n">
        <x:f>I14-O14</x:f>
        <x:v>-2.115942166213017</x:v>
      </x:c>
      <x:c r="Q14" s="56" t="str">
        <x:v>Parameter mapping from official model names/cards; Epoch AI Models dataset provides the common metadata cross-check.</x:v>
      </x:c>
    </x:row>
    <x:row r="15">
      <x:c r="A15" s="26" t="n">
        <x:v>45967</x:v>
      </x:c>
      <x:c r="B15" s="17" t="str">
        <x:v>Kimi K2 Thinking</x:v>
      </x:c>
      <x:c r="C15" s="64" t="n">
        <x:v>1000</x:v>
      </x:c>
      <x:c r="D15" s="64" t="n">
        <x:v>32</x:v>
      </x:c>
      <x:c r="E15" s="64" t="n">
        <x:f>C15/D15</x:f>
        <x:v>31.25</x:v>
      </x:c>
      <x:c r="F15" s="17" t="str">
        <x:v>MoE</x:v>
      </x:c>
      <x:c r="G15" s="17" t="str">
        <x:v>Yes</x:v>
      </x:c>
      <x:c r="H15" s="17" t="str">
        <x:v>kimi_k2</x:v>
      </x:c>
      <x:c r="I15" s="30" t="n">
        <x:v>146.01</x:v>
      </x:c>
      <x:c r="J15" s="30" t="n">
        <x:v>143.68</x:v>
      </x:c>
      <x:c r="K15" s="30" t="n">
        <x:v>147.44</x:v>
      </x:c>
      <x:c r="L15" s="30" t="n">
        <x:v>3.759999999999991</x:v>
      </x:c>
      <x:c r="M15" s="67" t="str">
        <x:v>https://epoch.ai/models/kimi-k2-thinking</x:v>
      </x:c>
      <x:c r="N15" s="30" t="n">
        <x:f>D15*POWER(E15,'Regression Model'!$F$7)</x:f>
        <x:v>32</x:v>
      </x:c>
      <x:c r="O15" s="30" t="n">
        <x:f>'Regression Model'!$F$8+'Regression Model'!$F$11*LOG(N15,2)+'Regression Model'!$F$12*((A15-'Regression Model'!$J$8)/365.25)+'Regression Model'!$F$13*IF(G15="Yes",1,0)+'Regression Model'!$F$14*IF(E15&gt;1.05,1,0)</x:f>
        <x:v>147.04327132786665</x:v>
      </x:c>
      <x:c r="P15" s="30" t="n">
        <x:f>I15-O15</x:f>
        <x:v>-1.0332713278666574</x:v>
      </x:c>
      <x:c r="Q15" s="56" t="str">
        <x:v>Parameter mapping from official model names/cards; Epoch AI Models dataset provides the common metadata cross-check.</x:v>
      </x:c>
    </x:row>
    <x:row r="16">
      <x:c r="A16" s="26" t="n">
        <x:v>45930</x:v>
      </x:c>
      <x:c r="B16" s="17" t="str">
        <x:v>GLM-4.6</x:v>
      </x:c>
      <x:c r="C16" s="64" t="n">
        <x:v>357</x:v>
      </x:c>
      <x:c r="D16" s="64" t="n">
        <x:v>32</x:v>
      </x:c>
      <x:c r="E16" s="64" t="n">
        <x:f>C16/D16</x:f>
        <x:v>11.15625</x:v>
      </x:c>
      <x:c r="F16" s="17" t="str">
        <x:v>MoE</x:v>
      </x:c>
      <x:c r="G16" s="17" t="str">
        <x:v>Yes</x:v>
      </x:c>
      <x:c r="H16" s="17" t="str">
        <x:v>glm</x:v>
      </x:c>
      <x:c r="I16" s="30" t="n">
        <x:v>140.95</x:v>
      </x:c>
      <x:c r="J16" s="30" t="n">
        <x:v>136.28</x:v>
      </x:c>
      <x:c r="K16" s="30" t="n">
        <x:v>142.51</x:v>
      </x:c>
      <x:c r="L16" s="30" t="n">
        <x:v>6.22999999999999</x:v>
      </x:c>
      <x:c r="M16" s="67" t="str">
        <x:v>https://epoch.ai/models/glm-4-6</x:v>
      </x:c>
      <x:c r="N16" s="30" t="n">
        <x:f>D16*POWER(E16,'Regression Model'!$F$7)</x:f>
        <x:v>32</x:v>
      </x:c>
      <x:c r="O16" s="30" t="n">
        <x:f>'Regression Model'!$F$8+'Regression Model'!$F$11*LOG(N16,2)+'Regression Model'!$F$12*((A16-'Regression Model'!$J$8)/365.25)+'Regression Model'!$F$13*IF(G16="Yes",1,0)+'Regression Model'!$F$14*IF(E16&gt;1.05,1,0)</x:f>
        <x:v>145.7885945483862</x:v>
      </x:c>
      <x:c r="P16" s="30" t="n">
        <x:f>I16-O16</x:f>
        <x:v>-4.838594548386197</x:v>
      </x:c>
      <x:c r="Q16" s="56" t="str">
        <x:v>Parameter mapping from official model names/cards; Epoch AI Models dataset provides the common metadata cross-check.</x:v>
      </x:c>
    </x:row>
    <x:row r="17">
      <x:c r="A17" s="26" t="n">
        <x:v>45929</x:v>
      </x:c>
      <x:c r="B17" s="17" t="str">
        <x:v>DeepSeek-V3.2-Exp</x:v>
      </x:c>
      <x:c r="C17" s="64" t="n">
        <x:v>671</x:v>
      </x:c>
      <x:c r="D17" s="64" t="n">
        <x:v>37</x:v>
      </x:c>
      <x:c r="E17" s="64" t="n">
        <x:f>C17/D17</x:f>
        <x:v>18.135135135135137</x:v>
      </x:c>
      <x:c r="F17" s="17" t="str">
        <x:v>MoE</x:v>
      </x:c>
      <x:c r="G17" s="17" t="str">
        <x:v>No</x:v>
      </x:c>
      <x:c r="H17" s="17" t="str">
        <x:v>deepseek_v3</x:v>
      </x:c>
      <x:c r="I17" s="30" t="n">
        <x:v>144.86</x:v>
      </x:c>
      <x:c r="J17" s="30" t="n">
        <x:v>141.79</x:v>
      </x:c>
      <x:c r="K17" s="30" t="n">
        <x:v>146.71</x:v>
      </x:c>
      <x:c r="L17" s="30" t="n">
        <x:v>4.920000000000016</x:v>
      </x:c>
      <x:c r="M17" s="67" t="str">
        <x:v>https://epoch.ai/models/deepseek-v3-2-exp</x:v>
      </x:c>
      <x:c r="N17" s="30" t="n">
        <x:f>D17*POWER(E17,'Regression Model'!$F$7)</x:f>
        <x:v>37</x:v>
      </x:c>
      <x:c r="O17" s="30" t="n">
        <x:f>'Regression Model'!$F$8+'Regression Model'!$F$11*LOG(N17,2)+'Regression Model'!$F$12*((A17-'Regression Model'!$J$8)/365.25)+'Regression Model'!$F$13*IF(G17="Yes",1,0)+'Regression Model'!$F$14*IF(E17&gt;1.05,1,0)</x:f>
        <x:v>140.53960062277335</x:v>
      </x:c>
      <x:c r="P17" s="30" t="n">
        <x:f>I17-O17</x:f>
        <x:v>4.320399377226664</x:v>
      </x:c>
      <x:c r="Q17" s="56" t="str">
        <x:v>Parameter mapping from official model names/cards; Epoch AI Models dataset provides the common metadata cross-check.</x:v>
      </x:c>
    </x:row>
    <x:row r="18">
      <x:c r="A18" s="26" t="n">
        <x:v>45905</x:v>
      </x:c>
      <x:c r="B18" s="17" t="str">
        <x:v>Kimi K2 (Sep 2025)</x:v>
      </x:c>
      <x:c r="C18" s="64" t="n">
        <x:v>1000</x:v>
      </x:c>
      <x:c r="D18" s="64" t="n">
        <x:v>32</x:v>
      </x:c>
      <x:c r="E18" s="64" t="n">
        <x:f>C18/D18</x:f>
        <x:v>31.25</x:v>
      </x:c>
      <x:c r="F18" s="17" t="str">
        <x:v>MoE</x:v>
      </x:c>
      <x:c r="G18" s="17" t="str">
        <x:v>No</x:v>
      </x:c>
      <x:c r="H18" s="17" t="str">
        <x:v>kimi_k2</x:v>
      </x:c>
      <x:c r="I18" s="30" t="n">
        <x:v>140.98</x:v>
      </x:c>
      <x:c r="J18" s="30" t="n">
        <x:v>138.39</x:v>
      </x:c>
      <x:c r="K18" s="30" t="n">
        <x:v>142.27</x:v>
      </x:c>
      <x:c r="L18" s="30" t="n">
        <x:v>3.880000000000024</x:v>
      </x:c>
      <x:c r="M18" s="67" t="str">
        <x:v>https://epoch.ai/models/kimi-k2-sep-2025</x:v>
      </x:c>
      <x:c r="N18" s="30" t="n">
        <x:f>D18*POWER(E18,'Regression Model'!$F$7)</x:f>
        <x:v>32</x:v>
      </x:c>
      <x:c r="O18" s="30" t="n">
        <x:f>'Regression Model'!$F$8+'Regression Model'!$F$11*LOG(N18,2)+'Regression Model'!$F$12*((A18-'Regression Model'!$J$8)/365.25)+'Regression Model'!$F$13*IF(G18="Yes",1,0)+'Regression Model'!$F$14*IF(E18&gt;1.05,1,0)</x:f>
        <x:v>138.94083996765616</x:v>
      </x:c>
      <x:c r="P18" s="30" t="n">
        <x:f>I18-O18</x:f>
        <x:v>2.0391600323438297</x:v>
      </x:c>
      <x:c r="Q18" s="56" t="str">
        <x:v>Parameter mapping from official model names/cards; Epoch AI Models dataset provides the common metadata cross-check.</x:v>
      </x:c>
    </x:row>
    <x:row r="19">
      <x:c r="A19" s="26" t="n">
        <x:v>45901</x:v>
      </x:c>
      <x:c r="B19" s="17" t="str">
        <x:v>Qwen3-235B-A22B-Instruct (Jul 2025)</x:v>
      </x:c>
      <x:c r="C19" s="64" t="n">
        <x:v>235</x:v>
      </x:c>
      <x:c r="D19" s="64" t="n">
        <x:v>22</x:v>
      </x:c>
      <x:c r="E19" s="64" t="n">
        <x:f>C19/D19</x:f>
        <x:v>10.681818181818182</x:v>
      </x:c>
      <x:c r="F19" s="17" t="str">
        <x:v>MoE</x:v>
      </x:c>
      <x:c r="G19" s="17" t="str">
        <x:v>No</x:v>
      </x:c>
      <x:c r="H19" s="17" t="str">
        <x:v>qwen3_235</x:v>
      </x:c>
      <x:c r="I19" s="30" t="n">
        <x:v>138.96</x:v>
      </x:c>
      <x:c r="J19" s="30" t="n">
        <x:v>135.35</x:v>
      </x:c>
      <x:c r="K19" s="30" t="n">
        <x:v>140.84</x:v>
      </x:c>
      <x:c r="L19" s="30" t="n">
        <x:v>5.490000000000009</x:v>
      </x:c>
      <x:c r="M19" s="67" t="str">
        <x:v>https://epoch.ai/models/qwen3-235b-a22b-instruct-jul-2025</x:v>
      </x:c>
      <x:c r="N19" s="30" t="n">
        <x:f>D19*POWER(E19,'Regression Model'!$F$7)</x:f>
        <x:v>22</x:v>
      </x:c>
      <x:c r="O19" s="30" t="n">
        <x:f>'Regression Model'!$F$8+'Regression Model'!$F$11*LOG(N19,2)+'Regression Model'!$F$12*((A19-'Regression Model'!$J$8)/365.25)+'Regression Model'!$F$13*IF(G19="Yes",1,0)+'Regression Model'!$F$14*IF(E19&gt;1.05,1,0)</x:f>
        <x:v>136.77944562791217</x:v>
      </x:c>
      <x:c r="P19" s="30" t="n">
        <x:f>I19-O19</x:f>
        <x:v>2.1805543720878404</x:v>
      </x:c>
      <x:c r="Q19" s="56" t="str">
        <x:v>Parameter mapping from official model names/cards; Epoch AI Models dataset provides the common metadata cross-check.</x:v>
      </x:c>
    </x:row>
    <x:row r="20">
      <x:c r="A20" s="26" t="n">
        <x:v>45890</x:v>
      </x:c>
      <x:c r="B20" s="17" t="str">
        <x:v>DeepSeek-V3.1</x:v>
      </x:c>
      <x:c r="C20" s="64" t="n">
        <x:v>671</x:v>
      </x:c>
      <x:c r="D20" s="64" t="n">
        <x:v>37</x:v>
      </x:c>
      <x:c r="E20" s="64" t="n">
        <x:f>C20/D20</x:f>
        <x:v>18.135135135135137</x:v>
      </x:c>
      <x:c r="F20" s="17" t="str">
        <x:v>MoE</x:v>
      </x:c>
      <x:c r="G20" s="17" t="str">
        <x:v>Yes</x:v>
      </x:c>
      <x:c r="H20" s="17" t="str">
        <x:v>deepseek_v3</x:v>
      </x:c>
      <x:c r="I20" s="30" t="n">
        <x:v>138.68</x:v>
      </x:c>
      <x:c r="J20" s="30" t="n">
        <x:v>135.73</x:v>
      </x:c>
      <x:c r="K20" s="30" t="n">
        <x:v>142.57</x:v>
      </x:c>
      <x:c r="L20" s="30" t="n">
        <x:v>6.840000000000003</x:v>
      </x:c>
      <x:c r="M20" s="67" t="str">
        <x:v>https://epoch.ai/models/deepseek-v3-1</x:v>
      </x:c>
      <x:c r="N20" s="30" t="n">
        <x:f>D20*POWER(E20,'Regression Model'!$F$7)</x:f>
        <x:v>37</x:v>
      </x:c>
      <x:c r="O20" s="30" t="n">
        <x:f>'Regression Model'!$F$8+'Regression Model'!$F$11*LOG(N20,2)+'Regression Model'!$F$12*((A20-'Regression Model'!$J$8)/365.25)+'Regression Model'!$F$13*IF(G20="Yes",1,0)+'Regression Model'!$F$14*IF(E20&gt;1.05,1,0)</x:f>
        <x:v>145.21710347683447</x:v>
      </x:c>
      <x:c r="P20" s="30" t="n">
        <x:f>I20-O20</x:f>
        <x:v>-6.53710347683446</x:v>
      </x:c>
      <x:c r="Q20" s="56" t="str">
        <x:v>Parameter mapping from official model names/cards; Epoch AI Models dataset provides the common metadata cross-check.</x:v>
      </x:c>
    </x:row>
    <x:row r="21">
      <x:c r="A21" s="26" t="n">
        <x:v>45874</x:v>
      </x:c>
      <x:c r="B21" s="17" t="str">
        <x:v>gpt-oss-120b</x:v>
      </x:c>
      <x:c r="C21" s="64" t="n">
        <x:v>116.83</x:v>
      </x:c>
      <x:c r="D21" s="64" t="n">
        <x:v>5.13</x:v>
      </x:c>
      <x:c r="E21" s="64" t="n">
        <x:f>C21/D21</x:f>
        <x:v>22.773879142300196</x:v>
      </x:c>
      <x:c r="F21" s="17" t="str">
        <x:v>MoE</x:v>
      </x:c>
      <x:c r="G21" s="17" t="str">
        <x:v>Yes</x:v>
      </x:c>
      <x:c r="H21" s="17" t="str">
        <x:v>gpt_oss</x:v>
      </x:c>
      <x:c r="I21" s="30" t="n">
        <x:v>140.57</x:v>
      </x:c>
      <x:c r="J21" s="30" t="n">
        <x:v>136.18</x:v>
      </x:c>
      <x:c r="K21" s="30" t="n">
        <x:v>143.08</x:v>
      </x:c>
      <x:c r="L21" s="30" t="n">
        <x:v>6.900000000000006</x:v>
      </x:c>
      <x:c r="M21" s="67" t="str">
        <x:v>https://epoch.ai/models/gpt-oss-120b</x:v>
      </x:c>
      <x:c r="N21" s="30" t="n">
        <x:f>D21*POWER(E21,'Regression Model'!$F$7)</x:f>
        <x:v>5.13</x:v>
      </x:c>
      <x:c r="O21" s="30" t="n">
        <x:f>'Regression Model'!$F$8+'Regression Model'!$F$11*LOG(N21,2)+'Regression Model'!$F$12*((A21-'Regression Model'!$J$8)/365.25)+'Regression Model'!$F$13*IF(G21="Yes",1,0)+'Regression Model'!$F$14*IF(E21&gt;1.05,1,0)</x:f>
        <x:v>133.99245148054658</x:v>
      </x:c>
      <x:c r="P21" s="30" t="n">
        <x:f>I21-O21</x:f>
        <x:v>6.577548519453416</x:v>
      </x:c>
      <x:c r="Q21" s="56" t="str">
        <x:v>Parameter mapping from official model names/cards; Epoch AI Models dataset provides the common metadata cross-check.</x:v>
      </x:c>
    </x:row>
    <x:row r="22">
      <x:c r="A22" s="26" t="n">
        <x:v>45863</x:v>
      </x:c>
      <x:c r="B22" s="17" t="str">
        <x:v>Qwen3-235B-A22B-Thinking (Jul 2025)</x:v>
      </x:c>
      <x:c r="C22" s="64" t="n">
        <x:v>235</x:v>
      </x:c>
      <x:c r="D22" s="64" t="n">
        <x:v>22</x:v>
      </x:c>
      <x:c r="E22" s="64" t="n">
        <x:f>C22/D22</x:f>
        <x:v>10.681818181818182</x:v>
      </x:c>
      <x:c r="F22" s="17" t="str">
        <x:v>MoE</x:v>
      </x:c>
      <x:c r="G22" s="17" t="str">
        <x:v>Yes</x:v>
      </x:c>
      <x:c r="H22" s="17" t="str">
        <x:v>qwen3_235</x:v>
      </x:c>
      <x:c r="I22" s="30" t="n">
        <x:v>144.78</x:v>
      </x:c>
      <x:c r="J22" s="30" t="n">
        <x:v>142.35</x:v>
      </x:c>
      <x:c r="K22" s="30" t="n">
        <x:v>147.4</x:v>
      </x:c>
      <x:c r="L22" s="30" t="n">
        <x:v>5.050000000000011</x:v>
      </x:c>
      <x:c r="M22" s="67" t="str">
        <x:v>https://epoch.ai/models/qwen3-235b-a22b-thinking-jul-2025</x:v>
      </x:c>
      <x:c r="N22" s="30" t="n">
        <x:f>D22*POWER(E22,'Regression Model'!$F$7)</x:f>
        <x:v>22</x:v>
      </x:c>
      <x:c r="O22" s="30" t="n">
        <x:f>'Regression Model'!$F$8+'Regression Model'!$F$11*LOG(N22,2)+'Regression Model'!$F$12*((A22-'Regression Model'!$J$8)/365.25)+'Regression Model'!$F$13*IF(G22="Yes",1,0)+'Regression Model'!$F$14*IF(E22&gt;1.05,1,0)</x:f>
        <x:v>141.49085866520252</x:v>
      </x:c>
      <x:c r="P22" s="30" t="n">
        <x:f>I22-O22</x:f>
        <x:v>3.2891413347974776</x:v>
      </x:c>
      <x:c r="Q22" s="56" t="str">
        <x:v>Parameter mapping from official model names/cards; Epoch AI Models dataset provides the common metadata cross-check.</x:v>
      </x:c>
    </x:row>
    <x:row r="23">
      <x:c r="A23" s="26" t="n">
        <x:v>45850</x:v>
      </x:c>
      <x:c r="B23" s="17" t="str">
        <x:v>Kimi K2 (Jul 2025)</x:v>
      </x:c>
      <x:c r="C23" s="64" t="n">
        <x:v>1000</x:v>
      </x:c>
      <x:c r="D23" s="64" t="n">
        <x:v>32</x:v>
      </x:c>
      <x:c r="E23" s="64" t="n">
        <x:f>C23/D23</x:f>
        <x:v>31.25</x:v>
      </x:c>
      <x:c r="F23" s="17" t="str">
        <x:v>MoE</x:v>
      </x:c>
      <x:c r="G23" s="17" t="str">
        <x:v>No</x:v>
      </x:c>
      <x:c r="H23" s="17" t="str">
        <x:v>kimi_k2</x:v>
      </x:c>
      <x:c r="I23" s="30" t="n">
        <x:v>140.45</x:v>
      </x:c>
      <x:c r="J23" s="30" t="n">
        <x:v>137</x:v>
      </x:c>
      <x:c r="K23" s="30" t="n">
        <x:v>142.06</x:v>
      </x:c>
      <x:c r="L23" s="30" t="n">
        <x:v>5.060000000000002</x:v>
      </x:c>
      <x:c r="M23" s="67" t="str">
        <x:v>https://epoch.ai/models/kimi-k2-jul-2025</x:v>
      </x:c>
      <x:c r="N23" s="30" t="n">
        <x:f>D23*POWER(E23,'Regression Model'!$F$7)</x:f>
        <x:v>32</x:v>
      </x:c>
      <x:c r="O23" s="30" t="n">
        <x:f>'Regression Model'!$F$8+'Regression Model'!$F$11*LOG(N23,2)+'Regression Model'!$F$12*((A23-'Regression Model'!$J$8)/365.25)+'Regression Model'!$F$13*IF(G23="Yes",1,0)+'Regression Model'!$F$14*IF(E23&gt;1.05,1,0)</x:f>
        <x:v>137.0757798900501</x:v>
      </x:c>
      <x:c r="P23" s="30" t="n">
        <x:f>I23-O23</x:f>
        <x:v>3.3742201099499027</x:v>
      </x:c>
      <x:c r="Q23" s="56" t="str">
        <x:v>Parameter mapping from official model names/cards; Epoch AI Models dataset provides the common metadata cross-check.</x:v>
      </x:c>
    </x:row>
    <x:row r="24">
      <x:c r="A24" s="26" t="n">
        <x:v>45818</x:v>
      </x:c>
      <x:c r="B24" s="17" t="str">
        <x:v>Magistral Small 1.1</x:v>
      </x:c>
      <x:c r="C24" s="64" t="n">
        <x:v>24</x:v>
      </x:c>
      <x:c r="D24" s="64" t="n">
        <x:v>24</x:v>
      </x:c>
      <x:c r="E24" s="64" t="n">
        <x:f>C24/D24</x:f>
        <x:v>1</x:v>
      </x:c>
      <x:c r="F24" s="17" t="str">
        <x:v>dense</x:v>
      </x:c>
      <x:c r="G24" s="17" t="str">
        <x:v>Yes</x:v>
      </x:c>
      <x:c r="H24" s="17" t="str">
        <x:v>mistral_small</x:v>
      </x:c>
      <x:c r="I24" s="30" t="n">
        <x:v>133.07</x:v>
      </x:c>
      <x:c r="J24" s="30" t="n">
        <x:v>127.02</x:v>
      </x:c>
      <x:c r="K24" s="30" t="n">
        <x:v>135.4</x:v>
      </x:c>
      <x:c r="L24" s="30" t="n">
        <x:v>8.38000000000001</x:v>
      </x:c>
      <x:c r="M24" s="67" t="str">
        <x:v>https://epoch.ai/models/magistral-small-1-1</x:v>
      </x:c>
      <x:c r="N24" s="30" t="n">
        <x:f>D24*POWER(E24,'Regression Model'!$F$7)</x:f>
        <x:v>24</x:v>
      </x:c>
      <x:c r="O24" s="30" t="n">
        <x:f>'Regression Model'!$F$8+'Regression Model'!$F$11*LOG(N24,2)+'Regression Model'!$F$12*((A24-'Regression Model'!$J$8)/365.25)+'Regression Model'!$F$13*IF(G24="Yes",1,0)+'Regression Model'!$F$14*IF(E24&gt;1.05,1,0)</x:f>
        <x:v>135.30179943416286</x:v>
      </x:c>
      <x:c r="P24" s="30" t="n">
        <x:f>I24-O24</x:f>
        <x:v>-2.231799434162866</x:v>
      </x:c>
      <x:c r="Q24" s="56" t="str">
        <x:v>Parameter mapping from official model names/cards; Epoch AI Models dataset provides the common metadata cross-check.</x:v>
      </x:c>
    </x:row>
    <x:row r="25">
      <x:c r="A25" s="26" t="n">
        <x:v>45805</x:v>
      </x:c>
      <x:c r="B25" s="17" t="str">
        <x:v>DeepSeek-R1 (May 2025)</x:v>
      </x:c>
      <x:c r="C25" s="64" t="n">
        <x:v>671</x:v>
      </x:c>
      <x:c r="D25" s="64" t="n">
        <x:v>37</x:v>
      </x:c>
      <x:c r="E25" s="64" t="n">
        <x:f>C25/D25</x:f>
        <x:v>18.135135135135137</x:v>
      </x:c>
      <x:c r="F25" s="17" t="str">
        <x:v>MoE</x:v>
      </x:c>
      <x:c r="G25" s="17" t="str">
        <x:v>Yes</x:v>
      </x:c>
      <x:c r="H25" s="17" t="str">
        <x:v>deepseek_v3</x:v>
      </x:c>
      <x:c r="I25" s="30" t="n">
        <x:v>142</x:v>
      </x:c>
      <x:c r="J25" s="30" t="n">
        <x:v>139.66</x:v>
      </x:c>
      <x:c r="K25" s="30" t="n">
        <x:v>143.43</x:v>
      </x:c>
      <x:c r="L25" s="30" t="n">
        <x:v>3.7700000000000102</x:v>
      </x:c>
      <x:c r="M25" s="67" t="str">
        <x:v>https://epoch.ai/models/deepseek-r1-may-2025</x:v>
      </x:c>
      <x:c r="N25" s="30" t="n">
        <x:f>D25*POWER(E25,'Regression Model'!$F$7)</x:f>
        <x:v>37</x:v>
      </x:c>
      <x:c r="O25" s="30" t="n">
        <x:f>'Regression Model'!$F$8+'Regression Model'!$F$11*LOG(N25,2)+'Regression Model'!$F$12*((A25-'Regression Model'!$J$8)/365.25)+'Regression Model'!$F$13*IF(G25="Yes",1,0)+'Regression Model'!$F$14*IF(E25&gt;1.05,1,0)</x:f>
        <x:v>142.33473790235234</x:v>
      </x:c>
      <x:c r="P25" s="30" t="n">
        <x:f>I25-O25</x:f>
        <x:v>-0.33473790235234446</x:v>
      </x:c>
      <x:c r="Q25" s="56" t="str">
        <x:v>Parameter mapping from official model names/cards; Epoch AI Models dataset provides the common metadata cross-check.</x:v>
      </x:c>
    </x:row>
    <x:row r="26">
      <x:c r="A26" s="26" t="n">
        <x:v>45776</x:v>
      </x:c>
      <x:c r="B26" s="17" t="str">
        <x:v>Qwen3-235B-A22B</x:v>
      </x:c>
      <x:c r="C26" s="64" t="n">
        <x:v>235</x:v>
      </x:c>
      <x:c r="D26" s="64" t="n">
        <x:v>22</x:v>
      </x:c>
      <x:c r="E26" s="64" t="n">
        <x:f>C26/D26</x:f>
        <x:v>10.681818181818182</x:v>
      </x:c>
      <x:c r="F26" s="17" t="str">
        <x:v>MoE</x:v>
      </x:c>
      <x:c r="G26" s="17" t="str">
        <x:v>Yes</x:v>
      </x:c>
      <x:c r="H26" s="17" t="str">
        <x:v>qwen3_235</x:v>
      </x:c>
      <x:c r="I26" s="30" t="n">
        <x:v>139.58</x:v>
      </x:c>
      <x:c r="J26" s="30" t="n">
        <x:v>134.79</x:v>
      </x:c>
      <x:c r="K26" s="30" t="n">
        <x:v>141.08</x:v>
      </x:c>
      <x:c r="L26" s="30" t="n">
        <x:v>6.2900000000000205</x:v>
      </x:c>
      <x:c r="M26" s="67" t="str">
        <x:v>https://epoch.ai/models/qwen3-235b-a22b</x:v>
      </x:c>
      <x:c r="N26" s="30" t="n">
        <x:f>D26*POWER(E26,'Regression Model'!$F$7)</x:f>
        <x:v>22</x:v>
      </x:c>
      <x:c r="O26" s="30" t="n">
        <x:f>'Regression Model'!$F$8+'Regression Model'!$F$11*LOG(N26,2)+'Regression Model'!$F$12*((A26-'Regression Model'!$J$8)/365.25)+'Regression Model'!$F$13*IF(G26="Yes",1,0)+'Regression Model'!$F$14*IF(E26&gt;1.05,1,0)</x:f>
        <x:v>138.54067272426198</x:v>
      </x:c>
      <x:c r="P26" s="30" t="n">
        <x:f>I26-O26</x:f>
        <x:v>1.0393272757380316</x:v>
      </x:c>
      <x:c r="Q26" s="56" t="str">
        <x:v>Parameter mapping from official model names/cards; Epoch AI Models dataset provides the common metadata cross-check.</x:v>
      </x:c>
    </x:row>
    <x:row r="27">
      <x:c r="A27" s="26" t="n">
        <x:v>45752</x:v>
      </x:c>
      <x:c r="B27" s="17" t="str">
        <x:v>Llama 4 Maverick</x:v>
      </x:c>
      <x:c r="C27" s="64" t="n">
        <x:v>400</x:v>
      </x:c>
      <x:c r="D27" s="64" t="n">
        <x:v>17</x:v>
      </x:c>
      <x:c r="E27" s="64" t="n">
        <x:f>C27/D27</x:f>
        <x:v>23.529411764705884</x:v>
      </x:c>
      <x:c r="F27" s="17" t="str">
        <x:v>MoE</x:v>
      </x:c>
      <x:c r="G27" s="17" t="str">
        <x:v>No</x:v>
      </x:c>
      <x:c r="H27" s="17" t="str">
        <x:v>llama4</x:v>
      </x:c>
      <x:c r="I27" s="30" t="n">
        <x:v>133.04</x:v>
      </x:c>
      <x:c r="J27" s="30" t="n">
        <x:v>128.11</x:v>
      </x:c>
      <x:c r="K27" s="30" t="n">
        <x:v>135.12</x:v>
      </x:c>
      <x:c r="L27" s="30" t="n">
        <x:v>7.009999999999991</x:v>
      </x:c>
      <x:c r="M27" s="67" t="str">
        <x:v>https://epoch.ai/models/llama-4-maverick</x:v>
      </x:c>
      <x:c r="N27" s="30" t="n">
        <x:f>D27*POWER(E27,'Regression Model'!$F$7)</x:f>
        <x:v>17</x:v>
      </x:c>
      <x:c r="O27" s="30" t="n">
        <x:f>'Regression Model'!$F$8+'Regression Model'!$F$11*LOG(N27,2)+'Regression Model'!$F$12*((A27-'Regression Model'!$J$8)/365.25)+'Regression Model'!$F$13*IF(G27="Yes",1,0)+'Regression Model'!$F$14*IF(E27&gt;1.05,1,0)</x:f>
        <x:v>130.3328935011259</x:v>
      </x:c>
      <x:c r="P27" s="30" t="n">
        <x:f>I27-O27</x:f>
        <x:v>2.707106498874083</x:v>
      </x:c>
      <x:c r="Q27" s="56" t="str">
        <x:v>Parameter mapping from official model names/cards; Epoch AI Models dataset provides the common metadata cross-check.</x:v>
      </x:c>
    </x:row>
    <x:row r="28">
      <x:c r="A28" s="26" t="n">
        <x:v>45752</x:v>
      </x:c>
      <x:c r="B28" s="17" t="str">
        <x:v>Llama 4 Scout</x:v>
      </x:c>
      <x:c r="C28" s="64" t="n">
        <x:v>109</x:v>
      </x:c>
      <x:c r="D28" s="64" t="n">
        <x:v>17</x:v>
      </x:c>
      <x:c r="E28" s="64" t="n">
        <x:f>C28/D28</x:f>
        <x:v>6.411764705882353</x:v>
      </x:c>
      <x:c r="F28" s="17" t="str">
        <x:v>MoE</x:v>
      </x:c>
      <x:c r="G28" s="17" t="str">
        <x:v>No</x:v>
      </x:c>
      <x:c r="H28" s="17" t="str">
        <x:v>llama4</x:v>
      </x:c>
      <x:c r="I28" s="30" t="n">
        <x:v>130.56</x:v>
      </x:c>
      <x:c r="J28" s="30" t="n">
        <x:v>125.67</x:v>
      </x:c>
      <x:c r="K28" s="30" t="n">
        <x:v>132.06</x:v>
      </x:c>
      <x:c r="L28" s="30" t="n">
        <x:v>6.390000000000001</x:v>
      </x:c>
      <x:c r="M28" s="67" t="str">
        <x:v>https://epoch.ai/models/llama-4-scout</x:v>
      </x:c>
      <x:c r="N28" s="30" t="n">
        <x:f>D28*POWER(E28,'Regression Model'!$F$7)</x:f>
        <x:v>17</x:v>
      </x:c>
      <x:c r="O28" s="30" t="n">
        <x:f>'Regression Model'!$F$8+'Regression Model'!$F$11*LOG(N28,2)+'Regression Model'!$F$12*((A28-'Regression Model'!$J$8)/365.25)+'Regression Model'!$F$13*IF(G28="Yes",1,0)+'Regression Model'!$F$14*IF(E28&gt;1.05,1,0)</x:f>
        <x:v>130.3328935011259</x:v>
      </x:c>
      <x:c r="P28" s="30" t="n">
        <x:f>I28-O28</x:f>
        <x:v>0.22710649887409318</x:v>
      </x:c>
      <x:c r="Q28" s="56" t="str">
        <x:v>Parameter mapping from official model names/cards; Epoch AI Models dataset provides the common metadata cross-check.</x:v>
      </x:c>
    </x:row>
    <x:row r="29">
      <x:c r="A29" s="26" t="n">
        <x:v>45740</x:v>
      </x:c>
      <x:c r="B29" s="17" t="str">
        <x:v>DeepSeek-V3 (Mar 2025)</x:v>
      </x:c>
      <x:c r="C29" s="64" t="n">
        <x:v>671</x:v>
      </x:c>
      <x:c r="D29" s="64" t="n">
        <x:v>37</x:v>
      </x:c>
      <x:c r="E29" s="64" t="n">
        <x:f>C29/D29</x:f>
        <x:v>18.135135135135137</x:v>
      </x:c>
      <x:c r="F29" s="17" t="str">
        <x:v>MoE</x:v>
      </x:c>
      <x:c r="G29" s="17" t="str">
        <x:v>No</x:v>
      </x:c>
      <x:c r="H29" s="17" t="str">
        <x:v>deepseek_v3</x:v>
      </x:c>
      <x:c r="I29" s="30" t="n">
        <x:v>137.04</x:v>
      </x:c>
      <x:c r="J29" s="30" t="n">
        <x:v>133.64</x:v>
      </x:c>
      <x:c r="K29" s="30" t="n">
        <x:v>138.66</x:v>
      </x:c>
      <x:c r="L29" s="30" t="n">
        <x:v>5.02000000000001</x:v>
      </x:c>
      <x:c r="M29" s="67" t="str">
        <x:v>https://epoch.ai/models/deepseek-v3-mar-2025</x:v>
      </x:c>
      <x:c r="N29" s="30" t="n">
        <x:f>D29*POWER(E29,'Regression Model'!$F$7)</x:f>
        <x:v>37</x:v>
      </x:c>
      <x:c r="O29" s="30" t="n">
        <x:f>'Regression Model'!$F$8+'Regression Model'!$F$11*LOG(N29,2)+'Regression Model'!$F$12*((A29-'Regression Model'!$J$8)/365.25)+'Regression Model'!$F$13*IF(G29="Yes",1,0)+'Regression Model'!$F$14*IF(E29&gt;1.05,1,0)</x:f>
        <x:v>134.13057599245425</x:v>
      </x:c>
      <x:c r="P29" s="30" t="n">
        <x:f>I29-O29</x:f>
        <x:v>2.909424007545738</x:v>
      </x:c>
      <x:c r="Q29" s="56" t="str">
        <x:v>Parameter mapping from official model names/cards; Epoch AI Models dataset provides the common metadata cross-check.</x:v>
      </x:c>
    </x:row>
    <x:row r="30">
      <x:c r="A30" s="26" t="n">
        <x:v>45733</x:v>
      </x:c>
      <x:c r="B30" s="17" t="str">
        <x:v>Mistral Small 3.1</x:v>
      </x:c>
      <x:c r="C30" s="64" t="n">
        <x:v>24</x:v>
      </x:c>
      <x:c r="D30" s="64" t="n">
        <x:v>24</x:v>
      </x:c>
      <x:c r="E30" s="64" t="n">
        <x:f>C30/D30</x:f>
        <x:v>1</x:v>
      </x:c>
      <x:c r="F30" s="17" t="str">
        <x:v>dense</x:v>
      </x:c>
      <x:c r="G30" s="17" t="str">
        <x:v>No</x:v>
      </x:c>
      <x:c r="H30" s="17" t="str">
        <x:v>mistral_small</x:v>
      </x:c>
      <x:c r="I30" s="30" t="n">
        <x:v>127.75</x:v>
      </x:c>
      <x:c r="J30" s="30" t="n">
        <x:v>121.89</x:v>
      </x:c>
      <x:c r="K30" s="30" t="n">
        <x:v>129.38</x:v>
      </x:c>
      <x:c r="L30" s="30" t="n">
        <x:v>7.489999999999995</x:v>
      </x:c>
      <x:c r="M30" s="67" t="str">
        <x:v>https://epoch.ai/models/mistral-small-3-1</x:v>
      </x:c>
      <x:c r="N30" s="30" t="n">
        <x:f>D30*POWER(E30,'Regression Model'!$F$7)</x:f>
        <x:v>24</x:v>
      </x:c>
      <x:c r="O30" s="30" t="n">
        <x:f>'Regression Model'!$F$8+'Regression Model'!$F$11*LOG(N30,2)+'Regression Model'!$F$12*((A30-'Regression Model'!$J$8)/365.25)+'Regression Model'!$F$13*IF(G30="Yes",1,0)+'Regression Model'!$F$14*IF(E30&gt;1.05,1,0)</x:f>
        <x:v>126.41943385968074</x:v>
      </x:c>
      <x:c r="P30" s="30" t="n">
        <x:f>I30-O30</x:f>
        <x:v>1.330566140319263</x:v>
      </x:c>
      <x:c r="Q30" s="56" t="str">
        <x:v>Parameter mapping from official model names/cards; Epoch AI Models dataset provides the common metadata cross-check.</x:v>
      </x:c>
    </x:row>
    <x:row r="31">
      <x:c r="A31" s="26" t="n">
        <x:v>45728</x:v>
      </x:c>
      <x:c r="B31" s="17" t="str">
        <x:v>Gemma 3 27B</x:v>
      </x:c>
      <x:c r="C31" s="64" t="n">
        <x:v>27</x:v>
      </x:c>
      <x:c r="D31" s="64" t="n">
        <x:v>27</x:v>
      </x:c>
      <x:c r="E31" s="64" t="n">
        <x:f>C31/D31</x:f>
        <x:v>1</x:v>
      </x:c>
      <x:c r="F31" s="17" t="str">
        <x:v>dense</x:v>
      </x:c>
      <x:c r="G31" s="17" t="str">
        <x:v>No</x:v>
      </x:c>
      <x:c r="H31" s="17" t="str">
        <x:v>gemma3</x:v>
      </x:c>
      <x:c r="I31" s="30" t="n">
        <x:v>131.08</x:v>
      </x:c>
      <x:c r="J31" s="30" t="n">
        <x:v>124.84</x:v>
      </x:c>
      <x:c r="K31" s="30" t="n">
        <x:v>133.28</x:v>
      </x:c>
      <x:c r="L31" s="30" t="n">
        <x:v>8.439999999999998</x:v>
      </x:c>
      <x:c r="M31" s="67" t="str">
        <x:v>https://epoch.ai/models/gemma-3-27b</x:v>
      </x:c>
      <x:c r="N31" s="30" t="n">
        <x:f>D31*POWER(E31,'Regression Model'!$F$7)</x:f>
        <x:v>27</x:v>
      </x:c>
      <x:c r="O31" s="30" t="n">
        <x:f>'Regression Model'!$F$8+'Regression Model'!$F$11*LOG(N31,2)+'Regression Model'!$F$12*((A31-'Regression Model'!$J$8)/365.25)+'Regression Model'!$F$13*IF(G31="Yes",1,0)+'Regression Model'!$F$14*IF(E31&gt;1.05,1,0)</x:f>
        <x:v>126.88666858699789</x:v>
      </x:c>
      <x:c r="P31" s="30" t="n">
        <x:f>I31-O31</x:f>
        <x:v>4.193331413002127</x:v>
      </x:c>
      <x:c r="Q31" s="56" t="str">
        <x:v>Parameter mapping from official model names/cards; Epoch AI Models dataset provides the common metadata cross-check.</x:v>
      </x:c>
    </x:row>
    <x:row r="32">
      <x:c r="A32" s="26" t="n">
        <x:v>45677</x:v>
      </x:c>
      <x:c r="B32" s="17" t="str">
        <x:v>DeepSeek-R1</x:v>
      </x:c>
      <x:c r="C32" s="64" t="n">
        <x:v>671</x:v>
      </x:c>
      <x:c r="D32" s="64" t="n">
        <x:v>37</x:v>
      </x:c>
      <x:c r="E32" s="64" t="n">
        <x:f>C32/D32</x:f>
        <x:v>18.135135135135137</x:v>
      </x:c>
      <x:c r="F32" s="17" t="str">
        <x:v>MoE</x:v>
      </x:c>
      <x:c r="G32" s="17" t="str">
        <x:v>Yes</x:v>
      </x:c>
      <x:c r="H32" s="17" t="str">
        <x:v>deepseek_v3</x:v>
      </x:c>
      <x:c r="I32" s="30" t="n">
        <x:v>139.67</x:v>
      </x:c>
      <x:c r="J32" s="30" t="n">
        <x:v>136.9</x:v>
      </x:c>
      <x:c r="K32" s="30" t="n">
        <x:v>140.9</x:v>
      </x:c>
      <x:c r="L32" s="30" t="n">
        <x:v>4</x:v>
      </x:c>
      <x:c r="M32" s="67" t="str">
        <x:v>https://epoch.ai/models/deepseek-r1</x:v>
      </x:c>
      <x:c r="N32" s="30" t="n">
        <x:f>D32*POWER(E32,'Regression Model'!$F$7)</x:f>
        <x:v>37</x:v>
      </x:c>
      <x:c r="O32" s="30" t="n">
        <x:f>'Regression Model'!$F$8+'Regression Model'!$F$11*LOG(N32,2)+'Regression Model'!$F$12*((A32-'Regression Model'!$J$8)/365.25)+'Regression Model'!$F$13*IF(G32="Yes",1,0)+'Regression Model'!$F$14*IF(E32&gt;1.05,1,0)</x:f>
        <x:v>137.99423444901456</x:v>
      </x:c>
      <x:c r="P32" s="30" t="n">
        <x:f>I32-O32</x:f>
        <x:v>1.6757655509854317</x:v>
      </x:c>
      <x:c r="Q32" s="56" t="str">
        <x:v>Parameter mapping from official model names/cards; Epoch AI Models dataset provides the common metadata cross-check.</x:v>
      </x:c>
    </x:row>
    <x:row r="33">
      <x:c r="A33" s="26" t="n">
        <x:v>45652</x:v>
      </x:c>
      <x:c r="B33" s="17" t="str">
        <x:v>DeepSeek-V3</x:v>
      </x:c>
      <x:c r="C33" s="64" t="n">
        <x:v>671</x:v>
      </x:c>
      <x:c r="D33" s="64" t="n">
        <x:v>37</x:v>
      </x:c>
      <x:c r="E33" s="64" t="n">
        <x:f>C33/D33</x:f>
        <x:v>18.135135135135137</x:v>
      </x:c>
      <x:c r="F33" s="17" t="str">
        <x:v>MoE</x:v>
      </x:c>
      <x:c r="G33" s="17" t="str">
        <x:v>No</x:v>
      </x:c>
      <x:c r="H33" s="17" t="str">
        <x:v>deepseek_v3</x:v>
      </x:c>
      <x:c r="I33" s="30" t="n">
        <x:v>132.99</x:v>
      </x:c>
      <x:c r="J33" s="30" t="n">
        <x:v>127.9</x:v>
      </x:c>
      <x:c r="K33" s="30" t="n">
        <x:v>135.76</x:v>
      </x:c>
      <x:c r="L33" s="30" t="n">
        <x:v>7.859999999999985</x:v>
      </x:c>
      <x:c r="M33" s="67" t="str">
        <x:v>https://epoch.ai/models/deepseek-v3</x:v>
      </x:c>
      <x:c r="N33" s="30" t="n">
        <x:f>D33*POWER(E33,'Regression Model'!$F$7)</x:f>
        <x:v>37</x:v>
      </x:c>
      <x:c r="O33" s="30" t="n">
        <x:f>'Regression Model'!$F$8+'Regression Model'!$F$11*LOG(N33,2)+'Regression Model'!$F$12*((A33-'Regression Model'!$J$8)/365.25)+'Regression Model'!$F$13*IF(G33="Yes",1,0)+'Regression Model'!$F$14*IF(E33&gt;1.05,1,0)</x:f>
        <x:v>131.1464798682845</x:v>
      </x:c>
      <x:c r="P33" s="30" t="n">
        <x:f>I33-O33</x:f>
        <x:v>1.8435201317155077</x:v>
      </x:c>
      <x:c r="Q33" s="56" t="str">
        <x:v>Parameter mapping from official model names/cards; Epoch AI Models dataset provides the common metadata cross-check.</x:v>
      </x:c>
    </x:row>
    <x:row r="34">
      <x:c r="A34" s="26" t="n">
        <x:v>45638</x:v>
      </x:c>
      <x:c r="B34" s="17" t="str">
        <x:v>Phi-4</x:v>
      </x:c>
      <x:c r="C34" s="64" t="n">
        <x:v>14</x:v>
      </x:c>
      <x:c r="D34" s="64" t="n">
        <x:v>14</x:v>
      </x:c>
      <x:c r="E34" s="64" t="n">
        <x:f>C34/D34</x:f>
        <x:v>1</x:v>
      </x:c>
      <x:c r="F34" s="17" t="str">
        <x:v>dense</x:v>
      </x:c>
      <x:c r="G34" s="17" t="str">
        <x:v>No</x:v>
      </x:c>
      <x:c r="H34" s="17" t="str">
        <x:v>phi</x:v>
      </x:c>
      <x:c r="I34" s="30" t="n">
        <x:v>131.05</x:v>
      </x:c>
      <x:c r="J34" s="30" t="n">
        <x:v>123.6</x:v>
      </x:c>
      <x:c r="K34" s="30" t="n">
        <x:v>132.36</x:v>
      </x:c>
      <x:c r="L34" s="30" t="n">
        <x:v>8.76000000000002</x:v>
      </x:c>
      <x:c r="M34" s="67" t="str">
        <x:v>https://epoch.ai/models/phi-4</x:v>
      </x:c>
      <x:c r="N34" s="30" t="n">
        <x:f>D34*POWER(E34,'Regression Model'!$F$7)</x:f>
        <x:v>14</x:v>
      </x:c>
      <x:c r="O34" s="30" t="n">
        <x:f>'Regression Model'!$F$8+'Regression Model'!$F$11*LOG(N34,2)+'Regression Model'!$F$12*((A34-'Regression Model'!$J$8)/365.25)+'Regression Model'!$F$13*IF(G34="Yes",1,0)+'Regression Model'!$F$14*IF(E34&gt;1.05,1,0)</x:f>
        <x:v>120.28392003161412</x:v>
      </x:c>
      <x:c r="P34" s="30" t="n">
        <x:f>I34-O34</x:f>
        <x:v>10.766079968385895</x:v>
      </x:c>
      <x:c r="Q34" s="56" t="str">
        <x:v>Parameter mapping from official model names/cards; Epoch AI Models dataset provides the common metadata cross-check.</x:v>
      </x:c>
    </x:row>
    <x:row r="35">
      <x:c r="A35" s="26" t="n">
        <x:v>45632</x:v>
      </x:c>
      <x:c r="B35" s="17" t="str">
        <x:v>Llama 3.3 70B</x:v>
      </x:c>
      <x:c r="C35" s="64" t="n">
        <x:v>70</x:v>
      </x:c>
      <x:c r="D35" s="64" t="n">
        <x:v>70</x:v>
      </x:c>
      <x:c r="E35" s="64" t="n">
        <x:f>C35/D35</x:f>
        <x:v>1</x:v>
      </x:c>
      <x:c r="F35" s="17" t="str">
        <x:v>dense</x:v>
      </x:c>
      <x:c r="G35" s="17" t="str">
        <x:v>No</x:v>
      </x:c>
      <x:c r="H35" s="17" t="str">
        <x:v>llama33</x:v>
      </x:c>
      <x:c r="I35" s="30" t="n">
        <x:v>127.5</x:v>
      </x:c>
      <x:c r="J35" s="30" t="n">
        <x:v>122.01</x:v>
      </x:c>
      <x:c r="K35" s="30" t="n">
        <x:v>129.87</x:v>
      </x:c>
      <x:c r="L35" s="30" t="n">
        <x:v>7.859999999999999</x:v>
      </x:c>
      <x:c r="M35" s="67" t="str">
        <x:v>https://epoch.ai/models/llama-3-3-70b</x:v>
      </x:c>
      <x:c r="N35" s="30" t="n">
        <x:f>D35*POWER(E35,'Regression Model'!$F$7)</x:f>
        <x:v>70</x:v>
      </x:c>
      <x:c r="O35" s="30" t="n">
        <x:f>'Regression Model'!$F$8+'Regression Model'!$F$11*LOG(N35,2)+'Regression Model'!$F$12*((A35-'Regression Model'!$J$8)/365.25)+'Regression Model'!$F$13*IF(G35="Yes",1,0)+'Regression Model'!$F$14*IF(E35&gt;1.05,1,0)</x:f>
        <x:v>128.78177106069558</x:v>
      </x:c>
      <x:c r="P35" s="30" t="n">
        <x:f>I35-O35</x:f>
        <x:v>-1.2817710606955757</x:v>
      </x:c>
      <x:c r="Q35" s="56" t="str">
        <x:v>Parameter mapping from official model names/cards; Epoch AI Models dataset provides the common metadata cross-check.</x:v>
      </x:c>
    </x:row>
    <x:row r="36">
      <x:c r="A36" s="26" t="n">
        <x:v>45614</x:v>
      </x:c>
      <x:c r="B36" s="17" t="str">
        <x:v>Mistral Large 2 (Nov 2024)</x:v>
      </x:c>
      <x:c r="C36" s="64" t="n">
        <x:v>123</x:v>
      </x:c>
      <x:c r="D36" s="64" t="n">
        <x:v>123</x:v>
      </x:c>
      <x:c r="E36" s="64" t="n">
        <x:f>C36/D36</x:f>
        <x:v>1</x:v>
      </x:c>
      <x:c r="F36" s="17" t="str">
        <x:v>dense</x:v>
      </x:c>
      <x:c r="G36" s="17" t="str">
        <x:v>No</x:v>
      </x:c>
      <x:c r="H36" s="17" t="str">
        <x:v>mistral_large2</x:v>
      </x:c>
      <x:c r="I36" s="30" t="n">
        <x:v>128.81</x:v>
      </x:c>
      <x:c r="J36" s="30" t="n">
        <x:v>123.59</x:v>
      </x:c>
      <x:c r="K36" s="30" t="n">
        <x:v>130.68</x:v>
      </x:c>
      <x:c r="L36" s="30" t="n">
        <x:v>7.090000000000003</x:v>
      </x:c>
      <x:c r="M36" s="67" t="str">
        <x:v>https://epoch.ai/models/mistral-large-2-nov-2024</x:v>
      </x:c>
      <x:c r="N36" s="30" t="n">
        <x:f>D36*POWER(E36,'Regression Model'!$F$7)</x:f>
        <x:v>123</x:v>
      </x:c>
      <x:c r="O36" s="30" t="n">
        <x:f>'Regression Model'!$F$8+'Regression Model'!$F$11*LOG(N36,2)+'Regression Model'!$F$12*((A36-'Regression Model'!$J$8)/365.25)+'Regression Model'!$F$13*IF(G36="Yes",1,0)+'Regression Model'!$F$14*IF(E36&gt;1.05,1,0)</x:f>
        <x:v>131.21893304564264</x:v>
      </x:c>
      <x:c r="P36" s="30" t="n">
        <x:f>I36-O36</x:f>
        <x:v>-2.408933045642641</x:v>
      </x:c>
      <x:c r="Q36" s="56" t="str">
        <x:v>Parameter mapping from official model names/cards; Epoch AI Models dataset provides the common metadata cross-check.</x:v>
      </x:c>
    </x:row>
    <x:row r="37">
      <x:c r="A37" s="26" t="n">
        <x:v>45559</x:v>
      </x:c>
      <x:c r="B37" s="17" t="str">
        <x:v>Llama 3.2 90B</x:v>
      </x:c>
      <x:c r="C37" s="64" t="n">
        <x:v>90</x:v>
      </x:c>
      <x:c r="D37" s="64" t="n">
        <x:v>90</x:v>
      </x:c>
      <x:c r="E37" s="64" t="n">
        <x:f>C37/D37</x:f>
        <x:v>1</x:v>
      </x:c>
      <x:c r="F37" s="17" t="str">
        <x:v>dense</x:v>
      </x:c>
      <x:c r="G37" s="17" t="str">
        <x:v>No</x:v>
      </x:c>
      <x:c r="H37" s="17" t="str">
        <x:v>llama32</x:v>
      </x:c>
      <x:c r="I37" s="30" t="n">
        <x:v>125.71</x:v>
      </x:c>
      <x:c r="J37" s="30" t="n">
        <x:v>119.36</x:v>
      </x:c>
      <x:c r="K37" s="30" t="n">
        <x:v>127.43</x:v>
      </x:c>
      <x:c r="L37" s="30" t="n">
        <x:v>8.070000000000007</x:v>
      </x:c>
      <x:c r="M37" s="67" t="str">
        <x:v>https://epoch.ai/models/llama-3-2-90b</x:v>
      </x:c>
      <x:c r="N37" s="30" t="n">
        <x:f>D37*POWER(E37,'Regression Model'!$F$7)</x:f>
        <x:v>90</x:v>
      </x:c>
      <x:c r="O37" s="30" t="n">
        <x:f>'Regression Model'!$F$8+'Regression Model'!$F$11*LOG(N37,2)+'Regression Model'!$F$12*((A37-'Regression Model'!$J$8)/365.25)+'Regression Model'!$F$13*IF(G37="Yes",1,0)+'Regression Model'!$F$14*IF(E37&gt;1.05,1,0)</x:f>
        <x:v>127.66504134888493</x:v>
      </x:c>
      <x:c r="P37" s="30" t="n">
        <x:f>I37-O37</x:f>
        <x:v>-1.955041348884933</x:v>
      </x:c>
      <x:c r="Q37" s="56" t="str">
        <x:v>Parameter mapping from official model names/cards; Epoch AI Models dataset provides the common metadata cross-check.</x:v>
      </x:c>
    </x:row>
    <x:row r="38">
      <x:c r="A38" s="26" t="n">
        <x:v>45554</x:v>
      </x:c>
      <x:c r="B38" s="17" t="str">
        <x:v>Qwen2.5-72B</x:v>
      </x:c>
      <x:c r="C38" s="64" t="n">
        <x:v>72</x:v>
      </x:c>
      <x:c r="D38" s="64" t="n">
        <x:v>72</x:v>
      </x:c>
      <x:c r="E38" s="64" t="n">
        <x:f>C38/D38</x:f>
        <x:v>1</x:v>
      </x:c>
      <x:c r="F38" s="17" t="str">
        <x:v>dense</x:v>
      </x:c>
      <x:c r="G38" s="17" t="str">
        <x:v>No</x:v>
      </x:c>
      <x:c r="H38" s="17" t="str">
        <x:v>qwen25</x:v>
      </x:c>
      <x:c r="I38" s="30" t="n">
        <x:v>129.12</x:v>
      </x:c>
      <x:c r="J38" s="30" t="n">
        <x:v>122.2</x:v>
      </x:c>
      <x:c r="K38" s="30" t="n">
        <x:v>130.91</x:v>
      </x:c>
      <x:c r="L38" s="30" t="n">
        <x:v>8.709999999999994</x:v>
      </x:c>
      <x:c r="M38" s="67" t="str">
        <x:v>https://epoch.ai/models/qwen2-5-72b</x:v>
      </x:c>
      <x:c r="N38" s="30" t="n">
        <x:f>D38*POWER(E38,'Regression Model'!$F$7)</x:f>
        <x:v>72</x:v>
      </x:c>
      <x:c r="O38" s="30" t="n">
        <x:f>'Regression Model'!$F$8+'Regression Model'!$F$11*LOG(N38,2)+'Regression Model'!$F$12*((A38-'Regression Model'!$J$8)/365.25)+'Regression Model'!$F$13*IF(G38="Yes",1,0)+'Regression Model'!$F$14*IF(E38&gt;1.05,1,0)</x:f>
        <x:v>126.28908062069424</x:v>
      </x:c>
      <x:c r="P38" s="30" t="n">
        <x:f>I38-O38</x:f>
        <x:v>2.8309193793057688</x:v>
      </x:c>
      <x:c r="Q38" s="56" t="str">
        <x:v>Parameter mapping from official model names/cards; Epoch AI Models dataset provides the common metadata cross-check.</x:v>
      </x:c>
    </x:row>
    <x:row r="39">
      <x:c r="A39" s="26" t="n">
        <x:v>45553</x:v>
      </x:c>
      <x:c r="B39" s="17" t="str">
        <x:v>Qwen2.5-Coder (1.5B)</x:v>
      </x:c>
      <x:c r="C39" s="64" t="n">
        <x:v>1.5</x:v>
      </x:c>
      <x:c r="D39" s="64" t="n">
        <x:v>1.5</x:v>
      </x:c>
      <x:c r="E39" s="64" t="n">
        <x:f>C39/D39</x:f>
        <x:v>1</x:v>
      </x:c>
      <x:c r="F39" s="17" t="str">
        <x:v>dense</x:v>
      </x:c>
      <x:c r="G39" s="17" t="str">
        <x:v>No</x:v>
      </x:c>
      <x:c r="H39" s="17" t="str">
        <x:v>qwen25_coder</x:v>
      </x:c>
      <x:c r="I39" s="30" t="n">
        <x:v>102.72</x:v>
      </x:c>
      <x:c r="J39" s="30" t="n">
        <x:v>86.18</x:v>
      </x:c>
      <x:c r="K39" s="30" t="n">
        <x:v>110.55</x:v>
      </x:c>
      <x:c r="L39" s="30" t="n">
        <x:v>24.36999999999999</x:v>
      </x:c>
      <x:c r="M39" s="67" t="str">
        <x:v>https://epoch.ai/models/qwen2-5-coder-1-5b</x:v>
      </x:c>
      <x:c r="N39" s="30" t="n">
        <x:f>D39*POWER(E39,'Regression Model'!$F$7)</x:f>
        <x:v>1.5</x:v>
      </x:c>
      <x:c r="O39" s="30" t="n">
        <x:f>'Regression Model'!$F$8+'Regression Model'!$F$11*LOG(N39,2)+'Regression Model'!$F$12*((A39-'Regression Model'!$J$8)/365.25)+'Regression Model'!$F$13*IF(G39="Yes",1,0)+'Regression Model'!$F$14*IF(E39&gt;1.05,1,0)</x:f>
        <x:v>105.32579624560054</x:v>
      </x:c>
      <x:c r="P39" s="30" t="n">
        <x:f>I39-O39</x:f>
        <x:v>-2.605796245600544</x:v>
      </x:c>
      <x:c r="Q39" s="56" t="str">
        <x:v>Parameter mapping from official model names/cards; Epoch AI Models dataset provides the common metadata cross-check.</x:v>
      </x:c>
    </x:row>
    <x:row r="40">
      <x:c r="A40" s="26" t="n">
        <x:v>45553</x:v>
      </x:c>
      <x:c r="B40" s="17" t="str">
        <x:v>Qwen2.5-Coder (7B)</x:v>
      </x:c>
      <x:c r="C40" s="64" t="n">
        <x:v>7</x:v>
      </x:c>
      <x:c r="D40" s="64" t="n">
        <x:v>7</x:v>
      </x:c>
      <x:c r="E40" s="64" t="n">
        <x:f>C40/D40</x:f>
        <x:v>1</x:v>
      </x:c>
      <x:c r="F40" s="17" t="str">
        <x:v>dense</x:v>
      </x:c>
      <x:c r="G40" s="17" t="str">
        <x:v>No</x:v>
      </x:c>
      <x:c r="H40" s="17" t="str">
        <x:v>qwen25_coder</x:v>
      </x:c>
      <x:c r="I40" s="30" t="n">
        <x:v>112.91</x:v>
      </x:c>
      <x:c r="J40" s="30" t="n">
        <x:v>102.1</x:v>
      </x:c>
      <x:c r="K40" s="30" t="n">
        <x:v>118.64</x:v>
      </x:c>
      <x:c r="L40" s="30" t="n">
        <x:v>16.540000000000006</x:v>
      </x:c>
      <x:c r="M40" s="67" t="str">
        <x:v>https://epoch.ai/models/qwen2-5-coder-7b</x:v>
      </x:c>
      <x:c r="N40" s="30" t="n">
        <x:f>D40*POWER(E40,'Regression Model'!$F$7)</x:f>
        <x:v>7</x:v>
      </x:c>
      <x:c r="O40" s="30" t="n">
        <x:f>'Regression Model'!$F$8+'Regression Model'!$F$11*LOG(N40,2)+'Regression Model'!$F$12*((A40-'Regression Model'!$J$8)/365.25)+'Regression Model'!$F$13*IF(G40="Yes",1,0)+'Regression Model'!$F$14*IF(E40&gt;1.05,1,0)</x:f>
        <x:v>113.654103298926</x:v>
      </x:c>
      <x:c r="P40" s="30" t="n">
        <x:f>I40-O40</x:f>
        <x:v>-0.7441032989260066</x:v>
      </x:c>
      <x:c r="Q40" s="56" t="str">
        <x:v>Parameter mapping from official model names/cards; Epoch AI Models dataset provides the common metadata cross-check.</x:v>
      </x:c>
    </x:row>
    <x:row r="41">
      <x:c r="A41" s="26" t="n">
        <x:v>45553</x:v>
      </x:c>
      <x:c r="B41" s="17" t="str">
        <x:v>Qwen2.5-Coder-32B</x:v>
      </x:c>
      <x:c r="C41" s="64" t="n">
        <x:v>32</x:v>
      </x:c>
      <x:c r="D41" s="64" t="n">
        <x:v>32</x:v>
      </x:c>
      <x:c r="E41" s="64" t="n">
        <x:f>C41/D41</x:f>
        <x:v>1</x:v>
      </x:c>
      <x:c r="F41" s="17" t="str">
        <x:v>dense</x:v>
      </x:c>
      <x:c r="G41" s="17" t="str">
        <x:v>No</x:v>
      </x:c>
      <x:c r="H41" s="17" t="str">
        <x:v>qwen25_coder</x:v>
      </x:c>
      <x:c r="I41" s="30" t="n">
        <x:v>119.27</x:v>
      </x:c>
      <x:c r="J41" s="30" t="n">
        <x:v>110.01</x:v>
      </x:c>
      <x:c r="K41" s="30" t="n">
        <x:v>124.64</x:v>
      </x:c>
      <x:c r="L41" s="30" t="n">
        <x:v>14.629999999999995</x:v>
      </x:c>
      <x:c r="M41" s="67" t="str">
        <x:v>https://epoch.ai/models/qwen2-5-coder-32b</x:v>
      </x:c>
      <x:c r="N41" s="30" t="n">
        <x:f>D41*POWER(E41,'Regression Model'!$F$7)</x:f>
        <x:v>32</x:v>
      </x:c>
      <x:c r="O41" s="30" t="n">
        <x:f>'Regression Model'!$F$8+'Regression Model'!$F$11*LOG(N41,2)+'Regression Model'!$F$12*((A41-'Regression Model'!$J$8)/365.25)+'Regression Model'!$F$13*IF(G41="Yes",1,0)+'Regression Model'!$F$14*IF(E41&gt;1.05,1,0)</x:f>
        <x:v>121.8709336357959</x:v>
      </x:c>
      <x:c r="P41" s="30" t="n">
        <x:f>I41-O41</x:f>
        <x:v>-2.600933635795897</x:v>
      </x:c>
      <x:c r="Q41" s="56" t="str">
        <x:v>Parameter mapping from official model names/cards; Epoch AI Models dataset provides the common metadata cross-check.</x:v>
      </x:c>
    </x:row>
    <x:row r="42">
      <x:c r="A42" s="26" t="n">
        <x:v>45497</x:v>
      </x:c>
      <x:c r="B42" s="17" t="str">
        <x:v>Mistral Large 2 (Jul 2024)</x:v>
      </x:c>
      <x:c r="C42" s="64" t="n">
        <x:v>123</x:v>
      </x:c>
      <x:c r="D42" s="64" t="n">
        <x:v>123</x:v>
      </x:c>
      <x:c r="E42" s="64" t="n">
        <x:f>C42/D42</x:f>
        <x:v>1</x:v>
      </x:c>
      <x:c r="F42" s="17" t="str">
        <x:v>dense</x:v>
      </x:c>
      <x:c r="G42" s="17" t="str">
        <x:v>No</x:v>
      </x:c>
      <x:c r="H42" s="17" t="str">
        <x:v>mistral_large2</x:v>
      </x:c>
      <x:c r="I42" s="30" t="n">
        <x:v>127.53</x:v>
      </x:c>
      <x:c r="J42" s="30" t="n">
        <x:v>121.93</x:v>
      </x:c>
      <x:c r="K42" s="30" t="n">
        <x:v>129.33</x:v>
      </x:c>
      <x:c r="L42" s="30" t="n">
        <x:v>7.400000000000006</x:v>
      </x:c>
      <x:c r="M42" s="67" t="str">
        <x:v>https://epoch.ai/models/mistral-large-2-jul-2024</x:v>
      </x:c>
      <x:c r="N42" s="30" t="n">
        <x:f>D42*POWER(E42,'Regression Model'!$F$7)</x:f>
        <x:v>123</x:v>
      </x:c>
      <x:c r="O42" s="30" t="n">
        <x:f>'Regression Model'!$F$8+'Regression Model'!$F$11*LOG(N42,2)+'Regression Model'!$F$12*((A42-'Regression Model'!$J$8)/365.25)+'Regression Model'!$F$13*IF(G42="Yes",1,0)+'Regression Model'!$F$14*IF(E42&gt;1.05,1,0)</x:f>
        <x:v>127.25144160782608</x:v>
      </x:c>
      <x:c r="P42" s="30" t="n">
        <x:f>I42-O42</x:f>
        <x:v>0.2785583921739203</x:v>
      </x:c>
      <x:c r="Q42" s="56" t="str">
        <x:v>Parameter mapping from official model names/cards; Epoch AI Models dataset provides the common metadata cross-check.</x:v>
      </x:c>
    </x:row>
    <x:row r="43">
      <x:c r="A43" s="26" t="n">
        <x:v>45496</x:v>
      </x:c>
      <x:c r="B43" s="17" t="str">
        <x:v>Llama 3.1-405B</x:v>
      </x:c>
      <x:c r="C43" s="64" t="n">
        <x:v>405</x:v>
      </x:c>
      <x:c r="D43" s="64" t="n">
        <x:v>405</x:v>
      </x:c>
      <x:c r="E43" s="64" t="n">
        <x:f>C43/D43</x:f>
        <x:v>1</x:v>
      </x:c>
      <x:c r="F43" s="17" t="str">
        <x:v>dense</x:v>
      </x:c>
      <x:c r="G43" s="17" t="str">
        <x:v>No</x:v>
      </x:c>
      <x:c r="H43" s="17" t="str">
        <x:v>llama31</x:v>
      </x:c>
      <x:c r="I43" s="30" t="n">
        <x:v>128.99</x:v>
      </x:c>
      <x:c r="J43" s="30" t="n">
        <x:v>123.59</x:v>
      </x:c>
      <x:c r="K43" s="30" t="n">
        <x:v>130.73</x:v>
      </x:c>
      <x:c r="L43" s="30" t="n">
        <x:v>7.139999999999986</x:v>
      </x:c>
      <x:c r="M43" s="67" t="str">
        <x:v>https://epoch.ai/models/llama-3-1-405b</x:v>
      </x:c>
      <x:c r="N43" s="30" t="n">
        <x:f>D43*POWER(E43,'Regression Model'!$F$7)</x:f>
        <x:v>405</x:v>
      </x:c>
      <x:c r="O43" s="30" t="n">
        <x:f>'Regression Model'!$F$8+'Regression Model'!$F$11*LOG(N43,2)+'Regression Model'!$F$12*((A43-'Regression Model'!$J$8)/365.25)+'Regression Model'!$F$13*IF(G43="Yes",1,0)+'Regression Model'!$F$14*IF(E43&gt;1.05,1,0)</x:f>
        <x:v>133.66038776532034</x:v>
      </x:c>
      <x:c r="P43" s="30" t="n">
        <x:f>I43-O43</x:f>
        <x:v>-4.670387765320328</x:v>
      </x:c>
      <x:c r="Q43" s="56" t="str">
        <x:v>Parameter mapping from official model names/cards; Epoch AI Models dataset provides the common metadata cross-check.</x:v>
      </x:c>
    </x:row>
    <x:row r="44">
      <x:c r="A44" s="26" t="n">
        <x:v>45496</x:v>
      </x:c>
      <x:c r="B44" s="17" t="str">
        <x:v>Llama 3.1-70B</x:v>
      </x:c>
      <x:c r="C44" s="64" t="n">
        <x:v>70</x:v>
      </x:c>
      <x:c r="D44" s="64" t="n">
        <x:v>70</x:v>
      </x:c>
      <x:c r="E44" s="64" t="n">
        <x:f>C44/D44</x:f>
        <x:v>1</x:v>
      </x:c>
      <x:c r="F44" s="17" t="str">
        <x:v>dense</x:v>
      </x:c>
      <x:c r="G44" s="17" t="str">
        <x:v>No</x:v>
      </x:c>
      <x:c r="H44" s="17" t="str">
        <x:v>llama31</x:v>
      </x:c>
      <x:c r="I44" s="30" t="n">
        <x:v>125.53</x:v>
      </x:c>
      <x:c r="J44" s="30" t="n">
        <x:v>118.91</x:v>
      </x:c>
      <x:c r="K44" s="30" t="n">
        <x:v>127.47</x:v>
      </x:c>
      <x:c r="L44" s="30" t="n">
        <x:v>8.560000000000002</x:v>
      </x:c>
      <x:c r="M44" s="67" t="str">
        <x:v>https://epoch.ai/models/llama-3-1-70b</x:v>
      </x:c>
      <x:c r="N44" s="30" t="n">
        <x:f>D44*POWER(E44,'Regression Model'!$F$7)</x:f>
        <x:v>70</x:v>
      </x:c>
      <x:c r="O44" s="30" t="n">
        <x:f>'Regression Model'!$F$8+'Regression Model'!$F$11*LOG(N44,2)+'Regression Model'!$F$12*((A44-'Regression Model'!$J$8)/365.25)+'Regression Model'!$F$13*IF(G44="Yes",1,0)+'Regression Model'!$F$14*IF(E44&gt;1.05,1,0)</x:f>
        <x:v>124.16998614152416</x:v>
      </x:c>
      <x:c r="P44" s="30" t="n">
        <x:f>I44-O44</x:f>
        <x:v>1.3600138584758383</x:v>
      </x:c>
      <x:c r="Q44" s="56" t="str">
        <x:v>Parameter mapping from official model names/cards; Epoch AI Models dataset provides the common metadata cross-check.</x:v>
      </x:c>
    </x:row>
    <x:row r="45">
      <x:c r="A45" s="26" t="n">
        <x:v>45496</x:v>
      </x:c>
      <x:c r="B45" s="17" t="str">
        <x:v>Llama 3.1-8B</x:v>
      </x:c>
      <x:c r="C45" s="64" t="n">
        <x:v>8</x:v>
      </x:c>
      <x:c r="D45" s="64" t="n">
        <x:v>8</x:v>
      </x:c>
      <x:c r="E45" s="64" t="n">
        <x:f>C45/D45</x:f>
        <x:v>1</x:v>
      </x:c>
      <x:c r="F45" s="17" t="str">
        <x:v>dense</x:v>
      </x:c>
      <x:c r="G45" s="17" t="str">
        <x:v>No</x:v>
      </x:c>
      <x:c r="H45" s="17" t="str">
        <x:v>llama31</x:v>
      </x:c>
      <x:c r="I45" s="30" t="n">
        <x:v>115.45</x:v>
      </x:c>
      <x:c r="J45" s="30" t="n">
        <x:v>103.85</x:v>
      </x:c>
      <x:c r="K45" s="30" t="n">
        <x:v>121.29</x:v>
      </x:c>
      <x:c r="L45" s="30" t="n">
        <x:v>17.440000000000012</x:v>
      </x:c>
      <x:c r="M45" s="67" t="str">
        <x:v>https://epoch.ai/models/llama-3-1-8b</x:v>
      </x:c>
      <x:c r="N45" s="30" t="n">
        <x:f>D45*POWER(E45,'Regression Model'!$F$7)</x:f>
        <x:v>8</x:v>
      </x:c>
      <x:c r="O45" s="30" t="n">
        <x:f>'Regression Model'!$F$8+'Regression Model'!$F$11*LOG(N45,2)+'Regression Model'!$F$12*((A45-'Regression Model'!$J$8)/365.25)+'Regression Model'!$F$13*IF(G45="Yes",1,0)+'Regression Model'!$F$14*IF(E45&gt;1.05,1,0)</x:f>
        <x:v>112.44315087531945</x:v>
      </x:c>
      <x:c r="P45" s="30" t="n">
        <x:f>I45-O45</x:f>
        <x:v>3.0068491246805564</x:v>
      </x:c>
      <x:c r="Q45" s="56" t="str">
        <x:v>Parameter mapping from official model names/cards; Epoch AI Models dataset provides the common metadata cross-check.</x:v>
      </x:c>
    </x:row>
    <x:row r="46">
      <x:c r="A46" s="26" t="n">
        <x:v>45491</x:v>
      </x:c>
      <x:c r="B46" s="17" t="str">
        <x:v>Mistral NeMo</x:v>
      </x:c>
      <x:c r="C46" s="64" t="n">
        <x:v>12</x:v>
      </x:c>
      <x:c r="D46" s="64" t="n">
        <x:v>12</x:v>
      </x:c>
      <x:c r="E46" s="64" t="n">
        <x:f>C46/D46</x:f>
        <x:v>1</x:v>
      </x:c>
      <x:c r="F46" s="17" t="str">
        <x:v>dense</x:v>
      </x:c>
      <x:c r="G46" s="17" t="str">
        <x:v>No</x:v>
      </x:c>
      <x:c r="H46" s="17" t="str">
        <x:v>mistral_nemo</x:v>
      </x:c>
      <x:c r="I46" s="30" t="n">
        <x:v>118.38</x:v>
      </x:c>
      <x:c r="J46" s="30" t="n">
        <x:v>109.85</x:v>
      </x:c>
      <x:c r="K46" s="30" t="n">
        <x:v>121.76</x:v>
      </x:c>
      <x:c r="L46" s="30" t="n">
        <x:v>11.91000000000001</x:v>
      </x:c>
      <x:c r="M46" s="67" t="str">
        <x:v>https://epoch.ai/models/mistral-nemo</x:v>
      </x:c>
      <x:c r="N46" s="30" t="n">
        <x:f>D46*POWER(E46,'Regression Model'!$F$7)</x:f>
        <x:v>12</x:v>
      </x:c>
      <x:c r="O46" s="30" t="n">
        <x:f>'Regression Model'!$F$8+'Regression Model'!$F$11*LOG(N46,2)+'Regression Model'!$F$12*((A46-'Regression Model'!$J$8)/365.25)+'Regression Model'!$F$13*IF(G46="Yes",1,0)+'Regression Model'!$F$14*IF(E46&gt;1.05,1,0)</x:f>
        <x:v>114.46571836000798</x:v>
      </x:c>
      <x:c r="P46" s="30" t="n">
        <x:f>I46-O46</x:f>
        <x:v>3.914281639992012</x:v>
      </x:c>
      <x:c r="Q46" s="56" t="str">
        <x:v>Parameter mapping from official model names/cards; Epoch AI Models dataset provides the common metadata cross-check.</x:v>
      </x:c>
    </x:row>
    <x:row r="47">
      <x:c r="A47" s="26" t="n">
        <x:v>45467</x:v>
      </x:c>
      <x:c r="B47" s="17" t="str">
        <x:v>Gemma 2 27B</x:v>
      </x:c>
      <x:c r="C47" s="64" t="n">
        <x:v>27</x:v>
      </x:c>
      <x:c r="D47" s="64" t="n">
        <x:v>27</x:v>
      </x:c>
      <x:c r="E47" s="64" t="n">
        <x:f>C47/D47</x:f>
        <x:v>1</x:v>
      </x:c>
      <x:c r="F47" s="17" t="str">
        <x:v>dense</x:v>
      </x:c>
      <x:c r="G47" s="17" t="str">
        <x:v>No</x:v>
      </x:c>
      <x:c r="H47" s="17" t="str">
        <x:v>gemma2</x:v>
      </x:c>
      <x:c r="I47" s="30" t="n">
        <x:v>122.47</x:v>
      </x:c>
      <x:c r="J47" s="30" t="n">
        <x:v>115.04</x:v>
      </x:c>
      <x:c r="K47" s="30" t="n">
        <x:v>124.23</x:v>
      </x:c>
      <x:c r="L47" s="30" t="n">
        <x:v>9.189999999999998</x:v>
      </x:c>
      <x:c r="M47" s="67" t="str">
        <x:v>https://epoch.ai/models/gemma-2-27b</x:v>
      </x:c>
      <x:c r="N47" s="30" t="n">
        <x:f>D47*POWER(E47,'Regression Model'!$F$7)</x:f>
        <x:v>27</x:v>
      </x:c>
      <x:c r="O47" s="30" t="n">
        <x:f>'Regression Model'!$F$8+'Regression Model'!$F$11*LOG(N47,2)+'Regression Model'!$F$12*((A47-'Regression Model'!$J$8)/365.25)+'Regression Model'!$F$13*IF(G47="Yes",1,0)+'Regression Model'!$F$14*IF(E47&gt;1.05,1,0)</x:f>
        <x:v>118.0361107641763</x:v>
      </x:c>
      <x:c r="P47" s="30" t="n">
        <x:f>I47-O47</x:f>
        <x:v>4.433889235823699</x:v>
      </x:c>
      <x:c r="Q47" s="56" t="str">
        <x:v>Parameter mapping from official model names/cards; Epoch AI Models dataset provides the common metadata cross-check.</x:v>
      </x:c>
    </x:row>
    <x:row r="48">
      <x:c r="A48" s="26" t="n">
        <x:v>45467</x:v>
      </x:c>
      <x:c r="B48" s="17" t="str">
        <x:v>Gemma 2 9B</x:v>
      </x:c>
      <x:c r="C48" s="64" t="n">
        <x:v>9</x:v>
      </x:c>
      <x:c r="D48" s="64" t="n">
        <x:v>9</x:v>
      </x:c>
      <x:c r="E48" s="64" t="n">
        <x:f>C48/D48</x:f>
        <x:v>1</x:v>
      </x:c>
      <x:c r="F48" s="17" t="str">
        <x:v>dense</x:v>
      </x:c>
      <x:c r="G48" s="17" t="str">
        <x:v>No</x:v>
      </x:c>
      <x:c r="H48" s="17" t="str">
        <x:v>gemma2</x:v>
      </x:c>
      <x:c r="I48" s="30" t="n">
        <x:v>119.58</x:v>
      </x:c>
      <x:c r="J48" s="30" t="n">
        <x:v>111.3</x:v>
      </x:c>
      <x:c r="K48" s="30" t="n">
        <x:v>122.38</x:v>
      </x:c>
      <x:c r="L48" s="30" t="n">
        <x:v>11.079999999999998</x:v>
      </x:c>
      <x:c r="M48" s="67" t="str">
        <x:v>https://epoch.ai/models/gemma-2-9b</x:v>
      </x:c>
      <x:c r="N48" s="30" t="n">
        <x:f>D48*POWER(E48,'Regression Model'!$F$7)</x:f>
        <x:v>9</x:v>
      </x:c>
      <x:c r="O48" s="30" t="n">
        <x:f>'Regression Model'!$F$8+'Regression Model'!$F$11*LOG(N48,2)+'Regression Model'!$F$12*((A48-'Regression Model'!$J$8)/365.25)+'Regression Model'!$F$13*IF(G48="Yes",1,0)+'Regression Model'!$F$14*IF(E48&gt;1.05,1,0)</x:f>
        <x:v>112.09654120513574</x:v>
      </x:c>
      <x:c r="P48" s="30" t="n">
        <x:f>I48-O48</x:f>
        <x:v>7.483458794864262</x:v>
      </x:c>
      <x:c r="Q48" s="56" t="str">
        <x:v>Parameter mapping from official model names/cards; Epoch AI Models dataset provides the common metadata cross-check.</x:v>
      </x:c>
    </x:row>
    <x:row r="49">
      <x:c r="A49" s="26" t="n">
        <x:v>45450</x:v>
      </x:c>
      <x:c r="B49" s="17" t="str">
        <x:v>Qwen2-72B</x:v>
      </x:c>
      <x:c r="C49" s="64" t="n">
        <x:v>72</x:v>
      </x:c>
      <x:c r="D49" s="64" t="n">
        <x:v>72</x:v>
      </x:c>
      <x:c r="E49" s="64" t="n">
        <x:f>C49/D49</x:f>
        <x:v>1</x:v>
      </x:c>
      <x:c r="F49" s="17" t="str">
        <x:v>dense</x:v>
      </x:c>
      <x:c r="G49" s="17" t="str">
        <x:v>No</x:v>
      </x:c>
      <x:c r="H49" s="17" t="str">
        <x:v>qwen2</x:v>
      </x:c>
      <x:c r="I49" s="30" t="n">
        <x:v>125.49</x:v>
      </x:c>
      <x:c r="J49" s="30" t="n">
        <x:v>119.09</x:v>
      </x:c>
      <x:c r="K49" s="30" t="n">
        <x:v>127.01</x:v>
      </x:c>
      <x:c r="L49" s="30" t="n">
        <x:v>7.920000000000002</x:v>
      </x:c>
      <x:c r="M49" s="67" t="str">
        <x:v>https://epoch.ai/models/qwen2-72b</x:v>
      </x:c>
      <x:c r="N49" s="30" t="n">
        <x:f>D49*POWER(E49,'Regression Model'!$F$7)</x:f>
        <x:v>72</x:v>
      </x:c>
      <x:c r="O49" s="30" t="n">
        <x:f>'Regression Model'!$F$8+'Regression Model'!$F$11*LOG(N49,2)+'Regression Model'!$F$12*((A49-'Regression Model'!$J$8)/365.25)+'Regression Model'!$F$13*IF(G49="Yes",1,0)+'Regression Model'!$F$14*IF(E49&gt;1.05,1,0)</x:f>
        <x:v>122.76242156485728</x:v>
      </x:c>
      <x:c r="P49" s="30" t="n">
        <x:f>I49-O49</x:f>
        <x:v>2.7275784351427177</x:v>
      </x:c>
      <x:c r="Q49" s="56" t="str">
        <x:v>Parameter mapping from official model names/cards; Epoch AI Models dataset provides the common metadata cross-check.</x:v>
      </x:c>
    </x:row>
    <x:row r="50">
      <x:c r="A50" s="26" t="n">
        <x:v>45421</x:v>
      </x:c>
      <x:c r="B50" s="17" t="str">
        <x:v>Falcon 2 11B</x:v>
      </x:c>
      <x:c r="C50" s="64" t="n">
        <x:v>11</x:v>
      </x:c>
      <x:c r="D50" s="64" t="n">
        <x:v>11</x:v>
      </x:c>
      <x:c r="E50" s="64" t="n">
        <x:f>C50/D50</x:f>
        <x:v>1</x:v>
      </x:c>
      <x:c r="F50" s="17" t="str">
        <x:v>dense</x:v>
      </x:c>
      <x:c r="G50" s="17" t="str">
        <x:v>No</x:v>
      </x:c>
      <x:c r="H50" s="17" t="str">
        <x:v>falcon2</x:v>
      </x:c>
      <x:c r="I50" s="30" t="n">
        <x:v>109.3</x:v>
      </x:c>
      <x:c r="J50" s="30" t="n">
        <x:v>99.71</x:v>
      </x:c>
      <x:c r="K50" s="30" t="n">
        <x:v>115.81</x:v>
      </x:c>
      <x:c r="L50" s="30" t="n">
        <x:v>16.10000000000001</x:v>
      </x:c>
      <x:c r="M50" s="67" t="str">
        <x:v>https://epoch.ai/models/falcon-2-11b</x:v>
      </x:c>
      <x:c r="N50" s="30" t="n">
        <x:f>D50*POWER(E50,'Regression Model'!$F$7)</x:f>
        <x:v>11</x:v>
      </x:c>
      <x:c r="O50" s="30" t="n">
        <x:f>'Regression Model'!$F$8+'Regression Model'!$F$11*LOG(N50,2)+'Regression Model'!$F$12*((A50-'Regression Model'!$J$8)/365.25)+'Regression Model'!$F$13*IF(G50="Yes",1,0)+'Regression Model'!$F$14*IF(E50&gt;1.05,1,0)</x:f>
        <x:v>111.62158468450812</x:v>
      </x:c>
      <x:c r="P50" s="30" t="n">
        <x:f>I50-O50</x:f>
        <x:v>-2.3215846845081245</x:v>
      </x:c>
      <x:c r="Q50" s="56" t="str">
        <x:v>Parameter mapping from official model names/cards; Epoch AI Models dataset provides the common metadata cross-check.</x:v>
      </x:c>
    </x:row>
    <x:row r="51">
      <x:c r="A51" s="26" t="n">
        <x:v>45419</x:v>
      </x:c>
      <x:c r="B51" s="17" t="str">
        <x:v>DeepSeek-V2 (MoE-236B, May 2024)</x:v>
      </x:c>
      <x:c r="C51" s="64" t="n">
        <x:v>236</x:v>
      </x:c>
      <x:c r="D51" s="64" t="n">
        <x:v>21</x:v>
      </x:c>
      <x:c r="E51" s="64" t="n">
        <x:f>C51/D51</x:f>
        <x:v>11.238095238095237</x:v>
      </x:c>
      <x:c r="F51" s="17" t="str">
        <x:v>MoE</x:v>
      </x:c>
      <x:c r="G51" s="17" t="str">
        <x:v>No</x:v>
      </x:c>
      <x:c r="H51" s="17" t="str">
        <x:v>deepseek_v2</x:v>
      </x:c>
      <x:c r="I51" s="30" t="n">
        <x:v>124.58</x:v>
      </x:c>
      <x:c r="J51" s="30" t="n">
        <x:v>117.97</x:v>
      </x:c>
      <x:c r="K51" s="30" t="n">
        <x:v>127.63</x:v>
      </x:c>
      <x:c r="L51" s="30" t="n">
        <x:v>9.659999999999997</x:v>
      </x:c>
      <x:c r="M51" s="67" t="str">
        <x:v>https://epoch.ai/models/deepseek-v2-moe-236b-may-2024</x:v>
      </x:c>
      <x:c r="N51" s="30" t="n">
        <x:f>D51*POWER(E51,'Regression Model'!$F$7)</x:f>
        <x:v>21</x:v>
      </x:c>
      <x:c r="O51" s="30" t="n">
        <x:f>'Regression Model'!$F$8+'Regression Model'!$F$11*LOG(N51,2)+'Regression Model'!$F$12*((A51-'Regression Model'!$J$8)/365.25)+'Regression Model'!$F$13*IF(G51="Yes",1,0)+'Regression Model'!$F$14*IF(E51&gt;1.05,1,0)</x:f>
        <x:v>120.1832301404349</x:v>
      </x:c>
      <x:c r="P51" s="30" t="n">
        <x:f>I51-O51</x:f>
        <x:v>4.396769859565097</x:v>
      </x:c>
      <x:c r="Q51" s="56" t="str">
        <x:v>Parameter mapping from official model names/cards; Epoch AI Models dataset provides the common metadata cross-check.</x:v>
      </x:c>
    </x:row>
    <x:row r="52">
      <x:c r="A52" s="26" t="n">
        <x:v>45405</x:v>
      </x:c>
      <x:c r="B52" s="17" t="str">
        <x:v>phi-3-medium 14B</x:v>
      </x:c>
      <x:c r="C52" s="64" t="n">
        <x:v>14</x:v>
      </x:c>
      <x:c r="D52" s="64" t="n">
        <x:v>14</x:v>
      </x:c>
      <x:c r="E52" s="64" t="n">
        <x:f>C52/D52</x:f>
        <x:v>1</x:v>
      </x:c>
      <x:c r="F52" s="17" t="str">
        <x:v>dense</x:v>
      </x:c>
      <x:c r="G52" s="17" t="str">
        <x:v>No</x:v>
      </x:c>
      <x:c r="H52" s="17" t="str">
        <x:v>phi</x:v>
      </x:c>
      <x:c r="I52" s="30" t="n">
        <x:v>121.07</x:v>
      </x:c>
      <x:c r="J52" s="30" t="n">
        <x:v>113.81</x:v>
      </x:c>
      <x:c r="K52" s="30" t="n">
        <x:v>123.74</x:v>
      </x:c>
      <x:c r="L52" s="30" t="n">
        <x:v>9.929999999999993</x:v>
      </x:c>
      <x:c r="M52" s="67" t="str">
        <x:v>https://epoch.ai/models/phi-3-medium-14b</x:v>
      </x:c>
      <x:c r="N52" s="30" t="n">
        <x:f>D52*POWER(E52,'Regression Model'!$F$7)</x:f>
        <x:v>14</x:v>
      </x:c>
      <x:c r="O52" s="30" t="n">
        <x:f>'Regression Model'!$F$8+'Regression Model'!$F$11*LOG(N52,2)+'Regression Model'!$F$12*((A52-'Regression Model'!$J$8)/365.25)+'Regression Model'!$F$13*IF(G52="Yes",1,0)+'Regression Model'!$F$14*IF(E52&gt;1.05,1,0)</x:f>
        <x:v>112.38284733921017</x:v>
      </x:c>
      <x:c r="P52" s="30" t="n">
        <x:f>I52-O52</x:f>
        <x:v>8.68715266078982</x:v>
      </x:c>
      <x:c r="Q52" s="56" t="str">
        <x:v>Parameter mapping from official model names/cards; Epoch AI Models dataset provides the common metadata cross-check.</x:v>
      </x:c>
    </x:row>
    <x:row r="53">
      <x:c r="A53" s="26" t="n">
        <x:v>45405</x:v>
      </x:c>
      <x:c r="B53" s="17" t="str">
        <x:v>phi-3-mini 3.8B</x:v>
      </x:c>
      <x:c r="C53" s="64" t="n">
        <x:v>3.8</x:v>
      </x:c>
      <x:c r="D53" s="64" t="n">
        <x:v>3.8</x:v>
      </x:c>
      <x:c r="E53" s="64" t="n">
        <x:f>C53/D53</x:f>
        <x:v>1</x:v>
      </x:c>
      <x:c r="F53" s="17" t="str">
        <x:v>dense</x:v>
      </x:c>
      <x:c r="G53" s="17" t="str">
        <x:v>No</x:v>
      </x:c>
      <x:c r="H53" s="17" t="str">
        <x:v>phi</x:v>
      </x:c>
      <x:c r="I53" s="30" t="n">
        <x:v>117.14</x:v>
      </x:c>
      <x:c r="J53" s="30" t="n">
        <x:v>107.43</x:v>
      </x:c>
      <x:c r="K53" s="30" t="n">
        <x:v>120.17</x:v>
      </x:c>
      <x:c r="L53" s="30" t="n">
        <x:v>12.739999999999995</x:v>
      </x:c>
      <x:c r="M53" s="67" t="str">
        <x:v>https://epoch.ai/models/phi-3-mini-3-8b</x:v>
      </x:c>
      <x:c r="N53" s="30" t="n">
        <x:f>D53*POWER(E53,'Regression Model'!$F$7)</x:f>
        <x:v>3.8</x:v>
      </x:c>
      <x:c r="O53" s="30" t="n">
        <x:f>'Regression Model'!$F$8+'Regression Model'!$F$11*LOG(N53,2)+'Regression Model'!$F$12*((A53-'Regression Model'!$J$8)/365.25)+'Regression Model'!$F$13*IF(G53="Yes",1,0)+'Regression Model'!$F$14*IF(E53&gt;1.05,1,0)</x:f>
        <x:v>105.33255947861673</x:v>
      </x:c>
      <x:c r="P53" s="30" t="n">
        <x:f>I53-O53</x:f>
        <x:v>11.80744052138327</x:v>
      </x:c>
      <x:c r="Q53" s="56" t="str">
        <x:v>Parameter mapping from official model names/cards; Epoch AI Models dataset provides the common metadata cross-check.</x:v>
      </x:c>
    </x:row>
    <x:row r="54">
      <x:c r="A54" s="26" t="n">
        <x:v>45405</x:v>
      </x:c>
      <x:c r="B54" s="17" t="str">
        <x:v>phi-3-small 7.4B</x:v>
      </x:c>
      <x:c r="C54" s="64" t="n">
        <x:v>7.4</x:v>
      </x:c>
      <x:c r="D54" s="64" t="n">
        <x:v>7.4</x:v>
      </x:c>
      <x:c r="E54" s="64" t="n">
        <x:f>C54/D54</x:f>
        <x:v>1</x:v>
      </x:c>
      <x:c r="F54" s="17" t="str">
        <x:v>dense</x:v>
      </x:c>
      <x:c r="G54" s="17" t="str">
        <x:v>No</x:v>
      </x:c>
      <x:c r="H54" s="17" t="str">
        <x:v>phi</x:v>
      </x:c>
      <x:c r="I54" s="30" t="n">
        <x:v>121.64</x:v>
      </x:c>
      <x:c r="J54" s="30" t="n">
        <x:v>113.57</x:v>
      </x:c>
      <x:c r="K54" s="30" t="n">
        <x:v>124.38</x:v>
      </x:c>
      <x:c r="L54" s="30" t="n">
        <x:v>10.810000000000002</x:v>
      </x:c>
      <x:c r="M54" s="67" t="str">
        <x:v>https://epoch.ai/models/phi-3-small-7-4b</x:v>
      </x:c>
      <x:c r="N54" s="30" t="n">
        <x:f>D54*POWER(E54,'Regression Model'!$F$7)</x:f>
        <x:v>7.4</x:v>
      </x:c>
      <x:c r="O54" s="30" t="n">
        <x:f>'Regression Model'!$F$8+'Regression Model'!$F$11*LOG(N54,2)+'Regression Model'!$F$12*((A54-'Regression Model'!$J$8)/365.25)+'Regression Model'!$F$13*IF(G54="Yes",1,0)+'Regression Model'!$F$14*IF(E54&gt;1.05,1,0)</x:f>
        <x:v>108.93583064703375</x:v>
      </x:c>
      <x:c r="P54" s="30" t="n">
        <x:f>I54-O54</x:f>
        <x:v>12.704169352966247</x:v>
      </x:c>
      <x:c r="Q54" s="56" t="str">
        <x:v>Parameter mapping from official model names/cards; Epoch AI Models dataset provides the common metadata cross-check.</x:v>
      </x:c>
    </x:row>
    <x:row r="55">
      <x:c r="A55" s="26" t="n">
        <x:v>45400</x:v>
      </x:c>
      <x:c r="B55" s="17" t="str">
        <x:v>Llama 3-70B</x:v>
      </x:c>
      <x:c r="C55" s="64" t="n">
        <x:v>70</x:v>
      </x:c>
      <x:c r="D55" s="64" t="n">
        <x:v>70</x:v>
      </x:c>
      <x:c r="E55" s="64" t="n">
        <x:f>C55/D55</x:f>
        <x:v>1</x:v>
      </x:c>
      <x:c r="F55" s="17" t="str">
        <x:v>dense</x:v>
      </x:c>
      <x:c r="G55" s="17" t="str">
        <x:v>No</x:v>
      </x:c>
      <x:c r="H55" s="17" t="str">
        <x:v>llama3</x:v>
      </x:c>
      <x:c r="I55" s="30" t="n">
        <x:v>122.61</x:v>
      </x:c>
      <x:c r="J55" s="30" t="n">
        <x:v>115.79</x:v>
      </x:c>
      <x:c r="K55" s="30" t="n">
        <x:v>125.52</x:v>
      </x:c>
      <x:c r="L55" s="30" t="n">
        <x:v>9.72999999999999</x:v>
      </x:c>
      <x:c r="M55" s="67" t="str">
        <x:v>https://epoch.ai/models/llama-3-70b</x:v>
      </x:c>
      <x:c r="N55" s="30" t="n">
        <x:f>D55*POWER(E55,'Regression Model'!$F$7)</x:f>
        <x:v>70</x:v>
      </x:c>
      <x:c r="O55" s="30" t="n">
        <x:f>'Regression Model'!$F$8+'Regression Model'!$F$11*LOG(N55,2)+'Regression Model'!$F$12*((A55-'Regression Model'!$J$8)/365.25)+'Regression Model'!$F$13*IF(G55="Yes",1,0)+'Regression Model'!$F$14*IF(E55&gt;1.05,1,0)</x:f>
        <x:v>120.91460855152081</x:v>
      </x:c>
      <x:c r="P55" s="30" t="n">
        <x:f>I55-O55</x:f>
        <x:v>1.6953914484791852</x:v>
      </x:c>
      <x:c r="Q55" s="56" t="str">
        <x:v>Parameter mapping from official model names/cards; Epoch AI Models dataset provides the common metadata cross-check.</x:v>
      </x:c>
    </x:row>
    <x:row r="56">
      <x:c r="A56" s="26" t="n">
        <x:v>45400</x:v>
      </x:c>
      <x:c r="B56" s="17" t="str">
        <x:v>Llama 3-8B</x:v>
      </x:c>
      <x:c r="C56" s="64" t="n">
        <x:v>8</x:v>
      </x:c>
      <x:c r="D56" s="64" t="n">
        <x:v>8</x:v>
      </x:c>
      <x:c r="E56" s="64" t="n">
        <x:f>C56/D56</x:f>
        <x:v>1</x:v>
      </x:c>
      <x:c r="F56" s="17" t="str">
        <x:v>dense</x:v>
      </x:c>
      <x:c r="G56" s="17" t="str">
        <x:v>No</x:v>
      </x:c>
      <x:c r="H56" s="17" t="str">
        <x:v>llama3</x:v>
      </x:c>
      <x:c r="I56" s="30" t="n">
        <x:v>116.43</x:v>
      </x:c>
      <x:c r="J56" s="30" t="n">
        <x:v>107.42</x:v>
      </x:c>
      <x:c r="K56" s="30" t="n">
        <x:v>119.25</x:v>
      </x:c>
      <x:c r="L56" s="30" t="n">
        <x:v>11.829999999999998</x:v>
      </x:c>
      <x:c r="M56" s="67" t="str">
        <x:v>https://epoch.ai/models/llama-3-8b</x:v>
      </x:c>
      <x:c r="N56" s="30" t="n">
        <x:f>D56*POWER(E56,'Regression Model'!$F$7)</x:f>
        <x:v>8</x:v>
      </x:c>
      <x:c r="O56" s="30" t="n">
        <x:f>'Regression Model'!$F$8+'Regression Model'!$F$11*LOG(N56,2)+'Regression Model'!$F$12*((A56-'Regression Model'!$J$8)/365.25)+'Regression Model'!$F$13*IF(G56="Yes",1,0)+'Regression Model'!$F$14*IF(E56&gt;1.05,1,0)</x:f>
        <x:v>109.1877732853161</x:v>
      </x:c>
      <x:c r="P56" s="30" t="n">
        <x:f>I56-O56</x:f>
        <x:v>7.242226714683909</x:v>
      </x:c>
      <x:c r="Q56" s="56" t="str">
        <x:v>Parameter mapping from official model names/cards; Epoch AI Models dataset provides the common metadata cross-check.</x:v>
      </x:c>
    </x:row>
    <x:row r="57">
      <x:c r="A57" s="26" t="n">
        <x:v>45399</x:v>
      </x:c>
      <x:c r="B57" s="17" t="str">
        <x:v>Mixtral 8x22B</x:v>
      </x:c>
      <x:c r="C57" s="64" t="n">
        <x:v>141</x:v>
      </x:c>
      <x:c r="D57" s="64" t="n">
        <x:v>39</x:v>
      </x:c>
      <x:c r="E57" s="64" t="n">
        <x:f>C57/D57</x:f>
        <x:v>3.6153846153846154</x:v>
      </x:c>
      <x:c r="F57" s="17" t="str">
        <x:v>MoE</x:v>
      </x:c>
      <x:c r="G57" s="17" t="str">
        <x:v>No</x:v>
      </x:c>
      <x:c r="H57" s="17" t="str">
        <x:v>mixtral</x:v>
      </x:c>
      <x:c r="I57" s="30" t="n">
        <x:v>121.28</x:v>
      </x:c>
      <x:c r="J57" s="30" t="n">
        <x:v>112.48</x:v>
      </x:c>
      <x:c r="K57" s="30" t="n">
        <x:v>123.4</x:v>
      </x:c>
      <x:c r="L57" s="30" t="n">
        <x:v>10.920000000000002</x:v>
      </x:c>
      <x:c r="M57" s="67" t="str">
        <x:v>https://epoch.ai/models/mixtral-8x22b</x:v>
      </x:c>
      <x:c r="N57" s="30" t="n">
        <x:f>D57*POWER(E57,'Regression Model'!$F$7)</x:f>
        <x:v>39</x:v>
      </x:c>
      <x:c r="O57" s="30" t="n">
        <x:f>'Regression Model'!$F$8+'Regression Model'!$F$11*LOG(N57,2)+'Regression Model'!$F$12*((A57-'Regression Model'!$J$8)/365.25)+'Regression Model'!$F$13*IF(G57="Yes",1,0)+'Regression Model'!$F$14*IF(E57&gt;1.05,1,0)</x:f>
        <x:v>122.8518181293101</x:v>
      </x:c>
      <x:c r="P57" s="30" t="n">
        <x:f>I57-O57</x:f>
        <x:v>-1.5718181293101026</x:v>
      </x:c>
      <x:c r="Q57" s="56" t="str">
        <x:v>Parameter mapping from official model names/cards; Epoch AI Models dataset provides the common metadata cross-check.</x:v>
      </x:c>
    </x:row>
    <x:row r="58">
      <x:c r="A58" s="26" t="n">
        <x:v>45344</x:v>
      </x:c>
      <x:c r="B58" s="17" t="str">
        <x:v>StarCoder 2 3B</x:v>
      </x:c>
      <x:c r="C58" s="64" t="n">
        <x:v>3</x:v>
      </x:c>
      <x:c r="D58" s="64" t="n">
        <x:v>3</x:v>
      </x:c>
      <x:c r="E58" s="64" t="n">
        <x:f>C58/D58</x:f>
        <x:v>1</x:v>
      </x:c>
      <x:c r="F58" s="17" t="str">
        <x:v>dense</x:v>
      </x:c>
      <x:c r="G58" s="17" t="str">
        <x:v>No</x:v>
      </x:c>
      <x:c r="H58" s="17" t="str">
        <x:v>starcoder2</x:v>
      </x:c>
      <x:c r="I58" s="30" t="n">
        <x:v>88.47</x:v>
      </x:c>
      <x:c r="J58" s="30" t="n">
        <x:v>73.81</x:v>
      </x:c>
      <x:c r="K58" s="30" t="n">
        <x:v>98.03</x:v>
      </x:c>
      <x:c r="L58" s="30" t="n">
        <x:v>24.22</x:v>
      </x:c>
      <x:c r="M58" s="67" t="str">
        <x:v>https://epoch.ai/models/starcoder-2-3b</x:v>
      </x:c>
      <x:c r="N58" s="30" t="n">
        <x:f>D58*POWER(E58,'Regression Model'!$F$7)</x:f>
        <x:v>3</x:v>
      </x:c>
      <x:c r="O58" s="30" t="n">
        <x:f>'Regression Model'!$F$8+'Regression Model'!$F$11*LOG(N58,2)+'Regression Model'!$F$12*((A58-'Regression Model'!$J$8)/365.25)+'Regression Model'!$F$13*IF(G58="Yes",1,0)+'Regression Model'!$F$14*IF(E58&gt;1.05,1,0)</x:f>
        <x:v>101.9860191089034</x:v>
      </x:c>
      <x:c r="P58" s="30" t="n">
        <x:f>I58-O58</x:f>
        <x:v>-13.516019108903407</x:v>
      </x:c>
      <x:c r="Q58" s="56" t="str">
        <x:v>Parameter mapping from official model names/cards; Epoch AI Models dataset provides the common metadata cross-check.</x:v>
      </x:c>
    </x:row>
    <x:row r="59">
      <x:c r="A59" s="26" t="n">
        <x:v>45343</x:v>
      </x:c>
      <x:c r="B59" s="17" t="str">
        <x:v>Gemma 2B</x:v>
      </x:c>
      <x:c r="C59" s="64" t="n">
        <x:v>2</x:v>
      </x:c>
      <x:c r="D59" s="64" t="n">
        <x:v>2</x:v>
      </x:c>
      <x:c r="E59" s="64" t="n">
        <x:f>C59/D59</x:f>
        <x:v>1</x:v>
      </x:c>
      <x:c r="F59" s="17" t="str">
        <x:v>dense</x:v>
      </x:c>
      <x:c r="G59" s="17" t="str">
        <x:v>No</x:v>
      </x:c>
      <x:c r="H59" s="17" t="str">
        <x:v>gemma</x:v>
      </x:c>
      <x:c r="I59" s="30" t="n">
        <x:v>93.91</x:v>
      </x:c>
      <x:c r="J59" s="30" t="n">
        <x:v>81</x:v>
      </x:c>
      <x:c r="K59" s="30" t="n">
        <x:v>101.27</x:v>
      </x:c>
      <x:c r="L59" s="30" t="n">
        <x:v>20.269999999999996</x:v>
      </x:c>
      <x:c r="M59" s="67" t="str">
        <x:v>https://epoch.ai/models/gemma-2b</x:v>
      </x:c>
      <x:c r="N59" s="30" t="n">
        <x:f>D59*POWER(E59,'Regression Model'!$F$7)</x:f>
        <x:v>2</x:v>
      </x:c>
      <x:c r="O59" s="30" t="n">
        <x:f>'Regression Model'!$F$8+'Regression Model'!$F$11*LOG(N59,2)+'Regression Model'!$F$12*((A59-'Regression Model'!$J$8)/365.25)+'Regression Model'!$F$13*IF(G59="Yes",1,0)+'Regression Model'!$F$14*IF(E59&gt;1.05,1,0)</x:f>
        <x:v>99.75999052483964</x:v>
      </x:c>
      <x:c r="P59" s="30" t="n">
        <x:f>I59-O59</x:f>
        <x:v>-5.84999052483964</x:v>
      </x:c>
      <x:c r="Q59" s="56" t="str">
        <x:v>Parameter mapping from official model names/cards; Epoch AI Models dataset provides the common metadata cross-check.</x:v>
      </x:c>
    </x:row>
    <x:row r="60">
      <x:c r="A60" s="26" t="n">
        <x:v>45343</x:v>
      </x:c>
      <x:c r="B60" s="17" t="str">
        <x:v>Gemma 7B</x:v>
      </x:c>
      <x:c r="C60" s="64" t="n">
        <x:v>7</x:v>
      </x:c>
      <x:c r="D60" s="64" t="n">
        <x:v>7</x:v>
      </x:c>
      <x:c r="E60" s="64" t="n">
        <x:f>C60/D60</x:f>
        <x:v>1</x:v>
      </x:c>
      <x:c r="F60" s="17" t="str">
        <x:v>dense</x:v>
      </x:c>
      <x:c r="G60" s="17" t="str">
        <x:v>No</x:v>
      </x:c>
      <x:c r="H60" s="17" t="str">
        <x:v>gemma</x:v>
      </x:c>
      <x:c r="I60" s="30" t="n">
        <x:v>111.76</x:v>
      </x:c>
      <x:c r="J60" s="30" t="n">
        <x:v>103.06</x:v>
      </x:c>
      <x:c r="K60" s="30" t="n">
        <x:v>116.41</x:v>
      </x:c>
      <x:c r="L60" s="30" t="n">
        <x:v>13.349999999999994</x:v>
      </x:c>
      <x:c r="M60" s="67" t="str">
        <x:v>https://epoch.ai/models/gemma-7b</x:v>
      </x:c>
      <x:c r="N60" s="30" t="n">
        <x:f>D60*POWER(E60,'Regression Model'!$F$7)</x:f>
        <x:v>7</x:v>
      </x:c>
      <x:c r="O60" s="30" t="n">
        <x:f>'Regression Model'!$F$8+'Regression Model'!$F$11*LOG(N60,2)+'Regression Model'!$F$12*((A60-'Regression Model'!$J$8)/365.25)+'Regression Model'!$F$13*IF(G60="Yes",1,0)+'Regression Model'!$F$14*IF(E60&gt;1.05,1,0)</x:f>
        <x:v>106.53296482079368</x:v>
      </x:c>
      <x:c r="P60" s="30" t="n">
        <x:f>I60-O60</x:f>
        <x:v>5.227035179206325</x:v>
      </x:c>
      <x:c r="Q60" s="56" t="str">
        <x:v>Parameter mapping from official model names/cards; Epoch AI Models dataset provides the common metadata cross-check.</x:v>
      </x:c>
    </x:row>
    <x:row r="61">
      <x:c r="A61" s="26" t="n">
        <x:v>45342</x:v>
      </x:c>
      <x:c r="B61" s="17" t="str">
        <x:v>StarCoder 2 15B</x:v>
      </x:c>
      <x:c r="C61" s="64" t="n">
        <x:v>15</x:v>
      </x:c>
      <x:c r="D61" s="64" t="n">
        <x:v>15</x:v>
      </x:c>
      <x:c r="E61" s="64" t="n">
        <x:f>C61/D61</x:f>
        <x:v>1</x:v>
      </x:c>
      <x:c r="F61" s="17" t="str">
        <x:v>dense</x:v>
      </x:c>
      <x:c r="G61" s="17" t="str">
        <x:v>No</x:v>
      </x:c>
      <x:c r="H61" s="17" t="str">
        <x:v>starcoder2</x:v>
      </x:c>
      <x:c r="I61" s="30" t="n">
        <x:v>104.74</x:v>
      </x:c>
      <x:c r="J61" s="30" t="n">
        <x:v>92.4</x:v>
      </x:c>
      <x:c r="K61" s="30" t="n">
        <x:v>112.13</x:v>
      </x:c>
      <x:c r="L61" s="30" t="n">
        <x:v>19.72999999999999</x:v>
      </x:c>
      <x:c r="M61" s="67" t="str">
        <x:v>https://epoch.ai/models/starcoder-2-15b</x:v>
      </x:c>
      <x:c r="N61" s="30" t="n">
        <x:f>D61*POWER(E61,'Regression Model'!$F$7)</x:f>
        <x:v>15</x:v>
      </x:c>
      <x:c r="O61" s="30" t="n">
        <x:f>'Regression Model'!$F$8+'Regression Model'!$F$11*LOG(N61,2)+'Regression Model'!$F$12*((A61-'Regression Model'!$J$8)/365.25)+'Regression Model'!$F$13*IF(G61="Yes",1,0)+'Regression Model'!$F$14*IF(E61&gt;1.05,1,0)</x:f>
        <x:v>110.61951087090168</x:v>
      </x:c>
      <x:c r="P61" s="30" t="n">
        <x:f>I61-O61</x:f>
        <x:v>-5.879510870901683</x:v>
      </x:c>
      <x:c r="Q61" s="56" t="str">
        <x:v>Parameter mapping from official model names/cards; Epoch AI Models dataset provides the common metadata cross-check.</x:v>
      </x:c>
    </x:row>
    <x:row r="62">
      <x:c r="A62" s="26" t="n">
        <x:v>45342</x:v>
      </x:c>
      <x:c r="B62" s="17" t="str">
        <x:v>StarCoder 2 7B</x:v>
      </x:c>
      <x:c r="C62" s="64" t="n">
        <x:v>7</x:v>
      </x:c>
      <x:c r="D62" s="64" t="n">
        <x:v>7</x:v>
      </x:c>
      <x:c r="E62" s="64" t="n">
        <x:f>C62/D62</x:f>
        <x:v>1</x:v>
      </x:c>
      <x:c r="F62" s="17" t="str">
        <x:v>dense</x:v>
      </x:c>
      <x:c r="G62" s="17" t="str">
        <x:v>No</x:v>
      </x:c>
      <x:c r="H62" s="17" t="str">
        <x:v>starcoder2</x:v>
      </x:c>
      <x:c r="I62" s="30" t="n">
        <x:v>93.25</x:v>
      </x:c>
      <x:c r="J62" s="30" t="n">
        <x:v>76.05</x:v>
      </x:c>
      <x:c r="K62" s="30" t="n">
        <x:v>102.02</x:v>
      </x:c>
      <x:c r="L62" s="30" t="n">
        <x:v>25.97</x:v>
      </x:c>
      <x:c r="M62" s="67" t="str">
        <x:v>https://epoch.ai/models/starcoder-2-7b</x:v>
      </x:c>
      <x:c r="N62" s="30" t="n">
        <x:f>D62*POWER(E62,'Regression Model'!$F$7)</x:f>
        <x:v>7</x:v>
      </x:c>
      <x:c r="O62" s="30" t="n">
        <x:f>'Regression Model'!$F$8+'Regression Model'!$F$11*LOG(N62,2)+'Regression Model'!$F$12*((A62-'Regression Model'!$J$8)/365.25)+'Regression Model'!$F$13*IF(G62="Yes",1,0)+'Regression Model'!$F$14*IF(E62&gt;1.05,1,0)</x:f>
        <x:v>106.49905463756448</x:v>
      </x:c>
      <x:c r="P62" s="30" t="n">
        <x:f>I62-O62</x:f>
        <x:v>-13.249054637564484</x:v>
      </x:c>
      <x:c r="Q62" s="56" t="str">
        <x:v>Parameter mapping from official model names/cards; Epoch AI Models dataset provides the common metadata cross-check.</x:v>
      </x:c>
    </x:row>
    <x:row r="63">
      <x:c r="A63" s="26" t="n">
        <x:v>45272</x:v>
      </x:c>
      <x:c r="B63" s="17" t="str">
        <x:v>Phi-2</x:v>
      </x:c>
      <x:c r="C63" s="64" t="n">
        <x:v>2.7</x:v>
      </x:c>
      <x:c r="D63" s="64" t="n">
        <x:v>2.7</x:v>
      </x:c>
      <x:c r="E63" s="64" t="n">
        <x:f>C63/D63</x:f>
        <x:v>1</x:v>
      </x:c>
      <x:c r="F63" s="17" t="str">
        <x:v>dense</x:v>
      </x:c>
      <x:c r="G63" s="17" t="str">
        <x:v>No</x:v>
      </x:c>
      <x:c r="H63" s="17" t="str">
        <x:v>phi</x:v>
      </x:c>
      <x:c r="I63" s="30" t="n">
        <x:v>107.66</x:v>
      </x:c>
      <x:c r="J63" s="30" t="n">
        <x:v>85.19</x:v>
      </x:c>
      <x:c r="K63" s="30" t="n">
        <x:v>113.86</x:v>
      </x:c>
      <x:c r="L63" s="30" t="n">
        <x:v>28.67</x:v>
      </x:c>
      <x:c r="M63" s="67" t="str">
        <x:v>https://epoch.ai/models/phi-2</x:v>
      </x:c>
      <x:c r="N63" s="30" t="n">
        <x:f>D63*POWER(E63,'Regression Model'!$F$7)</x:f>
        <x:v>2.7</x:v>
      </x:c>
      <x:c r="O63" s="30" t="n">
        <x:f>'Regression Model'!$F$8+'Regression Model'!$F$11*LOG(N63,2)+'Regression Model'!$F$12*((A63-'Regression Model'!$J$8)/365.25)+'Regression Model'!$F$13*IF(G63="Yes",1,0)+'Regression Model'!$F$14*IF(E63&gt;1.05,1,0)</x:f>
        <x:v>98.97486174781935</x:v>
      </x:c>
      <x:c r="P63" s="30" t="n">
        <x:f>I63-O63</x:f>
        <x:v>8.68513825218065</x:v>
      </x:c>
      <x:c r="Q63" s="56" t="str">
        <x:v>Parameter mapping from official model names/cards; Epoch AI Models dataset provides the common metadata cross-check.</x:v>
      </x:c>
    </x:row>
    <x:row r="64">
      <x:c r="A64" s="26" t="n">
        <x:v>45271</x:v>
      </x:c>
      <x:c r="B64" s="17" t="str">
        <x:v>Mixtral 8x7B</x:v>
      </x:c>
      <x:c r="C64" s="64" t="n">
        <x:v>46.7</x:v>
      </x:c>
      <x:c r="D64" s="64" t="n">
        <x:v>12.9</x:v>
      </x:c>
      <x:c r="E64" s="64" t="n">
        <x:f>C64/D64</x:f>
        <x:v>3.62015503875969</x:v>
      </x:c>
      <x:c r="F64" s="17" t="str">
        <x:v>MoE</x:v>
      </x:c>
      <x:c r="G64" s="17" t="str">
        <x:v>No</x:v>
      </x:c>
      <x:c r="H64" s="17" t="str">
        <x:v>mixtral</x:v>
      </x:c>
      <x:c r="I64" s="30" t="n">
        <x:v>118.13</x:v>
      </x:c>
      <x:c r="J64" s="30" t="n">
        <x:v>109.36</x:v>
      </x:c>
      <x:c r="K64" s="30" t="n">
        <x:v>120.78</x:v>
      </x:c>
      <x:c r="L64" s="30" t="n">
        <x:v>11.420000000000002</x:v>
      </x:c>
      <x:c r="M64" s="67" t="str">
        <x:v>https://epoch.ai/models/mixtral-8x7b</x:v>
      </x:c>
      <x:c r="N64" s="30" t="n">
        <x:f>D64*POWER(E64,'Regression Model'!$F$7)</x:f>
        <x:v>12.9</x:v>
      </x:c>
      <x:c r="O64" s="30" t="n">
        <x:f>'Regression Model'!$F$8+'Regression Model'!$F$11*LOG(N64,2)+'Regression Model'!$F$12*((A64-'Regression Model'!$J$8)/365.25)+'Regression Model'!$F$13*IF(G64="Yes",1,0)+'Regression Model'!$F$14*IF(E64&gt;1.05,1,0)</x:f>
        <x:v>112.52999642143108</x:v>
      </x:c>
      <x:c r="P64" s="30" t="n">
        <x:f>I64-O64</x:f>
        <x:v>5.600003578568916</x:v>
      </x:c>
      <x:c r="Q64" s="56" t="str">
        <x:v>Parameter mapping from official model names/cards; Epoch AI Models dataset provides the common metadata cross-check.</x:v>
      </x:c>
    </x:row>
    <x:row r="65">
      <x:c r="A65" s="26" t="n">
        <x:v>45252</x:v>
      </x:c>
      <x:c r="B65" s="17" t="str">
        <x:v>Yi-34B</x:v>
      </x:c>
      <x:c r="C65" s="64" t="n">
        <x:v>34</x:v>
      </x:c>
      <x:c r="D65" s="64" t="n">
        <x:v>34</x:v>
      </x:c>
      <x:c r="E65" s="64" t="n">
        <x:f>C65/D65</x:f>
        <x:v>1</x:v>
      </x:c>
      <x:c r="F65" s="17" t="str">
        <x:v>dense</x:v>
      </x:c>
      <x:c r="G65" s="17" t="str">
        <x:v>No</x:v>
      </x:c>
      <x:c r="H65" s="17" t="str">
        <x:v>yi</x:v>
      </x:c>
      <x:c r="I65" s="30" t="n">
        <x:v>117.14</x:v>
      </x:c>
      <x:c r="J65" s="30" t="n">
        <x:v>109.02</x:v>
      </x:c>
      <x:c r="K65" s="30" t="n">
        <x:v>120.55</x:v>
      </x:c>
      <x:c r="L65" s="30" t="n">
        <x:v>11.530000000000001</x:v>
      </x:c>
      <x:c r="M65" s="67" t="str">
        <x:v>https://epoch.ai/models/yi-34b</x:v>
      </x:c>
      <x:c r="N65" s="30" t="n">
        <x:f>D65*POWER(E65,'Regression Model'!$F$7)</x:f>
        <x:v>34</x:v>
      </x:c>
      <x:c r="O65" s="30" t="n">
        <x:f>'Regression Model'!$F$8+'Regression Model'!$F$11*LOG(N65,2)+'Regression Model'!$F$12*((A65-'Regression Model'!$J$8)/365.25)+'Regression Model'!$F$13*IF(G65="Yes",1,0)+'Regression Model'!$F$14*IF(E65&gt;1.05,1,0)</x:f>
        <x:v>111.99173120954981</x:v>
      </x:c>
      <x:c r="P65" s="30" t="n">
        <x:f>I65-O65</x:f>
        <x:v>5.148268790450189</x:v>
      </x:c>
      <x:c r="Q65" s="56" t="str">
        <x:v>Parameter mapping from official model names/cards; Epoch AI Models dataset provides the common metadata cross-check.</x:v>
      </x:c>
    </x:row>
    <x:row r="66">
      <x:c r="A66" s="26" t="n">
        <x:v>45232</x:v>
      </x:c>
      <x:c r="B66" s="17" t="str">
        <x:v>DeepSeek Coder 1.3B</x:v>
      </x:c>
      <x:c r="C66" s="64" t="n">
        <x:v>1.3</x:v>
      </x:c>
      <x:c r="D66" s="64" t="n">
        <x:v>1.3</x:v>
      </x:c>
      <x:c r="E66" s="64" t="n">
        <x:f>C66/D66</x:f>
        <x:v>1</x:v>
      </x:c>
      <x:c r="F66" s="17" t="str">
        <x:v>dense</x:v>
      </x:c>
      <x:c r="G66" s="17" t="str">
        <x:v>No</x:v>
      </x:c>
      <x:c r="H66" s="17" t="str">
        <x:v>deepseek_coder</x:v>
      </x:c>
      <x:c r="I66" s="30" t="n">
        <x:v>64.01</x:v>
      </x:c>
      <x:c r="J66" s="30" t="n">
        <x:v>44.11</x:v>
      </x:c>
      <x:c r="K66" s="30" t="n">
        <x:v>79.87</x:v>
      </x:c>
      <x:c r="L66" s="30" t="n">
        <x:v>35.760000000000005</x:v>
      </x:c>
      <x:c r="M66" s="67" t="str">
        <x:v>https://epoch.ai/models/deepseek-coder-1-3b</x:v>
      </x:c>
      <x:c r="N66" s="30" t="n">
        <x:f>D66*POWER(E66,'Regression Model'!$F$7)</x:f>
        <x:v>1.3</x:v>
      </x:c>
      <x:c r="O66" s="30" t="n">
        <x:f>'Regression Model'!$F$8+'Regression Model'!$F$11*LOG(N66,2)+'Regression Model'!$F$12*((A66-'Regression Model'!$J$8)/365.25)+'Regression Model'!$F$13*IF(G66="Yes",1,0)+'Regression Model'!$F$14*IF(E66&gt;1.05,1,0)</x:f>
        <x:v>93.66696284914889</x:v>
      </x:c>
      <x:c r="P66" s="30" t="n">
        <x:f>I66-O66</x:f>
        <x:v>-29.656962849148883</x:v>
      </x:c>
      <x:c r="Q66" s="56" t="str">
        <x:v>Parameter mapping from official model names/cards; Epoch AI Models dataset provides the common metadata cross-check.</x:v>
      </x:c>
    </x:row>
    <x:row r="67">
      <x:c r="A67" s="26" t="n">
        <x:v>45232</x:v>
      </x:c>
      <x:c r="B67" s="17" t="str">
        <x:v>DeepSeek Coder 33B</x:v>
      </x:c>
      <x:c r="C67" s="64" t="n">
        <x:v>33</x:v>
      </x:c>
      <x:c r="D67" s="64" t="n">
        <x:v>33</x:v>
      </x:c>
      <x:c r="E67" s="64" t="n">
        <x:f>C67/D67</x:f>
        <x:v>1</x:v>
      </x:c>
      <x:c r="F67" s="17" t="str">
        <x:v>dense</x:v>
      </x:c>
      <x:c r="G67" s="17" t="str">
        <x:v>No</x:v>
      </x:c>
      <x:c r="H67" s="17" t="str">
        <x:v>deepseek_coder</x:v>
      </x:c>
      <x:c r="I67" s="30" t="n">
        <x:v>96.02</x:v>
      </x:c>
      <x:c r="J67" s="30" t="n">
        <x:v>82.39</x:v>
      </x:c>
      <x:c r="K67" s="30" t="n">
        <x:v>103.58</x:v>
      </x:c>
      <x:c r="L67" s="30" t="n">
        <x:v>21.189999999999998</x:v>
      </x:c>
      <x:c r="M67" s="67" t="str">
        <x:v>https://epoch.ai/models/deepseek-coder-33b</x:v>
      </x:c>
      <x:c r="N67" s="30" t="n">
        <x:f>D67*POWER(E67,'Regression Model'!$F$7)</x:f>
        <x:v>33</x:v>
      </x:c>
      <x:c r="O67" s="30" t="n">
        <x:f>'Regression Model'!$F$8+'Regression Model'!$F$11*LOG(N67,2)+'Regression Model'!$F$12*((A67-'Regression Model'!$J$8)/365.25)+'Regression Model'!$F$13*IF(G67="Yes",1,0)+'Regression Model'!$F$14*IF(E67&gt;1.05,1,0)</x:f>
        <x:v>111.15212961322956</x:v>
      </x:c>
      <x:c r="P67" s="30" t="n">
        <x:f>I67-O67</x:f>
        <x:v>-15.132129613229566</x:v>
      </x:c>
      <x:c r="Q67" s="56" t="str">
        <x:v>Parameter mapping from official model names/cards; Epoch AI Models dataset provides the common metadata cross-check.</x:v>
      </x:c>
    </x:row>
    <x:row r="68">
      <x:c r="A68" s="26" t="n">
        <x:v>45232</x:v>
      </x:c>
      <x:c r="B68" s="17" t="str">
        <x:v>DeepSeek Coder 6.7B</x:v>
      </x:c>
      <x:c r="C68" s="64" t="n">
        <x:v>6.7</x:v>
      </x:c>
      <x:c r="D68" s="64" t="n">
        <x:v>6.7</x:v>
      </x:c>
      <x:c r="E68" s="64" t="n">
        <x:f>C68/D68</x:f>
        <x:v>1</x:v>
      </x:c>
      <x:c r="F68" s="17" t="str">
        <x:v>dense</x:v>
      </x:c>
      <x:c r="G68" s="17" t="str">
        <x:v>No</x:v>
      </x:c>
      <x:c r="H68" s="17" t="str">
        <x:v>deepseek_coder</x:v>
      </x:c>
      <x:c r="I68" s="30" t="n">
        <x:v>89.32</x:v>
      </x:c>
      <x:c r="J68" s="30" t="n">
        <x:v>72.08</x:v>
      </x:c>
      <x:c r="K68" s="30" t="n">
        <x:v>98.6</x:v>
      </x:c>
      <x:c r="L68" s="30" t="n">
        <x:v>26.519999999999996</x:v>
      </x:c>
      <x:c r="M68" s="67" t="str">
        <x:v>https://epoch.ai/models/deepseek-coder-6-7b</x:v>
      </x:c>
      <x:c r="N68" s="30" t="n">
        <x:f>D68*POWER(E68,'Regression Model'!$F$7)</x:f>
        <x:v>6.7</x:v>
      </x:c>
      <x:c r="O68" s="30" t="n">
        <x:f>'Regression Model'!$F$8+'Regression Model'!$F$11*LOG(N68,2)+'Regression Model'!$F$12*((A68-'Regression Model'!$J$8)/365.25)+'Regression Model'!$F$13*IF(G68="Yes",1,0)+'Regression Model'!$F$14*IF(E68&gt;1.05,1,0)</x:f>
        <x:v>102.5321187040914</x:v>
      </x:c>
      <x:c r="P68" s="30" t="n">
        <x:f>I68-O68</x:f>
        <x:v>-13.21211870409141</x:v>
      </x:c>
      <x:c r="Q68" s="56" t="str">
        <x:v>Parameter mapping from official model names/cards; Epoch AI Models dataset provides the common metadata cross-check.</x:v>
      </x:c>
    </x:row>
    <x:row r="69">
      <x:c r="A69" s="26" t="n">
        <x:v>45232</x:v>
      </x:c>
      <x:c r="B69" s="17" t="str">
        <x:v>Yi 6B</x:v>
      </x:c>
      <x:c r="C69" s="64" t="n">
        <x:v>6</x:v>
      </x:c>
      <x:c r="D69" s="64" t="n">
        <x:v>6</x:v>
      </x:c>
      <x:c r="E69" s="64" t="n">
        <x:f>C69/D69</x:f>
        <x:v>1</x:v>
      </x:c>
      <x:c r="F69" s="17" t="str">
        <x:v>dense</x:v>
      </x:c>
      <x:c r="G69" s="17" t="str">
        <x:v>No</x:v>
      </x:c>
      <x:c r="H69" s="17" t="str">
        <x:v>yi</x:v>
      </x:c>
      <x:c r="I69" s="30" t="n">
        <x:v>104.51</x:v>
      </x:c>
      <x:c r="J69" s="30" t="n">
        <x:v>93.1</x:v>
      </x:c>
      <x:c r="K69" s="30" t="n">
        <x:v>110.55</x:v>
      </x:c>
      <x:c r="L69" s="30" t="n">
        <x:v>17.450000000000003</x:v>
      </x:c>
      <x:c r="M69" s="67" t="str">
        <x:v>https://epoch.ai/models/yi-6b</x:v>
      </x:c>
      <x:c r="N69" s="30" t="n">
        <x:f>D69*POWER(E69,'Regression Model'!$F$7)</x:f>
        <x:v>6</x:v>
      </x:c>
      <x:c r="O69" s="30" t="n">
        <x:f>'Regression Model'!$F$8+'Regression Model'!$F$11*LOG(N69,2)+'Regression Model'!$F$12*((A69-'Regression Model'!$J$8)/365.25)+'Regression Model'!$F$13*IF(G69="Yes",1,0)+'Regression Model'!$F$14*IF(E69&gt;1.05,1,0)</x:f>
        <x:v>101.9355297454388</x:v>
      </x:c>
      <x:c r="P69" s="30" t="n">
        <x:f>I69-O69</x:f>
        <x:v>2.5744702545612057</x:v>
      </x:c>
      <x:c r="Q69" s="56" t="str">
        <x:v>Parameter mapping from official model names/cards; Epoch AI Models dataset provides the common metadata cross-check.</x:v>
      </x:c>
    </x:row>
    <x:row r="70">
      <x:c r="A70" s="26" t="n">
        <x:v>45197</x:v>
      </x:c>
      <x:c r="B70" s="17" t="str">
        <x:v>Qwen-14B</x:v>
      </x:c>
      <x:c r="C70" s="64" t="n">
        <x:v>14</x:v>
      </x:c>
      <x:c r="D70" s="64" t="n">
        <x:v>14</x:v>
      </x:c>
      <x:c r="E70" s="64" t="n">
        <x:f>C70/D70</x:f>
        <x:v>1</x:v>
      </x:c>
      <x:c r="F70" s="17" t="str">
        <x:v>dense</x:v>
      </x:c>
      <x:c r="G70" s="17" t="str">
        <x:v>No</x:v>
      </x:c>
      <x:c r="H70" s="17" t="str">
        <x:v>qwen1</x:v>
      </x:c>
      <x:c r="I70" s="30" t="n">
        <x:v>112.8</x:v>
      </x:c>
      <x:c r="J70" s="30" t="n">
        <x:v>103.39</x:v>
      </x:c>
      <x:c r="K70" s="30" t="n">
        <x:v>117.54</x:v>
      </x:c>
      <x:c r="L70" s="30" t="n">
        <x:v>14.150000000000006</x:v>
      </x:c>
      <x:c r="M70" s="67" t="str">
        <x:v>https://epoch.ai/models/qwen-14b</x:v>
      </x:c>
      <x:c r="N70" s="30" t="n">
        <x:f>D70*POWER(E70,'Regression Model'!$F$7)</x:f>
        <x:v>14</x:v>
      </x:c>
      <x:c r="O70" s="30" t="n">
        <x:f>'Regression Model'!$F$8+'Regression Model'!$F$11*LOG(N70,2)+'Regression Model'!$F$12*((A70-'Regression Model'!$J$8)/365.25)+'Regression Model'!$F$13*IF(G70="Yes",1,0)+'Regression Model'!$F$14*IF(E70&gt;1.05,1,0)</x:f>
        <x:v>105.32952922753626</x:v>
      </x:c>
      <x:c r="P70" s="30" t="n">
        <x:f>I70-O70</x:f>
        <x:v>7.470470772463742</x:v>
      </x:c>
      <x:c r="Q70" s="56" t="str">
        <x:v>Parameter mapping from official model names/cards; Epoch AI Models dataset provides the common metadata cross-check.</x:v>
      </x:c>
    </x:row>
    <x:row r="71">
      <x:c r="A71" s="26" t="n">
        <x:v>45197</x:v>
      </x:c>
      <x:c r="B71" s="17" t="str">
        <x:v>Qwen-7B</x:v>
      </x:c>
      <x:c r="C71" s="64" t="n">
        <x:v>7</x:v>
      </x:c>
      <x:c r="D71" s="64" t="n">
        <x:v>7</x:v>
      </x:c>
      <x:c r="E71" s="64" t="n">
        <x:f>C71/D71</x:f>
        <x:v>1</x:v>
      </x:c>
      <x:c r="F71" s="17" t="str">
        <x:v>dense</x:v>
      </x:c>
      <x:c r="G71" s="17" t="str">
        <x:v>No</x:v>
      </x:c>
      <x:c r="H71" s="17" t="str">
        <x:v>qwen1</x:v>
      </x:c>
      <x:c r="I71" s="30" t="n">
        <x:v>106.56</x:v>
      </x:c>
      <x:c r="J71" s="30" t="n">
        <x:v>93.93</x:v>
      </x:c>
      <x:c r="K71" s="30" t="n">
        <x:v>112.46</x:v>
      </x:c>
      <x:c r="L71" s="30" t="n">
        <x:v>18.529999999999987</x:v>
      </x:c>
      <x:c r="M71" s="67" t="str">
        <x:v>https://epoch.ai/models/qwen-7b</x:v>
      </x:c>
      <x:c r="N71" s="30" t="n">
        <x:f>D71*POWER(E71,'Regression Model'!$F$7)</x:f>
        <x:v>7</x:v>
      </x:c>
      <x:c r="O71" s="30" t="n">
        <x:f>'Regression Model'!$F$8+'Regression Model'!$F$11*LOG(N71,2)+'Regression Model'!$F$12*((A71-'Regression Model'!$J$8)/365.25)+'Regression Model'!$F$13*IF(G71="Yes",1,0)+'Regression Model'!$F$14*IF(E71&gt;1.05,1,0)</x:f>
        <x:v>101.58207806933027</x:v>
      </x:c>
      <x:c r="P71" s="30" t="n">
        <x:f>I71-O71</x:f>
        <x:v>4.977921930669737</x:v>
      </x:c>
      <x:c r="Q71" s="56" t="str">
        <x:v>Parameter mapping from official model names/cards; Epoch AI Models dataset provides the common metadata cross-check.</x:v>
      </x:c>
    </x:row>
    <x:row r="72">
      <x:c r="A72" s="26" t="n">
        <x:v>45196</x:v>
      </x:c>
      <x:c r="B72" s="17" t="str">
        <x:v>Mistral 7B v0.1</x:v>
      </x:c>
      <x:c r="C72" s="64" t="n">
        <x:v>7</x:v>
      </x:c>
      <x:c r="D72" s="64" t="n">
        <x:v>7</x:v>
      </x:c>
      <x:c r="E72" s="64" t="n">
        <x:f>C72/D72</x:f>
        <x:v>1</x:v>
      </x:c>
      <x:c r="F72" s="17" t="str">
        <x:v>dense</x:v>
      </x:c>
      <x:c r="G72" s="17" t="str">
        <x:v>No</x:v>
      </x:c>
      <x:c r="H72" s="17" t="str">
        <x:v>mistral7</x:v>
      </x:c>
      <x:c r="I72" s="30" t="n">
        <x:v>111.98</x:v>
      </x:c>
      <x:c r="J72" s="30" t="n">
        <x:v>102.38</x:v>
      </x:c>
      <x:c r="K72" s="30" t="n">
        <x:v>115.99</x:v>
      </x:c>
      <x:c r="L72" s="30" t="n">
        <x:v>13.61</x:v>
      </x:c>
      <x:c r="M72" s="67" t="str">
        <x:v>https://epoch.ai/models/mistral-7b-v0-1</x:v>
      </x:c>
      <x:c r="N72" s="30" t="n">
        <x:f>D72*POWER(E72,'Regression Model'!$F$7)</x:f>
        <x:v>7</x:v>
      </x:c>
      <x:c r="O72" s="30" t="n">
        <x:f>'Regression Model'!$F$8+'Regression Model'!$F$11*LOG(N72,2)+'Regression Model'!$F$12*((A72-'Regression Model'!$J$8)/365.25)+'Regression Model'!$F$13*IF(G72="Yes",1,0)+'Regression Model'!$F$14*IF(E72&gt;1.05,1,0)</x:f>
        <x:v>101.54816788610106</x:v>
      </x:c>
      <x:c r="P72" s="30" t="n">
        <x:f>I72-O72</x:f>
        <x:v>10.431832113898949</x:v>
      </x:c>
      <x:c r="Q72" s="56" t="str">
        <x:v>Parameter mapping from official model names/cards; Epoch AI Models dataset provides the common metadata cross-check.</x:v>
      </x:c>
    </x:row>
    <x:row r="73">
      <x:c r="A73" s="26" t="n">
        <x:v>45189</x:v>
      </x:c>
      <x:c r="B73" s="17" t="str">
        <x:v>Baichuan 2-7B</x:v>
      </x:c>
      <x:c r="C73" s="64" t="n">
        <x:v>7</x:v>
      </x:c>
      <x:c r="D73" s="64" t="n">
        <x:v>7</x:v>
      </x:c>
      <x:c r="E73" s="64" t="n">
        <x:f>C73/D73</x:f>
        <x:v>1</x:v>
      </x:c>
      <x:c r="F73" s="17" t="str">
        <x:v>dense</x:v>
      </x:c>
      <x:c r="G73" s="17" t="str">
        <x:v>No</x:v>
      </x:c>
      <x:c r="H73" s="17" t="str">
        <x:v>baichuan</x:v>
      </x:c>
      <x:c r="I73" s="30" t="n">
        <x:v>96.04</x:v>
      </x:c>
      <x:c r="J73" s="30" t="n">
        <x:v>84.33</x:v>
      </x:c>
      <x:c r="K73" s="30" t="n">
        <x:v>104.53</x:v>
      </x:c>
      <x:c r="L73" s="30" t="n">
        <x:v>20.200000000000003</x:v>
      </x:c>
      <x:c r="M73" s="67" t="str">
        <x:v>https://epoch.ai/models/baichuan-2-7b</x:v>
      </x:c>
      <x:c r="N73" s="30" t="n">
        <x:f>D73*POWER(E73,'Regression Model'!$F$7)</x:f>
        <x:v>7</x:v>
      </x:c>
      <x:c r="O73" s="30" t="n">
        <x:f>'Regression Model'!$F$8+'Regression Model'!$F$11*LOG(N73,2)+'Regression Model'!$F$12*((A73-'Regression Model'!$J$8)/365.25)+'Regression Model'!$F$13*IF(G73="Yes",1,0)+'Regression Model'!$F$14*IF(E73&gt;1.05,1,0)</x:f>
        <x:v>101.31079660349664</x:v>
      </x:c>
      <x:c r="P73" s="30" t="n">
        <x:f>I73-O73</x:f>
        <x:v>-5.270796603496635</x:v>
      </x:c>
      <x:c r="Q73" s="56" t="str">
        <x:v>Parameter mapping from official model names/cards; Epoch AI Models dataset provides the common metadata cross-check.</x:v>
      </x:c>
    </x:row>
    <x:row r="74">
      <x:c r="A74" s="26" t="n">
        <x:v>45180</x:v>
      </x:c>
      <x:c r="B74" s="17" t="str">
        <x:v>Phi-1.5</x:v>
      </x:c>
      <x:c r="C74" s="64" t="n">
        <x:v>1.3</x:v>
      </x:c>
      <x:c r="D74" s="64" t="n">
        <x:v>1.3</x:v>
      </x:c>
      <x:c r="E74" s="64" t="n">
        <x:f>C74/D74</x:f>
        <x:v>1</x:v>
      </x:c>
      <x:c r="F74" s="17" t="str">
        <x:v>dense</x:v>
      </x:c>
      <x:c r="G74" s="17" t="str">
        <x:v>No</x:v>
      </x:c>
      <x:c r="H74" s="17" t="str">
        <x:v>phi</x:v>
      </x:c>
      <x:c r="I74" s="30" t="n">
        <x:v>91.26</x:v>
      </x:c>
      <x:c r="J74" s="30" t="n">
        <x:v>72.29</x:v>
      </x:c>
      <x:c r="K74" s="30" t="n">
        <x:v>101.39</x:v>
      </x:c>
      <x:c r="L74" s="30" t="n">
        <x:v>29.099999999999994</x:v>
      </x:c>
      <x:c r="M74" s="67" t="str">
        <x:v>https://epoch.ai/models/phi-1-5</x:v>
      </x:c>
      <x:c r="N74" s="30" t="n">
        <x:f>D74*POWER(E74,'Regression Model'!$F$7)</x:f>
        <x:v>1.3</x:v>
      </x:c>
      <x:c r="O74" s="30" t="n">
        <x:f>'Regression Model'!$F$8+'Regression Model'!$F$11*LOG(N74,2)+'Regression Model'!$F$12*((A74-'Regression Model'!$J$8)/365.25)+'Regression Model'!$F$13*IF(G74="Yes",1,0)+'Regression Model'!$F$14*IF(E74&gt;1.05,1,0)</x:f>
        <x:v>91.90363332123042</x:v>
      </x:c>
      <x:c r="P74" s="30" t="n">
        <x:f>I74-O74</x:f>
        <x:v>-0.6436333212304106</x:v>
      </x:c>
      <x:c r="Q74" s="56" t="str">
        <x:v>Parameter mapping from official model names/cards; Epoch AI Models dataset provides the common metadata cross-check.</x:v>
      </x:c>
    </x:row>
    <x:row r="75">
      <x:c r="A75" s="26" t="n">
        <x:v>45175</x:v>
      </x:c>
      <x:c r="B75" s="17" t="str">
        <x:v>Baichuan2-13B</x:v>
      </x:c>
      <x:c r="C75" s="64" t="n">
        <x:v>13</x:v>
      </x:c>
      <x:c r="D75" s="64" t="n">
        <x:v>13</x:v>
      </x:c>
      <x:c r="E75" s="64" t="n">
        <x:f>C75/D75</x:f>
        <x:v>1</x:v>
      </x:c>
      <x:c r="F75" s="17" t="str">
        <x:v>dense</x:v>
      </x:c>
      <x:c r="G75" s="17" t="str">
        <x:v>No</x:v>
      </x:c>
      <x:c r="H75" s="17" t="str">
        <x:v>baichuan</x:v>
      </x:c>
      <x:c r="I75" s="30" t="n">
        <x:v>102.93</x:v>
      </x:c>
      <x:c r="J75" s="30" t="n">
        <x:v>89.49</x:v>
      </x:c>
      <x:c r="K75" s="30" t="n">
        <x:v>110.46</x:v>
      </x:c>
      <x:c r="L75" s="30" t="n">
        <x:v>20.97</x:v>
      </x:c>
      <x:c r="M75" s="67" t="str">
        <x:v>https://epoch.ai/models/baichuan2-13b</x:v>
      </x:c>
      <x:c r="N75" s="30" t="n">
        <x:f>D75*POWER(E75,'Regression Model'!$F$7)</x:f>
        <x:v>13</x:v>
      </x:c>
      <x:c r="O75" s="30" t="n">
        <x:f>'Regression Model'!$F$8+'Regression Model'!$F$11*LOG(N75,2)+'Regression Model'!$F$12*((A75-'Regression Model'!$J$8)/365.25)+'Regression Model'!$F$13*IF(G75="Yes",1,0)+'Regression Model'!$F$14*IF(E75&gt;1.05,1,0)</x:f>
        <x:v>104.18284569174706</x:v>
      </x:c>
      <x:c r="P75" s="30" t="n">
        <x:f>I75-O75</x:f>
        <x:v>-1.252845691747055</x:v>
      </x:c>
      <x:c r="Q75" s="56" t="str">
        <x:v>Parameter mapping from official model names/cards; Epoch AI Models dataset provides the common metadata cross-check.</x:v>
      </x:c>
    </x:row>
    <x:row r="76">
      <x:c r="A76" s="26" t="n">
        <x:v>45175</x:v>
      </x:c>
      <x:c r="B76" s="17" t="str">
        <x:v>Falcon-180B</x:v>
      </x:c>
      <x:c r="C76" s="64" t="n">
        <x:v>180</x:v>
      </x:c>
      <x:c r="D76" s="64" t="n">
        <x:v>180</x:v>
      </x:c>
      <x:c r="E76" s="64" t="n">
        <x:f>C76/D76</x:f>
        <x:v>1</x:v>
      </x:c>
      <x:c r="F76" s="17" t="str">
        <x:v>dense</x:v>
      </x:c>
      <x:c r="G76" s="17" t="str">
        <x:v>No</x:v>
      </x:c>
      <x:c r="H76" s="17" t="str">
        <x:v>falcon1</x:v>
      </x:c>
      <x:c r="I76" s="30" t="n">
        <x:v>111.92</x:v>
      </x:c>
      <x:c r="J76" s="30" t="n">
        <x:v>102.04</x:v>
      </x:c>
      <x:c r="K76" s="30" t="n">
        <x:v>119.45</x:v>
      </x:c>
      <x:c r="L76" s="30" t="n">
        <x:v>17.409999999999997</x:v>
      </x:c>
      <x:c r="M76" s="67" t="str">
        <x:v>https://epoch.ai/models/falcon-180b</x:v>
      </x:c>
      <x:c r="N76" s="30" t="n">
        <x:f>D76*POWER(E76,'Regression Model'!$F$7)</x:f>
        <x:v>180</x:v>
      </x:c>
      <x:c r="O76" s="30" t="n">
        <x:f>'Regression Model'!$F$8+'Regression Model'!$F$11*LOG(N76,2)+'Regression Model'!$F$12*((A76-'Regression Model'!$J$8)/365.25)+'Regression Model'!$F$13*IF(G76="Yes",1,0)+'Regression Model'!$F$14*IF(E76&gt;1.05,1,0)</x:f>
        <x:v>118.39098214707754</x:v>
      </x:c>
      <x:c r="P76" s="30" t="n">
        <x:f>I76-O76</x:f>
        <x:v>-6.470982147077535</x:v>
      </x:c>
      <x:c r="Q76" s="56" t="str">
        <x:v>Parameter mapping from official model names/cards; Epoch AI Models dataset provides the common metadata cross-check.</x:v>
      </x:c>
    </x:row>
    <x:row r="77">
      <x:c r="A77" s="26" t="n">
        <x:v>45127</x:v>
      </x:c>
      <x:c r="B77" s="17" t="str">
        <x:v>Stable Beluga 2</x:v>
      </x:c>
      <x:c r="C77" s="64" t="n">
        <x:v>70</x:v>
      </x:c>
      <x:c r="D77" s="64" t="n">
        <x:v>70</x:v>
      </x:c>
      <x:c r="E77" s="64" t="n">
        <x:f>C77/D77</x:f>
        <x:v>1</x:v>
      </x:c>
      <x:c r="F77" s="17" t="str">
        <x:v>dense</x:v>
      </x:c>
      <x:c r="G77" s="17" t="str">
        <x:v>No</x:v>
      </x:c>
      <x:c r="H77" s="17" t="str">
        <x:v>llama2</x:v>
      </x:c>
      <x:c r="I77" s="30" t="n">
        <x:v>116.91</x:v>
      </x:c>
      <x:c r="J77" s="30" t="n">
        <x:v>107.97</x:v>
      </x:c>
      <x:c r="K77" s="30" t="n">
        <x:v>120.27</x:v>
      </x:c>
      <x:c r="L77" s="30" t="n">
        <x:v>12.299999999999997</x:v>
      </x:c>
      <x:c r="M77" s="67" t="str">
        <x:v>https://epoch.ai/models/stable-beluga-2</x:v>
      </x:c>
      <x:c r="N77" s="30" t="n">
        <x:f>D77*POWER(E77,'Regression Model'!$F$7)</x:f>
        <x:v>70</x:v>
      </x:c>
      <x:c r="O77" s="30" t="n">
        <x:f>'Regression Model'!$F$8+'Regression Model'!$F$11*LOG(N77,2)+'Regression Model'!$F$12*((A77-'Regression Model'!$J$8)/365.25)+'Regression Model'!$F$13*IF(G77="Yes",1,0)+'Regression Model'!$F$14*IF(E77&gt;1.05,1,0)</x:f>
        <x:v>111.6571285299488</x:v>
      </x:c>
      <x:c r="P77" s="30" t="n">
        <x:f>I77-O77</x:f>
        <x:v>5.25287147005119</x:v>
      </x:c>
      <x:c r="Q77" s="56" t="str">
        <x:v>Parameter mapping from official model names/cards; Epoch AI Models dataset provides the common metadata cross-check.</x:v>
      </x:c>
    </x:row>
    <x:row r="78">
      <x:c r="A78" s="26" t="n">
        <x:v>45125</x:v>
      </x:c>
      <x:c r="B78" s="17" t="str">
        <x:v>Llama 2-13B</x:v>
      </x:c>
      <x:c r="C78" s="64" t="n">
        <x:v>13</x:v>
      </x:c>
      <x:c r="D78" s="64" t="n">
        <x:v>13</x:v>
      </x:c>
      <x:c r="E78" s="64" t="n">
        <x:f>C78/D78</x:f>
        <x:v>1</x:v>
      </x:c>
      <x:c r="F78" s="17" t="str">
        <x:v>dense</x:v>
      </x:c>
      <x:c r="G78" s="17" t="str">
        <x:v>No</x:v>
      </x:c>
      <x:c r="H78" s="17" t="str">
        <x:v>llama2</x:v>
      </x:c>
      <x:c r="I78" s="30" t="n">
        <x:v>105.91</x:v>
      </x:c>
      <x:c r="J78" s="30" t="n">
        <x:v>95.41</x:v>
      </x:c>
      <x:c r="K78" s="30" t="n">
        <x:v>111.37</x:v>
      </x:c>
      <x:c r="L78" s="30" t="n">
        <x:v>15.960000000000008</x:v>
      </x:c>
      <x:c r="M78" s="67" t="str">
        <x:v>https://epoch.ai/models/llama-2-13b</x:v>
      </x:c>
      <x:c r="N78" s="30" t="n">
        <x:f>D78*POWER(E78,'Regression Model'!$F$7)</x:f>
        <x:v>13</x:v>
      </x:c>
      <x:c r="O78" s="30" t="n">
        <x:f>'Regression Model'!$F$8+'Regression Model'!$F$11*LOG(N78,2)+'Regression Model'!$F$12*((A78-'Regression Model'!$J$8)/365.25)+'Regression Model'!$F$13*IF(G78="Yes",1,0)+'Regression Model'!$F$14*IF(E78&gt;1.05,1,0)</x:f>
        <x:v>102.48733653028698</x:v>
      </x:c>
      <x:c r="P78" s="30" t="n">
        <x:f>I78-O78</x:f>
        <x:v>3.422663469713015</x:v>
      </x:c>
      <x:c r="Q78" s="56" t="str">
        <x:v>Parameter mapping from official model names/cards; Epoch AI Models dataset provides the common metadata cross-check.</x:v>
      </x:c>
    </x:row>
    <x:row r="79">
      <x:c r="A79" s="26" t="n">
        <x:v>45125</x:v>
      </x:c>
      <x:c r="B79" s="17" t="str">
        <x:v>Llama 2-70B</x:v>
      </x:c>
      <x:c r="C79" s="64" t="n">
        <x:v>70</x:v>
      </x:c>
      <x:c r="D79" s="64" t="n">
        <x:v>70</x:v>
      </x:c>
      <x:c r="E79" s="64" t="n">
        <x:f>C79/D79</x:f>
        <x:v>1</x:v>
      </x:c>
      <x:c r="F79" s="17" t="str">
        <x:v>dense</x:v>
      </x:c>
      <x:c r="G79" s="17" t="str">
        <x:v>No</x:v>
      </x:c>
      <x:c r="H79" s="17" t="str">
        <x:v>llama2</x:v>
      </x:c>
      <x:c r="I79" s="30" t="n">
        <x:v>113.72</x:v>
      </x:c>
      <x:c r="J79" s="30" t="n">
        <x:v>104.07</x:v>
      </x:c>
      <x:c r="K79" s="30" t="n">
        <x:v>117.82</x:v>
      </x:c>
      <x:c r="L79" s="30" t="n">
        <x:v>13.75</x:v>
      </x:c>
      <x:c r="M79" s="67" t="str">
        <x:v>https://epoch.ai/models/llama-2-70b</x:v>
      </x:c>
      <x:c r="N79" s="30" t="n">
        <x:f>D79*POWER(E79,'Regression Model'!$F$7)</x:f>
        <x:v>70</x:v>
      </x:c>
      <x:c r="O79" s="30" t="n">
        <x:f>'Regression Model'!$F$8+'Regression Model'!$F$11*LOG(N79,2)+'Regression Model'!$F$12*((A79-'Regression Model'!$J$8)/365.25)+'Regression Model'!$F$13*IF(G79="Yes",1,0)+'Regression Model'!$F$14*IF(E79&gt;1.05,1,0)</x:f>
        <x:v>111.5893081634904</x:v>
      </x:c>
      <x:c r="P79" s="30" t="n">
        <x:f>I79-O79</x:f>
        <x:v>2.130691836509598</x:v>
      </x:c>
      <x:c r="Q79" s="56" t="str">
        <x:v>Parameter mapping from official model names/cards; Epoch AI Models dataset provides the common metadata cross-check.</x:v>
      </x:c>
    </x:row>
    <x:row r="80">
      <x:c r="A80" s="26" t="n">
        <x:v>45125</x:v>
      </x:c>
      <x:c r="B80" s="17" t="str">
        <x:v>Llama 2-7B</x:v>
      </x:c>
      <x:c r="C80" s="64" t="n">
        <x:v>7</x:v>
      </x:c>
      <x:c r="D80" s="64" t="n">
        <x:v>7</x:v>
      </x:c>
      <x:c r="E80" s="64" t="n">
        <x:f>C80/D80</x:f>
        <x:v>1</x:v>
      </x:c>
      <x:c r="F80" s="17" t="str">
        <x:v>dense</x:v>
      </x:c>
      <x:c r="G80" s="17" t="str">
        <x:v>No</x:v>
      </x:c>
      <x:c r="H80" s="17" t="str">
        <x:v>llama2</x:v>
      </x:c>
      <x:c r="I80" s="30" t="n">
        <x:v>98.78</x:v>
      </x:c>
      <x:c r="J80" s="30" t="n">
        <x:v>87.09</x:v>
      </x:c>
      <x:c r="K80" s="30" t="n">
        <x:v>105.57</x:v>
      </x:c>
      <x:c r="L80" s="30" t="n">
        <x:v>18.47999999999999</x:v>
      </x:c>
      <x:c r="M80" s="67" t="str">
        <x:v>https://epoch.ai/models/llama-2-7b</x:v>
      </x:c>
      <x:c r="N80" s="30" t="n">
        <x:f>D80*POWER(E80,'Regression Model'!$F$7)</x:f>
        <x:v>7</x:v>
      </x:c>
      <x:c r="O80" s="30" t="n">
        <x:f>'Regression Model'!$F$8+'Regression Model'!$F$11*LOG(N80,2)+'Regression Model'!$F$12*((A80-'Regression Model'!$J$8)/365.25)+'Regression Model'!$F$13*IF(G80="Yes",1,0)+'Regression Model'!$F$14*IF(E80&gt;1.05,1,0)</x:f>
        <x:v>99.14054487682775</x:v>
      </x:c>
      <x:c r="P80" s="30" t="n">
        <x:f>I80-O80</x:f>
        <x:v>-0.3605448768277455</x:v>
      </x:c>
      <x:c r="Q80" s="56" t="str">
        <x:v>Parameter mapping from official model names/cards; Epoch AI Models dataset provides the common metadata cross-check.</x:v>
      </x:c>
    </x:row>
    <x:row r="81">
      <x:c r="A81" s="26" t="n">
        <x:v>45104</x:v>
      </x:c>
      <x:c r="B81" s="17" t="str">
        <x:v>XGen-7B</x:v>
      </x:c>
      <x:c r="C81" s="64" t="n">
        <x:v>7</x:v>
      </x:c>
      <x:c r="D81" s="64" t="n">
        <x:v>7</x:v>
      </x:c>
      <x:c r="E81" s="64" t="n">
        <x:f>C81/D81</x:f>
        <x:v>1</x:v>
      </x:c>
      <x:c r="F81" s="17" t="str">
        <x:v>dense</x:v>
      </x:c>
      <x:c r="G81" s="17" t="str">
        <x:v>No</x:v>
      </x:c>
      <x:c r="H81" s="17" t="str">
        <x:v>xgen</x:v>
      </x:c>
      <x:c r="I81" s="30" t="n">
        <x:v>93.11</x:v>
      </x:c>
      <x:c r="J81" s="30" t="n">
        <x:v>79.82</x:v>
      </x:c>
      <x:c r="K81" s="30" t="n">
        <x:v>101.25</x:v>
      </x:c>
      <x:c r="L81" s="30" t="n">
        <x:v>21.430000000000007</x:v>
      </x:c>
      <x:c r="M81" s="67" t="str">
        <x:v>https://epoch.ai/models/xgen-7b</x:v>
      </x:c>
      <x:c r="N81" s="30" t="n">
        <x:f>D81*POWER(E81,'Regression Model'!$F$7)</x:f>
        <x:v>7</x:v>
      </x:c>
      <x:c r="O81" s="30" t="n">
        <x:f>'Regression Model'!$F$8+'Regression Model'!$F$11*LOG(N81,2)+'Regression Model'!$F$12*((A81-'Regression Model'!$J$8)/365.25)+'Regression Model'!$F$13*IF(G81="Yes",1,0)+'Regression Model'!$F$14*IF(E81&gt;1.05,1,0)</x:f>
        <x:v>98.42843102901452</x:v>
      </x:c>
      <x:c r="P81" s="30" t="n">
        <x:f>I81-O81</x:f>
        <x:v>-5.318431029014519</x:v>
      </x:c>
      <x:c r="Q81" s="56" t="str">
        <x:v>Parameter mapping from official model names/cards; Epoch AI Models dataset provides the common metadata cross-check.</x:v>
      </x:c>
    </x:row>
    <x:row r="82">
      <x:c r="A82" s="26" t="n">
        <x:v>45099</x:v>
      </x:c>
      <x:c r="B82" s="17" t="str">
        <x:v>MPT-30B</x:v>
      </x:c>
      <x:c r="C82" s="64" t="n">
        <x:v>30</x:v>
      </x:c>
      <x:c r="D82" s="64" t="n">
        <x:v>30</x:v>
      </x:c>
      <x:c r="E82" s="64" t="n">
        <x:f>C82/D82</x:f>
        <x:v>1</x:v>
      </x:c>
      <x:c r="F82" s="17" t="str">
        <x:v>dense</x:v>
      </x:c>
      <x:c r="G82" s="17" t="str">
        <x:v>No</x:v>
      </x:c>
      <x:c r="H82" s="17" t="str">
        <x:v>mpt</x:v>
      </x:c>
      <x:c r="I82" s="30" t="n">
        <x:v>100.38</x:v>
      </x:c>
      <x:c r="J82" s="30" t="n">
        <x:v>89.25</x:v>
      </x:c>
      <x:c r="K82" s="30" t="n">
        <x:v>106.66</x:v>
      </x:c>
      <x:c r="L82" s="30" t="n">
        <x:v>17.409999999999997</x:v>
      </x:c>
      <x:c r="M82" s="67" t="str">
        <x:v>https://epoch.ai/models/mpt-30b</x:v>
      </x:c>
      <x:c r="N82" s="30" t="n">
        <x:f>D82*POWER(E82,'Regression Model'!$F$7)</x:f>
        <x:v>30</x:v>
      </x:c>
      <x:c r="O82" s="30" t="n">
        <x:f>'Regression Model'!$F$8+'Regression Model'!$F$11*LOG(N82,2)+'Regression Model'!$F$12*((A82-'Regression Model'!$J$8)/365.25)+'Regression Model'!$F$13*IF(G82="Yes",1,0)+'Regression Model'!$F$14*IF(E82&gt;1.05,1,0)</x:f>
        <x:v>106.1267875044117</x:v>
      </x:c>
      <x:c r="P82" s="30" t="n">
        <x:f>I82-O82</x:f>
        <x:v>-5.746787504411699</x:v>
      </x:c>
      <x:c r="Q82" s="56" t="str">
        <x:v>Parameter mapping from official model names/cards; Epoch AI Models dataset provides the common metadata cross-check.</x:v>
      </x:c>
    </x:row>
    <x:row r="83">
      <x:c r="A83" s="26" t="n">
        <x:v>45078</x:v>
      </x:c>
      <x:c r="B83" s="17" t="str">
        <x:v>Baichuan1-7B</x:v>
      </x:c>
      <x:c r="C83" s="64" t="n">
        <x:v>7</x:v>
      </x:c>
      <x:c r="D83" s="64" t="n">
        <x:v>7</x:v>
      </x:c>
      <x:c r="E83" s="64" t="n">
        <x:f>C83/D83</x:f>
        <x:v>1</x:v>
      </x:c>
      <x:c r="F83" s="17" t="str">
        <x:v>dense</x:v>
      </x:c>
      <x:c r="G83" s="17" t="str">
        <x:v>No</x:v>
      </x:c>
      <x:c r="H83" s="17" t="str">
        <x:v>baichuan</x:v>
      </x:c>
      <x:c r="I83" s="30" t="n">
        <x:v>90.14</x:v>
      </x:c>
      <x:c r="J83" s="30" t="n">
        <x:v>75.09</x:v>
      </x:c>
      <x:c r="K83" s="30" t="n">
        <x:v>99.78</x:v>
      </x:c>
      <x:c r="L83" s="30" t="n">
        <x:v>24.689999999999998</x:v>
      </x:c>
      <x:c r="M83" s="67" t="str">
        <x:v>https://epoch.ai/models/baichuan1-7b</x:v>
      </x:c>
      <x:c r="N83" s="30" t="n">
        <x:f>D83*POWER(E83,'Regression Model'!$F$7)</x:f>
        <x:v>7</x:v>
      </x:c>
      <x:c r="O83" s="30" t="n">
        <x:f>'Regression Model'!$F$8+'Regression Model'!$F$11*LOG(N83,2)+'Regression Model'!$F$12*((A83-'Regression Model'!$J$8)/365.25)+'Regression Model'!$F$13*IF(G83="Yes",1,0)+'Regression Model'!$F$14*IF(E83&gt;1.05,1,0)</x:f>
        <x:v>97.54676626505528</x:v>
      </x:c>
      <x:c r="P83" s="30" t="n">
        <x:f>I83-O83</x:f>
        <x:v>-7.406766265055282</x:v>
      </x:c>
      <x:c r="Q83" s="56" t="str">
        <x:v>Parameter mapping from official model names/cards; Epoch AI Models dataset provides the common metadata cross-check.</x:v>
      </x:c>
    </x:row>
    <x:row r="84">
      <x:c r="A84" s="26" t="n">
        <x:v>45051</x:v>
      </x:c>
      <x:c r="B84" s="17" t="str">
        <x:v>MPT-7B</x:v>
      </x:c>
      <x:c r="C84" s="64" t="n">
        <x:v>7</x:v>
      </x:c>
      <x:c r="D84" s="64" t="n">
        <x:v>7</x:v>
      </x:c>
      <x:c r="E84" s="64" t="n">
        <x:f>C84/D84</x:f>
        <x:v>1</x:v>
      </x:c>
      <x:c r="F84" s="17" t="str">
        <x:v>dense</x:v>
      </x:c>
      <x:c r="G84" s="17" t="str">
        <x:v>No</x:v>
      </x:c>
      <x:c r="H84" s="17" t="str">
        <x:v>mpt</x:v>
      </x:c>
      <x:c r="I84" s="30" t="n">
        <x:v>94.3</x:v>
      </x:c>
      <x:c r="J84" s="30" t="n">
        <x:v>81.04</x:v>
      </x:c>
      <x:c r="K84" s="30" t="n">
        <x:v>102.67</x:v>
      </x:c>
      <x:c r="L84" s="30" t="n">
        <x:v>21.629999999999995</x:v>
      </x:c>
      <x:c r="M84" s="67" t="str">
        <x:v>https://epoch.ai/models/mpt-7b</x:v>
      </x:c>
      <x:c r="N84" s="30" t="n">
        <x:f>D84*POWER(E84,'Regression Model'!$F$7)</x:f>
        <x:v>7</x:v>
      </x:c>
      <x:c r="O84" s="30" t="n">
        <x:f>'Regression Model'!$F$8+'Regression Model'!$F$11*LOG(N84,2)+'Regression Model'!$F$12*((A84-'Regression Model'!$J$8)/365.25)+'Regression Model'!$F$13*IF(G84="Yes",1,0)+'Regression Model'!$F$14*IF(E84&gt;1.05,1,0)</x:f>
        <x:v>96.63119131786684</x:v>
      </x:c>
      <x:c r="P84" s="30" t="n">
        <x:f>I84-O84</x:f>
        <x:v>-2.331191317866839</x:v>
      </x:c>
      <x:c r="Q84" s="56" t="str">
        <x:v>Parameter mapping from official model names/cards; Epoch AI Models dataset provides the common metadata cross-check.</x:v>
      </x:c>
    </x:row>
    <x:row r="85">
      <x:c r="A85" s="26" t="n">
        <x:v>45040</x:v>
      </x:c>
      <x:c r="B85" s="17" t="str">
        <x:v>Falcon-7B</x:v>
      </x:c>
      <x:c r="C85" s="64" t="n">
        <x:v>7</x:v>
      </x:c>
      <x:c r="D85" s="64" t="n">
        <x:v>7</x:v>
      </x:c>
      <x:c r="E85" s="64" t="n">
        <x:f>C85/D85</x:f>
        <x:v>1</x:v>
      </x:c>
      <x:c r="F85" s="17" t="str">
        <x:v>dense</x:v>
      </x:c>
      <x:c r="G85" s="17" t="str">
        <x:v>No</x:v>
      </x:c>
      <x:c r="H85" s="17" t="str">
        <x:v>falcon1</x:v>
      </x:c>
      <x:c r="I85" s="30" t="n">
        <x:v>94.81</x:v>
      </x:c>
      <x:c r="J85" s="30" t="n">
        <x:v>81.69</x:v>
      </x:c>
      <x:c r="K85" s="30" t="n">
        <x:v>102.89</x:v>
      </x:c>
      <x:c r="L85" s="30" t="n">
        <x:v>21.200000000000003</x:v>
      </x:c>
      <x:c r="M85" s="67" t="str">
        <x:v>https://epoch.ai/models/falcon-7b</x:v>
      </x:c>
      <x:c r="N85" s="30" t="n">
        <x:f>D85*POWER(E85,'Regression Model'!$F$7)</x:f>
        <x:v>7</x:v>
      </x:c>
      <x:c r="O85" s="30" t="n">
        <x:f>'Regression Model'!$F$8+'Regression Model'!$F$11*LOG(N85,2)+'Regression Model'!$F$12*((A85-'Regression Model'!$J$8)/365.25)+'Regression Model'!$F$13*IF(G85="Yes",1,0)+'Regression Model'!$F$14*IF(E85&gt;1.05,1,0)</x:f>
        <x:v>96.25817930234562</x:v>
      </x:c>
      <x:c r="P85" s="30" t="n">
        <x:f>I85-O85</x:f>
        <x:v>-1.448179302345622</x:v>
      </x:c>
      <x:c r="Q85" s="56" t="str">
        <x:v>Parameter mapping from official model names/cards; Epoch AI Models dataset provides the common metadata cross-check.</x:v>
      </x:c>
    </x:row>
    <x:row r="86">
      <x:c r="A86" s="26" t="n">
        <x:v>45027</x:v>
      </x:c>
      <x:c r="B86" s="17" t="str">
        <x:v>Dolly 2.0-12b</x:v>
      </x:c>
      <x:c r="C86" s="64" t="n">
        <x:v>12</x:v>
      </x:c>
      <x:c r="D86" s="64" t="n">
        <x:v>12</x:v>
      </x:c>
      <x:c r="E86" s="64" t="n">
        <x:f>C86/D86</x:f>
        <x:v>1</x:v>
      </x:c>
      <x:c r="F86" s="17" t="str">
        <x:v>dense</x:v>
      </x:c>
      <x:c r="G86" s="17" t="str">
        <x:v>No</x:v>
      </x:c>
      <x:c r="H86" s="17" t="str">
        <x:v>dolly</x:v>
      </x:c>
      <x:c r="I86" s="30" t="n">
        <x:v>89.37</x:v>
      </x:c>
      <x:c r="J86" s="30" t="n">
        <x:v>74.42</x:v>
      </x:c>
      <x:c r="K86" s="30" t="n">
        <x:v>98.45</x:v>
      </x:c>
      <x:c r="L86" s="30" t="n">
        <x:v>24.03</x:v>
      </x:c>
      <x:c r="M86" s="67" t="str">
        <x:v>https://epoch.ai/models/dolly-2-0-12b</x:v>
      </x:c>
      <x:c r="N86" s="30" t="n">
        <x:f>D86*POWER(E86,'Regression Model'!$F$7)</x:f>
        <x:v>12</x:v>
      </x:c>
      <x:c r="O86" s="30" t="n">
        <x:f>'Regression Model'!$F$8+'Regression Model'!$F$11*LOG(N86,2)+'Regression Model'!$F$12*((A86-'Regression Model'!$J$8)/365.25)+'Regression Model'!$F$13*IF(G86="Yes",1,0)+'Regression Model'!$F$14*IF(E86&gt;1.05,1,0)</x:f>
        <x:v>98.73139334165849</x:v>
      </x:c>
      <x:c r="P86" s="30" t="n">
        <x:f>I86-O86</x:f>
        <x:v>-9.361393341658484</x:v>
      </x:c>
      <x:c r="Q86" s="56" t="str">
        <x:v>Parameter mapping from official model names/cards; Epoch AI Models dataset provides the common metadata cross-check.</x:v>
      </x:c>
    </x:row>
    <x:row r="87">
      <x:c r="A87" s="26" t="n">
        <x:v>45005</x:v>
      </x:c>
      <x:c r="B87" s="17" t="str">
        <x:v>Cerebras-GPT-13B</x:v>
      </x:c>
      <x:c r="C87" s="64" t="n">
        <x:v>13</x:v>
      </x:c>
      <x:c r="D87" s="64" t="n">
        <x:v>13</x:v>
      </x:c>
      <x:c r="E87" s="64" t="n">
        <x:f>C87/D87</x:f>
        <x:v>1</x:v>
      </x:c>
      <x:c r="F87" s="17" t="str">
        <x:v>dense</x:v>
      </x:c>
      <x:c r="G87" s="17" t="str">
        <x:v>No</x:v>
      </x:c>
      <x:c r="H87" s="17" t="str">
        <x:v>cerebras_gpt</x:v>
      </x:c>
      <x:c r="I87" s="30" t="n">
        <x:v>82.95</x:v>
      </x:c>
      <x:c r="J87" s="30" t="n">
        <x:v>67.22</x:v>
      </x:c>
      <x:c r="K87" s="30" t="n">
        <x:v>92.99</x:v>
      </x:c>
      <x:c r="L87" s="30" t="n">
        <x:v>25.769999999999996</x:v>
      </x:c>
      <x:c r="M87" s="67" t="str">
        <x:v>https://epoch.ai/models/cerebras-gpt-13b</x:v>
      </x:c>
      <x:c r="N87" s="30" t="n">
        <x:f>D87*POWER(E87,'Regression Model'!$F$7)</x:f>
        <x:v>13</x:v>
      </x:c>
      <x:c r="O87" s="30" t="n">
        <x:f>'Regression Model'!$F$8+'Regression Model'!$F$11*LOG(N87,2)+'Regression Model'!$F$12*((A87-'Regression Model'!$J$8)/365.25)+'Regression Model'!$F$13*IF(G87="Yes",1,0)+'Regression Model'!$F$14*IF(E87&gt;1.05,1,0)</x:f>
        <x:v>98.4181145427828</x:v>
      </x:c>
      <x:c r="P87" s="30" t="n">
        <x:f>I87-O87</x:f>
        <x:v>-15.4681145427828</x:v>
      </x:c>
      <x:c r="Q87" s="56" t="str">
        <x:v>Parameter mapping from official model names/cards; Epoch AI Models dataset provides the common metadata cross-check.</x:v>
      </x:c>
    </x:row>
    <x:row r="88">
      <x:c r="A88" s="26" t="n">
        <x:v>45000</x:v>
      </x:c>
      <x:c r="B88" s="17" t="str">
        <x:v>Falcon-40B</x:v>
      </x:c>
      <x:c r="C88" s="64" t="n">
        <x:v>40</x:v>
      </x:c>
      <x:c r="D88" s="64" t="n">
        <x:v>40</x:v>
      </x:c>
      <x:c r="E88" s="64" t="n">
        <x:f>C88/D88</x:f>
        <x:v>1</x:v>
      </x:c>
      <x:c r="F88" s="17" t="str">
        <x:v>dense</x:v>
      </x:c>
      <x:c r="G88" s="17" t="str">
        <x:v>No</x:v>
      </x:c>
      <x:c r="H88" s="17" t="str">
        <x:v>falcon1</x:v>
      </x:c>
      <x:c r="I88" s="30" t="n">
        <x:v>104.19</x:v>
      </x:c>
      <x:c r="J88" s="30" t="n">
        <x:v>94.99</x:v>
      </x:c>
      <x:c r="K88" s="30" t="n">
        <x:v>110.58</x:v>
      </x:c>
      <x:c r="L88" s="30" t="n">
        <x:v>15.590000000000003</x:v>
      </x:c>
      <x:c r="M88" s="67" t="str">
        <x:v>https://epoch.ai/models/falcon-40b</x:v>
      </x:c>
      <x:c r="N88" s="30" t="n">
        <x:f>D88*POWER(E88,'Regression Model'!$F$7)</x:f>
        <x:v>40</x:v>
      </x:c>
      <x:c r="O88" s="30" t="n">
        <x:f>'Regression Model'!$F$8+'Regression Model'!$F$11*LOG(N88,2)+'Regression Model'!$F$12*((A88-'Regression Model'!$J$8)/365.25)+'Regression Model'!$F$13*IF(G88="Yes",1,0)+'Regression Model'!$F$14*IF(E88&gt;1.05,1,0)</x:f>
        <x:v>104.32501212209218</x:v>
      </x:c>
      <x:c r="P88" s="30" t="n">
        <x:f>I88-O88</x:f>
        <x:v>-0.13501212209217783</x:v>
      </x:c>
      <x:c r="Q88" s="56" t="str">
        <x:v>Parameter mapping from official model names/cards; Epoch AI Models dataset provides the common metadata cross-check.</x:v>
      </x:c>
    </x:row>
    <x:row r="89">
      <x:c r="A89" s="26" t="n">
        <x:v>44981</x:v>
      </x:c>
      <x:c r="B89" s="17" t="str">
        <x:v>LLaMA-13B</x:v>
      </x:c>
      <x:c r="C89" s="64" t="n">
        <x:v>13</x:v>
      </x:c>
      <x:c r="D89" s="64" t="n">
        <x:v>13</x:v>
      </x:c>
      <x:c r="E89" s="64" t="n">
        <x:f>C89/D89</x:f>
        <x:v>1</x:v>
      </x:c>
      <x:c r="F89" s="17" t="str">
        <x:v>dense</x:v>
      </x:c>
      <x:c r="G89" s="17" t="str">
        <x:v>No</x:v>
      </x:c>
      <x:c r="H89" s="17" t="str">
        <x:v>llama1</x:v>
      </x:c>
      <x:c r="I89" s="30" t="n">
        <x:v>100.3</x:v>
      </x:c>
      <x:c r="J89" s="30" t="n">
        <x:v>89.58</x:v>
      </x:c>
      <x:c r="K89" s="30" t="n">
        <x:v>106.66</x:v>
      </x:c>
      <x:c r="L89" s="30" t="n">
        <x:v>17.08</x:v>
      </x:c>
      <x:c r="M89" s="67" t="str">
        <x:v>https://epoch.ai/models/llama-13b</x:v>
      </x:c>
      <x:c r="N89" s="30" t="n">
        <x:f>D89*POWER(E89,'Regression Model'!$F$7)</x:f>
        <x:v>13</x:v>
      </x:c>
      <x:c r="O89" s="30" t="n">
        <x:f>'Regression Model'!$F$8+'Regression Model'!$F$11*LOG(N89,2)+'Regression Model'!$F$12*((A89-'Regression Model'!$J$8)/365.25)+'Regression Model'!$F$13*IF(G89="Yes",1,0)+'Regression Model'!$F$14*IF(E89&gt;1.05,1,0)</x:f>
        <x:v>97.60427014528197</x:v>
      </x:c>
      <x:c r="P89" s="30" t="n">
        <x:f>I89-O89</x:f>
        <x:v>2.6957298547180244</x:v>
      </x:c>
      <x:c r="Q89" s="56" t="str">
        <x:v>Parameter mapping from official model names/cards; Epoch AI Models dataset provides the common metadata cross-check.</x:v>
      </x:c>
    </x:row>
    <x:row r="90">
      <x:c r="A90" s="26" t="n">
        <x:v>44981</x:v>
      </x:c>
      <x:c r="B90" s="17" t="str">
        <x:v>LLaMA-33B</x:v>
      </x:c>
      <x:c r="C90" s="64" t="n">
        <x:v>33</x:v>
      </x:c>
      <x:c r="D90" s="64" t="n">
        <x:v>33</x:v>
      </x:c>
      <x:c r="E90" s="64" t="n">
        <x:f>C90/D90</x:f>
        <x:v>1</x:v>
      </x:c>
      <x:c r="F90" s="17" t="str">
        <x:v>dense</x:v>
      </x:c>
      <x:c r="G90" s="17" t="str">
        <x:v>No</x:v>
      </x:c>
      <x:c r="H90" s="17" t="str">
        <x:v>llama1</x:v>
      </x:c>
      <x:c r="I90" s="30" t="n">
        <x:v>107.16</x:v>
      </x:c>
      <x:c r="J90" s="30" t="n">
        <x:v>96.33</x:v>
      </x:c>
      <x:c r="K90" s="30" t="n">
        <x:v>112.28</x:v>
      </x:c>
      <x:c r="L90" s="30" t="n">
        <x:v>15.950000000000003</x:v>
      </x:c>
      <x:c r="M90" s="67" t="str">
        <x:v>https://epoch.ai/models/llama-33b</x:v>
      </x:c>
      <x:c r="N90" s="30" t="n">
        <x:f>D90*POWER(E90,'Regression Model'!$F$7)</x:f>
        <x:v>33</x:v>
      </x:c>
      <x:c r="O90" s="30" t="n">
        <x:f>'Regression Model'!$F$8+'Regression Model'!$F$11*LOG(N90,2)+'Regression Model'!$F$12*((A90-'Regression Model'!$J$8)/365.25)+'Regression Model'!$F$13*IF(G90="Yes",1,0)+'Regression Model'!$F$14*IF(E90&gt;1.05,1,0)</x:f>
        <x:v>102.64067362269999</x:v>
      </x:c>
      <x:c r="P90" s="30" t="n">
        <x:f>I90-O90</x:f>
        <x:v>4.519326377300004</x:v>
      </x:c>
      <x:c r="Q90" s="56" t="str">
        <x:v>Parameter mapping from official model names/cards; Epoch AI Models dataset provides the common metadata cross-check.</x:v>
      </x:c>
    </x:row>
    <x:row r="91">
      <x:c r="A91" s="26" t="n">
        <x:v>44981</x:v>
      </x:c>
      <x:c r="B91" s="17" t="str">
        <x:v>LLaMA-65B</x:v>
      </x:c>
      <x:c r="C91" s="64" t="n">
        <x:v>65</x:v>
      </x:c>
      <x:c r="D91" s="64" t="n">
        <x:v>65</x:v>
      </x:c>
      <x:c r="E91" s="64" t="n">
        <x:f>C91/D91</x:f>
        <x:v>1</x:v>
      </x:c>
      <x:c r="F91" s="17" t="str">
        <x:v>dense</x:v>
      </x:c>
      <x:c r="G91" s="17" t="str">
        <x:v>No</x:v>
      </x:c>
      <x:c r="H91" s="17" t="str">
        <x:v>llama1</x:v>
      </x:c>
      <x:c r="I91" s="30" t="n">
        <x:v>109.93</x:v>
      </x:c>
      <x:c r="J91" s="30" t="n">
        <x:v>100.46</x:v>
      </x:c>
      <x:c r="K91" s="30" t="n">
        <x:v>114.37</x:v>
      </x:c>
      <x:c r="L91" s="30" t="n">
        <x:v>13.91000000000001</x:v>
      </x:c>
      <x:c r="M91" s="67" t="str">
        <x:v>https://epoch.ai/models/llama-65b</x:v>
      </x:c>
      <x:c r="N91" s="30" t="n">
        <x:f>D91*POWER(E91,'Regression Model'!$F$7)</x:f>
        <x:v>65</x:v>
      </x:c>
      <x:c r="O91" s="30" t="n">
        <x:f>'Regression Model'!$F$8+'Regression Model'!$F$11*LOG(N91,2)+'Regression Model'!$F$12*((A91-'Regression Model'!$J$8)/365.25)+'Regression Model'!$F$13*IF(G91="Yes",1,0)+'Regression Model'!$F$14*IF(E91&gt;1.05,1,0)</x:f>
        <x:v>106.30558227373864</x:v>
      </x:c>
      <x:c r="P91" s="30" t="n">
        <x:f>I91-O91</x:f>
        <x:v>3.6244177262613704</x:v>
      </x:c>
      <x:c r="Q91" s="56" t="str">
        <x:v>Parameter mapping from official model names/cards; Epoch AI Models dataset provides the common metadata cross-check.</x:v>
      </x:c>
    </x:row>
    <x:row r="92">
      <x:c r="A92" s="42" t="n">
        <x:v>44981</x:v>
      </x:c>
      <x:c r="B92" s="18" t="str">
        <x:v>LLaMA-7B</x:v>
      </x:c>
      <x:c r="C92" s="65" t="n">
        <x:v>7</x:v>
      </x:c>
      <x:c r="D92" s="65" t="n">
        <x:v>7</x:v>
      </x:c>
      <x:c r="E92" s="65" t="n">
        <x:f>C92/D92</x:f>
        <x:v>1</x:v>
      </x:c>
      <x:c r="F92" s="18" t="str">
        <x:v>dense</x:v>
      </x:c>
      <x:c r="G92" s="18" t="str">
        <x:v>No</x:v>
      </x:c>
      <x:c r="H92" s="18" t="str">
        <x:v>llama1</x:v>
      </x:c>
      <x:c r="I92" s="35" t="n">
        <x:v>96.41</x:v>
      </x:c>
      <x:c r="J92" s="35" t="n">
        <x:v>83.74</x:v>
      </x:c>
      <x:c r="K92" s="35" t="n">
        <x:v>104.14</x:v>
      </x:c>
      <x:c r="L92" s="35" t="n">
        <x:v>20.400000000000006</x:v>
      </x:c>
      <x:c r="M92" s="68" t="str">
        <x:v>https://epoch.ai/models/llama-7b</x:v>
      </x:c>
      <x:c r="N92" s="35" t="n">
        <x:f>D92*POWER(E92,'Regression Model'!$F$7)</x:f>
        <x:v>7</x:v>
      </x:c>
      <x:c r="O92" s="35" t="n">
        <x:f>'Regression Model'!$F$8+'Regression Model'!$F$11*LOG(N92,2)+'Regression Model'!$F$12*((A92-'Regression Model'!$J$8)/365.25)+'Regression Model'!$F$13*IF(G92="Yes",1,0)+'Regression Model'!$F$14*IF(E92&gt;1.05,1,0)</x:f>
        <x:v>94.25747849182274</x:v>
      </x:c>
      <x:c r="P92" s="35" t="n">
        <x:f>I92-O92</x:f>
        <x:v>2.1525215081772586</x:v>
      </x:c>
      <x:c r="Q92" s="58" t="str">
        <x:v>Parameter mapping from official model names/cards; Epoch AI Models dataset provides the common metadata cross-check.</x:v>
      </x:c>
    </x:row>
  </x:sheetData>
  <x:mergeCells>
    <x:mergeCell ref="A1:Q1"/>
    <x:mergeCell ref="A2:Q3"/>
  </x:mergeCells>
  <x:pageMargins left="0.7" right="0.7" top="0.75" bottom="0.75" header="0.3" footer="0.3"/>
  <x:tableParts count="1">
    <x:tablePart xmlns:r="http://schemas.openxmlformats.org/officeDocument/2006/relationships" r:id="R23124ba2f3ab4c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8" hidden="0" customWidth="1"/>
  </x:cols>
  <x:sheetData>
    <x:row r="1" ht="36" customHeight="1">
      <x:c r="A1" s="3" t="str">
        <x:v>Architecture scenarios for frontier equivalents</x:v>
      </x:c>
      <x:c r="B1" s="3"/>
      <x:c r="C1" s="3"/>
      <x:c r="D1" s="3"/>
      <x:c r="E1" s="3"/>
      <x:c r="F1" s="3"/>
      <x:c r="G1" s="3"/>
    </x:row>
    <x:row r="2">
      <x:c r="A2" s="6" t="str">
        <x:v>Physical parameter counts cannot be recovered from benchmark scores alone. This table converts the ensemble dense-equivalent scale into active and total parameters at several hypothetical total-to-active ratios. Ratio 1 is a dense model; 18.6 is the median among the recent open MoE comparison set.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 ht="34" customHeight="1">
      <x:c r="A4" s="11" t="str">
        <x:v>Model</x:v>
      </x:c>
      <x:c r="B4" s="11" t="str">
        <x:v>AA v4.1</x:v>
      </x:c>
      <x:c r="C4" s="11" t="str">
        <x:v>Release Date</x:v>
      </x:c>
      <x:c r="D4" s="11" t="str">
        <x:v>Total / Active Ratio</x:v>
      </x:c>
      <x:c r="E4" s="11" t="str">
        <x:v>Implied Active (B)</x:v>
      </x:c>
      <x:c r="F4" s="11" t="str">
        <x:v>Implied Total (B)</x:v>
      </x:c>
      <x:c r="G4" s="11" t="str">
        <x:v>Interpretation</x:v>
      </x:c>
    </x:row>
    <x:row r="5">
      <x:c r="A5" s="16" t="str">
        <x:v>GPT-5.6 Sol</x:v>
      </x:c>
      <x:c r="B5" s="43" t="n">
        <x:v>59</x:v>
      </x:c>
      <x:c r="C5" s="25" t="n">
        <x:v>46212</x:v>
      </x:c>
      <x:c r="D5" s="52" t="n">
        <x:v>1</x:v>
      </x:c>
      <x:c r="E5" s="49" t="n">
        <x:f>SQRT(('Frontier Estimates'!$J$5/POWER(D5,'Regression Model'!$B$7))*('Frontier Estimates'!$K$5/POWER(D5,'Regression Model'!$F$7)))</x:f>
        <x:v>573.9013398912496</x:v>
      </x:c>
      <x:c r="F5" s="49" t="n">
        <x:f>E5*D5</x:f>
        <x:v>573.9013398912496</x:v>
      </x:c>
      <x:c r="G5" s="54" t="str">
        <x:v>Dense-equivalent</x:v>
      </x:c>
    </x:row>
    <x:row r="6">
      <x:c r="A6" s="17" t="str">
        <x:v>GPT-5.6 Sol</x:v>
      </x:c>
      <x:c r="B6" s="44" t="n">
        <x:v>59</x:v>
      </x:c>
      <x:c r="C6" s="26" t="n">
        <x:v>46212</x:v>
      </x:c>
      <x:c r="D6" s="28" t="n">
        <x:v>8</x:v>
      </x:c>
      <x:c r="E6" s="50" t="n">
        <x:f>SQRT(('Frontier Estimates'!$J$5/POWER(D6,'Regression Model'!$B$7))*('Frontier Estimates'!$K$5/POWER(D6,'Regression Model'!$F$7)))</x:f>
        <x:v>202.9047645845741</x:v>
      </x:c>
      <x:c r="F6" s="50" t="n">
        <x:f>E6*D6</x:f>
        <x:v>1623.2381166765929</x:v>
      </x:c>
      <x:c r="G6" s="56" t="str">
        <x:v>Hypothetical MoE scenario</x:v>
      </x:c>
    </x:row>
    <x:row r="7">
      <x:c r="A7" s="17" t="str">
        <x:v>GPT-5.6 Sol</x:v>
      </x:c>
      <x:c r="B7" s="44" t="n">
        <x:v>59</x:v>
      </x:c>
      <x:c r="C7" s="26" t="n">
        <x:v>46212</x:v>
      </x:c>
      <x:c r="D7" s="28" t="n">
        <x:v>18.6</x:v>
      </x:c>
      <x:c r="E7" s="50" t="n">
        <x:f>SQRT(('Frontier Estimates'!$J$5/POWER(D7,'Regression Model'!$B$7))*('Frontier Estimates'!$K$5/POWER(D7,'Regression Model'!$F$7)))</x:f>
        <x:v>133.07018681822453</x:v>
      </x:c>
      <x:c r="F7" s="50" t="n">
        <x:f>E7*D7</x:f>
        <x:v>2475.1054748189763</x:v>
      </x:c>
      <x:c r="G7" s="56" t="str">
        <x:v>Observed recent-open median MoE ratio</x:v>
      </x:c>
    </x:row>
    <x:row r="8">
      <x:c r="A8" s="17" t="str">
        <x:v>GPT-5.6 Sol</x:v>
      </x:c>
      <x:c r="B8" s="44" t="n">
        <x:v>59</x:v>
      </x:c>
      <x:c r="C8" s="26" t="n">
        <x:v>46212</x:v>
      </x:c>
      <x:c r="D8" s="28" t="n">
        <x:v>32</x:v>
      </x:c>
      <x:c r="E8" s="50" t="n">
        <x:f>SQRT(('Frontier Estimates'!$J$5/POWER(D8,'Regression Model'!$B$7))*('Frontier Estimates'!$K$5/POWER(D8,'Regression Model'!$F$7)))</x:f>
        <x:v>101.45238229228706</x:v>
      </x:c>
      <x:c r="F8" s="50" t="n">
        <x:f>E8*D8</x:f>
        <x:v>3246.4762333531858</x:v>
      </x:c>
      <x:c r="G8" s="56" t="str">
        <x:v>Hypothetical MoE scenario</x:v>
      </x:c>
    </x:row>
    <x:row r="9">
      <x:c r="A9" s="17" t="str">
        <x:v>GPT-5.6 Sol</x:v>
      </x:c>
      <x:c r="B9" s="44" t="n">
        <x:v>59</x:v>
      </x:c>
      <x:c r="C9" s="26" t="n">
        <x:v>46212</x:v>
      </x:c>
      <x:c r="D9" s="28" t="n">
        <x:v>64</x:v>
      </x:c>
      <x:c r="E9" s="50" t="n">
        <x:f>SQRT(('Frontier Estimates'!$J$5/POWER(D9,'Regression Model'!$B$7))*('Frontier Estimates'!$K$5/POWER(D9,'Regression Model'!$F$7)))</x:f>
        <x:v>71.7376674864062</x:v>
      </x:c>
      <x:c r="F9" s="50" t="n">
        <x:f>E9*D9</x:f>
        <x:v>4591.2107191299965</x:v>
      </x:c>
      <x:c r="G9" s="56" t="str">
        <x:v>Hypothetical MoE scenario</x:v>
      </x:c>
    </x:row>
    <x:row r="10">
      <x:c r="A10" s="17" t="str">
        <x:v>Claude Fable 5</x:v>
      </x:c>
      <x:c r="B10" s="44" t="n">
        <x:v>60</x:v>
      </x:c>
      <x:c r="C10" s="26" t="n">
        <x:v>46182</x:v>
      </x:c>
      <x:c r="D10" s="28" t="n">
        <x:v>1</x:v>
      </x:c>
      <x:c r="E10" s="50" t="n">
        <x:f>SQRT(('Frontier Estimates'!$J$6/POWER(D10,'Regression Model'!$B$7))*('Frontier Estimates'!$K$6/POWER(D10,'Regression Model'!$F$7)))</x:f>
        <x:v>760.2677477946432</x:v>
      </x:c>
      <x:c r="F10" s="50" t="n">
        <x:f>E10*D10</x:f>
        <x:v>760.2677477946432</x:v>
      </x:c>
      <x:c r="G10" s="56" t="str">
        <x:v>Dense-equivalent</x:v>
      </x:c>
    </x:row>
    <x:row r="11">
      <x:c r="A11" s="17" t="str">
        <x:v>Claude Fable 5</x:v>
      </x:c>
      <x:c r="B11" s="44" t="n">
        <x:v>60</x:v>
      </x:c>
      <x:c r="C11" s="26" t="n">
        <x:v>46182</x:v>
      </x:c>
      <x:c r="D11" s="28" t="n">
        <x:v>8</x:v>
      </x:c>
      <x:c r="E11" s="50" t="n">
        <x:f>SQRT(('Frontier Estimates'!$J$6/POWER(D11,'Regression Model'!$B$7))*('Frontier Estimates'!$K$6/POWER(D11,'Regression Model'!$F$7)))</x:f>
        <x:v>268.795239991508</x:v>
      </x:c>
      <x:c r="F11" s="50" t="n">
        <x:f>E11*D11</x:f>
        <x:v>2150.361919932064</x:v>
      </x:c>
      <x:c r="G11" s="56" t="str">
        <x:v>Hypothetical MoE scenario</x:v>
      </x:c>
    </x:row>
    <x:row r="12">
      <x:c r="A12" s="17" t="str">
        <x:v>Claude Fable 5</x:v>
      </x:c>
      <x:c r="B12" s="44" t="n">
        <x:v>60</x:v>
      </x:c>
      <x:c r="C12" s="26" t="n">
        <x:v>46182</x:v>
      </x:c>
      <x:c r="D12" s="28" t="n">
        <x:v>18.6</x:v>
      </x:c>
      <x:c r="E12" s="50" t="n">
        <x:f>SQRT(('Frontier Estimates'!$J$6/POWER(D12,'Regression Model'!$B$7))*('Frontier Estimates'!$K$6/POWER(D12,'Regression Model'!$F$7)))</x:f>
        <x:v>176.28286292217896</x:v>
      </x:c>
      <x:c r="F12" s="50" t="n">
        <x:f>E12*D12</x:f>
        <x:v>3278.861250352529</x:v>
      </x:c>
      <x:c r="G12" s="56" t="str">
        <x:v>Observed recent-open median MoE ratio</x:v>
      </x:c>
    </x:row>
    <x:row r="13">
      <x:c r="A13" s="17" t="str">
        <x:v>Claude Fable 5</x:v>
      </x:c>
      <x:c r="B13" s="44" t="n">
        <x:v>60</x:v>
      </x:c>
      <x:c r="C13" s="26" t="n">
        <x:v>46182</x:v>
      </x:c>
      <x:c r="D13" s="28" t="n">
        <x:v>32</x:v>
      </x:c>
      <x:c r="E13" s="50" t="n">
        <x:f>SQRT(('Frontier Estimates'!$J$6/POWER(D13,'Regression Model'!$B$7))*('Frontier Estimates'!$K$6/POWER(D13,'Regression Model'!$F$7)))</x:f>
        <x:v>134.397619995754</x:v>
      </x:c>
      <x:c r="F13" s="50" t="n">
        <x:f>E13*D13</x:f>
        <x:v>4300.723839864128</x:v>
      </x:c>
      <x:c r="G13" s="56" t="str">
        <x:v>Hypothetical MoE scenario</x:v>
      </x:c>
    </x:row>
    <x:row r="14">
      <x:c r="A14" s="17" t="str">
        <x:v>Claude Fable 5</x:v>
      </x:c>
      <x:c r="B14" s="44" t="n">
        <x:v>60</x:v>
      </x:c>
      <x:c r="C14" s="26" t="n">
        <x:v>46182</x:v>
      </x:c>
      <x:c r="D14" s="28" t="n">
        <x:v>64</x:v>
      </x:c>
      <x:c r="E14" s="50" t="n">
        <x:f>SQRT(('Frontier Estimates'!$J$6/POWER(D14,'Regression Model'!$B$7))*('Frontier Estimates'!$K$6/POWER(D14,'Regression Model'!$F$7)))</x:f>
        <x:v>95.0334684743304</x:v>
      </x:c>
      <x:c r="F14" s="50" t="n">
        <x:f>E14*D14</x:f>
        <x:v>6082.141982357146</x:v>
      </x:c>
      <x:c r="G14" s="56" t="str">
        <x:v>Hypothetical MoE scenario</x:v>
      </x:c>
    </x:row>
    <x:row r="15">
      <x:c r="A15" s="17" t="str">
        <x:v>Claude Opus 4.8</x:v>
      </x:c>
      <x:c r="B15" s="44" t="n">
        <x:v>56</x:v>
      </x:c>
      <x:c r="C15" s="26" t="n">
        <x:v>46170</x:v>
      </x:c>
      <x:c r="D15" s="28" t="n">
        <x:v>1</x:v>
      </x:c>
      <x:c r="E15" s="50" t="n">
        <x:f>SQRT(('Frontier Estimates'!$J$7/POWER(D15,'Regression Model'!$B$7))*('Frontier Estimates'!$K$7/POWER(D15,'Regression Model'!$F$7)))</x:f>
        <x:v>410.30090563839576</x:v>
      </x:c>
      <x:c r="F15" s="50" t="n">
        <x:f>E15*D15</x:f>
        <x:v>410.30090563839576</x:v>
      </x:c>
      <x:c r="G15" s="56" t="str">
        <x:v>Dense-equivalent</x:v>
      </x:c>
    </x:row>
    <x:row r="16">
      <x:c r="A16" s="17" t="str">
        <x:v>Claude Opus 4.8</x:v>
      </x:c>
      <x:c r="B16" s="44" t="n">
        <x:v>56</x:v>
      </x:c>
      <x:c r="C16" s="26" t="n">
        <x:v>46170</x:v>
      </x:c>
      <x:c r="D16" s="28" t="n">
        <x:v>8</x:v>
      </x:c>
      <x:c r="E16" s="50" t="n">
        <x:f>SQRT(('Frontier Estimates'!$J$7/POWER(D16,'Regression Model'!$B$7))*('Frontier Estimates'!$K$7/POWER(D16,'Regression Model'!$F$7)))</x:f>
        <x:v>145.06327635194572</x:v>
      </x:c>
      <x:c r="F16" s="50" t="n">
        <x:f>E16*D16</x:f>
        <x:v>1160.5062108155657</x:v>
      </x:c>
      <x:c r="G16" s="56" t="str">
        <x:v>Hypothetical MoE scenario</x:v>
      </x:c>
    </x:row>
    <x:row r="17">
      <x:c r="A17" s="17" t="str">
        <x:v>Claude Opus 4.8</x:v>
      </x:c>
      <x:c r="B17" s="44" t="n">
        <x:v>56</x:v>
      </x:c>
      <x:c r="C17" s="26" t="n">
        <x:v>46170</x:v>
      </x:c>
      <x:c r="D17" s="28" t="n">
        <x:v>18.6</x:v>
      </x:c>
      <x:c r="E17" s="50" t="n">
        <x:f>SQRT(('Frontier Estimates'!$J$7/POWER(D17,'Regression Model'!$B$7))*('Frontier Estimates'!$K$7/POWER(D17,'Regression Model'!$F$7)))</x:f>
        <x:v>95.13624445507332</x:v>
      </x:c>
      <x:c r="F17" s="50" t="n">
        <x:f>E17*D17</x:f>
        <x:v>1769.534146864364</x:v>
      </x:c>
      <x:c r="G17" s="56" t="str">
        <x:v>Observed recent-open median MoE ratio</x:v>
      </x:c>
    </x:row>
    <x:row r="18">
      <x:c r="A18" s="17" t="str">
        <x:v>Claude Opus 4.8</x:v>
      </x:c>
      <x:c r="B18" s="44" t="n">
        <x:v>56</x:v>
      </x:c>
      <x:c r="C18" s="26" t="n">
        <x:v>46170</x:v>
      </x:c>
      <x:c r="D18" s="28" t="n">
        <x:v>32</x:v>
      </x:c>
      <x:c r="E18" s="50" t="n">
        <x:f>SQRT(('Frontier Estimates'!$J$7/POWER(D18,'Regression Model'!$B$7))*('Frontier Estimates'!$K$7/POWER(D18,'Regression Model'!$F$7)))</x:f>
        <x:v>72.53163817597286</x:v>
      </x:c>
      <x:c r="F18" s="50" t="n">
        <x:f>E18*D18</x:f>
        <x:v>2321.0124216311315</x:v>
      </x:c>
      <x:c r="G18" s="56" t="str">
        <x:v>Hypothetical MoE scenario</x:v>
      </x:c>
    </x:row>
    <x:row r="19">
      <x:c r="A19" s="17" t="str">
        <x:v>Claude Opus 4.8</x:v>
      </x:c>
      <x:c r="B19" s="44" t="n">
        <x:v>56</x:v>
      </x:c>
      <x:c r="C19" s="26" t="n">
        <x:v>46170</x:v>
      </x:c>
      <x:c r="D19" s="28" t="n">
        <x:v>64</x:v>
      </x:c>
      <x:c r="E19" s="50" t="n">
        <x:f>SQRT(('Frontier Estimates'!$J$7/POWER(D19,'Regression Model'!$B$7))*('Frontier Estimates'!$K$7/POWER(D19,'Regression Model'!$F$7)))</x:f>
        <x:v>51.28761320479947</x:v>
      </x:c>
      <x:c r="F19" s="50" t="n">
        <x:f>E19*D19</x:f>
        <x:v>3282.407245107166</x:v>
      </x:c>
      <x:c r="G19" s="56" t="str">
        <x:v>Hypothetical MoE scenario</x:v>
      </x:c>
    </x:row>
    <x:row r="20">
      <x:c r="A20" s="17" t="str">
        <x:v>GPT-5.6 Terra</x:v>
      </x:c>
      <x:c r="B20" s="44" t="n">
        <x:v>55</x:v>
      </x:c>
      <x:c r="C20" s="26" t="n">
        <x:v>46212</x:v>
      </x:c>
      <x:c r="D20" s="28" t="n">
        <x:v>1</x:v>
      </x:c>
      <x:c r="E20" s="50" t="n">
        <x:f>SQRT(('Frontier Estimates'!$J$8/POWER(D20,'Regression Model'!$B$7))*('Frontier Estimates'!$K$8/POWER(D20,'Regression Model'!$F$7)))</x:f>
        <x:v>253.90931466648016</x:v>
      </x:c>
      <x:c r="F20" s="50" t="n">
        <x:f>E20*D20</x:f>
        <x:v>253.90931466648016</x:v>
      </x:c>
      <x:c r="G20" s="56" t="str">
        <x:v>Dense-equivalent</x:v>
      </x:c>
    </x:row>
    <x:row r="21">
      <x:c r="A21" s="17" t="str">
        <x:v>GPT-5.6 Terra</x:v>
      </x:c>
      <x:c r="B21" s="44" t="n">
        <x:v>55</x:v>
      </x:c>
      <x:c r="C21" s="26" t="n">
        <x:v>46212</x:v>
      </x:c>
      <x:c r="D21" s="28" t="n">
        <x:v>8</x:v>
      </x:c>
      <x:c r="E21" s="50" t="n">
        <x:f>SQRT(('Frontier Estimates'!$J$8/POWER(D21,'Regression Model'!$B$7))*('Frontier Estimates'!$K$8/POWER(D21,'Regression Model'!$F$7)))</x:f>
        <x:v>89.77049910354852</x:v>
      </x:c>
      <x:c r="F21" s="50" t="n">
        <x:f>E21*D21</x:f>
        <x:v>718.1639928283881</x:v>
      </x:c>
      <x:c r="G21" s="56" t="str">
        <x:v>Hypothetical MoE scenario</x:v>
      </x:c>
    </x:row>
    <x:row r="22">
      <x:c r="A22" s="17" t="str">
        <x:v>GPT-5.6 Terra</x:v>
      </x:c>
      <x:c r="B22" s="44" t="n">
        <x:v>55</x:v>
      </x:c>
      <x:c r="C22" s="26" t="n">
        <x:v>46212</x:v>
      </x:c>
      <x:c r="D22" s="28" t="n">
        <x:v>18.6</x:v>
      </x:c>
      <x:c r="E22" s="50" t="n">
        <x:f>SQRT(('Frontier Estimates'!$J$8/POWER(D22,'Regression Model'!$B$7))*('Frontier Estimates'!$K$8/POWER(D22,'Regression Model'!$F$7)))</x:f>
        <x:v>58.8738126033273</x:v>
      </x:c>
      <x:c r="F22" s="50" t="n">
        <x:f>E22*D22</x:f>
        <x:v>1095.0529144218879</x:v>
      </x:c>
      <x:c r="G22" s="56" t="str">
        <x:v>Observed recent-open median MoE ratio</x:v>
      </x:c>
    </x:row>
    <x:row r="23">
      <x:c r="A23" s="17" t="str">
        <x:v>GPT-5.6 Terra</x:v>
      </x:c>
      <x:c r="B23" s="44" t="n">
        <x:v>55</x:v>
      </x:c>
      <x:c r="C23" s="26" t="n">
        <x:v>46212</x:v>
      </x:c>
      <x:c r="D23" s="28" t="n">
        <x:v>32</x:v>
      </x:c>
      <x:c r="E23" s="50" t="n">
        <x:f>SQRT(('Frontier Estimates'!$J$8/POWER(D23,'Regression Model'!$B$7))*('Frontier Estimates'!$K$8/POWER(D23,'Regression Model'!$F$7)))</x:f>
        <x:v>44.88524955177426</x:v>
      </x:c>
      <x:c r="F23" s="50" t="n">
        <x:f>E23*D23</x:f>
        <x:v>1436.3279856567763</x:v>
      </x:c>
      <x:c r="G23" s="56" t="str">
        <x:v>Hypothetical MoE scenario</x:v>
      </x:c>
    </x:row>
    <x:row r="24">
      <x:c r="A24" s="17" t="str">
        <x:v>GPT-5.6 Terra</x:v>
      </x:c>
      <x:c r="B24" s="44" t="n">
        <x:v>55</x:v>
      </x:c>
      <x:c r="C24" s="26" t="n">
        <x:v>46212</x:v>
      </x:c>
      <x:c r="D24" s="28" t="n">
        <x:v>64</x:v>
      </x:c>
      <x:c r="E24" s="50" t="n">
        <x:f>SQRT(('Frontier Estimates'!$J$8/POWER(D24,'Regression Model'!$B$7))*('Frontier Estimates'!$K$8/POWER(D24,'Regression Model'!$F$7)))</x:f>
        <x:v>31.73866433331002</x:v>
      </x:c>
      <x:c r="F24" s="50" t="n">
        <x:f>E24*D24</x:f>
        <x:v>2031.2745173318413</x:v>
      </x:c>
      <x:c r="G24" s="56" t="str">
        <x:v>Hypothetical MoE scenario</x:v>
      </x:c>
    </x:row>
    <x:row r="25">
      <x:c r="A25" s="17" t="str">
        <x:v>GPT-5.5</x:v>
      </x:c>
      <x:c r="B25" s="44" t="n">
        <x:v>55</x:v>
      </x:c>
      <x:c r="C25" s="26" t="n">
        <x:v>46135</x:v>
      </x:c>
      <x:c r="D25" s="28" t="n">
        <x:v>1</x:v>
      </x:c>
      <x:c r="E25" s="50" t="n">
        <x:f>SQRT(('Frontier Estimates'!$J$9/POWER(D25,'Regression Model'!$B$7))*('Frontier Estimates'!$K$9/POWER(D25,'Regression Model'!$F$7)))</x:f>
        <x:v>527.147912483226</x:v>
      </x:c>
      <x:c r="F25" s="50" t="n">
        <x:f>E25*D25</x:f>
        <x:v>527.147912483226</x:v>
      </x:c>
      <x:c r="G25" s="56" t="str">
        <x:v>Dense-equivalent</x:v>
      </x:c>
    </x:row>
    <x:row r="26">
      <x:c r="A26" s="17" t="str">
        <x:v>GPT-5.5</x:v>
      </x:c>
      <x:c r="B26" s="44" t="n">
        <x:v>55</x:v>
      </x:c>
      <x:c r="C26" s="26" t="n">
        <x:v>46135</x:v>
      </x:c>
      <x:c r="D26" s="28" t="n">
        <x:v>8</x:v>
      </x:c>
      <x:c r="E26" s="50" t="n">
        <x:f>SQRT(('Frontier Estimates'!$J$9/POWER(D26,'Regression Model'!$B$7))*('Frontier Estimates'!$K$9/POWER(D26,'Regression Model'!$F$7)))</x:f>
        <x:v>186.37493180261092</x:v>
      </x:c>
      <x:c r="F26" s="50" t="n">
        <x:f>E26*D26</x:f>
        <x:v>1490.9994544208873</x:v>
      </x:c>
      <x:c r="G26" s="56" t="str">
        <x:v>Hypothetical MoE scenario</x:v>
      </x:c>
    </x:row>
    <x:row r="27">
      <x:c r="A27" s="17" t="str">
        <x:v>GPT-5.5</x:v>
      </x:c>
      <x:c r="B27" s="44" t="n">
        <x:v>55</x:v>
      </x:c>
      <x:c r="C27" s="26" t="n">
        <x:v>46135</x:v>
      </x:c>
      <x:c r="D27" s="28" t="n">
        <x:v>18.6</x:v>
      </x:c>
      <x:c r="E27" s="50" t="n">
        <x:f>SQRT(('Frontier Estimates'!$J$9/POWER(D27,'Regression Model'!$B$7))*('Frontier Estimates'!$K$9/POWER(D27,'Regression Model'!$F$7)))</x:f>
        <x:v>122.22949541862454</x:v>
      </x:c>
      <x:c r="F27" s="50" t="n">
        <x:f>E27*D27</x:f>
        <x:v>2273.4686147864168</x:v>
      </x:c>
      <x:c r="G27" s="56" t="str">
        <x:v>Observed recent-open median MoE ratio</x:v>
      </x:c>
    </x:row>
    <x:row r="28">
      <x:c r="A28" s="17" t="str">
        <x:v>GPT-5.5</x:v>
      </x:c>
      <x:c r="B28" s="44" t="n">
        <x:v>55</x:v>
      </x:c>
      <x:c r="C28" s="26" t="n">
        <x:v>46135</x:v>
      </x:c>
      <x:c r="D28" s="28" t="n">
        <x:v>32</x:v>
      </x:c>
      <x:c r="E28" s="50" t="n">
        <x:f>SQRT(('Frontier Estimates'!$J$9/POWER(D28,'Regression Model'!$B$7))*('Frontier Estimates'!$K$9/POWER(D28,'Regression Model'!$F$7)))</x:f>
        <x:v>93.18746590130546</x:v>
      </x:c>
      <x:c r="F28" s="50" t="n">
        <x:f>E28*D28</x:f>
        <x:v>2981.9989088417747</x:v>
      </x:c>
      <x:c r="G28" s="56" t="str">
        <x:v>Hypothetical MoE scenario</x:v>
      </x:c>
    </x:row>
    <x:row r="29">
      <x:c r="A29" s="17" t="str">
        <x:v>GPT-5.5</x:v>
      </x:c>
      <x:c r="B29" s="44" t="n">
        <x:v>55</x:v>
      </x:c>
      <x:c r="C29" s="26" t="n">
        <x:v>46135</x:v>
      </x:c>
      <x:c r="D29" s="28" t="n">
        <x:v>64</x:v>
      </x:c>
      <x:c r="E29" s="50" t="n">
        <x:f>SQRT(('Frontier Estimates'!$J$9/POWER(D29,'Regression Model'!$B$7))*('Frontier Estimates'!$K$9/POWER(D29,'Regression Model'!$F$7)))</x:f>
        <x:v>65.89348906040325</x:v>
      </x:c>
      <x:c r="F29" s="50" t="n">
        <x:f>E29*D29</x:f>
        <x:v>4217.183299865808</x:v>
      </x:c>
      <x:c r="G29" s="56" t="str">
        <x:v>Hypothetical MoE scenario</x:v>
      </x:c>
    </x:row>
    <x:row r="30">
      <x:c r="A30" s="17" t="str">
        <x:v>Claude Opus 4.7</x:v>
      </x:c>
      <x:c r="B30" s="44" t="n">
        <x:v>54</x:v>
      </x:c>
      <x:c r="C30" s="26" t="n">
        <x:v>46128</x:v>
      </x:c>
      <x:c r="D30" s="28" t="n">
        <x:v>1</x:v>
      </x:c>
      <x:c r="E30" s="50" t="n">
        <x:f>SQRT(('Frontier Estimates'!$J$10/POWER(D30,'Regression Model'!$B$7))*('Frontier Estimates'!$K$10/POWER(D30,'Regression Model'!$F$7)))</x:f>
        <x:v>401.8878924655528</x:v>
      </x:c>
      <x:c r="F30" s="50" t="n">
        <x:f>E30*D30</x:f>
        <x:v>401.8878924655528</x:v>
      </x:c>
      <x:c r="G30" s="56" t="str">
        <x:v>Dense-equivalent</x:v>
      </x:c>
    </x:row>
    <x:row r="31">
      <x:c r="A31" s="17" t="str">
        <x:v>Claude Opus 4.7</x:v>
      </x:c>
      <x:c r="B31" s="44" t="n">
        <x:v>54</x:v>
      </x:c>
      <x:c r="C31" s="26" t="n">
        <x:v>46128</x:v>
      </x:c>
      <x:c r="D31" s="28" t="n">
        <x:v>8</x:v>
      </x:c>
      <x:c r="E31" s="50" t="n">
        <x:f>SQRT(('Frontier Estimates'!$J$10/POWER(D31,'Regression Model'!$B$7))*('Frontier Estimates'!$K$10/POWER(D31,'Regression Model'!$F$7)))</x:f>
        <x:v>142.0888270195812</x:v>
      </x:c>
      <x:c r="F31" s="50" t="n">
        <x:f>E31*D31</x:f>
        <x:v>1136.7106161566496</x:v>
      </x:c>
      <x:c r="G31" s="56" t="str">
        <x:v>Hypothetical MoE scenario</x:v>
      </x:c>
    </x:row>
    <x:row r="32">
      <x:c r="A32" s="17" t="str">
        <x:v>Claude Opus 4.7</x:v>
      </x:c>
      <x:c r="B32" s="44" t="n">
        <x:v>54</x:v>
      </x:c>
      <x:c r="C32" s="26" t="n">
        <x:v>46128</x:v>
      </x:c>
      <x:c r="D32" s="28" t="n">
        <x:v>18.6</x:v>
      </x:c>
      <x:c r="E32" s="50" t="n">
        <x:f>SQRT(('Frontier Estimates'!$J$10/POWER(D32,'Regression Model'!$B$7))*('Frontier Estimates'!$K$10/POWER(D32,'Regression Model'!$F$7)))</x:f>
        <x:v>93.18552373567836</x:v>
      </x:c>
      <x:c r="F32" s="50" t="n">
        <x:f>E32*D32</x:f>
        <x:v>1733.2507414836175</x:v>
      </x:c>
      <x:c r="G32" s="56" t="str">
        <x:v>Observed recent-open median MoE ratio</x:v>
      </x:c>
    </x:row>
    <x:row r="33">
      <x:c r="A33" s="17" t="str">
        <x:v>Claude Opus 4.7</x:v>
      </x:c>
      <x:c r="B33" s="44" t="n">
        <x:v>54</x:v>
      </x:c>
      <x:c r="C33" s="26" t="n">
        <x:v>46128</x:v>
      </x:c>
      <x:c r="D33" s="28" t="n">
        <x:v>32</x:v>
      </x:c>
      <x:c r="E33" s="50" t="n">
        <x:f>SQRT(('Frontier Estimates'!$J$10/POWER(D33,'Regression Model'!$B$7))*('Frontier Estimates'!$K$10/POWER(D33,'Regression Model'!$F$7)))</x:f>
        <x:v>71.0444135097906</x:v>
      </x:c>
      <x:c r="F33" s="50" t="n">
        <x:f>E33*D33</x:f>
        <x:v>2273.4212323132992</x:v>
      </x:c>
      <x:c r="G33" s="56" t="str">
        <x:v>Hypothetical MoE scenario</x:v>
      </x:c>
    </x:row>
    <x:row r="34">
      <x:c r="A34" s="17" t="str">
        <x:v>Claude Opus 4.7</x:v>
      </x:c>
      <x:c r="B34" s="44" t="n">
        <x:v>54</x:v>
      </x:c>
      <x:c r="C34" s="26" t="n">
        <x:v>46128</x:v>
      </x:c>
      <x:c r="D34" s="28" t="n">
        <x:v>64</x:v>
      </x:c>
      <x:c r="E34" s="50" t="n">
        <x:f>SQRT(('Frontier Estimates'!$J$10/POWER(D34,'Regression Model'!$B$7))*('Frontier Estimates'!$K$10/POWER(D34,'Regression Model'!$F$7)))</x:f>
        <x:v>50.2359865581941</x:v>
      </x:c>
      <x:c r="F34" s="50" t="n">
        <x:f>E34*D34</x:f>
        <x:v>3215.1031397244224</x:v>
      </x:c>
      <x:c r="G34" s="56" t="str">
        <x:v>Hypothetical MoE scenario</x:v>
      </x:c>
    </x:row>
    <x:row r="35">
      <x:c r="A35" s="17" t="str">
        <x:v>Grok 4.5</x:v>
      </x:c>
      <x:c r="B35" s="44" t="n">
        <x:v>54</x:v>
      </x:c>
      <x:c r="C35" s="26" t="n">
        <x:v>46211</x:v>
      </x:c>
      <x:c r="D35" s="28" t="n">
        <x:v>1</x:v>
      </x:c>
      <x:c r="E35" s="50" t="n">
        <x:f>SQRT(('Frontier Estimates'!$J$11/POWER(D35,'Regression Model'!$B$7))*('Frontier Estimates'!$K$11/POWER(D35,'Regression Model'!$F$7)))</x:f>
        <x:v>141.75094952933276</x:v>
      </x:c>
      <x:c r="F35" s="50" t="n">
        <x:f>E35*D35</x:f>
        <x:v>141.75094952933276</x:v>
      </x:c>
      <x:c r="G35" s="56" t="str">
        <x:v>Dense-equivalent</x:v>
      </x:c>
    </x:row>
    <x:row r="36">
      <x:c r="A36" s="17" t="str">
        <x:v>Grok 4.5</x:v>
      </x:c>
      <x:c r="B36" s="44" t="n">
        <x:v>54</x:v>
      </x:c>
      <x:c r="C36" s="26" t="n">
        <x:v>46211</x:v>
      </x:c>
      <x:c r="D36" s="28" t="n">
        <x:v>8</x:v>
      </x:c>
      <x:c r="E36" s="50" t="n">
        <x:f>SQRT(('Frontier Estimates'!$J$11/POWER(D36,'Regression Model'!$B$7))*('Frontier Estimates'!$K$11/POWER(D36,'Regression Model'!$F$7)))</x:f>
        <x:v>50.11652882591162</x:v>
      </x:c>
      <x:c r="F36" s="50" t="n">
        <x:f>E36*D36</x:f>
        <x:v>400.932230607293</x:v>
      </x:c>
      <x:c r="G36" s="56" t="str">
        <x:v>Hypothetical MoE scenario</x:v>
      </x:c>
    </x:row>
    <x:row r="37">
      <x:c r="A37" s="17" t="str">
        <x:v>Grok 4.5</x:v>
      </x:c>
      <x:c r="B37" s="44" t="n">
        <x:v>54</x:v>
      </x:c>
      <x:c r="C37" s="26" t="n">
        <x:v>46211</x:v>
      </x:c>
      <x:c r="D37" s="28" t="n">
        <x:v>18.6</x:v>
      </x:c>
      <x:c r="E37" s="50" t="n">
        <x:f>SQRT(('Frontier Estimates'!$J$11/POWER(D37,'Regression Model'!$B$7))*('Frontier Estimates'!$K$11/POWER(D37,'Regression Model'!$F$7)))</x:f>
        <x:v>32.86771440384406</x:v>
      </x:c>
      <x:c r="F37" s="50" t="n">
        <x:f>E37*D37</x:f>
        <x:v>611.3394879114996</x:v>
      </x:c>
      <x:c r="G37" s="56" t="str">
        <x:v>Observed recent-open median MoE ratio</x:v>
      </x:c>
    </x:row>
    <x:row r="38">
      <x:c r="A38" s="17" t="str">
        <x:v>Grok 4.5</x:v>
      </x:c>
      <x:c r="B38" s="44" t="n">
        <x:v>54</x:v>
      </x:c>
      <x:c r="C38" s="26" t="n">
        <x:v>46211</x:v>
      </x:c>
      <x:c r="D38" s="28" t="n">
        <x:v>32</x:v>
      </x:c>
      <x:c r="E38" s="50" t="n">
        <x:f>SQRT(('Frontier Estimates'!$J$11/POWER(D38,'Regression Model'!$B$7))*('Frontier Estimates'!$K$11/POWER(D38,'Regression Model'!$F$7)))</x:f>
        <x:v>25.05826441295581</x:v>
      </x:c>
      <x:c r="F38" s="50" t="n">
        <x:f>E38*D38</x:f>
        <x:v>801.864461214586</x:v>
      </x:c>
      <x:c r="G38" s="56" t="str">
        <x:v>Hypothetical MoE scenario</x:v>
      </x:c>
    </x:row>
    <x:row r="39">
      <x:c r="A39" s="17" t="str">
        <x:v>Grok 4.5</x:v>
      </x:c>
      <x:c r="B39" s="44" t="n">
        <x:v>54</x:v>
      </x:c>
      <x:c r="C39" s="26" t="n">
        <x:v>46211</x:v>
      </x:c>
      <x:c r="D39" s="28" t="n">
        <x:v>64</x:v>
      </x:c>
      <x:c r="E39" s="50" t="n">
        <x:f>SQRT(('Frontier Estimates'!$J$11/POWER(D39,'Regression Model'!$B$7))*('Frontier Estimates'!$K$11/POWER(D39,'Regression Model'!$F$7)))</x:f>
        <x:v>17.718868691166595</x:v>
      </x:c>
      <x:c r="F39" s="50" t="n">
        <x:f>E39*D39</x:f>
        <x:v>1134.007596234662</x:v>
      </x:c>
      <x:c r="G39" s="56" t="str">
        <x:v>Hypothetical MoE scenario</x:v>
      </x:c>
    </x:row>
    <x:row r="40">
      <x:c r="A40" s="17" t="str">
        <x:v>Claude Sonnet 5</x:v>
      </x:c>
      <x:c r="B40" s="44" t="n">
        <x:v>53</x:v>
      </x:c>
      <x:c r="C40" s="26" t="n">
        <x:v>46203</x:v>
      </x:c>
      <x:c r="D40" s="28" t="n">
        <x:v>1</x:v>
      </x:c>
      <x:c r="E40" s="50" t="n">
        <x:f>SQRT(('Frontier Estimates'!$J$12/POWER(D40,'Regression Model'!$B$7))*('Frontier Estimates'!$K$12/POWER(D40,'Regression Model'!$F$7)))</x:f>
        <x:v>135.5700463799654</x:v>
      </x:c>
      <x:c r="F40" s="50" t="n">
        <x:f>E40*D40</x:f>
        <x:v>135.5700463799654</x:v>
      </x:c>
      <x:c r="G40" s="56" t="str">
        <x:v>Dense-equivalent</x:v>
      </x:c>
    </x:row>
    <x:row r="41">
      <x:c r="A41" s="17" t="str">
        <x:v>Claude Sonnet 5</x:v>
      </x:c>
      <x:c r="B41" s="44" t="n">
        <x:v>53</x:v>
      </x:c>
      <x:c r="C41" s="26" t="n">
        <x:v>46203</x:v>
      </x:c>
      <x:c r="D41" s="28" t="n">
        <x:v>8</x:v>
      </x:c>
      <x:c r="E41" s="50" t="n">
        <x:f>SQRT(('Frontier Estimates'!$J$12/POWER(D41,'Regression Model'!$B$7))*('Frontier Estimates'!$K$12/POWER(D41,'Regression Model'!$F$7)))</x:f>
        <x:v>47.931249560524144</x:v>
      </x:c>
      <x:c r="F41" s="50" t="n">
        <x:f>E41*D41</x:f>
        <x:v>383.44999648419315</x:v>
      </x:c>
      <x:c r="G41" s="56" t="str">
        <x:v>Hypothetical MoE scenario</x:v>
      </x:c>
    </x:row>
    <x:row r="42">
      <x:c r="A42" s="17" t="str">
        <x:v>Claude Sonnet 5</x:v>
      </x:c>
      <x:c r="B42" s="44" t="n">
        <x:v>53</x:v>
      </x:c>
      <x:c r="C42" s="26" t="n">
        <x:v>46203</x:v>
      </x:c>
      <x:c r="D42" s="28" t="n">
        <x:v>18.6</x:v>
      </x:c>
      <x:c r="E42" s="50" t="n">
        <x:f>SQRT(('Frontier Estimates'!$J$12/POWER(D42,'Regression Model'!$B$7))*('Frontier Estimates'!$K$12/POWER(D42,'Regression Model'!$F$7)))</x:f>
        <x:v>31.434551803199977</x:v>
      </x:c>
      <x:c r="F42" s="50" t="n">
        <x:f>E42*D42</x:f>
        <x:v>584.6826635395196</x:v>
      </x:c>
      <x:c r="G42" s="56" t="str">
        <x:v>Observed recent-open median MoE ratio</x:v>
      </x:c>
    </x:row>
    <x:row r="43">
      <x:c r="A43" s="17" t="str">
        <x:v>Claude Sonnet 5</x:v>
      </x:c>
      <x:c r="B43" s="44" t="n">
        <x:v>53</x:v>
      </x:c>
      <x:c r="C43" s="26" t="n">
        <x:v>46203</x:v>
      </x:c>
      <x:c r="D43" s="28" t="n">
        <x:v>32</x:v>
      </x:c>
      <x:c r="E43" s="50" t="n">
        <x:f>SQRT(('Frontier Estimates'!$J$12/POWER(D43,'Regression Model'!$B$7))*('Frontier Estimates'!$K$12/POWER(D43,'Regression Model'!$F$7)))</x:f>
        <x:v>23.965624780262072</x:v>
      </x:c>
      <x:c r="F43" s="50" t="n">
        <x:f>E43*D43</x:f>
        <x:v>766.8999929683863</x:v>
      </x:c>
      <x:c r="G43" s="56" t="str">
        <x:v>Hypothetical MoE scenario</x:v>
      </x:c>
    </x:row>
    <x:row r="44">
      <x:c r="A44" s="17" t="str">
        <x:v>Claude Sonnet 5</x:v>
      </x:c>
      <x:c r="B44" s="44" t="n">
        <x:v>53</x:v>
      </x:c>
      <x:c r="C44" s="26" t="n">
        <x:v>46203</x:v>
      </x:c>
      <x:c r="D44" s="28" t="n">
        <x:v>64</x:v>
      </x:c>
      <x:c r="E44" s="50" t="n">
        <x:f>SQRT(('Frontier Estimates'!$J$12/POWER(D44,'Regression Model'!$B$7))*('Frontier Estimates'!$K$12/POWER(D44,'Regression Model'!$F$7)))</x:f>
        <x:v>16.946255797495674</x:v>
      </x:c>
      <x:c r="F44" s="50" t="n">
        <x:f>E44*D44</x:f>
        <x:v>1084.5603710397231</x:v>
      </x:c>
      <x:c r="G44" s="56" t="str">
        <x:v>Hypothetical MoE scenario</x:v>
      </x:c>
    </x:row>
    <x:row r="45">
      <x:c r="A45" s="17" t="str">
        <x:v>GPT-5.6 Luna</x:v>
      </x:c>
      <x:c r="B45" s="44" t="n">
        <x:v>51</x:v>
      </x:c>
      <x:c r="C45" s="26" t="n">
        <x:v>46212</x:v>
      </x:c>
      <x:c r="D45" s="28" t="n">
        <x:v>1</x:v>
      </x:c>
      <x:c r="E45" s="50" t="n">
        <x:f>SQRT(('Frontier Estimates'!$J$13/POWER(D45,'Regression Model'!$B$7))*('Frontier Estimates'!$K$13/POWER(D45,'Regression Model'!$F$7)))</x:f>
        <x:v>121.97379899995312</x:v>
      </x:c>
      <x:c r="F45" s="50" t="n">
        <x:f>E45*D45</x:f>
        <x:v>121.97379899995312</x:v>
      </x:c>
      <x:c r="G45" s="56" t="str">
        <x:v>Dense-equivalent</x:v>
      </x:c>
    </x:row>
    <x:row r="46">
      <x:c r="A46" s="17" t="str">
        <x:v>GPT-5.6 Luna</x:v>
      </x:c>
      <x:c r="B46" s="44" t="n">
        <x:v>51</x:v>
      </x:c>
      <x:c r="C46" s="26" t="n">
        <x:v>46212</x:v>
      </x:c>
      <x:c r="D46" s="28" t="n">
        <x:v>8</x:v>
      </x:c>
      <x:c r="E46" s="50" t="n">
        <x:f>SQRT(('Frontier Estimates'!$J$13/POWER(D46,'Regression Model'!$B$7))*('Frontier Estimates'!$K$13/POWER(D46,'Regression Model'!$F$7)))</x:f>
        <x:v>43.12425019997589</x:v>
      </x:c>
      <x:c r="F46" s="50" t="n">
        <x:f>E46*D46</x:f>
        <x:v>344.9940015998071</x:v>
      </x:c>
      <x:c r="G46" s="56" t="str">
        <x:v>Hypothetical MoE scenario</x:v>
      </x:c>
    </x:row>
    <x:row r="47">
      <x:c r="A47" s="17" t="str">
        <x:v>GPT-5.6 Luna</x:v>
      </x:c>
      <x:c r="B47" s="44" t="n">
        <x:v>51</x:v>
      </x:c>
      <x:c r="C47" s="26" t="n">
        <x:v>46212</x:v>
      </x:c>
      <x:c r="D47" s="28" t="n">
        <x:v>18.6</x:v>
      </x:c>
      <x:c r="E47" s="50" t="n">
        <x:f>SQRT(('Frontier Estimates'!$J$13/POWER(D47,'Regression Model'!$B$7))*('Frontier Estimates'!$K$13/POWER(D47,'Regression Model'!$F$7)))</x:f>
        <x:v>28.281997429955485</x:v>
      </x:c>
      <x:c r="F47" s="50" t="n">
        <x:f>E47*D47</x:f>
        <x:v>526.0451521971721</x:v>
      </x:c>
      <x:c r="G47" s="56" t="str">
        <x:v>Observed recent-open median MoE ratio</x:v>
      </x:c>
    </x:row>
    <x:row r="48">
      <x:c r="A48" s="17" t="str">
        <x:v>GPT-5.6 Luna</x:v>
      </x:c>
      <x:c r="B48" s="44" t="n">
        <x:v>51</x:v>
      </x:c>
      <x:c r="C48" s="26" t="n">
        <x:v>46212</x:v>
      </x:c>
      <x:c r="D48" s="28" t="n">
        <x:v>32</x:v>
      </x:c>
      <x:c r="E48" s="50" t="n">
        <x:f>SQRT(('Frontier Estimates'!$J$13/POWER(D48,'Regression Model'!$B$7))*('Frontier Estimates'!$K$13/POWER(D48,'Regression Model'!$F$7)))</x:f>
        <x:v>21.562125099987945</x:v>
      </x:c>
      <x:c r="F48" s="50" t="n">
        <x:f>E48*D48</x:f>
        <x:v>689.9880031996142</x:v>
      </x:c>
      <x:c r="G48" s="56" t="str">
        <x:v>Hypothetical MoE scenario</x:v>
      </x:c>
    </x:row>
    <x:row r="49">
      <x:c r="A49" s="17" t="str">
        <x:v>GPT-5.6 Luna</x:v>
      </x:c>
      <x:c r="B49" s="44" t="n">
        <x:v>51</x:v>
      </x:c>
      <x:c r="C49" s="26" t="n">
        <x:v>46212</x:v>
      </x:c>
      <x:c r="D49" s="28" t="n">
        <x:v>64</x:v>
      </x:c>
      <x:c r="E49" s="50" t="n">
        <x:f>SQRT(('Frontier Estimates'!$J$13/POWER(D49,'Regression Model'!$B$7))*('Frontier Estimates'!$K$13/POWER(D49,'Regression Model'!$F$7)))</x:f>
        <x:v>15.24672487499414</x:v>
      </x:c>
      <x:c r="F49" s="50" t="n">
        <x:f>E49*D49</x:f>
        <x:v>975.790391999625</x:v>
      </x:c>
      <x:c r="G49" s="56" t="str">
        <x:v>Hypothetical MoE scenario</x:v>
      </x:c>
    </x:row>
    <x:row r="50">
      <x:c r="A50" s="17" t="str">
        <x:v>Gemini 3.5 Flash</x:v>
      </x:c>
      <x:c r="B50" s="44" t="n">
        <x:v>50</x:v>
      </x:c>
      <x:c r="C50" s="26" t="n">
        <x:v>46161</x:v>
      </x:c>
      <x:c r="D50" s="28" t="n">
        <x:v>1</x:v>
      </x:c>
      <x:c r="E50" s="50" t="n">
        <x:f>SQRT(('Frontier Estimates'!$J$14/POWER(D50,'Regression Model'!$B$7))*('Frontier Estimates'!$K$14/POWER(D50,'Regression Model'!$F$7)))</x:f>
        <x:v>158.23462883816126</x:v>
      </x:c>
      <x:c r="F50" s="50" t="n">
        <x:f>E50*D50</x:f>
        <x:v>158.23462883816126</x:v>
      </x:c>
      <x:c r="G50" s="56" t="str">
        <x:v>Dense-equivalent</x:v>
      </x:c>
    </x:row>
    <x:row r="51">
      <x:c r="A51" s="17" t="str">
        <x:v>Gemini 3.5 Flash</x:v>
      </x:c>
      <x:c r="B51" s="44" t="n">
        <x:v>50</x:v>
      </x:c>
      <x:c r="C51" s="26" t="n">
        <x:v>46161</x:v>
      </x:c>
      <x:c r="D51" s="28" t="n">
        <x:v>8</x:v>
      </x:c>
      <x:c r="E51" s="50" t="n">
        <x:f>SQRT(('Frontier Estimates'!$J$14/POWER(D51,'Regression Model'!$B$7))*('Frontier Estimates'!$K$14/POWER(D51,'Regression Model'!$F$7)))</x:f>
        <x:v>55.94438953500013</x:v>
      </x:c>
      <x:c r="F51" s="50" t="n">
        <x:f>E51*D51</x:f>
        <x:v>447.555116280001</x:v>
      </x:c>
      <x:c r="G51" s="56" t="str">
        <x:v>Hypothetical MoE scenario</x:v>
      </x:c>
    </x:row>
    <x:row r="52">
      <x:c r="A52" s="17" t="str">
        <x:v>Gemini 3.5 Flash</x:v>
      </x:c>
      <x:c r="B52" s="44" t="n">
        <x:v>50</x:v>
      </x:c>
      <x:c r="C52" s="26" t="n">
        <x:v>46161</x:v>
      </x:c>
      <x:c r="D52" s="28" t="n">
        <x:v>18.6</x:v>
      </x:c>
      <x:c r="E52" s="50" t="n">
        <x:f>SQRT(('Frontier Estimates'!$J$14/POWER(D52,'Regression Model'!$B$7))*('Frontier Estimates'!$K$14/POWER(D52,'Regression Model'!$F$7)))</x:f>
        <x:v>36.68977602421449</x:v>
      </x:c>
      <x:c r="F52" s="50" t="n">
        <x:f>E52*D52</x:f>
        <x:v>682.4298340503896</x:v>
      </x:c>
      <x:c r="G52" s="56" t="str">
        <x:v>Observed recent-open median MoE ratio</x:v>
      </x:c>
    </x:row>
    <x:row r="53">
      <x:c r="A53" s="17" t="str">
        <x:v>Gemini 3.5 Flash</x:v>
      </x:c>
      <x:c r="B53" s="44" t="n">
        <x:v>50</x:v>
      </x:c>
      <x:c r="C53" s="26" t="n">
        <x:v>46161</x:v>
      </x:c>
      <x:c r="D53" s="28" t="n">
        <x:v>32</x:v>
      </x:c>
      <x:c r="E53" s="50" t="n">
        <x:f>SQRT(('Frontier Estimates'!$J$14/POWER(D53,'Regression Model'!$B$7))*('Frontier Estimates'!$K$14/POWER(D53,'Regression Model'!$F$7)))</x:f>
        <x:v>27.972194767500064</x:v>
      </x:c>
      <x:c r="F53" s="50" t="n">
        <x:f>E53*D53</x:f>
        <x:v>895.110232560002</x:v>
      </x:c>
      <x:c r="G53" s="56" t="str">
        <x:v>Hypothetical MoE scenario</x:v>
      </x:c>
    </x:row>
    <x:row r="54">
      <x:c r="A54" s="17" t="str">
        <x:v>Gemini 3.5 Flash</x:v>
      </x:c>
      <x:c r="B54" s="44" t="n">
        <x:v>50</x:v>
      </x:c>
      <x:c r="C54" s="26" t="n">
        <x:v>46161</x:v>
      </x:c>
      <x:c r="D54" s="28" t="n">
        <x:v>64</x:v>
      </x:c>
      <x:c r="E54" s="50" t="n">
        <x:f>SQRT(('Frontier Estimates'!$J$14/POWER(D54,'Regression Model'!$B$7))*('Frontier Estimates'!$K$14/POWER(D54,'Regression Model'!$F$7)))</x:f>
        <x:v>19.779328604770157</x:v>
      </x:c>
      <x:c r="F54" s="50" t="n">
        <x:f>E54*D54</x:f>
        <x:v>1265.87703070529</x:v>
      </x:c>
      <x:c r="G54" s="56" t="str">
        <x:v>Hypothetical MoE scenario</x:v>
      </x:c>
    </x:row>
    <x:row r="55">
      <x:c r="A55" s="17" t="str">
        <x:v>Gemini 3.1 Pro Preview</x:v>
      </x:c>
      <x:c r="B55" s="44" t="n">
        <x:v>46</x:v>
      </x:c>
      <x:c r="C55" s="26" t="n">
        <x:v>46072</x:v>
      </x:c>
      <x:c r="D55" s="28" t="n">
        <x:v>1</x:v>
      </x:c>
      <x:c r="E55" s="50" t="n">
        <x:f>SQRT(('Frontier Estimates'!$J$15/POWER(D55,'Regression Model'!$B$7))*('Frontier Estimates'!$K$15/POWER(D55,'Regression Model'!$F$7)))</x:f>
        <x:v>229.05898414756663</x:v>
      </x:c>
      <x:c r="F55" s="50" t="n">
        <x:f>E55*D55</x:f>
        <x:v>229.05898414756663</x:v>
      </x:c>
      <x:c r="G55" s="56" t="str">
        <x:v>Dense-equivalent</x:v>
      </x:c>
    </x:row>
    <x:row r="56">
      <x:c r="A56" s="17" t="str">
        <x:v>Gemini 3.1 Pro Preview</x:v>
      </x:c>
      <x:c r="B56" s="44" t="n">
        <x:v>46</x:v>
      </x:c>
      <x:c r="C56" s="26" t="n">
        <x:v>46072</x:v>
      </x:c>
      <x:c r="D56" s="28" t="n">
        <x:v>8</x:v>
      </x:c>
      <x:c r="E56" s="50" t="n">
        <x:f>SQRT(('Frontier Estimates'!$J$15/POWER(D56,'Regression Model'!$B$7))*('Frontier Estimates'!$K$15/POWER(D56,'Regression Model'!$F$7)))</x:f>
        <x:v>80.98458049122313</x:v>
      </x:c>
      <x:c r="F56" s="50" t="n">
        <x:f>E56*D56</x:f>
        <x:v>647.876643929785</x:v>
      </x:c>
      <x:c r="G56" s="56" t="str">
        <x:v>Hypothetical MoE scenario</x:v>
      </x:c>
    </x:row>
    <x:row r="57">
      <x:c r="A57" s="17" t="str">
        <x:v>Gemini 3.1 Pro Preview</x:v>
      </x:c>
      <x:c r="B57" s="44" t="n">
        <x:v>46</x:v>
      </x:c>
      <x:c r="C57" s="26" t="n">
        <x:v>46072</x:v>
      </x:c>
      <x:c r="D57" s="28" t="n">
        <x:v>18.6</x:v>
      </x:c>
      <x:c r="E57" s="50" t="n">
        <x:f>SQRT(('Frontier Estimates'!$J$15/POWER(D57,'Regression Model'!$B$7))*('Frontier Estimates'!$K$15/POWER(D57,'Regression Model'!$F$7)))</x:f>
        <x:v>53.111780186269215</x:v>
      </x:c>
      <x:c r="F57" s="50" t="n">
        <x:f>E57*D57</x:f>
        <x:v>987.8791114646075</x:v>
      </x:c>
      <x:c r="G57" s="56" t="str">
        <x:v>Observed recent-open median MoE ratio</x:v>
      </x:c>
    </x:row>
    <x:row r="58">
      <x:c r="A58" s="17" t="str">
        <x:v>Gemini 3.1 Pro Preview</x:v>
      </x:c>
      <x:c r="B58" s="44" t="n">
        <x:v>46</x:v>
      </x:c>
      <x:c r="C58" s="26" t="n">
        <x:v>46072</x:v>
      </x:c>
      <x:c r="D58" s="28" t="n">
        <x:v>32</x:v>
      </x:c>
      <x:c r="E58" s="50" t="n">
        <x:f>SQRT(('Frontier Estimates'!$J$15/POWER(D58,'Regression Model'!$B$7))*('Frontier Estimates'!$K$15/POWER(D58,'Regression Model'!$F$7)))</x:f>
        <x:v>40.492290245611564</x:v>
      </x:c>
      <x:c r="F58" s="50" t="n">
        <x:f>E58*D58</x:f>
        <x:v>1295.75328785957</x:v>
      </x:c>
      <x:c r="G58" s="56" t="str">
        <x:v>Hypothetical MoE scenario</x:v>
      </x:c>
    </x:row>
    <x:row r="59">
      <x:c r="A59" s="18" t="str">
        <x:v>Gemini 3.1 Pro Preview</x:v>
      </x:c>
      <x:c r="B59" s="45" t="n">
        <x:v>46</x:v>
      </x:c>
      <x:c r="C59" s="42" t="n">
        <x:v>46072</x:v>
      </x:c>
      <x:c r="D59" s="53" t="n">
        <x:v>64</x:v>
      </x:c>
      <x:c r="E59" s="51" t="n">
        <x:f>SQRT(('Frontier Estimates'!$J$15/POWER(D59,'Regression Model'!$B$7))*('Frontier Estimates'!$K$15/POWER(D59,'Regression Model'!$F$7)))</x:f>
        <x:v>28.63237301844583</x:v>
      </x:c>
      <x:c r="F59" s="51" t="n">
        <x:f>E59*D59</x:f>
        <x:v>1832.471873180533</x:v>
      </x:c>
      <x:c r="G59" s="58" t="str">
        <x:v>Hypothetical MoE scenario</x:v>
      </x:c>
    </x:row>
  </x:sheetData>
  <x:mergeCells>
    <x:mergeCell ref="A1:G1"/>
    <x:mergeCell ref="A2:G3"/>
  </x:mergeCells>
  <x:conditionalFormatting sqref="D5:D59">
    <x:cfRule type="cellIs" dxfId="2" priority="1" operator="equal">
      <x:formula>18.6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6faaca6c3c40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38" hidden="0" customWidth="1"/>
    <x:col min="4" max="4" width="14" hidden="0" customWidth="1"/>
    <x:col min="5" max="5" width="34" hidden="0" customWidth="1"/>
    <x:col min="6" max="6" width="15" hidden="0" customWidth="1"/>
    <x:col min="7" max="7" width="38" hidden="0" customWidth="1"/>
    <x:col min="8" max="8" width="14" hidden="0" customWidth="1"/>
    <x:col min="9" max="9" width="34" hidden="0" customWidth="1"/>
    <x:col min="10" max="10" width="28" hidden="0" customWidth="1"/>
  </x:cols>
  <x:sheetData>
    <x:row r="1" ht="36" customHeight="1">
      <x:c r="A1" s="3" t="str">
        <x:v>Date-aware parameter-equivalence model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6" t="str">
        <x:v>Two frontier regressions are fit separately: Artificial Analysis Intelligence Index v4.1 on 50 open-weight releases in the last 12 months, and Epoch ECI on an 88-model 2023–2026 calibration panel. The reported estimate is their geometric ensemble. It is an open-weight-equivalent scale, not a claim about undisclosed physical weights.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</x:row>
    <x:row r="6" ht="34" customHeight="1">
      <x:c r="A6" s="11" t="str">
        <x:v>AA v4.1 coefficient</x:v>
      </x:c>
      <x:c r="B6" s="11" t="str">
        <x:v>Value</x:v>
      </x:c>
      <x:c r="C6" s="11" t="str">
        <x:v>Interpretation</x:v>
      </x:c>
      <x:c r="E6" s="11" t="str">
        <x:v>ECI coefficient</x:v>
      </x:c>
      <x:c r="F6" s="11" t="str">
        <x:v>Value</x:v>
      </x:c>
      <x:c r="G6" s="11" t="str">
        <x:v>Interpretation</x:v>
      </x:c>
      <x:c r="I6" s="11" t="str">
        <x:v>Core assumption</x:v>
      </x:c>
      <x:c r="J6" s="11" t="str">
        <x:v>Value</x:v>
      </x:c>
    </x:row>
    <x:row r="7">
      <x:c r="A7" s="22" t="str">
        <x:v>κ: MoE dormant-capacity weight</x:v>
      </x:c>
      <x:c r="B7" s="19" t="n">
        <x:v>1</x:v>
      </x:c>
      <x:c r="C7" s="16" t="str">
        <x:v>0 = active count only; 1 = total count only</x:v>
      </x:c>
      <x:c r="E7" s="22" t="str">
        <x:v>κ: MoE dormant-capacity weight</x:v>
      </x:c>
      <x:c r="F7" s="19" t="n">
        <x:v>0</x:v>
      </x:c>
      <x:c r="G7" s="16" t="str">
        <x:v>0 = active count only; 1 = total count only</x:v>
      </x:c>
      <x:c r="I7" s="16" t="str">
        <x:v>As-of date</x:v>
      </x:c>
      <x:c r="J7" s="25" t="n">
        <x:v>46219</x:v>
      </x:c>
    </x:row>
    <x:row r="8">
      <x:c r="A8" s="23" t="str">
        <x:v>Raw intercept</x:v>
      </x:c>
      <x:c r="B8" s="20" t="n">
        <x:v>1.088268494931238</x:v>
      </x:c>
      <x:c r="C8" s="17" t="str">
        <x:v>Average-open-model intercept at 2026-01-01</x:v>
      </x:c>
      <x:c r="E8" s="23" t="str">
        <x:v>Raw intercept</x:v>
      </x:c>
      <x:c r="F8" s="20" t="n">
        <x:v>119.07146396249067</x:v>
      </x:c>
      <x:c r="G8" s="17" t="str">
        <x:v>Average-open-model intercept at 2026-01-01</x:v>
      </x:c>
      <x:c r="I8" s="17" t="str">
        <x:v>Vintage origin</x:v>
      </x:c>
      <x:c r="J8" s="26" t="n">
        <x:v>46023</x:v>
      </x:c>
    </x:row>
    <x:row r="9">
      <x:c r="A9" s="23" t="str">
        <x:v>90th-frontier residual shift</x:v>
      </x:c>
      <x:c r="B9" s="20" t="n">
        <x:v>4.916949472274231</x:v>
      </x:c>
      <x:c r="C9" s="17" t="str">
        <x:v>Raises the regression to the open frontier</x:v>
      </x:c>
      <x:c r="E9" s="23" t="str">
        <x:v>90th-frontier residual shift</x:v>
      </x:c>
      <x:c r="F9" s="20" t="n">
        <x:v>5.925851892197083</x:v>
      </x:c>
      <x:c r="G9" s="17" t="str">
        <x:v>Raises the regression to the open frontier</x:v>
      </x:c>
      <x:c r="I9" s="17" t="str">
        <x:v>Open-frontier quantile</x:v>
      </x:c>
      <x:c r="J9" s="27" t="n">
        <x:v>0.9</x:v>
      </x:c>
    </x:row>
    <x:row r="10">
      <x:c r="A10" s="23" t="str">
        <x:v>Frontier intercept</x:v>
      </x:c>
      <x:c r="B10" s="20" t="n">
        <x:v>6.0052179672054695</x:v>
      </x:c>
      <x:c r="C10" s="17" t="str">
        <x:v>Raw intercept + frontier shift</x:v>
      </x:c>
      <x:c r="E10" s="23" t="str">
        <x:v>Frontier intercept</x:v>
      </x:c>
      <x:c r="F10" s="20" t="n">
        <x:v>124.99731585468776</x:v>
      </x:c>
      <x:c r="G10" s="17" t="str">
        <x:v>Raw intercept + frontier shift</x:v>
      </x:c>
      <x:c r="I10" s="17" t="str">
        <x:v>Recent-open median total/active ratio</x:v>
      </x:c>
      <x:c r="J10" s="28" t="n">
        <x:v>18.6</x:v>
      </x:c>
    </x:row>
    <x:row r="11">
      <x:c r="A11" s="23" t="str">
        <x:v>Score points / parameter doubling</x:v>
      </x:c>
      <x:c r="B11" s="20" t="n">
        <x:v>2.829507184076261</x:v>
      </x:c>
      <x:c r="C11" s="17" t="str">
        <x:v>Slope on log2 effective parameters</x:v>
      </x:c>
      <x:c r="E11" s="23" t="str">
        <x:v>Score points / parameter doubling</x:v>
      </x:c>
      <x:c r="F11" s="20" t="n">
        <x:v>3.7474511582059864</x:v>
      </x:c>
      <x:c r="G11" s="17" t="str">
        <x:v>Slope on log2 effective parameters</x:v>
      </x:c>
      <x:c r="I11" s="17" t="str">
        <x:v>Cluster bootstrap draws</x:v>
      </x:c>
      <x:c r="J11" s="29" t="n">
        <x:v>2500</x:v>
      </x:c>
    </x:row>
    <x:row r="12">
      <x:c r="A12" s="23" t="str">
        <x:v>Vintage points / year</x:v>
      </x:c>
      <x:c r="B12" s="20" t="n">
        <x:v>18.651966810884613</x:v>
      </x:c>
      <x:c r="C12" s="17" t="str">
        <x:v>Release-vintage effect; not purely causal algorithms</x:v>
      </x:c>
      <x:c r="E12" s="23" t="str">
        <x:v>Vintage points / year</x:v>
      </x:c>
      <x:c r="F12" s="20" t="n">
        <x:v>12.385694424465848</x:v>
      </x:c>
      <x:c r="G12" s="17" t="str">
        <x:v>Release-vintage effect; not purely causal algorithms</x:v>
      </x:c>
      <x:c r="I12" s="17" t="str">
        <x:v>Structural half-width (doublings)</x:v>
      </x:c>
      <x:c r="J12" s="30" t="n">
        <x:v>2.519091716896432</x:v>
      </x:c>
    </x:row>
    <x:row r="13">
      <x:c r="A13" s="23" t="str">
        <x:v>Reasoning uplift (fixed)</x:v>
      </x:c>
      <x:c r="B13" s="20" t="n">
        <x:v>6</x:v>
      </x:c>
      <x:c r="C13" s="17" t="str">
        <x:v>Median paired reasoning/non-reasoning uplift</x:v>
      </x:c>
      <x:c r="E13" s="23" t="str">
        <x:v>Reasoning uplift (fixed)</x:v>
      </x:c>
      <x:c r="F13" s="20" t="n">
        <x:v>6</x:v>
      </x:c>
      <x:c r="G13" s="17" t="str">
        <x:v>Median paired reasoning/non-reasoning uplift</x:v>
      </x:c>
      <x:c r="I13" s="17" t="str">
        <x:v>Fixed reasoning uplift (points)</x:v>
      </x:c>
      <x:c r="J13" s="30" t="n">
        <x:v>6</x:v>
      </x:c>
    </x:row>
    <x:row r="14">
      <x:c r="A14" s="23" t="str">
        <x:v>MoE indicator uplift</x:v>
      </x:c>
      <x:c r="B14" s="20" t="n">
        <x:v>0</x:v>
      </x:c>
      <x:c r="C14" s="17" t="str">
        <x:v>Architecture intercept for MoE (target scenario = 1)</x:v>
      </x:c>
      <x:c r="E14" s="23" t="str">
        <x:v>MoE indicator uplift</x:v>
      </x:c>
      <x:c r="F14" s="20" t="n">
        <x:v>5.133521835181339</x:v>
      </x:c>
      <x:c r="G14" s="17" t="str">
        <x:v>Architecture intercept for MoE (target scenario = 1)</x:v>
      </x:c>
      <x:c r="I14" s="18" t="str">
        <x:v>Primary estimate</x:v>
      </x:c>
      <x:c r="J14" s="18" t="str">
        <x:v>Geometric mean of AA and ECI frontier equivalents</x:v>
      </x:c>
    </x:row>
    <x:row r="15">
      <x:c r="A15" s="23" t="str">
        <x:v>Residual σ (score points)</x:v>
      </x:c>
      <x:c r="B15" s="20" t="n">
        <x:v>4.8243564883916665</x:v>
      </x:c>
      <x:c r="C15" s="17" t="str">
        <x:v>In-sample residual dispersion</x:v>
      </x:c>
      <x:c r="E15" s="23" t="str">
        <x:v>Residual σ (score points)</x:v>
      </x:c>
      <x:c r="F15" s="20" t="n">
        <x:v>5.108960548267228</x:v>
      </x:c>
      <x:c r="G15" s="17" t="str">
        <x:v>In-sample residual dispersion</x:v>
      </x:c>
    </x:row>
    <x:row r="16">
      <x:c r="A16" s="23" t="str">
        <x:v>Equivalent parameter doublings / year</x:v>
      </x:c>
      <x:c r="B16" s="20" t="n">
        <x:v>6.5919489145859345</x:v>
      </x:c>
      <x:c r="C16" s="17" t="str">
        <x:v>Vintage coefficient divided by scale coefficient</x:v>
      </x:c>
      <x:c r="E16" s="23" t="str">
        <x:v>Equivalent parameter doublings / year</x:v>
      </x:c>
      <x:c r="F16" s="20" t="n">
        <x:v>3.305098292567271</x:v>
      </x:c>
      <x:c r="G16" s="17" t="str">
        <x:v>Vintage coefficient divided by scale coefficient</x:v>
      </x:c>
    </x:row>
    <x:row r="17">
      <x:c r="A17" s="23" t="str">
        <x:v>Vintage-equivalent doubling time (months)</x:v>
      </x:c>
      <x:c r="B17" s="20" t="n">
        <x:v>1.8204024569194899</x:v>
      </x:c>
      <x:c r="C17" s="17" t="str">
        <x:v>12 divided by equivalent doublings/year</x:v>
      </x:c>
      <x:c r="E17" s="23" t="str">
        <x:v>Vintage-equivalent doubling time (months)</x:v>
      </x:c>
      <x:c r="F17" s="20" t="n">
        <x:v>3.6307543491176686</x:v>
      </x:c>
      <x:c r="G17" s="17" t="str">
        <x:v>12 divided by equivalent doublings/year</x:v>
      </x:c>
    </x:row>
    <x:row r="18">
      <x:c r="A18" s="23" t="str">
        <x:v>LOFO median absolute error (doublings)</x:v>
      </x:c>
      <x:c r="B18" s="20" t="n">
        <x:v>1.141439534609071</x:v>
      </x:c>
      <x:c r="C18" s="17" t="str">
        <x:v>Leave-one-family-out inversion error</x:v>
      </x:c>
      <x:c r="E18" s="23" t="str">
        <x:v>LOFO median absolute error (doublings)</x:v>
      </x:c>
      <x:c r="F18" s="20" t="n">
        <x:v>1.0300032109187056</x:v>
      </x:c>
      <x:c r="G18" s="17" t="str">
        <x:v>Leave-one-family-out inversion error</x:v>
      </x:c>
    </x:row>
    <x:row r="19">
      <x:c r="A19" s="24" t="str">
        <x:v>LOFO 80th-percentile error (doublings)</x:v>
      </x:c>
      <x:c r="B19" s="21" t="n">
        <x:v>2.519091716896432</x:v>
      </x:c>
      <x:c r="C19" s="18" t="str">
        <x:v>Used as the structural stress-band half-width</x:v>
      </x:c>
      <x:c r="E19" s="24" t="str">
        <x:v>LOFO 80th-percentile error (doublings)</x:v>
      </x:c>
      <x:c r="F19" s="21" t="n">
        <x:v>1.83776824390517</x:v>
      </x:c>
      <x:c r="G19" s="18" t="str">
        <x:v>Used as the structural stress-band half-width</x:v>
      </x:c>
    </x:row>
    <x:row r="22">
      <x:c r="A22" s="33" t="str">
        <x:v>Model-selection and validation</x:v>
      </x:c>
      <x:c r="B22" s="33"/>
      <x:c r="C22" s="33"/>
      <x:c r="D22" s="33"/>
      <x:c r="E22" s="33"/>
      <x:c r="F22" s="33"/>
      <x:c r="G22" s="33"/>
      <x:c r="H22" s="33"/>
      <x:c r="I22" s="33"/>
      <x:c r="J22" s="33"/>
    </x:row>
    <x:row r="24" ht="44" customHeight="1">
      <x:c r="A24" s="11" t="str">
        <x:v>Index</x:v>
      </x:c>
      <x:c r="B24" s="11" t="str">
        <x:v>Extra controls</x:v>
      </x:c>
      <x:c r="C24" s="11" t="str">
        <x:v>κ</x:v>
      </x:c>
      <x:c r="D24" s="11" t="str">
        <x:v>Score RMSE</x:v>
      </x:c>
      <x:c r="E24" s="11" t="str">
        <x:v>Score MAE</x:v>
      </x:c>
      <x:c r="F24" s="11" t="str">
        <x:v>Median abs error (doublings)</x:v>
      </x:c>
      <x:c r="G24" s="11" t="str">
        <x:v>80th abs error</x:v>
      </x:c>
      <x:c r="H24" s="11" t="str">
        <x:v>90th abs error</x:v>
      </x:c>
      <x:c r="I24" s="11" t="str">
        <x:v>N</x:v>
      </x:c>
    </x:row>
    <x:row r="25">
      <x:c r="A25" s="16" t="str">
        <x:v>AA v4.1</x:v>
      </x:c>
      <x:c r="B25" s="16" t="str">
        <x:v>None</x:v>
      </x:c>
      <x:c r="C25" s="34" t="n">
        <x:v>1</x:v>
      </x:c>
      <x:c r="D25" s="34" t="n">
        <x:v>5.977327441568886</x:v>
      </x:c>
      <x:c r="E25" s="34" t="n">
        <x:v>4.529463028585589</x:v>
      </x:c>
      <x:c r="F25" s="34" t="n">
        <x:v>1.141439534609071</x:v>
      </x:c>
      <x:c r="G25" s="34" t="n">
        <x:v>2.519091716896432</x:v>
      </x:c>
      <x:c r="H25" s="34" t="n">
        <x:v>3.6902171872084057</x:v>
      </x:c>
      <x:c r="I25" s="36" t="n">
        <x:v>50</x:v>
      </x:c>
    </x:row>
    <x:row r="26">
      <x:c r="A26" s="17" t="str">
        <x:v>AA v4.1</x:v>
      </x:c>
      <x:c r="B26" s="17" t="str">
        <x:v>coder</x:v>
      </x:c>
      <x:c r="C26" s="30" t="n">
        <x:v>1</x:v>
      </x:c>
      <x:c r="D26" s="30" t="n">
        <x:v>5.980731470490209</x:v>
      </x:c>
      <x:c r="E26" s="30" t="n">
        <x:v>4.569000451496428</x:v>
      </x:c>
      <x:c r="F26" s="30" t="n">
        <x:v>1.2858259876840599</x:v>
      </x:c>
      <x:c r="G26" s="30" t="n">
        <x:v>2.5002294184340377</x:v>
      </x:c>
      <x:c r="H26" s="30" t="n">
        <x:v>3.711601533144494</x:v>
      </x:c>
      <x:c r="I26" s="29" t="n">
        <x:v>50</x:v>
      </x:c>
    </x:row>
    <x:row r="27">
      <x:c r="A27" s="17" t="str">
        <x:v>AA v4.1</x:v>
      </x:c>
      <x:c r="B27" s="17" t="str">
        <x:v>multimodal</x:v>
      </x:c>
      <x:c r="C27" s="30" t="n">
        <x:v>1</x:v>
      </x:c>
      <x:c r="D27" s="30" t="n">
        <x:v>6.232384795420825</x:v>
      </x:c>
      <x:c r="E27" s="30" t="n">
        <x:v>4.784179530011796</x:v>
      </x:c>
      <x:c r="F27" s="30" t="n">
        <x:v>1.2996880640599529</x:v>
      </x:c>
      <x:c r="G27" s="30" t="n">
        <x:v>2.4703071706855613</x:v>
      </x:c>
      <x:c r="H27" s="30" t="n">
        <x:v>4.119638921394637</x:v>
      </x:c>
      <x:c r="I27" s="29" t="n">
        <x:v>50</x:v>
      </x:c>
    </x:row>
    <x:row r="28">
      <x:c r="A28" s="17" t="str">
        <x:v>AA v4.1</x:v>
      </x:c>
      <x:c r="B28" s="17" t="str">
        <x:v>coder + multimodal</x:v>
      </x:c>
      <x:c r="C28" s="30" t="n">
        <x:v>1</x:v>
      </x:c>
      <x:c r="D28" s="30" t="n">
        <x:v>6.208885721282544</x:v>
      </x:c>
      <x:c r="E28" s="30" t="n">
        <x:v>4.791582608676601</x:v>
      </x:c>
      <x:c r="F28" s="30" t="n">
        <x:v>1.3269224097627084</x:v>
      </x:c>
      <x:c r="G28" s="30" t="n">
        <x:v>2.395619259186498</x:v>
      </x:c>
      <x:c r="H28" s="30" t="n">
        <x:v>4.028440872572153</x:v>
      </x:c>
      <x:c r="I28" s="29" t="n">
        <x:v>50</x:v>
      </x:c>
    </x:row>
    <x:row r="29">
      <x:c r="A29" s="17" t="str">
        <x:v>AA v4.1</x:v>
      </x:c>
      <x:c r="B29" s="17" t="str">
        <x:v>moe</x:v>
      </x:c>
      <x:c r="C29" s="30" t="n">
        <x:v>1</x:v>
      </x:c>
      <x:c r="D29" s="30" t="n">
        <x:v>6.198329795149469</x:v>
      </x:c>
      <x:c r="E29" s="30" t="n">
        <x:v>4.7201230080680565</x:v>
      </x:c>
      <x:c r="F29" s="30" t="n">
        <x:v>1.3833126620883425</x:v>
      </x:c>
      <x:c r="G29" s="30" t="n">
        <x:v>2.7551409025220766</x:v>
      </x:c>
      <x:c r="H29" s="30" t="n">
        <x:v>3.745499100203098</x:v>
      </x:c>
      <x:c r="I29" s="29" t="n">
        <x:v>50</x:v>
      </x:c>
    </x:row>
    <x:row r="30">
      <x:c r="A30" s="17" t="str">
        <x:v>ECI</x:v>
      </x:c>
      <x:c r="B30" s="17" t="str">
        <x:v>moe</x:v>
      </x:c>
      <x:c r="C30" s="30" t="n">
        <x:v>0</x:v>
      </x:c>
      <x:c r="D30" s="30" t="n">
        <x:v>7.150177851638982</x:v>
      </x:c>
      <x:c r="E30" s="30" t="n">
        <x:v>5.223240997438054</x:v>
      </x:c>
      <x:c r="F30" s="30" t="n">
        <x:v>1.0300032109187056</x:v>
      </x:c>
      <x:c r="G30" s="30" t="n">
        <x:v>1.83776824390517</x:v>
      </x:c>
      <x:c r="H30" s="30" t="n">
        <x:v>2.8738651506329638</x:v>
      </x:c>
      <x:c r="I30" s="29" t="n">
        <x:v>88</x:v>
      </x:c>
    </x:row>
    <x:row r="31">
      <x:c r="A31" s="17" t="str">
        <x:v>ECI</x:v>
      </x:c>
      <x:c r="B31" s="17" t="str">
        <x:v>None</x:v>
      </x:c>
      <x:c r="C31" s="30" t="n">
        <x:v>0.3</x:v>
      </x:c>
      <x:c r="D31" s="30" t="n">
        <x:v>7.21511664068895</x:v>
      </x:c>
      <x:c r="E31" s="30" t="n">
        <x:v>5.333171917622038</x:v>
      </x:c>
      <x:c r="F31" s="30" t="n">
        <x:v>1.078390416298375</x:v>
      </x:c>
      <x:c r="G31" s="30" t="n">
        <x:v>1.9079796469245776</x:v>
      </x:c>
      <x:c r="H31" s="30" t="n">
        <x:v>2.836578548253671</x:v>
      </x:c>
      <x:c r="I31" s="29" t="n">
        <x:v>88</x:v>
      </x:c>
    </x:row>
    <x:row r="32">
      <x:c r="A32" s="18" t="str">
        <x:v>ECI</x:v>
      </x:c>
      <x:c r="B32" s="18" t="str">
        <x:v>coder</x:v>
      </x:c>
      <x:c r="C32" s="35" t="n">
        <x:v>0.22</x:v>
      </x:c>
      <x:c r="D32" s="35" t="n">
        <x:v>6.2552520772296605</x:v>
      </x:c>
      <x:c r="E32" s="35" t="n">
        <x:v>4.8574314747757805</x:v>
      </x:c>
      <x:c r="F32" s="35" t="n">
        <x:v>1.306756710775547</x:v>
      </x:c>
      <x:c r="G32" s="35" t="n">
        <x:v>2.3830074376261</x:v>
      </x:c>
      <x:c r="H32" s="35" t="n">
        <x:v>2.9231665797460478</x:v>
      </x:c>
      <x:c r="I32" s="37" t="n">
        <x:v>88</x:v>
      </x:c>
    </x:row>
    <x:row r="34">
      <x:c r="A34" s="33" t="str">
        <x:v>Equations and interpretation</x:v>
      </x:c>
      <x:c r="B34" s="33"/>
      <x:c r="C34" s="33"/>
      <x:c r="D34" s="33"/>
      <x:c r="E34" s="33"/>
      <x:c r="F34" s="33"/>
      <x:c r="G34" s="33"/>
      <x:c r="H34" s="33"/>
      <x:c r="I34" s="33"/>
      <x:c r="J34" s="33"/>
    </x:row>
    <x:row r="36">
      <x:c r="A36" s="41" t="str">
        <x:v>Effective scale: P_eff = P_active × (P_total / P_active)^κ. Capability = frontier intercept + β·log2(P_eff) + γ·vintage_years + 6·reasoning + δ_MoE.</x:v>
      </x:c>
      <x:c r="B36" s="41"/>
      <x:c r="C36" s="41"/>
      <x:c r="D36" s="41"/>
      <x:c r="E36" s="41"/>
      <x:c r="F36" s="41"/>
      <x:c r="G36" s="41"/>
      <x:c r="H36" s="41"/>
      <x:c r="I36" s="41"/>
      <x:c r="J36" s="41"/>
    </x:row>
    <x:row r="37">
      <x:c r="A37" s="41" t="str">
        <x:v>Inversion returns the parameter scale of a 90th-percentile open-weight model of the same release vintage and reasoning status. The MoE scenario converts that dense-equivalent scale into active and total counts using the observed 18.6:1 median sparsity ratio.</x:v>
      </x:c>
      <x:c r="B37" s="41"/>
      <x:c r="C37" s="41"/>
      <x:c r="D37" s="41"/>
      <x:c r="E37" s="41"/>
      <x:c r="F37" s="41"/>
      <x:c r="G37" s="41"/>
      <x:c r="H37" s="41"/>
      <x:c r="I37" s="41"/>
      <x:c r="J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</x:row>
    <x:row r="39">
      <x:c r="A39" s="41" t="str">
        <x:v>The 80% fit interval reflects score uncertainty and family-clustered coefficient bootstrap. The much wider structural stress band uses the leave-one-family-out 80th-percentile inversion error and is the more honest guide for unknown proprietary architectures.</x:v>
      </x:c>
      <x:c r="B39" s="41"/>
      <x:c r="C39" s="41"/>
      <x:c r="D39" s="41"/>
      <x:c r="E39" s="41"/>
      <x:c r="F39" s="41"/>
      <x:c r="G39" s="41"/>
      <x:c r="H39" s="41"/>
      <x:c r="I39" s="41"/>
      <x:c r="J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</x:row>
  </x:sheetData>
  <x:mergeCells>
    <x:mergeCell ref="A1:J1"/>
    <x:mergeCell ref="A3:J4"/>
    <x:mergeCell ref="A22:J22"/>
    <x:mergeCell ref="A34:J34"/>
    <x:mergeCell ref="A36:J36"/>
    <x:mergeCell ref="A37:J38"/>
    <x:mergeCell ref="A39:J40"/>
  </x:mergeCells>
  <x:pageMargins left="0.7" right="0.7" top="0.75" bottom="0.75" header="0.3" footer="0.3"/>
  <x:legacyDrawing xmlns:r="http://schemas.openxmlformats.org/officeDocument/2006/relationships" r:id="Rc174258cdd624d5b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4" hidden="0" customWidth="1"/>
    <x:col min="3" max="3" width="50" hidden="0" customWidth="1"/>
    <x:col min="4" max="4" width="42" hidden="0" customWidth="1"/>
  </x:cols>
  <x:sheetData>
    <x:row r="1" ht="36" customHeight="1">
      <x:c r="A1" s="3" t="str">
        <x:v>Source register and scope notes</x:v>
      </x:c>
      <x:c r="B1" s="3"/>
      <x:c r="C1" s="3"/>
      <x:c r="D1" s="3"/>
    </x:row>
    <x:row r="2">
      <x:c r="A2" s="6" t="str">
        <x:v>URLs are plain text for auditability. Model-by-model parameter and score sources also appear on the Recent Open Models and Frontier Estimates sheets.</x:v>
      </x:c>
      <x:c r="B2" s="6"/>
      <x:c r="C2" s="6"/>
      <x:c r="D2" s="6"/>
    </x:row>
    <x:row r="3">
      <x:c r="A3" s="6"/>
      <x:c r="B3" s="6"/>
      <x:c r="C3" s="6"/>
      <x:c r="D3" s="6"/>
    </x:row>
    <x:row r="5" ht="34" customHeight="1">
      <x:c r="A5" s="11" t="str">
        <x:v>Source</x:v>
      </x:c>
      <x:c r="B5" s="11" t="str">
        <x:v>URL</x:v>
      </x:c>
      <x:c r="C5" s="11" t="str">
        <x:v>Role in analysis</x:v>
      </x:c>
      <x:c r="D5" s="11" t="str">
        <x:v>Snapshot / note</x:v>
      </x:c>
    </x:row>
    <x:row r="6">
      <x:c r="A6" s="16" t="str">
        <x:v>Artificial Analysis Intelligence Index methodology</x:v>
      </x:c>
      <x:c r="B6" s="54" t="str">
        <x:v>https://artificialanalysis.ai/methodology/intelligence-benchmarking</x:v>
      </x:c>
      <x:c r="C6" s="54" t="str">
        <x:v>Primary recent-model outcome; v4.1, nine evaluations</x:v>
      </x:c>
      <x:c r="D6" s="54" t="str">
        <x:v>Snapshot 2026-07-16</x:v>
      </x:c>
    </x:row>
    <x:row r="7">
      <x:c r="A7" s="17" t="str">
        <x:v>Artificial Analysis model leaderboard</x:v>
      </x:c>
      <x:c r="B7" s="56" t="str">
        <x:v>https://artificialanalysis.ai/leaderboards/models</x:v>
      </x:c>
      <x:c r="C7" s="56" t="str">
        <x:v>Current AA v4.1 model scores</x:v>
      </x:c>
      <x:c r="D7" s="56" t="str">
        <x:v>Do not mix with launch-era older index versions</x:v>
      </x:c>
    </x:row>
    <x:row r="8">
      <x:c r="A8" s="17" t="str">
        <x:v>Epoch ECI methodology</x:v>
      </x:c>
      <x:c r="B8" s="56" t="str">
        <x:v>https://epoch.ai/data/eci-documentation/methodology</x:v>
      </x:c>
      <x:c r="C8" s="56" t="str">
        <x:v>Robustness outcome and latent-capability methodology</x:v>
      </x:c>
      <x:c r="D8" s="56" t="str">
        <x:v>Snapshot 2026-07-16</x:v>
      </x:c>
    </x:row>
    <x:row r="9">
      <x:c r="A9" s="17" t="str">
        <x:v>Epoch ECI preprocessing / benchmarks</x:v>
      </x:c>
      <x:c r="B9" s="56" t="str">
        <x:v>https://epoch.ai/data/eci-documentation/data</x:v>
      </x:c>
      <x:c r="C9" s="56" t="str">
        <x:v>Documents upper-envelope score selection across settings</x:v>
      </x:c>
      <x:c r="D9" s="56" t="str">
        <x:v>More than 50 benchmarks in current data</x:v>
      </x:c>
    </x:row>
    <x:row r="10">
      <x:c r="A10" s="17" t="str">
        <x:v>Epoch benchmarked-model CSV</x:v>
      </x:c>
      <x:c r="B10" s="56" t="str">
        <x:v>https://epoch.ai/data/benchmarked_models.csv</x:v>
      </x:c>
      <x:c r="C10" s="56" t="str">
        <x:v>Release dates, ECI scores and 90% CIs</x:v>
      </x:c>
      <x:c r="D10" s="56" t="str">
        <x:v>Snapshot 2026-07-16</x:v>
      </x:c>
    </x:row>
    <x:row r="11">
      <x:c r="A11" s="17" t="str">
        <x:v>Epoch AI Models dataset</x:v>
      </x:c>
      <x:c r="B11" s="56" t="str">
        <x:v>https://epoch.ai/data/ai-models</x:v>
      </x:c>
      <x:c r="C11" s="56" t="str">
        <x:v>Parameter, training-compute and metadata cross-check</x:v>
      </x:c>
      <x:c r="D11" s="56" t="str">
        <x:v>Updated 2026-07-14</x:v>
      </x:c>
    </x:row>
    <x:row r="12">
      <x:c r="A12" s="17" t="str">
        <x:v>Algorithmic progress in language models</x:v>
      </x:c>
      <x:c r="B12" s="56" t="str">
        <x:v>https://arxiv.org/abs/2403.05812</x:v>
      </x:c>
      <x:c r="C12" s="56" t="str">
        <x:v>Historical sensitivity prior; not imposed on the regression</x:v>
      </x:c>
      <x:c r="D12" s="56" t="str">
        <x:v>Perplexity-based historical result, not modern reasoning benchmarks</x:v>
      </x:c>
    </x:row>
    <x:row r="13">
      <x:c r="A13" s="17" t="str">
        <x:v>Observational Scaling Laws</x:v>
      </x:c>
      <x:c r="B13" s="56" t="str">
        <x:v>https://openreview.net/forum?id=On5WIN7xyD</x:v>
      </x:c>
      <x:c r="C13" s="56" t="str">
        <x:v>Supports low-dimensional capability scaling with family efficiency differences</x:v>
      </x:c>
      <x:c r="D13" s="56" t="str">
        <x:v>Used as conceptual support only</x:v>
      </x:c>
    </x:row>
    <x:row r="14">
      <x:c r="A14" s="17" t="str">
        <x:v>OpenAI GPT-5.5 release</x:v>
      </x:c>
      <x:c r="B14" s="56" t="str">
        <x:v>https://openai.com/index/introducing-gpt-5-5/</x:v>
      </x:c>
      <x:c r="C14" s="56" t="str">
        <x:v>Same underlying model for GPT-5.5 and Pro; Pro adds parallel test-time compute</x:v>
      </x:c>
      <x:c r="D14" s="56" t="str">
        <x:v>Shows why performance cannot identify weights without inference budget</x:v>
      </x:c>
    </x:row>
    <x:row r="15">
      <x:c r="A15" s="17" t="str">
        <x:v>Anthropic Fable 5 / Mythos 5</x:v>
      </x:c>
      <x:c r="B15" s="56" t="str">
        <x:v>https://www.anthropic.com/news/claude-fable-5-mythos-5</x:v>
      </x:c>
      <x:c r="C15" s="56" t="str">
        <x:v>Confirms Fable fallback/cascade behavior</x:v>
      </x:c>
      <x:c r="D15" s="56" t="str">
        <x:v>Fable excluded from literal single-model reading</x:v>
      </x:c>
    </x:row>
    <x:row r="16">
      <x:c r="A16" s="17" t="str">
        <x:v>Grok 4.5 founder claim</x:v>
      </x:c>
      <x:c r="B16" s="56" t="str">
        <x:v>https://x.com/elonmusk/status/2071184354756477041</x:v>
      </x:c>
      <x:c r="C16" s="56" t="str">
        <x:v>External validation point: 1.5T V9 foundation model</x:v>
      </x:c>
      <x:c r="D16" s="56" t="str">
        <x:v>Founder-attributed; total only, active unknown</x:v>
      </x:c>
    </x:row>
    <x:row r="17">
      <x:c r="A17" s="17" t="str">
        <x:v>DeepSeek V4 Pro model card</x:v>
      </x:c>
      <x:c r="B17" s="56" t="str">
        <x:v>https://huggingface.co/deepseek-ai/DeepSeek-V4-Pro</x:v>
      </x:c>
      <x:c r="C17" s="56" t="str">
        <x:v>1.6T total / 49B active parameter anchor</x:v>
      </x:c>
      <x:c r="D17" s="56" t="str">
        <x:v>Primary model card</x:v>
      </x:c>
    </x:row>
    <x:row r="18">
      <x:c r="A18" s="17" t="str">
        <x:v>GLM-5 model card</x:v>
      </x:c>
      <x:c r="B18" s="56" t="str">
        <x:v>https://huggingface.co/zai-org/GLM-5</x:v>
      </x:c>
      <x:c r="C18" s="56" t="str">
        <x:v>744B total / 40B active parameter anchor</x:v>
      </x:c>
      <x:c r="D18" s="56" t="str">
        <x:v>Primary model card</x:v>
      </x:c>
    </x:row>
    <x:row r="19">
      <x:c r="A19" s="17" t="str">
        <x:v>Kimi K2.6 model card</x:v>
      </x:c>
      <x:c r="B19" s="56" t="str">
        <x:v>https://huggingface.co/moonshotai/Kimi-K2.6</x:v>
      </x:c>
      <x:c r="C19" s="56" t="str">
        <x:v>1T-class total / 32B active parameter anchor</x:v>
      </x:c>
      <x:c r="D19" s="56" t="str">
        <x:v>Primary model card</x:v>
      </x:c>
    </x:row>
    <x:row r="20">
      <x:c r="A20" s="17" t="str">
        <x:v>OpenAI gpt-oss announcement</x:v>
      </x:c>
      <x:c r="B20" s="56" t="str">
        <x:v>https://openai.com/index/introducing-gpt-oss/</x:v>
      </x:c>
      <x:c r="C20" s="56" t="str">
        <x:v>Exact total and active parameter counts</x:v>
      </x:c>
      <x:c r="D20" s="56" t="str">
        <x:v>Primary source</x:v>
      </x:c>
    </x:row>
    <x:row r="21">
      <x:c r="A21" s="17" t="str">
        <x:v>Qwen3.5 model card</x:v>
      </x:c>
      <x:c r="B21" s="56" t="str">
        <x:v>https://huggingface.co/Qwen/Qwen3.5-397B-A17B</x:v>
      </x:c>
      <x:c r="C21" s="56" t="str">
        <x:v>397B total / 17B active parameter anchor</x:v>
      </x:c>
      <x:c r="D21" s="56" t="str">
        <x:v>Primary model card</x:v>
      </x:c>
    </x:row>
    <x:row r="22">
      <x:c r="A22" s="18" t="str">
        <x:v>MiniMax M2 model card</x:v>
      </x:c>
      <x:c r="B22" s="58" t="str">
        <x:v>https://huggingface.co/MiniMaxAI/MiniMax-M2</x:v>
      </x:c>
      <x:c r="C22" s="58" t="str">
        <x:v>230B total / 10B active parameter anchor</x:v>
      </x:c>
      <x:c r="D22" s="58" t="str">
        <x:v>Primary model card</x:v>
      </x:c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b30ef118d56947ac"/>
  </x:tableParts>
</x:worksheet>
</file>