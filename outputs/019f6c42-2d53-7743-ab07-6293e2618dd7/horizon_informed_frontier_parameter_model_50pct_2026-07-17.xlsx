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worksheets/sheet5.xml" ContentType="application/vnd.openxmlformats-officedocument.spreadsheetml.worksheet+xml"/>
  <Override PartName="/xl/comments3.xml" ContentType="application/vnd.openxmlformats-officedocument.spreadsheetml.comments+xml"/>
  <Override PartName="/xl/threadedcomments/threadedcomment3.xml" ContentType="application/vnd.ms-excel.threadedcomments+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worksheets/sheet8.xml" ContentType="application/vnd.openxmlformats-officedocument.spreadsheetml.worksheet+xml"/>
  <Override PartName="/xl/comments4.xml" ContentType="application/vnd.openxmlformats-officedocument.spreadsheetml.comments+xml"/>
  <Override PartName="/xl/threadedcomments/threadedcomment4.xml" ContentType="application/vnd.ms-excel.threadedcomments+xml"/>
  <Override PartName="/xl/worksheets/sheet9.xml" ContentType="application/vnd.openxmlformats-officedocument.spreadsheetml.worksheet+xml"/>
  <Override PartName="/xl/comments5.xml" ContentType="application/vnd.openxmlformats-officedocument.spreadsheetml.comments+xml"/>
  <Override PartName="/xl/threadedcomments/threadedcomment5.xml" ContentType="application/vnd.ms-excel.threadedcomments+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9.xml" ContentType="application/vnd.openxmlformats-officedocument.spreadsheetml.table+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d3ef8b641ba74d87" /></Relationships>
</file>

<file path=xl/workbook.xml><?xml version="1.0" encoding="utf-8"?>
<x:workbook xmlns:x="http://schemas.openxmlformats.org/spreadsheetml/2006/main">
  <x:sheets>
    <x:sheet xmlns:r="http://schemas.openxmlformats.org/officeDocument/2006/relationships" name="Executive Summary" sheetId="1" r:id="Rc9936ae775474e5c"/>
    <x:sheet xmlns:r="http://schemas.openxmlformats.org/officeDocument/2006/relationships" name="Frontier Estimates" sheetId="2" r:id="R75fbe54b4765447e"/>
    <x:sheet xmlns:r="http://schemas.openxmlformats.org/officeDocument/2006/relationships" name="API Prices" sheetId="3" r:id="R84cfaff8c9574aa3"/>
    <x:sheet xmlns:r="http://schemas.openxmlformats.org/officeDocument/2006/relationships" name="Price Model" sheetId="4" r:id="R41850018f2cf46ad"/>
    <x:sheet xmlns:r="http://schemas.openxmlformats.org/officeDocument/2006/relationships" name="Anchors &amp; Method" sheetId="5" r:id="R5a56ae74e79c48c1"/>
    <x:sheet xmlns:r="http://schemas.openxmlformats.org/officeDocument/2006/relationships" name="Sources" sheetId="6" r:id="Re6d71bd7cd2f4080"/>
    <x:sheet xmlns:r="http://schemas.openxmlformats.org/officeDocument/2006/relationships" name="No-CoT Evidence" sheetId="7" r:id="R55e5f887b9d94dde"/>
    <x:sheet xmlns:r="http://schemas.openxmlformats.org/officeDocument/2006/relationships" name="Horizon Laws" sheetId="8" r:id="Re701a295bc7249d0"/>
    <x:sheet xmlns:r="http://schemas.openxmlformats.org/officeDocument/2006/relationships" name="Horizon Estimates" sheetId="9" r:id="R462e1cef2684421e"/>
    <x:sheet xmlns:r="http://schemas.openxmlformats.org/officeDocument/2006/relationships" name="Model Registry" sheetId="10" r:id="R6aacb74d37634244"/>
    <x:sheet xmlns:r="http://schemas.openxmlformats.org/officeDocument/2006/relationships" name="Alias Map" sheetId="11" r:id="Rd2027ed8d82747b9"/>
    <x:sheet xmlns:r="http://schemas.openxmlformats.org/officeDocument/2006/relationships" name="Data Audit" sheetId="12" r:id="R4d41a3e4c7814d1c"/>
    <x:sheet xmlns:r="http://schemas.openxmlformats.org/officeDocument/2006/relationships" name="Base Registry" sheetId="13" r:id="Rba2c5d2276f54144"/>
    <x:sheet xmlns:r="http://schemas.openxmlformats.org/officeDocument/2006/relationships" name="Source Manifest" sheetId="14" r:id="Rdceb4f4d1e9847d5"/>
    <x:sheet xmlns:r="http://schemas.openxmlformats.org/officeDocument/2006/relationships" name="LaTeX Tables Raw" sheetId="15" r:id="R3ccf153a0a394607"/>
    <x:sheet xmlns:r="http://schemas.openxmlformats.org/officeDocument/2006/relationships" name="ECI Formula Archive" sheetId="16" r:id="R641b7e1ec8af4390"/>
    <x:sheet xmlns:r="http://schemas.openxmlformats.org/officeDocument/2006/relationships" name="ECI Dashboard Raw" sheetId="17" r:id="Rfe7a2de0e1c6431a"/>
    <x:sheet xmlns:r="http://schemas.openxmlformats.org/officeDocument/2006/relationships" name="ECI Frontier Raw" sheetId="18" r:id="R4e1b48ab93f84f83"/>
    <x:sheet xmlns:r="http://schemas.openxmlformats.org/officeDocument/2006/relationships" name="ECI Open12 Raw" sheetId="19" r:id="R17877c7046884d37"/>
    <x:sheet xmlns:r="http://schemas.openxmlformats.org/officeDocument/2006/relationships" name="ECI Regression Raw" sheetId="20" r:id="Rbb126d89fd3b41a9"/>
    <x:sheet xmlns:r="http://schemas.openxmlformats.org/officeDocument/2006/relationships" name="ECI Model Raw" sheetId="21" r:id="Rcbb2334dc61243d2"/>
    <x:sheet xmlns:r="http://schemas.openxmlformats.org/officeDocument/2006/relationships" name="ECI Graph Raw" sheetId="22" r:id="R322393cd789c43a1"/>
    <x:sheet xmlns:r="http://schemas.openxmlformats.org/officeDocument/2006/relationships" name="ECI Benchmarks Raw" sheetId="23" r:id="R32a75892d1da4c3a"/>
  </x:sheets>
</x:workbook>
</file>

<file path=xl/comments1.xml><?xml version="1.0" encoding="utf-8"?>
<x:comments xmlns:x="http://schemas.openxmlformats.org/spreadsheetml/2006/main">
  <x:authors>
    <x:author>tc={0C34250B-76A7-A868-5778-64F26CD57ACF}</x:author>
  </x:authors>
  <x:commentList>
    <x:comment ref="M10" authorId="0">
      <x:text>
        <x:r>
          <x:t>[Threaded comment]
Your version of Excel allows you to read this threaded comment; however, any edits to it will get removed if the file is opened in a newer version of Excel. Learn more: https://go.microsoft.com/fwlink/?linkid=870924
Comment:
    Opus 4.7 and 4.8 are treated as one base. Their separate benchmark-derived priors are collapsed geometrically before pricing is applied.</x:t>
        </x:r>
      </x:text>
    </x:comment>
  </x:commentList>
</x:comments>
</file>

<file path=xl/comments2.xml><?xml version="1.0" encoding="utf-8"?>
<x:comments xmlns:x="http://schemas.openxmlformats.org/spreadsheetml/2006/main">
  <x:authors>
    <x:author>tc={6C9D14B4-C441-A6F4-1596-C50020E50E32}</x:author>
  </x:authors>
  <x:commentList>
    <x:comment ref="B12" authorId="0">
      <x:text>
        <x:r>
          <x:t>[Threaded comment]
Your version of Excel allows you to read this threaded comment; however, any edits to it will get removed if the file is opened in a newer version of Excel. Learn more: https://go.microsoft.com/fwlink/?linkid=870924
Comment:
    Price is capped at 15% log weight because API prices reflect product strategy, latency, tokenizer choice, and inference service design—not only physical parameter count.</x:t>
        </x:r>
      </x:text>
    </x:comment>
  </x:commentList>
</x:comments>
</file>

<file path=xl/comments3.xml><?xml version="1.0" encoding="utf-8"?>
<x:comments xmlns:x="http://schemas.openxmlformats.org/spreadsheetml/2006/main">
  <x:authors>
    <x:author>tc={6861E5A5-CA6B-2E60-C1E9-A293013F92E6}</x:author>
  </x:authors>
  <x:commentList>
    <x:comment ref="B9" authorId="0">
      <x:text>
        <x:r>
          <x:t>[Threaded comment]
Your version of Excel allows you to read this threaded comment; however, any edits to it will get removed if the file is opened in a newer version of Excel. Learn more: https://go.microsoft.com/fwlink/?linkid=870924
Comment:
    The 1.5T figure is a public first-party executive disclosure of the V9 foundation scale. It is less formal than a technical report and should not be used as an active-parameter count.</x:t>
        </x:r>
      </x:text>
    </x:comment>
  </x:commentList>
</x:comments>
</file>

<file path=xl/comments4.xml><?xml version="1.0" encoding="utf-8"?>
<x:comments xmlns:x="http://schemas.openxmlformats.org/spreadsheetml/2006/main">
  <x:authors>
    <x:author>tc={2800012E-21D8-74D9-6ABF-FF1276E3DE1C}</x:author>
  </x:authors>
  <x:commentList>
    <x:comment ref="B52" authorId="0">
      <x:text>
        <x:r>
          <x:t>[Threaded comment]
Your version of Excel allows you to read this threaded comment; however, any edits to it will get removed if the file is opened in a newer version of Excel. Learn more: https://go.microsoft.com/fwlink/?linkid=870924
Comment:
    Same-base Opus evidence shows why METR should not be inverted directly into parameters: 4.5→4.6 is ~1.04× on no-CoT but ~2.45× with CoT.</x:t>
        </x:r>
      </x:text>
    </x:comment>
  </x:commentList>
</x:comments>
</file>

<file path=xl/comments5.xml><?xml version="1.0" encoding="utf-8"?>
<x:comments xmlns:x="http://schemas.openxmlformats.org/spreadsheetml/2006/main">
  <x:authors>
    <x:author>tc={FA840615-77AC-4AE8-A104-4F2799832F77}</x:author>
  </x:authors>
  <x:commentList>
    <x:comment ref="G6" authorId="0">
      <x:text>
        <x:r>
          <x:t>[Threaded comment]
Your version of Excel allows you to read this threaded comment; however, any edits to it will get removed if the file is opened in a newer version of Excel. Learn more: https://go.microsoft.com/fwlink/?linkid=870924
Comment:
    Fable's horizon branch is 50% of the posterior. Its large movement comes from two time-based priors agreeing on a materially newer pretrain than K3/Opus 4.5.</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4">
    <x:numFmt numFmtId="200" formatCode="0.000"/>
    <x:numFmt numFmtId="201" formatCode="0.000000"/>
    <x:numFmt numFmtId="202" formatCode="0.0000"/>
    <x:numFmt numFmtId="203" formatCode="0.000x"/>
    <x:numFmt numFmtId="204" formatCode="0%"/>
    <x:numFmt numFmtId="205" formatCode="yyyy-mm-dd"/>
    <x:numFmt numFmtId="206" formatCode="0.0x"/>
    <x:numFmt numFmtId="207" formatCode="0"/>
    <x:numFmt numFmtId="208" formatCode="yyyy-mm-dd hh:mm"/>
    <x:numFmt numFmtId="209" formatCode="mmm yyyy"/>
    <x:numFmt numFmtId="210" formatCode="0.00"/>
    <x:numFmt numFmtId="211" formatCode="0.0E+00"/>
    <x:numFmt numFmtId="212" formatCode="0.00x"/>
    <x:numFmt numFmtId="213" formatCode="0.0"/>
  </x:numFmts>
  <x:fonts count="10">
    <x:font>
      <x:sz val="11"/>
      <x:name val="Carlito"/>
    </x:font>
    <x:font>
      <x:b/>
      <x:sz val="18"/>
      <x:color rgb="FFFFFFFF"/>
      <x:name val="Aptos Display"/>
    </x:font>
    <x:font>
      <x:sz val="10"/>
      <x:color rgb="FF3A4848"/>
      <x:name val="Aptos"/>
    </x:font>
    <x:font>
      <x:b/>
      <x:sz val="9"/>
      <x:color rgb="FFFFFFFF"/>
      <x:name val="Aptos"/>
    </x:font>
    <x:font>
      <x:sz val="9"/>
      <x:color rgb="FF3A4848"/>
      <x:name val="Aptos"/>
    </x:font>
    <x:font>
      <x:b/>
      <x:sz val="10"/>
      <x:color rgb="FF243838"/>
      <x:name val="Aptos"/>
    </x:font>
    <x:font>
      <x:b/>
      <x:sz val="9"/>
      <x:color rgb="FF3A4848"/>
      <x:name val="Aptos"/>
    </x:font>
    <x:font>
      <x:b/>
      <x:sz val="11"/>
      <x:color rgb="FF087879"/>
      <x:name val="Aptos"/>
    </x:font>
    <x:font>
      <x:i/>
      <x:sz val="9"/>
      <x:color rgb="FF3A4848"/>
      <x:name val="Aptos"/>
    </x:font>
    <x:font>
      <x:b/>
      <x:sz val="11"/>
      <x:color rgb="FF243838"/>
      <x:name val="Aptos"/>
    </x:font>
  </x:fonts>
  <x:fills count="14">
    <x:fill>
      <x:patternFill patternType="none"/>
    </x:fill>
    <x:fill>
      <x:patternFill patternType="gray125"/>
    </x:fill>
    <x:fill>
      <x:patternFill patternType="solid">
        <x:fgColor rgb="FF243838"/>
      </x:patternFill>
    </x:fill>
    <x:fill>
      <x:patternFill patternType="solid">
        <x:fgColor rgb="FF087879"/>
      </x:patternFill>
    </x:fill>
    <x:fill>
      <x:patternFill patternType="solid">
        <x:fgColor rgb="FFE8F4F4"/>
      </x:patternFill>
    </x:fill>
    <x:fill>
      <x:patternFill patternType="solid">
        <x:fgColor rgb="FFF3F6F6"/>
      </x:patternFill>
    </x:fill>
    <x:fill>
      <x:patternFill patternType="solid">
        <x:fgColor rgb="FFFFF4FA"/>
      </x:patternFill>
    </x:fill>
    <x:fill>
      <x:patternFill patternType="solid">
        <x:fgColor rgb="FF243838"/>
      </x:patternFill>
    </x:fill>
    <x:fill>
      <x:patternFill patternType="solid">
        <x:fgColor rgb="FF087879"/>
      </x:patternFill>
    </x:fill>
    <x:fill>
      <x:patternFill patternType="solid">
        <x:fgColor rgb="FFE8F4F4"/>
      </x:patternFill>
    </x:fill>
    <x:fill>
      <x:patternFill patternType="solid">
        <x:fgColor rgb="FFF3F6F6"/>
      </x:patternFill>
    </x:fill>
    <x:fill>
      <x:patternFill patternType="solid">
        <x:fgColor rgb="FFFFF4DF"/>
      </x:patternFill>
    </x:fill>
    <x:fill>
      <x:patternFill patternType="solid">
        <x:fgColor rgb="FFFFF4FA"/>
      </x:patternFill>
    </x:fill>
    <x:fill>
      <x:patternFill patternType="solid">
        <x:fgColor rgb="FFFFFFFF"/>
      </x:patternFill>
    </x:fill>
  </x:fills>
  <x:borders count="10">
    <x:border/>
    <x:border>
      <x:bottom style="medium">
        <x:color rgb="FF00A5A6"/>
      </x:bottom>
    </x:border>
    <x:border>
      <x:bottom style="thin">
        <x:color rgb="FFD2DCDC"/>
      </x:bottom>
    </x:border>
    <x:border>
      <x:top style="thin">
        <x:color rgb="FFD2DCDC"/>
      </x:top>
      <x:bottom style="thin">
        <x:color rgb="FFD2DCDC"/>
      </x:bottom>
    </x:border>
    <x:border>
      <x:top style="thin">
        <x:color rgb="FFD2DCDC"/>
      </x:top>
    </x:border>
    <x:border>
      <x:left style="medium">
        <x:color rgb="FF00A5A6"/>
      </x:left>
    </x:border>
    <x:border>
      <x:left style="medium">
        <x:color rgb="FFE03D90"/>
      </x:left>
    </x:border>
    <x:border>
      <x:left style="medium">
        <x:color rgb="FFD9991A"/>
      </x:left>
    </x:border>
    <x:border>
      <x:left style="medium">
        <x:color rgb="FF7457D9"/>
      </x:left>
    </x:border>
    <x:border>
      <x:top style="thin">
        <x:color rgb="FFD2DCDC"/>
      </x:top>
      <x:bottom style="medium">
        <x:color rgb="FF00A5A6"/>
      </x:bottom>
    </x:border>
  </x:borders>
  <x:cellStyleXfs count="1">
    <x:xf numFmtId="0" fontId="0" fillId="0" borderId="0"/>
  </x:cellStyleXfs>
  <x:cellXfs count="15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center" wrapText="1"/>
    </x:xf>
    <x:xf numFmtId="0" fontId="0" fillId="3" borderId="0"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2" xfId="0" applyNumberFormat="1" applyFont="1" applyFill="1" applyBorder="1" applyAlignment="1">
      <x:alignment vertical="center"/>
    </x:xf>
    <x:xf numFmtId="0" fontId="4" fillId="0" borderId="3" xfId="0" applyNumberFormat="1" applyFont="1" applyFill="1" applyBorder="1" applyAlignment="1">
      <x:alignment vertical="center"/>
    </x:xf>
    <x:xf numFmtId="0" fontId="4" fillId="0" borderId="4" xfId="0" applyNumberFormat="1" applyFont="1" applyFill="1" applyBorder="1" applyAlignment="1">
      <x:alignment vertical="center"/>
    </x:xf>
    <x:xf numFmtId="200" fontId="4" fillId="0" borderId="2" xfId="0" applyNumberFormat="1" applyFont="1" applyFill="1" applyBorder="1" applyAlignment="1">
      <x:alignment vertical="center"/>
    </x:xf>
    <x:xf numFmtId="200" fontId="4" fillId="0" borderId="3" xfId="0" applyNumberFormat="1" applyFont="1" applyFill="1" applyBorder="1" applyAlignment="1">
      <x:alignment vertical="center"/>
    </x:xf>
    <x:xf numFmtId="200" fontId="4" fillId="0" borderId="4" xfId="0" applyNumberFormat="1" applyFont="1" applyFill="1" applyBorder="1" applyAlignment="1">
      <x:alignment vertical="center"/>
    </x:xf>
    <x:xf numFmtId="0" fontId="4" fillId="0" borderId="2" xfId="0" applyNumberFormat="1" applyFont="1" applyFill="1" applyBorder="1" applyAlignment="1">
      <x:alignment vertical="center" wrapText="1"/>
    </x:xf>
    <x:xf numFmtId="0" fontId="4" fillId="0" borderId="3" xfId="0" applyNumberFormat="1" applyFont="1" applyFill="1" applyBorder="1" applyAlignment="1">
      <x:alignment vertical="center" wrapText="1"/>
    </x:xf>
    <x:xf numFmtId="0" fontId="4" fillId="0" borderId="4" xfId="0" applyNumberFormat="1" applyFont="1" applyFill="1" applyBorder="1" applyAlignment="1">
      <x:alignment vertical="center" wrapText="1"/>
    </x:xf>
    <x:xf numFmtId="201" fontId="4" fillId="0" borderId="2" xfId="0" applyNumberFormat="1" applyFont="1" applyFill="1" applyBorder="1" applyAlignment="1">
      <x:alignment vertical="center"/>
    </x:xf>
    <x:xf numFmtId="201" fontId="4" fillId="0" borderId="3" xfId="0" applyNumberFormat="1" applyFont="1" applyFill="1" applyBorder="1" applyAlignment="1">
      <x:alignment vertical="center"/>
    </x:xf>
    <x:xf numFmtId="202" fontId="4" fillId="0" borderId="3" xfId="0" applyNumberFormat="1" applyFont="1" applyFill="1" applyBorder="1" applyAlignment="1">
      <x:alignment vertical="center"/>
    </x:xf>
    <x:xf numFmtId="203" fontId="4" fillId="0" borderId="3" xfId="0" applyNumberFormat="1" applyFont="1" applyFill="1" applyBorder="1" applyAlignment="1">
      <x:alignment vertical="center"/>
    </x:xf>
    <x:xf numFmtId="204" fontId="4" fillId="0" borderId="4" xfId="0" applyNumberFormat="1" applyFont="1" applyFill="1" applyBorder="1" applyAlignment="1">
      <x:alignment vertical="center"/>
    </x:xf>
    <x:xf numFmtId="205" fontId="4" fillId="0" borderId="2" xfId="0" applyNumberFormat="1" applyFont="1" applyFill="1" applyBorder="1" applyAlignment="1">
      <x:alignment vertical="center"/>
    </x:xf>
    <x:xf numFmtId="205" fontId="4" fillId="0" borderId="3" xfId="0" applyNumberFormat="1" applyFont="1" applyFill="1" applyBorder="1" applyAlignment="1">
      <x:alignment vertical="center"/>
    </x:xf>
    <x:xf numFmtId="205" fontId="4" fillId="0" borderId="4" xfId="0" applyNumberFormat="1" applyFont="1" applyFill="1" applyBorder="1" applyAlignment="1">
      <x:alignment vertical="center"/>
    </x:xf>
    <x:xf numFmtId="204" fontId="4" fillId="0" borderId="2" xfId="0" applyNumberFormat="1" applyFont="1" applyFill="1" applyBorder="1" applyAlignment="1">
      <x:alignment vertical="center"/>
    </x:xf>
    <x:xf numFmtId="204" fontId="4" fillId="0" borderId="3" xfId="0" applyNumberFormat="1" applyFont="1" applyFill="1" applyBorder="1" applyAlignment="1">
      <x:alignment vertical="center"/>
    </x:xf>
    <x:xf numFmtId="200" fontId="5" fillId="0" borderId="2" xfId="0" applyNumberFormat="1" applyFont="1" applyFill="1" applyBorder="1" applyAlignment="1">
      <x:alignment vertical="center"/>
    </x:xf>
    <x:xf numFmtId="200" fontId="5" fillId="0" borderId="3" xfId="0" applyNumberFormat="1" applyFont="1" applyFill="1" applyBorder="1" applyAlignment="1">
      <x:alignment vertical="center"/>
    </x:xf>
    <x:xf numFmtId="200" fontId="5" fillId="0" borderId="4" xfId="0" applyNumberFormat="1" applyFont="1" applyFill="1" applyBorder="1" applyAlignment="1">
      <x:alignment vertical="center"/>
    </x:xf>
    <x:xf numFmtId="0" fontId="6" fillId="0" borderId="2" xfId="0" applyNumberFormat="1" applyFont="1" applyFill="1" applyBorder="1" applyAlignment="1">
      <x:alignment vertical="center"/>
    </x:xf>
    <x:xf numFmtId="0" fontId="6" fillId="0" borderId="3" xfId="0" applyNumberFormat="1" applyFont="1" applyFill="1" applyBorder="1" applyAlignment="1">
      <x:alignment vertical="center"/>
    </x:xf>
    <x:xf numFmtId="0" fontId="6" fillId="0" borderId="4" xfId="0" applyNumberFormat="1" applyFont="1" applyFill="1" applyBorder="1" applyAlignment="1">
      <x:alignment vertical="center"/>
    </x:xf>
    <x:xf numFmtId="206" fontId="4" fillId="0" borderId="3" xfId="0" applyNumberFormat="1" applyFont="1" applyFill="1" applyBorder="1" applyAlignment="1">
      <x:alignment vertical="center"/>
    </x:xf>
    <x:xf numFmtId="0" fontId="0" fillId="4" borderId="0" xfId="0" applyNumberFormat="1" applyFont="1" applyFill="1" applyBorder="1"/>
    <x:xf numFmtId="0" fontId="7" fillId="4" borderId="0" xfId="0" applyNumberFormat="1" applyFont="1" applyFill="1" applyBorder="1"/>
    <x:xf numFmtId="0" fontId="7" fillId="4"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202" fontId="4" fillId="0" borderId="2" xfId="0" applyNumberFormat="1" applyFont="1" applyFill="1" applyBorder="1" applyAlignment="1">
      <x:alignment vertical="center"/>
    </x:xf>
    <x:xf numFmtId="203" fontId="4" fillId="0" borderId="4" xfId="0" applyNumberFormat="1" applyFont="1" applyFill="1" applyBorder="1" applyAlignment="1">
      <x:alignment vertical="center"/>
    </x:xf>
    <x:xf numFmtId="0" fontId="5" fillId="4" borderId="0" xfId="0" applyNumberFormat="1" applyFont="1" applyFill="1" applyBorder="1"/>
    <x:xf numFmtId="0" fontId="5" fillId="4" borderId="5" xfId="0" applyNumberFormat="1" applyFont="1" applyFill="1" applyBorder="1"/>
    <x:xf numFmtId="0" fontId="5" fillId="4" borderId="5" xfId="0" applyNumberFormat="1" applyFont="1" applyFill="1" applyBorder="1" applyAlignment="1">
      <x:alignment wrapText="1"/>
    </x:xf>
    <x:xf numFmtId="0" fontId="5" fillId="4" borderId="0" xfId="0" applyNumberFormat="1" applyFont="1" applyFill="1" applyBorder="1" applyAlignment="1">
      <x:alignment wrapText="1"/>
    </x:xf>
    <x:xf numFmtId="0" fontId="5" fillId="4" borderId="5"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0" fontId="0" fillId="6" borderId="0" xfId="0" applyNumberFormat="1" applyFont="1" applyFill="1" applyBorder="1"/>
    <x:xf numFmtId="0" fontId="8" fillId="6" borderId="0" xfId="0" applyNumberFormat="1" applyFont="1" applyFill="1" applyBorder="1"/>
    <x:xf numFmtId="0" fontId="8" fillId="6" borderId="6" xfId="0" applyNumberFormat="1" applyFont="1" applyFill="1" applyBorder="1"/>
    <x:xf numFmtId="0" fontId="8" fillId="6" borderId="6" xfId="0" applyNumberFormat="1" applyFont="1" applyFill="1" applyBorder="1" applyAlignment="1">
      <x:alignment wrapText="1"/>
    </x:xf>
    <x:xf numFmtId="0" fontId="8" fillId="6" borderId="0" xfId="0" applyNumberFormat="1" applyFont="1" applyFill="1" applyBorder="1" applyAlignment="1">
      <x:alignment wrapText="1"/>
    </x:xf>
    <x:xf numFmtId="0" fontId="8" fillId="6" borderId="6" xfId="0" applyNumberFormat="1" applyFont="1" applyFill="1" applyBorder="1" applyAlignment="1">
      <x:alignment vertical="center" wrapText="1"/>
    </x:xf>
    <x:xf numFmtId="0" fontId="8" fillId="6" borderId="0" xfId="0" applyNumberFormat="1" applyFont="1" applyFill="1" applyBorder="1" applyAlignment="1">
      <x:alignment vertical="center"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vertical="center"/>
    </x:xf>
    <x:xf numFmtId="0" fontId="0" fillId="8" borderId="0" xfId="0" applyNumberFormat="1" applyFont="1" applyFill="1" applyBorder="1"/>
    <x:xf numFmtId="0" fontId="3" fillId="8" borderId="0"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wrapText="1"/>
    </x:xf>
    <x:xf numFmtId="0" fontId="3" fillId="8" borderId="1" xfId="0" applyNumberFormat="1" applyFont="1" applyFill="1" applyBorder="1" applyAlignment="1">
      <x:alignment vertical="center" wrapText="1"/>
    </x:xf>
    <x:xf numFmtId="207" fontId="4" fillId="0" borderId="2" xfId="0" applyNumberFormat="1" applyFont="1" applyFill="1" applyBorder="1" applyAlignment="1">
      <x:alignment vertical="center"/>
    </x:xf>
    <x:xf numFmtId="207" fontId="4" fillId="0" borderId="3" xfId="0" applyNumberFormat="1" applyFont="1" applyFill="1" applyBorder="1" applyAlignment="1">
      <x:alignment vertical="center"/>
    </x:xf>
    <x:xf numFmtId="207" fontId="4" fillId="0" borderId="4" xfId="0" applyNumberFormat="1" applyFont="1" applyFill="1" applyBorder="1" applyAlignment="1">
      <x:alignment vertical="center"/>
    </x:xf>
    <x:xf numFmtId="0" fontId="0" fillId="9" borderId="0" xfId="0" applyNumberFormat="1" applyFont="1" applyFill="1" applyBorder="1"/>
    <x:xf numFmtId="0" fontId="7" fillId="9" borderId="0" xfId="0" applyNumberFormat="1" applyFont="1" applyFill="1" applyBorder="1"/>
    <x:xf numFmtId="0" fontId="7" fillId="9" borderId="1" xfId="0" applyNumberFormat="1" applyFont="1" applyFill="1" applyBorder="1"/>
    <x:xf numFmtId="208" fontId="4" fillId="0" borderId="2" xfId="0" applyNumberFormat="1" applyFont="1" applyFill="1" applyBorder="1" applyAlignment="1">
      <x:alignment vertical="center"/>
    </x:xf>
    <x:xf numFmtId="208" fontId="4" fillId="0" borderId="3" xfId="0" applyNumberFormat="1" applyFont="1" applyFill="1" applyBorder="1" applyAlignment="1">
      <x:alignment vertical="center"/>
    </x:xf>
    <x:xf numFmtId="208" fontId="4" fillId="0" borderId="4" xfId="0" applyNumberFormat="1" applyFont="1" applyFill="1" applyBorder="1" applyAlignment="1">
      <x:alignment vertical="center"/>
    </x:xf>
    <x:xf numFmtId="209" fontId="4" fillId="0" borderId="2" xfId="0" applyNumberFormat="1" applyFont="1" applyFill="1" applyBorder="1" applyAlignment="1">
      <x:alignment vertical="center"/>
    </x:xf>
    <x:xf numFmtId="209" fontId="4" fillId="0" borderId="3" xfId="0" applyNumberFormat="1" applyFont="1" applyFill="1" applyBorder="1" applyAlignment="1">
      <x:alignment vertical="center"/>
    </x:xf>
    <x:xf numFmtId="209" fontId="4" fillId="0" borderId="4" xfId="0" applyNumberFormat="1" applyFont="1" applyFill="1" applyBorder="1" applyAlignment="1">
      <x:alignment vertical="center"/>
    </x:xf>
    <x:xf numFmtId="0" fontId="0" fillId="10" borderId="0" xfId="0" applyNumberFormat="1" applyFont="1" applyFill="1" applyBorder="1"/>
    <x:xf numFmtId="0" fontId="8" fillId="10" borderId="0" xfId="0" applyNumberFormat="1" applyFont="1" applyFill="1" applyBorder="1"/>
    <x:xf numFmtId="0" fontId="8" fillId="10" borderId="0" xfId="0" applyNumberFormat="1" applyFont="1" applyFill="1" applyBorder="1" applyAlignment="1">
      <x:alignment wrapText="1"/>
    </x:xf>
    <x:xf numFmtId="0" fontId="8" fillId="10" borderId="0" xfId="0" applyNumberFormat="1" applyFont="1" applyFill="1" applyBorder="1" applyAlignment="1">
      <x:alignment vertical="center" wrapText="1"/>
    </x:xf>
    <x:xf numFmtId="206" fontId="4" fillId="0" borderId="2" xfId="0" applyNumberFormat="1" applyFont="1" applyFill="1" applyBorder="1" applyAlignment="1">
      <x:alignment vertical="center"/>
    </x:xf>
    <x:xf numFmtId="206" fontId="4" fillId="0" borderId="4" xfId="0" applyNumberFormat="1" applyFont="1" applyFill="1" applyBorder="1" applyAlignment="1">
      <x:alignment vertical="center"/>
    </x:xf>
    <x:xf numFmtId="210" fontId="4" fillId="0" borderId="2" xfId="0" applyNumberFormat="1" applyFont="1" applyFill="1" applyBorder="1" applyAlignment="1">
      <x:alignment vertical="center"/>
    </x:xf>
    <x:xf numFmtId="210" fontId="4" fillId="0" borderId="3" xfId="0" applyNumberFormat="1" applyFont="1" applyFill="1" applyBorder="1" applyAlignment="1">
      <x:alignment vertical="center"/>
    </x:xf>
    <x:xf numFmtId="210" fontId="4" fillId="0" borderId="4" xfId="0" applyNumberFormat="1" applyFont="1" applyFill="1" applyBorder="1" applyAlignment="1">
      <x:alignment vertical="center"/>
    </x:xf>
    <x:xf numFmtId="211" fontId="4" fillId="0" borderId="2" xfId="0" applyNumberFormat="1" applyFont="1" applyFill="1" applyBorder="1" applyAlignment="1">
      <x:alignment vertical="center"/>
    </x:xf>
    <x:xf numFmtId="211" fontId="4" fillId="0" borderId="3" xfId="0" applyNumberFormat="1" applyFont="1" applyFill="1" applyBorder="1" applyAlignment="1">
      <x:alignment vertical="center"/>
    </x:xf>
    <x:xf numFmtId="211" fontId="4" fillId="0" borderId="4" xfId="0" applyNumberFormat="1" applyFont="1" applyFill="1" applyBorder="1" applyAlignment="1">
      <x:alignment vertical="center"/>
    </x:xf>
    <x:xf numFmtId="212" fontId="4" fillId="0" borderId="2" xfId="0" applyNumberFormat="1" applyFont="1" applyFill="1" applyBorder="1" applyAlignment="1">
      <x:alignment vertical="center"/>
    </x:xf>
    <x:xf numFmtId="212" fontId="4" fillId="0" borderId="3" xfId="0" applyNumberFormat="1" applyFont="1" applyFill="1" applyBorder="1" applyAlignment="1">
      <x:alignment vertical="center"/>
    </x:xf>
    <x:xf numFmtId="212" fontId="4" fillId="0" borderId="4" xfId="0" applyNumberFormat="1" applyFont="1" applyFill="1" applyBorder="1" applyAlignment="1">
      <x:alignment vertical="center"/>
    </x:xf>
    <x:xf numFmtId="0" fontId="0" fillId="11" borderId="0" xfId="0" applyNumberFormat="1" applyFont="1" applyFill="1" applyBorder="1"/>
    <x:xf numFmtId="0" fontId="4" fillId="11" borderId="0" xfId="0" applyNumberFormat="1" applyFont="1" applyFill="1" applyBorder="1"/>
    <x:xf numFmtId="0" fontId="4" fillId="11" borderId="7" xfId="0" applyNumberFormat="1" applyFont="1" applyFill="1" applyBorder="1"/>
    <x:xf numFmtId="0" fontId="4" fillId="11" xfId="0" applyNumberFormat="1" applyFont="1" applyFill="1" applyBorder="0"/>
    <x:xf numFmtId="0" fontId="4" fillId="11" borderId="7" xfId="0" applyNumberFormat="1" applyFont="1" applyFill="1" applyBorder="1" applyAlignment="1">
      <x:alignment wrapText="1"/>
    </x:xf>
    <x:xf numFmtId="0" fontId="4" fillId="11" xfId="0" applyNumberFormat="1" applyFont="1" applyFill="1" applyBorder="0" applyAlignment="1">
      <x:alignment wrapText="1"/>
    </x:xf>
    <x:xf numFmtId="0" fontId="4" fillId="11" borderId="7" xfId="0" applyNumberFormat="1" applyFont="1" applyFill="1" applyBorder="1" applyAlignment="1">
      <x:alignment vertical="center" wrapText="1"/>
    </x:xf>
    <x:xf numFmtId="0" fontId="4" fillId="11" xfId="0" applyNumberFormat="1" applyFont="1" applyFill="1" applyBorder="0" applyAlignment="1">
      <x:alignment vertical="center" wrapText="1"/>
    </x:xf>
    <x:xf numFmtId="0" fontId="0" fillId="12" borderId="0" xfId="0" applyNumberFormat="1" applyFont="1" applyFill="1" applyBorder="1"/>
    <x:xf numFmtId="0" fontId="4" fillId="12" borderId="0" xfId="0" applyNumberFormat="1" applyFont="1" applyFill="1" applyBorder="1"/>
    <x:xf numFmtId="0" fontId="4" fillId="12" borderId="8" xfId="0" applyNumberFormat="1" applyFont="1" applyFill="1" applyBorder="1"/>
    <x:xf numFmtId="0" fontId="4" fillId="12" xfId="0" applyNumberFormat="1" applyFont="1" applyFill="1" applyBorder="0"/>
    <x:xf numFmtId="0" fontId="4" fillId="12" borderId="8" xfId="0" applyNumberFormat="1" applyFont="1" applyFill="1" applyBorder="1" applyAlignment="1">
      <x:alignment wrapText="1"/>
    </x:xf>
    <x:xf numFmtId="0" fontId="4" fillId="12" xfId="0" applyNumberFormat="1" applyFont="1" applyFill="1" applyBorder="0" applyAlignment="1">
      <x:alignment wrapText="1"/>
    </x:xf>
    <x:xf numFmtId="0" fontId="4" fillId="12" borderId="8" xfId="0" applyNumberFormat="1" applyFont="1" applyFill="1" applyBorder="1" applyAlignment="1">
      <x:alignment vertical="center" wrapText="1"/>
    </x:xf>
    <x:xf numFmtId="0" fontId="4" fillId="12" xfId="0" applyNumberFormat="1" applyFont="1" applyFill="1" applyBorder="0" applyAlignment="1">
      <x:alignment vertical="center" wrapText="1"/>
    </x:xf>
    <x:xf numFmtId="213" fontId="4" fillId="0" borderId="2" xfId="0" applyNumberFormat="1" applyFont="1" applyFill="1" applyBorder="1" applyAlignment="1">
      <x:alignment vertical="center"/>
    </x:xf>
    <x:xf numFmtId="213" fontId="4" fillId="0" borderId="3" xfId="0" applyNumberFormat="1" applyFont="1" applyFill="1" applyBorder="1" applyAlignment="1">
      <x:alignment vertical="center"/>
    </x:xf>
    <x:xf numFmtId="213" fontId="4" fillId="0" borderId="4" xfId="0" applyNumberFormat="1" applyFont="1" applyFill="1" applyBorder="1" applyAlignment="1">
      <x:alignment vertical="center"/>
    </x:xf>
    <x:xf numFmtId="213" fontId="9" fillId="0" borderId="2" xfId="0" applyNumberFormat="1" applyFont="1" applyFill="1" applyBorder="1" applyAlignment="1">
      <x:alignment vertical="center"/>
    </x:xf>
    <x:xf numFmtId="213" fontId="9" fillId="0" borderId="3" xfId="0" applyNumberFormat="1" applyFont="1" applyFill="1" applyBorder="1" applyAlignment="1">
      <x:alignment vertical="center"/>
    </x:xf>
    <x:xf numFmtId="213" fontId="9" fillId="0" borderId="4" xfId="0" applyNumberFormat="1" applyFont="1" applyFill="1" applyBorder="1" applyAlignment="1">
      <x:alignment vertical="center"/>
    </x:xf>
    <x:xf numFmtId="0" fontId="4" fillId="9" borderId="0" xfId="0" applyNumberFormat="1" applyFont="1" applyFill="1" applyBorder="1"/>
    <x:xf numFmtId="0" fontId="4" fillId="9" borderId="5" xfId="0" applyNumberFormat="1" applyFont="1" applyFill="1" applyBorder="1"/>
    <x:xf numFmtId="0" fontId="4" fillId="9" xfId="0" applyNumberFormat="1" applyFont="1" applyFill="1" applyBorder="0"/>
    <x:xf numFmtId="0" fontId="4" fillId="9" borderId="5" xfId="0" applyNumberFormat="1" applyFont="1" applyFill="1" applyBorder="1" applyAlignment="1">
      <x:alignment wrapText="1"/>
    </x:xf>
    <x:xf numFmtId="0" fontId="4" fillId="9" xfId="0" applyNumberFormat="1" applyFont="1" applyFill="1" applyBorder="0" applyAlignment="1">
      <x:alignment wrapText="1"/>
    </x:xf>
    <x:xf numFmtId="0" fontId="4" fillId="9" borderId="5" xfId="0" applyNumberFormat="1" applyFont="1" applyFill="1" applyBorder="1" applyAlignment="1">
      <x:alignment vertical="center" wrapText="1"/>
    </x:xf>
    <x:xf numFmtId="0" fontId="4" fillId="9" xfId="0" applyNumberFormat="1" applyFont="1" applyFill="1" applyBorder="0" applyAlignment="1">
      <x:alignment vertical="center" wrapText="1"/>
    </x:xf>
    <x:xf numFmtId="0" fontId="8" fillId="10" borderId="8" xfId="0" applyNumberFormat="1" applyFont="1" applyFill="1" applyBorder="1"/>
    <x:xf numFmtId="0" fontId="8" fillId="10" xfId="0" applyNumberFormat="1" applyFont="1" applyFill="1" applyBorder="0"/>
    <x:xf numFmtId="0" fontId="8" fillId="10" borderId="8" xfId="0" applyNumberFormat="1" applyFont="1" applyFill="1" applyBorder="1" applyAlignment="1">
      <x:alignment wrapText="1"/>
    </x:xf>
    <x:xf numFmtId="0" fontId="8" fillId="10" xfId="0" applyNumberFormat="1" applyFont="1" applyFill="1" applyBorder="0" applyAlignment="1">
      <x:alignment wrapText="1"/>
    </x:xf>
    <x:xf numFmtId="0" fontId="8" fillId="10" borderId="8" xfId="0" applyNumberFormat="1" applyFont="1" applyFill="1" applyBorder="1" applyAlignment="1">
      <x:alignment vertical="center" wrapText="1"/>
    </x:xf>
    <x:xf numFmtId="0" fontId="8" fillId="10" xfId="0" applyNumberFormat="1" applyFont="1" applyFill="1" applyBorder="0" applyAlignment="1">
      <x:alignment vertical="center" wrapText="1"/>
    </x:xf>
    <x:xf numFmtId="207" fontId="4" fillId="0" borderId="2" xfId="0" applyNumberFormat="1" applyFont="1" applyFill="1" applyBorder="1" applyAlignment="1">
      <x:alignment vertical="center" wrapText="1"/>
    </x:xf>
    <x:xf numFmtId="207" fontId="4" fillId="0" borderId="3" xfId="0" applyNumberFormat="1" applyFont="1" applyFill="1" applyBorder="1" applyAlignment="1">
      <x:alignment vertical="center" wrapText="1"/>
    </x:xf>
    <x:xf numFmtId="207" fontId="4" fillId="0" borderId="4" xfId="0" applyNumberFormat="1" applyFont="1" applyFill="1" applyBorder="1" applyAlignment="1">
      <x:alignment vertical="center" wrapText="1"/>
    </x:xf>
    <x:xf numFmtId="0" fontId="4" fillId="0" xfId="0" applyNumberFormat="1" applyFont="1" applyFill="1" applyBorder="0"/>
    <x:xf numFmtId="0" fontId="4" fillId="0" xfId="0" applyNumberFormat="1" applyFont="1" applyFill="1" applyBorder="0" applyAlignment="1">
      <x:alignment vertical="center"/>
    </x:xf>
    <x:xf numFmtId="0" fontId="5" fillId="9" borderId="0" xfId="0" applyNumberFormat="1" applyFont="1" applyFill="1" applyBorder="1"/>
    <x:xf numFmtId="0" fontId="5" fillId="9" borderId="5" xfId="0" applyNumberFormat="1" applyFont="1" applyFill="1" applyBorder="1"/>
    <x:xf numFmtId="0" fontId="5" fillId="9" xfId="0" applyNumberFormat="1" applyFont="1" applyFill="1" applyBorder="0"/>
    <x:xf numFmtId="0" fontId="5" fillId="9" borderId="5" xfId="0" applyNumberFormat="1" applyFont="1" applyFill="1" applyBorder="1" applyAlignment="1">
      <x:alignment wrapText="1"/>
    </x:xf>
    <x:xf numFmtId="0" fontId="5" fillId="9" xfId="0" applyNumberFormat="1" applyFont="1" applyFill="1" applyBorder="0" applyAlignment="1">
      <x:alignment wrapText="1"/>
    </x:xf>
    <x:xf numFmtId="0" fontId="5" fillId="9" borderId="5" xfId="0" applyNumberFormat="1" applyFont="1" applyFill="1" applyBorder="1" applyAlignment="1">
      <x:alignment vertical="center" wrapText="1"/>
    </x:xf>
    <x:xf numFmtId="0" fontId="5" fillId="9" xfId="0" applyNumberFormat="1" applyFont="1" applyFill="1" applyBorder="0" applyAlignment="1">
      <x:alignment vertical="center" wrapText="1"/>
    </x:xf>
    <x:xf numFmtId="0" fontId="6" fillId="8" borderId="1" xfId="0" applyNumberFormat="1" applyFont="1" applyFill="1" applyBorder="1" applyAlignment="1">
      <x:alignment vertical="center" wrapText="1"/>
    </x:xf>
    <x:xf numFmtId="0" fontId="6" fillId="8" borderId="2" xfId="0" applyNumberFormat="1" applyFont="1" applyFill="1" applyBorder="1" applyAlignment="1">
      <x:alignment vertical="center" wrapText="1"/>
    </x:xf>
    <x:xf numFmtId="0" fontId="4" fillId="0" borderId="9" xfId="0" applyNumberFormat="1" applyFont="1" applyFill="1" applyBorder="1"/>
    <x:xf numFmtId="0" fontId="4" fillId="0" borderId="9" xfId="0" applyNumberFormat="1" applyFont="1" applyFill="1" applyBorder="1" applyAlignment="1">
      <x:alignment vertical="center"/>
    </x:xf>
    <x:xf numFmtId="0" fontId="6" fillId="13" borderId="2" xfId="0" applyNumberFormat="1" applyFont="1" applyFill="1" applyBorder="1" applyAlignment="1">
      <x:alignment vertical="center" wrapText="1"/>
    </x:xf>
    <x:xf numFmtId="0" fontId="4" fillId="13" borderId="3" xfId="0" applyNumberFormat="1" applyFont="1" applyFill="1" applyBorder="1" applyAlignment="1">
      <x:alignment vertical="center"/>
    </x:xf>
    <x:xf numFmtId="0" fontId="4" fillId="13" borderId="9" xfId="0" applyNumberFormat="1" applyFont="1" applyFill="1" applyBorder="1" applyAlignment="1">
      <x:alignment vertical="center"/>
    </x:xf>
    <x:xf numFmtId="0" fontId="4" fillId="13" borderId="3" xfId="0" applyNumberFormat="1" applyFont="1" applyFill="1" applyBorder="1" applyAlignment="1">
      <x:alignment vertical="center" wrapText="1"/>
    </x:xf>
    <x:xf numFmtId="0" fontId="4" fillId="13" borderId="9" xfId="0" applyNumberFormat="1" applyFont="1" applyFill="1" applyBorder="1" applyAlignment="1">
      <x:alignment vertical="center" wrapText="1"/>
    </x:xf>
  </x:cellXfs>
  <x:cellStyles count="1">
    <x:cellStyle name="Normal" xfId="0"/>
  </x:cellStyles>
  <x:dxfs count="12">
    <x:dxf>
      <x:font>
        <x:b/>
        <x:color rgb="FF243838"/>
      </x:font>
      <x:fill>
        <x:patternFill>
          <x:bgColor rgb="FFEDF4FF"/>
        </x:patternFill>
      </x:fill>
    </x:dxf>
    <x:dxf>
      <x:font>
        <x:b/>
        <x:color rgb="FF243838"/>
      </x:font>
      <x:fill>
        <x:patternFill>
          <x:bgColor rgb="FFEDF4FF"/>
        </x:patternFill>
      </x:fill>
    </x:dxf>
    <x:dxf>
      <x:font>
        <x:b/>
        <x:color rgb="FF8B245C"/>
      </x:font>
      <x:fill>
        <x:patternFill patternType="solid">
          <x:bgColor rgb="FFFFF4FA"/>
        </x:patternFill>
      </x:fill>
    </x:dxf>
    <x:dxf>
      <x:font>
        <x:b/>
        <x:color rgb="FF243838"/>
      </x:font>
      <x:fill>
        <x:patternFill patternType="solid">
          <x:bgColor rgb="FFFFF4DF"/>
        </x:patternFill>
      </x:fill>
    </x:dxf>
    <x:dxf>
      <x:font>
        <x:b/>
        <x:color rgb="FF243838"/>
      </x:font>
      <x:fill>
        <x:patternFill patternType="solid">
          <x:bgColor rgb="FFFFF4DF"/>
        </x:patternFill>
      </x:fill>
    </x:dxf>
    <x:dxf>
      <x:font>
        <x:b/>
        <x:color rgb="FF087879"/>
      </x:font>
      <x:fill>
        <x:patternFill patternType="solid">
          <x:bgColor rgb="FFE8F4F4"/>
        </x:patternFill>
      </x:fill>
    </x:dxf>
    <x:dxf>
      <x:font>
        <x:b/>
        <x:color rgb="FF8B245C"/>
      </x:font>
      <x:fill>
        <x:patternFill patternType="solid">
          <x:bgColor rgb="FFFFF4FA"/>
        </x:patternFill>
      </x:fill>
    </x:dxf>
    <x:dxf>
      <x:font>
        <x:b/>
        <x:color rgb="FF243838"/>
      </x:font>
      <x:fill>
        <x:patternFill patternType="solid">
          <x:bgColor rgb="FFFFF4DF"/>
        </x:patternFill>
      </x:fill>
    </x:dxf>
    <x:dxf>
      <x:font>
        <x:b/>
        <x:color rgb="FF243838"/>
      </x:font>
      <x:fill>
        <x:patternFill patternType="solid">
          <x:bgColor rgb="FFEDF4FF"/>
        </x:patternFill>
      </x:fill>
    </x:dxf>
    <x:dxf>
      <x:font>
        <x:b/>
        <x:color rgb="FF8B245C"/>
      </x:font>
      <x:fill>
        <x:patternFill patternType="solid">
          <x:bgColor rgb="FFFFF4FA"/>
        </x:patternFill>
      </x:fill>
    </x:dxf>
    <x:dxf>
      <x:font>
        <x:b/>
        <x:color rgb="FF087879"/>
      </x:font>
      <x:fill>
        <x:patternFill patternType="solid">
          <x:bgColor rgb="FFE8F4F4"/>
        </x:patternFill>
      </x:fill>
    </x:dxf>
    <x:dxf>
      <x:font>
        <x:b/>
        <x:color rgb="FF243838"/>
      </x:font>
      <x:fill>
        <x:patternFill patternType="solid">
          <x:bgColor rgb="FFEDF4F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9544defb69445c4" /><Relationship Type="http://schemas.openxmlformats.org/officeDocument/2006/relationships/theme" Target="/xl/theme/theme1.xml" Id="R0c145cf159794fb6" /><Relationship Type="http://schemas.openxmlformats.org/officeDocument/2006/relationships/sharedStrings" Target="/xl/sharedStrings.xml" Id="R99e57d0cd0144dab" /><Relationship Type="http://schemas.openxmlformats.org/officeDocument/2006/relationships/worksheet" Target="/xl/worksheets/sheet1.xml" Id="Rc9936ae775474e5c" /><Relationship Type="http://schemas.openxmlformats.org/officeDocument/2006/relationships/worksheet" Target="/xl/worksheets/sheet2.xml" Id="R75fbe54b4765447e" /><Relationship Type="http://schemas.openxmlformats.org/officeDocument/2006/relationships/worksheet" Target="/xl/worksheets/sheet3.xml" Id="R84cfaff8c9574aa3" /><Relationship Type="http://schemas.openxmlformats.org/officeDocument/2006/relationships/worksheet" Target="/xl/worksheets/sheet4.xml" Id="R41850018f2cf46ad" /><Relationship Type="http://schemas.openxmlformats.org/officeDocument/2006/relationships/worksheet" Target="/xl/worksheets/sheet5.xml" Id="R5a56ae74e79c48c1" /><Relationship Type="http://schemas.openxmlformats.org/officeDocument/2006/relationships/worksheet" Target="/xl/worksheets/sheet6.xml" Id="Re6d71bd7cd2f4080" /><Relationship Type="http://schemas.openxmlformats.org/officeDocument/2006/relationships/worksheet" Target="/xl/worksheets/sheet7.xml" Id="R55e5f887b9d94dde" /><Relationship Type="http://schemas.openxmlformats.org/officeDocument/2006/relationships/worksheet" Target="/xl/worksheets/sheet8.xml" Id="Re701a295bc7249d0" /><Relationship Type="http://schemas.openxmlformats.org/officeDocument/2006/relationships/worksheet" Target="/xl/worksheets/sheet9.xml" Id="R462e1cef2684421e" /><Relationship Type="http://schemas.openxmlformats.org/officeDocument/2006/relationships/worksheet" Target="/xl/worksheets/sheet10.xml" Id="R6aacb74d37634244" /><Relationship Type="http://schemas.openxmlformats.org/officeDocument/2006/relationships/worksheet" Target="/xl/worksheets/sheet11.xml" Id="Rd2027ed8d82747b9" /><Relationship Type="http://schemas.openxmlformats.org/officeDocument/2006/relationships/worksheet" Target="/xl/worksheets/sheet12.xml" Id="R4d41a3e4c7814d1c" /><Relationship Type="http://schemas.openxmlformats.org/officeDocument/2006/relationships/worksheet" Target="/xl/worksheets/sheet13.xml" Id="Rba2c5d2276f54144" /><Relationship Type="http://schemas.openxmlformats.org/officeDocument/2006/relationships/worksheet" Target="/xl/worksheets/sheet14.xml" Id="Rdceb4f4d1e9847d5" /><Relationship Type="http://schemas.openxmlformats.org/officeDocument/2006/relationships/worksheet" Target="/xl/worksheets/sheet15.xml" Id="R3ccf153a0a394607" /><Relationship Type="http://schemas.openxmlformats.org/officeDocument/2006/relationships/worksheet" Target="/xl/worksheets/sheet16.xml" Id="R641b7e1ec8af4390" /><Relationship Type="http://schemas.openxmlformats.org/officeDocument/2006/relationships/worksheet" Target="/xl/worksheets/sheet17.xml" Id="Rfe7a2de0e1c6431a" /><Relationship Type="http://schemas.openxmlformats.org/officeDocument/2006/relationships/worksheet" Target="/xl/worksheets/sheet18.xml" Id="R4e1b48ab93f84f83" /><Relationship Type="http://schemas.openxmlformats.org/officeDocument/2006/relationships/worksheet" Target="/xl/worksheets/sheet19.xml" Id="R17877c7046884d37" /><Relationship Type="http://schemas.openxmlformats.org/officeDocument/2006/relationships/worksheet" Target="/xl/worksheets/sheet20.xml" Id="Rbb126d89fd3b41a9" /><Relationship Type="http://schemas.openxmlformats.org/officeDocument/2006/relationships/worksheet" Target="/xl/worksheets/sheet21.xml" Id="Rcbb2334dc61243d2" /><Relationship Type="http://schemas.openxmlformats.org/officeDocument/2006/relationships/worksheet" Target="/xl/worksheets/sheet22.xml" Id="R322393cd789c43a1" /><Relationship Type="http://schemas.openxmlformats.org/officeDocument/2006/relationships/worksheet" Target="/xl/worksheets/sheet23.xml" Id="R32a75892d1da4c3a" /><Relationship Type="http://schemas.microsoft.com/office/2017/10/relationships/person" Target="/xl/persons/person.xml" Id="R6702ec2c41b14310" /></Relationships>
</file>

<file path=xl/drawings/_rels/drawing1.xml.rels>&#65279;<?xml version="1.0" encoding="utf-8"?><Relationships xmlns="http://schemas.openxmlformats.org/package/2006/relationships"><Relationship Type="http://schemas.openxmlformats.org/officeDocument/2006/relationships/chart" Target="/xl/drawings/charts/chart1.xml" Id="R8d6f5e218803402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Horizon-informed frontier totals (T)</a:t>
            </a:r>
          </a:p>
        </c:rich>
      </c:tx>
    </c:title>
    <c:plotArea>
      <c:barChart>
        <c:barDir val="col"/>
        <c:varyColors val="0"/>
        <c:ser>
          <c:idx val="0"/>
          <c:order val="0"/>
          <c:tx>
            <c:v>Total parameters (T)</c:v>
          </c:tx>
          <c:spPr>
            <a:solidFill xmlns:a="http://schemas.openxmlformats.org/drawingml/2006/main">
              <a:srgbClr val="00A5A6"/>
            </a:solidFill>
          </c:spPr>
          <c:cat>
            <c:strRef>
              <c:f>'Executive Summary'!$A$6:$A$14</c:f>
              <c:strCache>
                <c:ptCount val="0"/>
              </c:strCache>
            </c:strRef>
          </c:cat>
          <c:val>
            <c:numRef>
              <c:f>'Executive Summary'!$B$6:$B$14</c:f>
              <c:numCache>
                <c:formatCode>0.0"T"</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quot;T&quot;"/>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4</xdr:row>
      <xdr:rowOff>0</xdr:rowOff>
    </xdr:from>
    <xdr:to>
      <xdr:col>17</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d6f5e218803402d"/>
        </a:graphicData>
      </a:graphic>
    </xdr:graphicFrame>
    <xdr:clientData/>
  </xdr:twoCellAnchor>
</xdr:wsDr>
</file>

<file path=xl/persons/person.xml><?xml version="1.0" encoding="utf-8"?>
<xltc:personList xmlns:xltc="http://schemas.microsoft.com/office/spreadsheetml/2018/threadedcomments">
  <xltc:person displayName="Codex" id="{6A7784B4-354F-45B0-B21C-27324E9B9E26}"/>
  <xltc:person displayName="Codex" id="{BF42C250-59F9-4920-9F31-FC2371E2CACD}"/>
</xltc:personList>
</file>

<file path=xl/tables/table1.xml><?xml version="1.0" encoding="utf-8"?>
<x:table xmlns:x="http://schemas.openxmlformats.org/spreadsheetml/2006/main" id="2" name="FrontierEstimatesTable" displayName="FrontierEstimatesTable" ref="A5:R16" headerRowCount="1" totalsRowCount="0" totalsRowShown="0">
  <x:tableColumns count="18">
    <x:tableColumn id="1" name="Release"/>
    <x:tableColumn id="2" name="Model / base"/>
    <x:tableColumn id="3" name="AA v4.1"/>
    <x:tableColumn id="4" name="ECI"/>
    <x:tableColumn id="5" name="Primary benchmark (T)"/>
    <x:tableColumn id="6" name="Provider"/>
    <x:tableColumn id="7" name="Input $/MTok"/>
    <x:tableColumn id="8" name="Output $/MTok"/>
    <x:tableColumn id="9" name="Tokenizer factor"/>
    <x:tableColumn id="10" name="Price index z"/>
    <x:tableColumn id="11" name="LOBO price-implied (T)"/>
    <x:tableColumn id="12" name="Price log weight"/>
    <x:tableColumn id="13" name="Final central (T)"/>
    <x:tableColumn id="14" name="Error low (T)"/>
    <x:tableColumn id="15" name="Error high (T)"/>
    <x:tableColumn id="16" name="Status"/>
    <x:tableColumn id="17" name="Method note"/>
    <x:tableColumn id="18" name="Price source"/>
  </x:tableColumns>
  <x:tableStyleInfo name="TableStyleMedium2" showFirstColumn="0" showLastColumn="0" showRowStripes="1" showColumnStripes="0"/>
</x:table>
</file>

<file path=xl/tables/table2.xml><?xml version="1.0" encoding="utf-8"?>
<x:table xmlns:x="http://schemas.openxmlformats.org/spreadsheetml/2006/main" id="1" name="ApiPricesTable" displayName="ApiPricesTable" ref="A5:L13" headerRowCount="1" totalsRowCount="0" totalsRowShown="0">
  <x:tableColumns count="12">
    <x:tableColumn id="1" name="Base model"/>
    <x:tableColumn id="2" name="Provider"/>
    <x:tableColumn id="3" name="Input $/MTok"/>
    <x:tableColumn id="4" name="Output $/MTok"/>
    <x:tableColumn id="5" name="Cached input $/MTok"/>
    <x:tableColumn id="6" name="5m cache write $/MTok"/>
    <x:tableColumn id="7" name="Long input $/MTok"/>
    <x:tableColumn id="8" name="Long output $/MTok"/>
    <x:tableColumn id="9" name="Tokenizer factor"/>
    <x:tableColumn id="10" name="Rate used"/>
    <x:tableColumn id="11" name="Official source"/>
    <x:tableColumn id="12" name="Note"/>
  </x:tableColumns>
  <x:tableStyleInfo name="TableStyleMedium2" showFirstColumn="0" showLastColumn="0" showRowStripes="1" showColumnStripes="0"/>
</x:table>
</file>

<file path=xl/tables/table3.xml><?xml version="1.0" encoding="utf-8"?>
<x:table xmlns:x="http://schemas.openxmlformats.org/spreadsheetml/2006/main" id="3" name="SourcesTable" displayName="SourcesTable" ref="A5:D16" headerRowCount="1" totalsRowCount="0" totalsRowShown="0">
  <x:tableColumns count="4">
    <x:tableColumn id="1" name="Source"/>
    <x:tableColumn id="2" name="URL / path"/>
    <x:tableColumn id="3" name="Use"/>
    <x:tableColumn id="4" name="Caveat / snapshot"/>
  </x:tableColumns>
  <x:tableStyleInfo name="TableStyleMedium2" showFirstColumn="0" showLastColumn="0" showRowStripes="1" showColumnStripes="0"/>
</x:table>
</file>

<file path=xl/tables/table4.xml><?xml version="1.0" encoding="utf-8"?>
<x:table xmlns:x="http://schemas.openxmlformats.org/spreadsheetml/2006/main" id="6" name="NoCotFrontierTable" displayName="NoCotFrontierTable" ref="A6:L20" headerRowCount="1" totalsRowCount="0" totalsRowShown="0">
  <x:tableColumns count="12">
    <x:tableColumn id="1" name="Model"/>
    <x:tableColumn id="2" name="Release month"/>
    <x:tableColumn id="3" name="Time TH (min)"/>
    <x:tableColumn id="4" name="Time CI low"/>
    <x:tableColumn id="5" name="Time CI high"/>
    <x:tableColumn id="6" name="Time source text"/>
    <x:tableColumn id="7" name="Token TH"/>
    <x:tableColumn id="8" name="Token CI low"/>
    <x:tableColumn id="9" name="Token CI high"/>
    <x:tableColumn id="10" name="Token source text"/>
    <x:tableColumn id="11" name="At floor?"/>
    <x:tableColumn id="12" name="LaTeX table"/>
  </x:tableColumns>
  <x:tableStyleInfo name="TableStyleMedium2" showFirstColumn="0" showLastColumn="0" showRowStripes="1" showColumnStripes="0"/>
</x:table>
</file>

<file path=xl/tables/table5.xml><?xml version="1.0" encoding="utf-8"?>
<x:table xmlns:x="http://schemas.openxmlformats.org/spreadsheetml/2006/main" id="7" name="NoCotOpenWeightTable" displayName="NoCotOpenWeightTable" ref="A24:M59" headerRowCount="1" totalsRowCount="0" totalsRowShown="0">
  <x:tableColumns count="13">
    <x:tableColumn id="1" name="Developer"/>
    <x:tableColumn id="2" name="Model"/>
    <x:tableColumn id="3" name="Release month"/>
    <x:tableColumn id="4" name="Total params (B)"/>
    <x:tableColumn id="5" name="Active params (B)"/>
    <x:tableColumn id="6" name="Layers"/>
    <x:tableColumn id="7" name="Architecture"/>
    <x:tableColumn id="8" name="Reasoning"/>
    <x:tableColumn id="9" name="Modality"/>
    <x:tableColumn id="10" name="Point TH (min)"/>
    <x:tableColumn id="11" name="Bootstrap median"/>
    <x:tableColumn id="12" name="CI low"/>
    <x:tableColumn id="13" name="CI high"/>
  </x:tableColumns>
  <x:tableStyleInfo name="TableStyleMedium2" showFirstColumn="0" showLastColumn="0" showRowStripes="1" showColumnStripes="0"/>
</x:table>
</file>

<file path=xl/tables/table6.xml><?xml version="1.0" encoding="utf-8"?>
<x:table xmlns:x="http://schemas.openxmlformats.org/spreadsheetml/2006/main" id="8" name="HorizonPosteriorTable" displayName="HorizonPosteriorTable" ref="A5:L14" headerRowCount="1" totalsRowCount="0" totalsRowShown="0">
  <x:tableColumns count="12">
    <x:tableColumn id="1" name="Model / base"/>
    <x:tableColumn id="2" name="Existing central (T)"/>
    <x:tableColumn id="3" name="TH proxy (min)"/>
    <x:tableColumn id="4" name="Horizon prior (T)"/>
    <x:tableColumn id="5" name="Existing weight"/>
    <x:tableColumn id="6" name="Horizon weight"/>
    <x:tableColumn id="7" name="Posterior (T)"/>
    <x:tableColumn id="8" name="Crowd point (T)"/>
    <x:tableColumn id="9" name="Posterior / crowd"/>
    <x:tableColumn id="10" name="Horizon evidence"/>
    <x:tableColumn id="11" name="Status"/>
    <x:tableColumn id="12" name="Method note"/>
  </x:tableColumns>
  <x:tableStyleInfo name="TableStyleMedium2" showFirstColumn="0" showLastColumn="0" showRowStripes="1" showColumnStripes="0"/>
</x:table>
</file>

<file path=xl/tables/table7.xml><?xml version="1.0" encoding="utf-8"?>
<x:table xmlns:x="http://schemas.openxmlformats.org/spreadsheetml/2006/main" id="4" name="CanonicalModelRegistryTable" displayName="CanonicalModelRegistryTable" ref="A5:AE239" headerRowCount="1" totalsRowCount="0" totalsRowShown="0">
  <x:tableColumns count="31">
    <x:tableColumn id="1" name="Canonical checkpoint ID"/>
    <x:tableColumn id="2" name="Canonical display"/>
    <x:tableColumn id="3" name="Organization"/>
    <x:tableColumn id="4" name="Lineage ID"/>
    <x:tableColumn id="5" name="Base ID"/>
    <x:tableColumn id="6" name="Final target label"/>
    <x:tableColumn id="7" name="Paper alias"/>
    <x:tableColumn id="8" name="ECI alias"/>
    <x:tableColumn id="9" name="Paper release month"/>
    <x:tableColumn id="10" name="ECI exact release"/>
    <x:tableColumn id="11" name="Release date used"/>
    <x:tableColumn id="12" name="Date source"/>
    <x:tableColumn id="13" name="Date delta (days)"/>
    <x:tableColumn id="14" name="ECI"/>
    <x:tableColumn id="15" name="ECI CI low"/>
    <x:tableColumn id="16" name="ECI CI high"/>
    <x:tableColumn id="17" name="AA current"/>
    <x:tableColumn id="18" name="Paper total params (B)"/>
    <x:tableColumn id="19" name="Paper active params (B)"/>
    <x:tableColumn id="20" name="ECI regression total (B)"/>
    <x:tableColumn id="21" name="Disclosed total (B)"/>
    <x:tableColumn id="22" name="Layers"/>
    <x:tableColumn id="23" name="Architecture"/>
    <x:tableColumn id="24" name="No-CoT point (min)"/>
    <x:tableColumn id="25" name="No-CoT median"/>
    <x:tableColumn id="26" name="No-CoT CI low"/>
    <x:tableColumn id="27" name="No-CoT CI high"/>
    <x:tableColumn id="28" name="Horizon suite"/>
    <x:tableColumn id="29" name="Match status"/>
    <x:tableColumn id="30" name="Conflict / variance"/>
    <x:tableColumn id="31" name="Source note"/>
  </x:tableColumns>
  <x:tableStyleInfo name="TableStyleMedium2" showFirstColumn="0" showLastColumn="0" showRowStripes="1" showColumnStripes="0"/>
</x:table>
</file>

<file path=xl/tables/table8.xml><?xml version="1.0" encoding="utf-8"?>
<x:table xmlns:x="http://schemas.openxmlformats.org/spreadsheetml/2006/main" id="5" name="CanonicalAliasMapTable" displayName="CanonicalAliasMapTable" ref="A5:H274" headerRowCount="1" totalsRowCount="0" totalsRowShown="0">
  <x:tableColumns count="8">
    <x:tableColumn id="1" name="Source"/>
    <x:tableColumn id="2" name="Source alias"/>
    <x:tableColumn id="3" name="Canonical checkpoint ID"/>
    <x:tableColumn id="4" name="ECI alias"/>
    <x:tableColumn id="5" name="Join method"/>
    <x:tableColumn id="6" name="Review"/>
    <x:tableColumn id="7" name="Status"/>
    <x:tableColumn id="8" name="Source row / note"/>
  </x:tableColumns>
  <x:tableStyleInfo name="TableStyleMedium2" showFirstColumn="0" showLastColumn="0" showRowStripes="1" showColumnStripes="0"/>
</x:table>
</file>

<file path=xl/tables/table9.xml><?xml version="1.0" encoding="utf-8"?>
<x:table xmlns:x="http://schemas.openxmlformats.org/spreadsheetml/2006/main" id="9" name="CanonicalBaseRegistryTable" displayName="CanonicalBaseRegistryTable" ref="A5:L14" headerRowCount="1" totalsRowCount="0" totalsRowShown="0">
  <x:tableColumns count="12">
    <x:tableColumn id="1" name="Base ID"/>
    <x:tableColumn id="2" name="Final display"/>
    <x:tableColumn id="3" name="Representative checkpoint ID"/>
    <x:tableColumn id="4" name="Member checkpoint IDs"/>
    <x:tableColumn id="5" name="Identity type"/>
    <x:tableColumn id="6" name="Identity evidence"/>
    <x:tableColumn id="7" name="Existing central (T)"/>
    <x:tableColumn id="8" name="Horizon prior (T)"/>
    <x:tableColumn id="9" name="Posterior (T)"/>
    <x:tableColumn id="10" name="Status"/>
    <x:tableColumn id="11" name="Base ID count"/>
    <x:tableColumn id="12" name="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M10" dT="2026-07-16T20:19:20.506" personId="{6A7784B4-354F-45B0-B21C-27324E9B9E26}" id="{0C34250B-76A7-A868-5778-64F26CD57ACF}">
    <xltc:text>Opus 4.7 and 4.8 are treated as one base. Their separate benchmark-derived priors are collapsed geometrically before pricing is applied.</xltc:text>
  </xltc:threadedComment>
</xltc:ThreadedComments>
</file>

<file path=xl/threadedcomments/threadedcomment2.xml><?xml version="1.0" encoding="utf-8"?>
<xltc:ThreadedComments xmlns:xltc="http://schemas.microsoft.com/office/spreadsheetml/2018/threadedcomments">
  <xltc:threadedComment ref="B12" dT="2026-07-16T20:19:20.506" personId="{6A7784B4-354F-45B0-B21C-27324E9B9E26}" id="{6C9D14B4-C441-A6F4-1596-C50020E50E32}">
    <xltc:text>Price is capped at 15% log weight because API prices reflect product strategy, latency, tokenizer choice, and inference service design—not only physical parameter count.</xltc:text>
  </xltc:threadedComment>
</xltc:ThreadedComments>
</file>

<file path=xl/threadedcomments/threadedcomment3.xml><?xml version="1.0" encoding="utf-8"?>
<xltc:ThreadedComments xmlns:xltc="http://schemas.microsoft.com/office/spreadsheetml/2018/threadedcomments">
  <xltc:threadedComment ref="B9" dT="2026-07-16T20:19:20.506" personId="{6A7784B4-354F-45B0-B21C-27324E9B9E26}" id="{6861E5A5-CA6B-2E60-C1E9-A293013F92E6}">
    <xltc:text>The 1.5T figure is a public first-party executive disclosure of the V9 foundation scale. It is less formal than a technical report and should not be used as an active-parameter count.</xltc:text>
  </xltc:threadedComment>
</xltc:ThreadedComments>
</file>

<file path=xl/threadedcomments/threadedcomment4.xml><?xml version="1.0" encoding="utf-8"?>
<xltc:ThreadedComments xmlns:xltc="http://schemas.microsoft.com/office/spreadsheetml/2018/threadedcomments">
  <xltc:threadedComment ref="B52" dT="2026-07-17T13:11:31.203" personId="{BF42C250-59F9-4920-9F31-FC2371E2CACD}" id="{2800012E-21D8-74D9-6ABF-FF1276E3DE1C}">
    <xltc:text>Same-base Opus evidence shows why METR should not be inverted directly into parameters: 4.5→4.6 is ~1.04× on no-CoT but ~2.45× with CoT.</xltc:text>
  </xltc:threadedComment>
</xltc:ThreadedComments>
</file>

<file path=xl/threadedcomments/threadedcomment5.xml><?xml version="1.0" encoding="utf-8"?>
<xltc:ThreadedComments xmlns:xltc="http://schemas.microsoft.com/office/spreadsheetml/2018/threadedcomments">
  <xltc:threadedComment ref="G6" dT="2026-07-17T13:11:31.203" personId="{BF42C250-59F9-4920-9F31-FC2371E2CACD}" id="{FA840615-77AC-4AE8-A104-4F2799832F77}">
    <xltc:text>Fable's horizon branch is 50% of the posterior. Its large movement comes from two time-based priors agreeing on a materially newer pretrain than K3/Opus 4.5.</xltc:text>
  </xltc:threadedComment>
</xltc:ThreadedComments>
</file>

<file path=xl/worksheets/_rels/sheet1.xml.rels>&#65279;<?xml version="1.0" encoding="utf-8"?><Relationships xmlns="http://schemas.openxmlformats.org/package/2006/relationships"><Relationship Type="http://schemas.openxmlformats.org/officeDocument/2006/relationships/drawing" Target="/xl/drawings/drawing1.xml" Id="R5eabf3e60f414e80" /></Relationships>
</file>

<file path=xl/worksheets/_rels/sheet2.xml.rels>&#65279;<?xml version="1.0" encoding="utf-8"?><Relationships xmlns="http://schemas.openxmlformats.org/package/2006/relationships"><Relationship Type="http://schemas.openxmlformats.org/officeDocument/2006/relationships/comments" Target="/xl/comments1.xml" Id="R765614e112754553" /><Relationship Type="http://schemas.openxmlformats.org/officeDocument/2006/relationships/vmlDrawing" Target="/xl/drawings/vmldrawing.vml" Id="Rfe15576b9ff845cc" /><Relationship Type="http://schemas.microsoft.com/office/2017/10/relationships/threadedComment" Target="/xl/threadedcomments/threadedcomment.xml" Id="R5a0b017cc6c4448f" /><Relationship Type="http://schemas.openxmlformats.org/officeDocument/2006/relationships/table" Target="/xl/tables/table1.xml" Id="R54521f078993466d" /></Relationships>
</file>

<file path=xl/worksheets/_rels/sheet3.xml.rels>&#65279;<?xml version="1.0" encoding="utf-8"?><Relationships xmlns="http://schemas.openxmlformats.org/package/2006/relationships"><Relationship Type="http://schemas.openxmlformats.org/officeDocument/2006/relationships/table" Target="/xl/tables/table2.xml" Id="Ra228799f9d024ceb" /></Relationships>
</file>

<file path=xl/worksheets/_rels/sheet4.xml.rels>&#65279;<?xml version="1.0" encoding="utf-8"?><Relationships xmlns="http://schemas.openxmlformats.org/package/2006/relationships"><Relationship Type="http://schemas.openxmlformats.org/officeDocument/2006/relationships/comments" Target="/xl/comments2.xml" Id="R7d6a736e47774a9d" /><Relationship Type="http://schemas.openxmlformats.org/officeDocument/2006/relationships/vmlDrawing" Target="/xl/drawings/vmldrawing2.vml" Id="Re5bc9c9c62ad4f79" /><Relationship Type="http://schemas.microsoft.com/office/2017/10/relationships/threadedComment" Target="/xl/threadedcomments/threadedcomment2.xml" Id="R81942c01fd38418c" /></Relationships>
</file>

<file path=xl/worksheets/_rels/sheet5.xml.rels>&#65279;<?xml version="1.0" encoding="utf-8"?><Relationships xmlns="http://schemas.openxmlformats.org/package/2006/relationships"><Relationship Type="http://schemas.openxmlformats.org/officeDocument/2006/relationships/comments" Target="/xl/comments3.xml" Id="R17cef39af05c4410" /><Relationship Type="http://schemas.openxmlformats.org/officeDocument/2006/relationships/vmlDrawing" Target="/xl/drawings/vmldrawing3.vml" Id="R589d6d120f5d4da6" /><Relationship Type="http://schemas.microsoft.com/office/2017/10/relationships/threadedComment" Target="/xl/threadedcomments/threadedcomment3.xml" Id="R81bf752027e04ecb" /></Relationships>
</file>

<file path=xl/worksheets/_rels/sheet6.xml.rels>&#65279;<?xml version="1.0" encoding="utf-8"?><Relationships xmlns="http://schemas.openxmlformats.org/package/2006/relationships"><Relationship Type="http://schemas.openxmlformats.org/officeDocument/2006/relationships/table" Target="/xl/tables/table3.xml" Id="R132347d9597b40ae" /></Relationships>
</file>

<file path=xl/worksheets/_rels/sheet7.xml.rels>&#65279;<?xml version="1.0" encoding="utf-8"?><Relationships xmlns="http://schemas.openxmlformats.org/package/2006/relationships"><Relationship Type="http://schemas.openxmlformats.org/officeDocument/2006/relationships/table" Target="/xl/tables/table4.xml" Id="R970a548dba1640bf" /><Relationship Type="http://schemas.openxmlformats.org/officeDocument/2006/relationships/table" Target="/xl/tables/table5.xml" Id="R2fa2052c01a441c3" /></Relationships>
</file>

<file path=xl/worksheets/_rels/sheet8.xml.rels>&#65279;<?xml version="1.0" encoding="utf-8"?><Relationships xmlns="http://schemas.openxmlformats.org/package/2006/relationships"><Relationship Type="http://schemas.openxmlformats.org/officeDocument/2006/relationships/comments" Target="/xl/comments4.xml" Id="R49af50572e72484f" /><Relationship Type="http://schemas.openxmlformats.org/officeDocument/2006/relationships/vmlDrawing" Target="/xl/drawings/vmldrawing4.vml" Id="R6c353f3a74574998" /><Relationship Type="http://schemas.microsoft.com/office/2017/10/relationships/threadedComment" Target="/xl/threadedcomments/threadedcomment4.xml" Id="R9ddeed0ed023447e" /></Relationships>
</file>

<file path=xl/worksheets/_rels/sheet9.xml.rels>&#65279;<?xml version="1.0" encoding="utf-8"?><Relationships xmlns="http://schemas.openxmlformats.org/package/2006/relationships"><Relationship Type="http://schemas.openxmlformats.org/officeDocument/2006/relationships/comments" Target="/xl/comments5.xml" Id="R8f175c3e40f446c4" /><Relationship Type="http://schemas.openxmlformats.org/officeDocument/2006/relationships/vmlDrawing" Target="/xl/drawings/vmldrawing5.vml" Id="R296c8ff284e14f9b" /><Relationship Type="http://schemas.microsoft.com/office/2017/10/relationships/threadedComment" Target="/xl/threadedcomments/threadedcomment5.xml" Id="R9de44a88b7b241ff" /><Relationship Type="http://schemas.openxmlformats.org/officeDocument/2006/relationships/table" Target="/xl/tables/table6.xml" Id="R0965ac04465b4f54" /></Relationships>
</file>

<file path=xl/worksheets/_rels/sheet10.xml.rels>&#65279;<?xml version="1.0" encoding="utf-8"?><Relationships xmlns="http://schemas.openxmlformats.org/package/2006/relationships"><Relationship Type="http://schemas.openxmlformats.org/officeDocument/2006/relationships/table" Target="/xl/tables/table7.xml" Id="Rcc3274162cb443fc" /></Relationships>
</file>

<file path=xl/worksheets/_rels/sheet11.xml.rels>&#65279;<?xml version="1.0" encoding="utf-8"?><Relationships xmlns="http://schemas.openxmlformats.org/package/2006/relationships"><Relationship Type="http://schemas.openxmlformats.org/officeDocument/2006/relationships/table" Target="/xl/tables/table8.xml" Id="R934b97592d0e4e14" /></Relationships>
</file>

<file path=xl/worksheets/_rels/sheet13.xml.rels>&#65279;<?xml version="1.0" encoding="utf-8"?><Relationships xmlns="http://schemas.openxmlformats.org/package/2006/relationships"><Relationship Type="http://schemas.openxmlformats.org/officeDocument/2006/relationships/table" Target="/xl/tables/table9.xml" Id="R9919f24343434cba" /></Relationships>
</file>

<file path=xl/worksheets/sheet1.xml><?xml version="1.0" encoding="utf-8"?>
<x:worksheet xmlns:x="http://schemas.openxmlformats.org/spreadsheetml/2006/main">
  <x:sheetViews>
    <x:sheetView showGridLines="0" workbookViewId="0"/>
  </x:sheetViews>
  <x:sheetFormatPr defaultRowHeight="15"/>
  <x:cols>
    <x:col min="1" max="1" width="39" hidden="0" customWidth="1"/>
    <x:col min="2" max="2" width="20" hidden="0" customWidth="1"/>
    <x:col min="3" max="3" width="24" hidden="0" customWidth="1"/>
    <x:col min="4" max="4" width="3"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s>
  <x:sheetData>
    <x:row r="1" ht="36" customHeight="1">
      <x:c r="A1" s="66" t="str">
        <x:v>Frontier parameter estimates — horizon-informed posterior</x:v>
      </x:c>
      <x:c r="B1" s="66"/>
      <x:c r="C1" s="66"/>
      <x:c r="D1" s="66"/>
      <x:c r="E1" s="66"/>
      <x:c r="F1" s="66"/>
      <x:c r="G1" s="66"/>
      <x:c r="H1" s="66"/>
      <x:c r="I1" s="66"/>
      <x:c r="J1" s="66"/>
      <x:c r="K1" s="66"/>
      <x:c r="L1" s="66"/>
      <x:c r="M1" s="66"/>
      <x:c r="N1" s="66"/>
      <x:c r="O1" s="66"/>
      <x:c r="P1" s="66"/>
      <x:c r="Q1" s="66"/>
    </x:row>
    <x:row r="2">
      <x:c r="A2" s="6" t="str">
        <x:v>Final Bayesian blend: 42.5% AA+ECI benchmark signal, 7.5% API-price signal, and 50% no-CoT horizon signal. K3 and Grok remain disclosed anchors. Opus 4.7/4.8 is one shared base. Fable is shown as a regular model. Gemini and error bars are omitted, and display precision is capped at one decimal.</x:v>
      </x:c>
      <x:c r="B2" s="6"/>
      <x:c r="C2" s="6"/>
      <x:c r="D2" s="6"/>
      <x:c r="E2" s="6"/>
      <x:c r="F2" s="6"/>
      <x:c r="G2" s="6"/>
      <x:c r="H2" s="6"/>
      <x:c r="I2" s="6"/>
      <x:c r="J2" s="6"/>
      <x:c r="K2" s="6"/>
      <x:c r="L2" s="6"/>
      <x:c r="M2" s="6"/>
      <x:c r="N2" s="6"/>
      <x:c r="O2" s="6"/>
      <x:c r="P2" s="6"/>
      <x:c r="Q2" s="6"/>
    </x:row>
    <x:row r="3">
      <x:c r="A3" s="6"/>
      <x:c r="B3" s="6"/>
      <x:c r="C3" s="6"/>
      <x:c r="D3" s="6"/>
      <x:c r="E3" s="6"/>
      <x:c r="F3" s="6"/>
      <x:c r="G3" s="6"/>
      <x:c r="H3" s="6"/>
      <x:c r="I3" s="6"/>
      <x:c r="J3" s="6"/>
      <x:c r="K3" s="6"/>
      <x:c r="L3" s="6"/>
      <x:c r="M3" s="6"/>
      <x:c r="N3" s="6"/>
      <x:c r="O3" s="6"/>
      <x:c r="P3" s="6"/>
      <x:c r="Q3" s="6"/>
    </x:row>
    <x:row r="5" ht="34" customHeight="1">
      <x:c r="A5" s="71" t="str">
        <x:v>Model / base</x:v>
      </x:c>
      <x:c r="B5" s="71" t="str">
        <x:v>Posterior total (T)</x:v>
      </x:c>
      <x:c r="C5" s="71" t="str">
        <x:v>Status</x:v>
      </x:c>
      <x:c r="D5"/>
      <x:c r="E5"/>
      <x:c r="F5"/>
      <x:c r="G5"/>
    </x:row>
    <x:row r="6">
      <x:c r="A6" s="16" t="str">
        <x:f>'Horizon Estimates'!A6</x:f>
        <x:v>Claude Fable 5</x:v>
      </x:c>
      <x:c r="B6" s="118" t="n">
        <x:f>'Horizon Estimates'!G6</x:f>
        <x:v>4.72759537826137</x:v>
      </x:c>
      <x:c r="C6" s="16" t="str">
        <x:f>'Horizon Estimates'!K6</x:f>
        <x:v>Regression estimate</x:v>
      </x:c>
      <x:c r="D6"/>
      <x:c r="E6"/>
      <x:c r="F6"/>
      <x:c r="G6"/>
    </x:row>
    <x:row r="7">
      <x:c r="A7" s="17" t="str">
        <x:f>'Horizon Estimates'!A7</x:f>
        <x:v>GPT-5.6 Sol</x:v>
      </x:c>
      <x:c r="B7" s="119" t="n">
        <x:f>'Horizon Estimates'!G7</x:f>
        <x:v>3.1554740585804897</x:v>
      </x:c>
      <x:c r="C7" s="17" t="str">
        <x:f>'Horizon Estimates'!K7</x:f>
        <x:v>Regression estimate</x:v>
      </x:c>
      <x:c r="D7"/>
      <x:c r="E7"/>
      <x:c r="F7"/>
      <x:c r="G7"/>
    </x:row>
    <x:row r="8">
      <x:c r="A8" s="17" t="str">
        <x:f>'Horizon Estimates'!A8</x:f>
        <x:v>Kimi K3</x:v>
      </x:c>
      <x:c r="B8" s="119" t="n">
        <x:f>'Horizon Estimates'!G8</x:f>
        <x:v>2.8</x:v>
      </x:c>
      <x:c r="C8" s="17" t="str">
        <x:f>'Horizon Estimates'!K8</x:f>
        <x:v>Disclosed anchor</x:v>
      </x:c>
      <x:c r="D8"/>
      <x:c r="E8"/>
      <x:c r="F8"/>
      <x:c r="G8"/>
    </x:row>
    <x:row r="9">
      <x:c r="A9" s="17" t="str">
        <x:f>'Horizon Estimates'!A9</x:f>
        <x:v>Claude Opus 4.7 / 4.8 shared base</x:v>
      </x:c>
      <x:c r="B9" s="119" t="n">
        <x:f>'Horizon Estimates'!G9</x:f>
        <x:v>2.7330419454638553</x:v>
      </x:c>
      <x:c r="C9" s="17" t="str">
        <x:f>'Horizon Estimates'!K9</x:f>
        <x:v>Regression estimate</x:v>
      </x:c>
      <x:c r="D9"/>
      <x:c r="E9"/>
      <x:c r="F9"/>
      <x:c r="G9"/>
    </x:row>
    <x:row r="10">
      <x:c r="A10" s="17" t="str">
        <x:f>'Horizon Estimates'!A10</x:f>
        <x:v>GPT-5.5</x:v>
      </x:c>
      <x:c r="B10" s="119" t="n">
        <x:f>'Horizon Estimates'!G10</x:f>
        <x:v>2.3227260753366847</x:v>
      </x:c>
      <x:c r="C10" s="17" t="str">
        <x:f>'Horizon Estimates'!K10</x:f>
        <x:v>Regression estimate</x:v>
      </x:c>
      <x:c r="D10"/>
      <x:c r="E10"/>
      <x:c r="F10"/>
      <x:c r="G10"/>
    </x:row>
    <x:row r="11">
      <x:c r="A11" s="17" t="str">
        <x:f>'Horizon Estimates'!A11</x:f>
        <x:v>GPT-5.6 Terra</x:v>
      </x:c>
      <x:c r="B11" s="119" t="n">
        <x:f>'Horizon Estimates'!G11</x:f>
        <x:v>2.1398092803630284</x:v>
      </x:c>
      <x:c r="C11" s="17" t="str">
        <x:f>'Horizon Estimates'!K11</x:f>
        <x:v>Regression estimate</x:v>
      </x:c>
      <x:c r="D11"/>
      <x:c r="E11"/>
      <x:c r="F11"/>
      <x:c r="G11"/>
    </x:row>
    <x:row r="12">
      <x:c r="A12" s="17" t="str">
        <x:f>'Horizon Estimates'!A12</x:f>
        <x:v>Claude Sonnet 5</x:v>
      </x:c>
      <x:c r="B12" s="119" t="n">
        <x:f>'Horizon Estimates'!G12</x:f>
        <x:v>1.561644606676216</x:v>
      </x:c>
      <x:c r="C12" s="17" t="str">
        <x:f>'Horizon Estimates'!K12</x:f>
        <x:v>Regression estimate</x:v>
      </x:c>
      <x:c r="D12"/>
      <x:c r="E12"/>
      <x:c r="F12"/>
      <x:c r="G12"/>
    </x:row>
    <x:row r="13">
      <x:c r="A13" s="17" t="str">
        <x:f>'Horizon Estimates'!A13</x:f>
        <x:v>GPT-5.6 Luna</x:v>
      </x:c>
      <x:c r="B13" s="119" t="n">
        <x:f>'Horizon Estimates'!G13</x:f>
        <x:v>1.464672059981554</x:v>
      </x:c>
      <x:c r="C13" s="17" t="str">
        <x:f>'Horizon Estimates'!K13</x:f>
        <x:v>Regression estimate</x:v>
      </x:c>
      <x:c r="D13"/>
      <x:c r="E13"/>
      <x:c r="F13"/>
      <x:c r="G13"/>
    </x:row>
    <x:row r="14">
      <x:c r="A14" s="18" t="str">
        <x:f>'Horizon Estimates'!A14</x:f>
        <x:v>Grok 4.5</x:v>
      </x:c>
      <x:c r="B14" s="120" t="n">
        <x:f>'Horizon Estimates'!G14</x:f>
        <x:v>1.5</x:v>
      </x:c>
      <x:c r="C14" s="18" t="str">
        <x:f>'Horizon Estimates'!K14</x:f>
        <x:v>Disclosed anchor</x:v>
      </x:c>
      <x:c r="D14"/>
      <x:c r="E14"/>
      <x:c r="F14"/>
      <x:c r="G14"/>
    </x:row>
    <x:row r="15">
      <x:c r="A15"/>
      <x:c r="B15"/>
      <x:c r="C15"/>
      <x:c r="D15"/>
      <x:c r="E15"/>
      <x:c r="F15"/>
      <x:c r="G15"/>
    </x:row>
    <x:row r="16">
      <x:c r="A16"/>
      <x:c r="B16"/>
      <x:c r="C16"/>
      <x:c r="D16"/>
      <x:c r="E16"/>
      <x:c r="F16"/>
      <x:c r="G16"/>
    </x:row>
    <x:row r="17">
      <x:c r="A17" s="144" t="str">
        <x:v>Final centers
Fable 4.7T · Sol 3.2T · K3 2.8T
Opus shared 2.7T · GPT-5.5 2.3T</x:v>
      </x:c>
      <x:c r="B17" s="145"/>
      <x:c r="C17" s="145"/>
    </x:row>
    <x:row r="18">
      <x:c r="A18" s="144"/>
      <x:c r="B18" s="145"/>
      <x:c r="C18" s="145"/>
    </x:row>
    <x:row r="19">
      <x:c r="A19" s="144"/>
      <x:c r="B19" s="145"/>
      <x:c r="C19" s="145"/>
    </x:row>
    <x:row r="20">
      <x:c r="A20"/>
      <x:c r="B20"/>
      <x:c r="C20"/>
      <x:c r="D20"/>
      <x:c r="E20"/>
      <x:c r="F20"/>
      <x:c r="G20"/>
      <x:c r="H20"/>
      <x:c r="I20"/>
      <x:c r="J20"/>
      <x:c r="K20"/>
      <x:c r="L20"/>
      <x:c r="M20"/>
      <x:c r="N20"/>
      <x:c r="O20"/>
      <x:c r="P20"/>
      <x:c r="Q20"/>
    </x:row>
    <x:row r="21">
      <x:c r="A21" s="113" t="str">
        <x:v>Why Fable moved: the 50% horizon branch combines the paper's 4.2× total-parameter increase per TH doubling with Ryan Greenblatt's corrected view that K3's 2.8T pretrain is roughly Opus-4.5-level and ~8 months behind Anthropic. Sol stays close to the prior because same-base GPT evidence attributes much of 5→5.5 progress to post-training.</x:v>
      </x:c>
      <x:c r="B21" s="114"/>
      <x:c r="C21" s="114"/>
      <x:c r="D21"/>
      <x:c r="E21"/>
      <x:c r="F21"/>
      <x:c r="G21"/>
      <x:c r="H21"/>
      <x:c r="I21"/>
      <x:c r="J21"/>
      <x:c r="K21"/>
      <x:c r="L21"/>
      <x:c r="M21"/>
      <x:c r="N21"/>
      <x:c r="O21"/>
      <x:c r="P21"/>
      <x:c r="Q21"/>
    </x:row>
    <x:row r="22">
      <x:c r="A22" s="113"/>
      <x:c r="B22" s="114"/>
      <x:c r="C22" s="114"/>
      <x:c r="D22"/>
      <x:c r="E22"/>
      <x:c r="F22"/>
      <x:c r="G22"/>
      <x:c r="H22"/>
      <x:c r="I22"/>
      <x:c r="J22"/>
      <x:c r="K22"/>
      <x:c r="L22"/>
      <x:c r="M22"/>
      <x:c r="N22"/>
      <x:c r="O22"/>
      <x:c r="P22"/>
      <x:c r="Q22"/>
    </x:row>
    <x:row r="23">
      <x:c r="A23" s="113"/>
      <x:c r="B23" s="114"/>
      <x:c r="C23" s="114"/>
    </x:row>
    <x:row r="24">
      <x:c r="A24" s="113"/>
      <x:c r="B24" s="114"/>
      <x:c r="C24" s="114"/>
      <x:c r="D24"/>
      <x:c r="E24"/>
      <x:c r="F24"/>
      <x:c r="G24"/>
      <x:c r="H24"/>
      <x:c r="I24"/>
      <x:c r="J24"/>
      <x:c r="K24"/>
      <x:c r="L24"/>
      <x:c r="M24"/>
      <x:c r="N24"/>
      <x:c r="O24"/>
      <x:c r="P24"/>
      <x:c r="Q24"/>
    </x:row>
    <x:row r="25">
      <x:c r="A25" s="113"/>
      <x:c r="B25" s="114"/>
      <x:c r="C25" s="114"/>
      <x:c r="D25"/>
      <x:c r="E25"/>
      <x:c r="F25"/>
      <x:c r="G25"/>
      <x:c r="H25"/>
      <x:c r="I25"/>
      <x:c r="J25"/>
      <x:c r="K25"/>
      <x:c r="L25"/>
      <x:c r="M25"/>
      <x:c r="N25"/>
      <x:c r="O25"/>
      <x:c r="P25"/>
      <x:c r="Q25"/>
    </x:row>
    <x:row r="26">
      <x:c r="A26"/>
      <x:c r="B26"/>
      <x:c r="C26"/>
      <x:c r="D26"/>
      <x:c r="E26"/>
      <x:c r="F26"/>
      <x:c r="G26"/>
      <x:c r="H26"/>
      <x:c r="I26"/>
      <x:c r="J26"/>
      <x:c r="K26"/>
      <x:c r="L26"/>
      <x:c r="M26"/>
      <x:c r="N26"/>
      <x:c r="O26"/>
      <x:c r="P26"/>
      <x:c r="Q26"/>
    </x:row>
  </x:sheetData>
  <x:mergeCells>
    <x:mergeCell ref="A1:Q1"/>
    <x:mergeCell ref="A2:Q3"/>
    <x:mergeCell ref="A17:C19"/>
    <x:mergeCell ref="A21:C25"/>
  </x:mergeCells>
  <x:conditionalFormatting sqref="G6:G16">
    <x:cfRule type="containsText" dxfId="1" priority="1" operator="containsText" text="anchor"/>
  </x:conditionalFormatting>
  <x:conditionalFormatting sqref="C6:C14">
    <x:cfRule type="containsText" dxfId="11" priority="2" operator="containsText" text="Disclosed"/>
  </x:conditionalFormatting>
  <x:pageMargins left="0.7" right="0.7" top="0.75" bottom="0.75" header="0.3" footer="0.3"/>
  <x:drawing xmlns:r="http://schemas.openxmlformats.org/officeDocument/2006/relationships" r:id="R5eabf3e60f414e80"/>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36" hidden="0" customWidth="1"/>
    <x:col min="3" max="3" width="12" hidden="0" customWidth="1"/>
    <x:col min="4" max="4" width="12"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26" hidden="0" customWidth="1"/>
    <x:col min="17" max="17" width="65" hidden="0" customWidth="1"/>
    <x:col min="18" max="18" width="50" hidden="0" customWidth="1"/>
  </x:cols>
  <x:sheetData>
    <x:row r="1" ht="36" customHeight="1">
      <x:c r="A1" s="3" t="str">
        <x:v>Frontier parameter estimates — price-informed and base-collapsed</x:v>
      </x:c>
      <x:c r="B1" s="3"/>
      <x:c r="C1" s="3"/>
      <x:c r="D1" s="3"/>
      <x:c r="E1" s="3"/>
      <x:c r="F1" s="3"/>
      <x:c r="G1" s="3"/>
      <x:c r="H1" s="3"/>
      <x:c r="I1" s="3"/>
      <x:c r="J1" s="3"/>
      <x:c r="K1" s="3"/>
      <x:c r="L1" s="3"/>
      <x:c r="M1" s="3"/>
      <x:c r="N1" s="3"/>
      <x:c r="O1" s="3"/>
      <x:c r="P1" s="3"/>
      <x:c r="Q1" s="3"/>
      <x:c r="R1" s="3"/>
    </x:row>
    <x:row r="2">
      <x:c r="A2" s="6" t="str">
        <x:v>Primary estimates retain the K3-anchored benchmark/date model. Grok 4.5 is pegged directly to the 1.5T founder disclosure. API price adds only 15% log weight through a leave-one-base-out OpenAI/Anthropic fit. The conservative ×/÷3.03 band is unchanged.</x:v>
      </x:c>
      <x:c r="B2" s="6"/>
      <x:c r="C2" s="6"/>
      <x:c r="D2" s="6"/>
      <x:c r="E2" s="6"/>
      <x:c r="F2" s="6"/>
      <x:c r="G2" s="6"/>
      <x:c r="H2" s="6"/>
      <x:c r="I2" s="6"/>
      <x:c r="J2" s="6"/>
      <x:c r="K2" s="6"/>
      <x:c r="L2" s="6"/>
      <x:c r="M2" s="6"/>
      <x:c r="N2" s="6"/>
      <x:c r="O2" s="6"/>
      <x:c r="P2" s="6"/>
      <x:c r="Q2" s="6"/>
      <x:c r="R2" s="6"/>
    </x:row>
    <x:row r="3">
      <x:c r="A3" s="6"/>
      <x:c r="B3" s="6"/>
      <x:c r="C3" s="6"/>
      <x:c r="D3" s="6"/>
      <x:c r="E3" s="6"/>
      <x:c r="F3" s="6"/>
      <x:c r="G3" s="6"/>
      <x:c r="H3" s="6"/>
      <x:c r="I3" s="6"/>
      <x:c r="J3" s="6"/>
      <x:c r="K3" s="6"/>
      <x:c r="L3" s="6"/>
      <x:c r="M3" s="6"/>
      <x:c r="N3" s="6"/>
      <x:c r="O3" s="6"/>
      <x:c r="P3" s="6"/>
      <x:c r="Q3" s="6"/>
      <x:c r="R3" s="6"/>
    </x:row>
    <x:row r="5" ht="34" customHeight="1">
      <x:c r="A5" s="11" t="str">
        <x:v>Release</x:v>
      </x:c>
      <x:c r="B5" s="11" t="str">
        <x:v>Model / base</x:v>
      </x:c>
      <x:c r="C5" s="11" t="str">
        <x:v>AA v4.1</x:v>
      </x:c>
      <x:c r="D5" s="11" t="str">
        <x:v>ECI</x:v>
      </x:c>
      <x:c r="E5" s="11" t="str">
        <x:v>Primary benchmark (T)</x:v>
      </x:c>
      <x:c r="F5" s="11" t="str">
        <x:v>Provider</x:v>
      </x:c>
      <x:c r="G5" s="11" t="str">
        <x:v>Input $/MTok</x:v>
      </x:c>
      <x:c r="H5" s="11" t="str">
        <x:v>Output $/MTok</x:v>
      </x:c>
      <x:c r="I5" s="11" t="str">
        <x:v>Tokenizer factor</x:v>
      </x:c>
      <x:c r="J5" s="11" t="str">
        <x:v>Price index z</x:v>
      </x:c>
      <x:c r="K5" s="11" t="str">
        <x:v>LOBO price-implied (T)</x:v>
      </x:c>
      <x:c r="L5" s="11" t="str">
        <x:v>Price log weight</x:v>
      </x:c>
      <x:c r="M5" s="11" t="str">
        <x:v>Final central (T)</x:v>
      </x:c>
      <x:c r="N5" s="11" t="str">
        <x:v>Error low (T)</x:v>
      </x:c>
      <x:c r="O5" s="11" t="str">
        <x:v>Error high (T)</x:v>
      </x:c>
      <x:c r="P5" s="11" t="str">
        <x:v>Status</x:v>
      </x:c>
      <x:c r="Q5" s="11" t="str">
        <x:v>Method note</x:v>
      </x:c>
      <x:c r="R5" s="11" t="str">
        <x:v>Price source</x:v>
      </x:c>
    </x:row>
    <x:row r="6">
      <x:c r="A6" s="30" t="n">
        <x:v>46182</x:v>
      </x:c>
      <x:c r="B6" s="16" t="str">
        <x:v>Claude Fable 5</x:v>
      </x:c>
      <x:c r="C6" s="19" t="n">
        <x:v>60</x:v>
      </x:c>
      <x:c r="D6" s="19" t="n">
        <x:v>160.44</x:v>
      </x:c>
      <x:c r="E6" s="19" t="n">
        <x:v>3.5009724758824072</x:v>
      </x:c>
      <x:c r="F6" s="19" t="str">
        <x:v>Anthropic</x:v>
      </x:c>
      <x:c r="G6" s="19" t="n">
        <x:v>10</x:v>
      </x:c>
      <x:c r="H6" s="19" t="n">
        <x:v>50</x:v>
      </x:c>
      <x:c r="I6" s="19" t="n">
        <x:v>1.3</x:v>
      </x:c>
      <x:c r="J6" s="19" t="n">
        <x:f>SQRT(G6*H6)*I6</x:f>
        <x:v>29.068883707497267</x:v>
      </x:c>
      <x:c r="K6" s="19" t="n">
        <x:f>'Price Model'!N15</x:f>
        <x:v>2.9989015106599064</x:v>
      </x:c>
      <x:c r="L6" s="33" t="n">
        <x:f>'Price Model'!$B$12</x:f>
        <x:v>0.15</x:v>
      </x:c>
      <x:c r="M6" s="35" t="n">
        <x:f>POWER(E6,1-L6)*POWER(K6,L6)</x:f>
        <x:v>3.420619147282</x:v>
      </x:c>
      <x:c r="N6" s="19" t="n">
        <x:f>M6/'Anchors &amp; Method'!$B$12</x:f>
        <x:v>1.1292265912326354</x:v>
      </x:c>
      <x:c r="O6" s="19" t="n">
        <x:f>M6*'Anchors &amp; Method'!$B$12</x:f>
        <x:v>10.361636399281135</x:v>
      </x:c>
      <x:c r="P6" s="22" t="str">
        <x:v>Regression estimate</x:v>
      </x:c>
      <x:c r="Q6" s="22" t="str">
        <x:v>Regular model per user instruction; price-smoothed from the dated benchmark ensemble.</x:v>
      </x:c>
      <x:c r="R6" s="22" t="str">
        <x:v>https://platform.claude.com/docs/en/about-claude/pricing</x:v>
      </x:c>
    </x:row>
    <x:row r="7">
      <x:c r="A7" s="31" t="n">
        <x:v>46212</x:v>
      </x:c>
      <x:c r="B7" s="17" t="str">
        <x:v>GPT-5.6 Sol</x:v>
      </x:c>
      <x:c r="C7" s="20" t="n">
        <x:v>59</x:v>
      </x:c>
      <x:c r="D7" s="20" t="n">
        <x:v>161.77</x:v>
      </x:c>
      <x:c r="E7" s="20" t="n">
        <x:v>3.4292100769491034</x:v>
      </x:c>
      <x:c r="F7" s="20" t="str">
        <x:v>OpenAI</x:v>
      </x:c>
      <x:c r="G7" s="20" t="n">
        <x:v>5</x:v>
      </x:c>
      <x:c r="H7" s="20" t="n">
        <x:v>30</x:v>
      </x:c>
      <x:c r="I7" s="20" t="n">
        <x:v>1</x:v>
      </x:c>
      <x:c r="J7" s="20" t="n">
        <x:f>SQRT(G7*H7)*I7</x:f>
        <x:v>12.24744871391589</x:v>
      </x:c>
      <x:c r="K7" s="20" t="n">
        <x:f>'Price Model'!N16</x:f>
        <x:v>2.860217101040209</x:v>
      </x:c>
      <x:c r="L7" s="34" t="n">
        <x:f>'Price Model'!$B$12</x:f>
        <x:v>0.15</x:v>
      </x:c>
      <x:c r="M7" s="36" t="n">
        <x:f>POWER(E7,1-L7)*POWER(K7,L7)</x:f>
        <x:v>3.337143079854522</x:v>
      </x:c>
      <x:c r="N7" s="20" t="n">
        <x:f>M7/'Anchors &amp; Method'!$B$12</x:f>
        <x:v>1.1016691839294759</x:v>
      </x:c>
      <x:c r="O7" s="20" t="n">
        <x:f>M7*'Anchors &amp; Method'!$B$12</x:f>
        <x:v>10.10877321238917</x:v>
      </x:c>
      <x:c r="P7" s="23" t="str">
        <x:v>Regression estimate</x:v>
      </x:c>
      <x:c r="Q7" s="23" t="str">
        <x:v>Standard short-context price; max benchmark configuration.</x:v>
      </x:c>
      <x:c r="R7" s="23" t="str">
        <x:v>https://developers.openai.com/api/docs/pricing</x:v>
      </x:c>
    </x:row>
    <x:row r="8">
      <x:c r="A8" s="31" t="n">
        <x:v>46219</x:v>
      </x:c>
      <x:c r="B8" s="17" t="str">
        <x:v>Kimi K3</x:v>
      </x:c>
      <x:c r="C8" s="20" t="n">
        <x:v>57.1123394372091</x:v>
      </x:c>
      <x:c r="D8" s="20"/>
      <x:c r="E8" s="20" t="n">
        <x:v>2.8</x:v>
      </x:c>
      <x:c r="F8" s="20" t="str">
        <x:v>Moonshot AI</x:v>
      </x:c>
      <x:c r="G8" s="20"/>
      <x:c r="H8" s="20"/>
      <x:c r="I8" s="20" t="n">
        <x:v>1</x:v>
      </x:c>
      <x:c r="J8" s="20"/>
      <x:c r="K8" s="20"/>
      <x:c r="L8" s="34" t="n">
        <x:v>0</x:v>
      </x:c>
      <x:c r="M8" s="36" t="n">
        <x:f>E8</x:f>
        <x:v>2.8</x:v>
      </x:c>
      <x:c r="N8" s="20"/>
      <x:c r="O8" s="20"/>
      <x:c r="P8" s="23" t="str">
        <x:v>Disclosed anchor</x:v>
      </x:c>
      <x:c r="Q8" s="23" t="str">
        <x:v>2.8T disclosed total; active parameters undisclosed. No regression whisker.</x:v>
      </x:c>
      <x:c r="R8" s="23" t="str"/>
    </x:row>
    <x:row r="9">
      <x:c r="A9" s="31" t="n">
        <x:v>46135</x:v>
      </x:c>
      <x:c r="B9" s="17" t="str">
        <x:v>GPT-5.5</x:v>
      </x:c>
      <x:c r="C9" s="20" t="n">
        <x:v>55</x:v>
      </x:c>
      <x:c r="D9" s="20" t="n">
        <x:v>158.33</x:v>
      </x:c>
      <x:c r="E9" s="20" t="n">
        <x:v>2.5655772005746638</x:v>
      </x:c>
      <x:c r="F9" s="20" t="str">
        <x:v>OpenAI</x:v>
      </x:c>
      <x:c r="G9" s="20" t="n">
        <x:v>5</x:v>
      </x:c>
      <x:c r="H9" s="20" t="n">
        <x:v>30</x:v>
      </x:c>
      <x:c r="I9" s="20" t="n">
        <x:v>1</x:v>
      </x:c>
      <x:c r="J9" s="20" t="n">
        <x:f>SQRT(G9*H9)*I9</x:f>
        <x:v>12.24744871391589</x:v>
      </x:c>
      <x:c r="K9" s="20" t="n">
        <x:f>'Price Model'!N17</x:f>
        <x:v>3.3641649669213614</x:v>
      </x:c>
      <x:c r="L9" s="34" t="n">
        <x:f>'Price Model'!$B$12</x:f>
        <x:v>0.15</x:v>
      </x:c>
      <x:c r="M9" s="36" t="n">
        <x:f>POWER(E9,1-L9)*POWER(K9,L9)</x:f>
        <x:v>2.672015154705486</x:v>
      </x:c>
      <x:c r="N9" s="20" t="n">
        <x:f>M9/'Anchors &amp; Method'!$B$12</x:f>
        <x:v>0.8820948591331931</x:v>
      </x:c>
      <x:c r="O9" s="20" t="n">
        <x:f>M9*'Anchors &amp; Method'!$B$12</x:f>
        <x:v>8.09398775318984</x:v>
      </x:c>
      <x:c r="P9" s="23" t="str">
        <x:v>Regression estimate</x:v>
      </x:c>
      <x:c r="Q9" s="23" t="str">
        <x:v>Base service price only; Pro service tiers are not separate base-model observations.</x:v>
      </x:c>
      <x:c r="R9" s="23" t="str">
        <x:v>https://developers.openai.com/api/docs/pricing</x:v>
      </x:c>
    </x:row>
    <x:row r="10">
      <x:c r="A10" s="31" t="n">
        <x:v>46170</x:v>
      </x:c>
      <x:c r="B10" s="17" t="str">
        <x:v>Claude Opus 4.7 / 4.8 shared base</x:v>
      </x:c>
      <x:c r="C10" s="20" t="n">
        <x:v>55</x:v>
      </x:c>
      <x:c r="D10" s="20" t="n">
        <x:v>156.93</x:v>
      </x:c>
      <x:c r="E10" s="20" t="n">
        <x:v>2.313163214231789</x:v>
      </x:c>
      <x:c r="F10" s="20" t="str">
        <x:v>Anthropic</x:v>
      </x:c>
      <x:c r="G10" s="20" t="n">
        <x:v>5</x:v>
      </x:c>
      <x:c r="H10" s="20" t="n">
        <x:v>25</x:v>
      </x:c>
      <x:c r="I10" s="20" t="n">
        <x:v>1.3</x:v>
      </x:c>
      <x:c r="J10" s="20" t="n">
        <x:f>SQRT(G10*H10)*I10</x:f>
        <x:v>14.534441853748634</x:v>
      </x:c>
      <x:c r="K10" s="20" t="n">
        <x:f>'Price Model'!N18</x:f>
        <x:v>2.440510584757213</x:v>
      </x:c>
      <x:c r="L10" s="34" t="n">
        <x:f>'Price Model'!$B$12</x:f>
        <x:v>0.15</x:v>
      </x:c>
      <x:c r="M10" s="36" t="n">
        <x:f>POWER(E10,1-L10)*POWER(K10,L10)</x:f>
        <x:v>2.3318329775695745</x:v>
      </x:c>
      <x:c r="N10" s="20" t="n">
        <x:f>M10/'Anchors &amp; Method'!$B$12</x:f>
        <x:v>0.7697927454674496</x:v>
      </x:c>
      <x:c r="O10" s="20" t="n">
        <x:f>M10*'Anchors &amp; Method'!$B$12</x:f>
        <x:v>7.063518157707694</x:v>
      </x:c>
      <x:c r="P10" s="23" t="str">
        <x:v>Regression estimate</x:v>
      </x:c>
      <x:c r="Q10" s="23" t="str">
        <x:v>One latent base observation; 4.7 and 4.8 checkpoint estimates are collapsed geometrically.</x:v>
      </x:c>
      <x:c r="R10" s="23" t="str">
        <x:v>https://platform.claude.com/docs/en/about-claude/pricing</x:v>
      </x:c>
    </x:row>
    <x:row r="11">
      <x:c r="A11" s="31" t="n">
        <x:v>46212</x:v>
      </x:c>
      <x:c r="B11" s="17" t="str">
        <x:v>GPT-5.6 Terra</x:v>
      </x:c>
      <x:c r="C11" s="20" t="n">
        <x:v>55</x:v>
      </x:c>
      <x:c r="D11" s="20" t="n">
        <x:v>158.25</x:v>
      </x:c>
      <x:c r="E11" s="20" t="n">
        <x:v>2.2665558150589984</x:v>
      </x:c>
      <x:c r="F11" s="20" t="str">
        <x:v>OpenAI</x:v>
      </x:c>
      <x:c r="G11" s="20" t="n">
        <x:v>2.5</x:v>
      </x:c>
      <x:c r="H11" s="20" t="n">
        <x:v>15</x:v>
      </x:c>
      <x:c r="I11" s="20" t="n">
        <x:v>1</x:v>
      </x:c>
      <x:c r="J11" s="20" t="n">
        <x:f>SQRT(G11*H11)*I11</x:f>
        <x:v>6.123724356957945</x:v>
      </x:c>
      <x:c r="K11" s="20" t="n">
        <x:f>'Price Model'!N19</x:f>
        <x:v>2.2429804925499206</x:v>
      </x:c>
      <x:c r="L11" s="34" t="n">
        <x:f>'Price Model'!$B$12</x:f>
        <x:v>0.15</x:v>
      </x:c>
      <x:c r="M11" s="36" t="n">
        <x:f>POWER(E11,1-L11)*POWER(K11,L11)</x:f>
        <x:v>2.2630037831413268</x:v>
      </x:c>
      <x:c r="N11" s="20" t="n">
        <x:f>M11/'Anchors &amp; Method'!$B$12</x:f>
        <x:v>0.7470706143985005</x:v>
      </x:c>
      <x:c r="O11" s="20" t="n">
        <x:f>M11*'Anchors &amp; Method'!$B$12</x:f>
        <x:v>6.855022836944604</x:v>
      </x:c>
      <x:c r="P11" s="23" t="str">
        <x:v>Regression estimate</x:v>
      </x:c>
      <x:c r="Q11" s="23" t="str">
        <x:v>Standard short-context price.</x:v>
      </x:c>
      <x:c r="R11" s="23" t="str">
        <x:v>https://developers.openai.com/api/docs/pricing</x:v>
      </x:c>
    </x:row>
    <x:row r="12">
      <x:c r="A12" s="31" t="n">
        <x:v>46203</x:v>
      </x:c>
      <x:c r="B12" s="17" t="str">
        <x:v>Claude Sonnet 5</x:v>
      </x:c>
      <x:c r="C12" s="20" t="n">
        <x:v>53</x:v>
      </x:c>
      <x:c r="D12" s="20" t="n">
        <x:v>153.2</x:v>
      </x:c>
      <x:c r="E12" s="20" t="n">
        <x:v>1.5414601447886873</x:v>
      </x:c>
      <x:c r="F12" s="20" t="str">
        <x:v>Anthropic</x:v>
      </x:c>
      <x:c r="G12" s="20" t="n">
        <x:v>2</x:v>
      </x:c>
      <x:c r="H12" s="20" t="n">
        <x:v>10</x:v>
      </x:c>
      <x:c r="I12" s="20" t="n">
        <x:v>1.3</x:v>
      </x:c>
      <x:c r="J12" s="20" t="n">
        <x:f>SQRT(G12*H12)*I12</x:f>
        <x:v>5.813776741499454</x:v>
      </x:c>
      <x:c r="K12" s="20" t="n">
        <x:f>'Price Model'!N20</x:f>
        <x:v>1.6811185328664842</x:v>
      </x:c>
      <x:c r="L12" s="34" t="n">
        <x:f>'Price Model'!$B$12</x:f>
        <x:v>0.15</x:v>
      </x:c>
      <x:c r="M12" s="36" t="n">
        <x:f>POWER(E12,1-L12)*POWER(K12,L12)</x:f>
        <x:v>1.5616446066762157</x:v>
      </x:c>
      <x:c r="N12" s="20" t="n">
        <x:f>M12/'Anchors &amp; Method'!$B$12</x:f>
        <x:v>0.5155355039496398</x:v>
      </x:c>
      <x:c r="O12" s="20" t="n">
        <x:f>M12*'Anchors &amp; Method'!$B$12</x:f>
        <x:v>4.7304867635249055</x:v>
      </x:c>
      <x:c r="P12" s="23" t="str">
        <x:v>Regression estimate</x:v>
      </x:c>
      <x:c r="Q12" s="23" t="str">
        <x:v>Current introductory price through 2026-08-31; announced future $3/$15 excluded.</x:v>
      </x:c>
      <x:c r="R12" s="23" t="str">
        <x:v>https://platform.claude.com/docs/en/about-claude/pricing</x:v>
      </x:c>
    </x:row>
    <x:row r="13">
      <x:c r="A13" s="31" t="n">
        <x:v>46212</x:v>
      </x:c>
      <x:c r="B13" s="17" t="str">
        <x:v>GPT-5.6 Luna</x:v>
      </x:c>
      <x:c r="C13" s="20" t="n">
        <x:v>51</x:v>
      </x:c>
      <x:c r="D13" s="20" t="n">
        <x:v>155.62</x:v>
      </x:c>
      <x:c r="E13" s="20" t="n">
        <x:v>1.5781442815133315</x:v>
      </x:c>
      <x:c r="F13" s="20" t="str">
        <x:v>OpenAI</x:v>
      </x:c>
      <x:c r="G13" s="20" t="n">
        <x:v>1</x:v>
      </x:c>
      <x:c r="H13" s="20" t="n">
        <x:v>6</x:v>
      </x:c>
      <x:c r="I13" s="20" t="n">
        <x:v>1</x:v>
      </x:c>
      <x:c r="J13" s="20" t="n">
        <x:f>SQRT(G13*H13)*I13</x:f>
        <x:v>2.449489742783178</x:v>
      </x:c>
      <x:c r="K13" s="20" t="n">
        <x:f>'Price Model'!N21</x:f>
        <x:v>1.3937110229275442</x:v>
      </x:c>
      <x:c r="L13" s="34" t="n">
        <x:f>'Price Model'!$B$12</x:f>
        <x:v>0.15</x:v>
      </x:c>
      <x:c r="M13" s="36" t="n">
        <x:f>POWER(E13,1-L13)*POWER(K13,L13)</x:f>
        <x:v>1.5489971200785368</x:v>
      </x:c>
      <x:c r="N13" s="20" t="n">
        <x:f>M13/'Anchors &amp; Method'!$B$12</x:f>
        <x:v>0.5113602720505533</x:v>
      </x:c>
      <x:c r="O13" s="20" t="n">
        <x:f>M13*'Anchors &amp; Method'!$B$12</x:f>
        <x:v>4.692175378407957</x:v>
      </x:c>
      <x:c r="P13" s="23" t="str">
        <x:v>Regression estimate</x:v>
      </x:c>
      <x:c r="Q13" s="23" t="str">
        <x:v>Standard short-context price.</x:v>
      </x:c>
      <x:c r="R13" s="23" t="str">
        <x:v>https://developers.openai.com/api/docs/pricing</x:v>
      </x:c>
    </x:row>
    <x:row r="14">
      <x:c r="A14" s="31" t="n">
        <x:v>46161</x:v>
      </x:c>
      <x:c r="B14" s="17" t="str">
        <x:v>Gemini 3.5 Flash</x:v>
      </x:c>
      <x:c r="C14" s="20" t="n">
        <x:v>50</x:v>
      </x:c>
      <x:c r="D14" s="20" t="n">
        <x:v>154.58</x:v>
      </x:c>
      <x:c r="E14" s="20" t="n">
        <x:v>1.5255469569762952</x:v>
      </x:c>
      <x:c r="F14" s="20" t="str">
        <x:v>Google</x:v>
      </x:c>
      <x:c r="G14" s="20"/>
      <x:c r="H14" s="20"/>
      <x:c r="I14" s="20" t="n">
        <x:v>1</x:v>
      </x:c>
      <x:c r="J14" s="20"/>
      <x:c r="K14" s="20"/>
      <x:c r="L14" s="34" t="n">
        <x:v>0</x:v>
      </x:c>
      <x:c r="M14" s="36" t="n">
        <x:f>E14</x:f>
        <x:v>1.5255469569762952</x:v>
      </x:c>
      <x:c r="N14" s="20" t="n">
        <x:f>M14/'Anchors &amp; Method'!$B$12</x:f>
        <x:v>0.5036188233234027</x:v>
      </x:c>
      <x:c r="O14" s="20" t="n">
        <x:f>M14*'Anchors &amp; Method'!$B$12</x:f>
        <x:v>4.6211408512924965</x:v>
      </x:c>
      <x:c r="P14" s="23" t="str">
        <x:v>Regression estimate</x:v>
      </x:c>
      <x:c r="Q14" s="23" t="str">
        <x:v>No OpenAI/Anthropic price signal; benchmark estimate is unchanged.</x:v>
      </x:c>
      <x:c r="R14" s="23" t="str"/>
    </x:row>
    <x:row r="15">
      <x:c r="A15" s="31" t="n">
        <x:v>46211</x:v>
      </x:c>
      <x:c r="B15" s="17" t="str">
        <x:v>Grok 4.5</x:v>
      </x:c>
      <x:c r="C15" s="20" t="n">
        <x:v>53.8265951657731</x:v>
      </x:c>
      <x:c r="D15" s="20" t="n">
        <x:v>153.17</x:v>
      </x:c>
      <x:c r="E15" s="20" t="n">
        <x:v>1.5</x:v>
      </x:c>
      <x:c r="F15" s="20" t="str">
        <x:v>SpaceXAI</x:v>
      </x:c>
      <x:c r="G15" s="20" t="n">
        <x:v>2</x:v>
      </x:c>
      <x:c r="H15" s="20" t="n">
        <x:v>6</x:v>
      </x:c>
      <x:c r="I15" s="20" t="n">
        <x:v>1</x:v>
      </x:c>
      <x:c r="J15" s="20" t="n">
        <x:f>SQRT(G15*H15)*I15</x:f>
        <x:v>3.4641016151377544</x:v>
      </x:c>
      <x:c r="K15" s="20"/>
      <x:c r="L15" s="34" t="n">
        <x:v>0</x:v>
      </x:c>
      <x:c r="M15" s="36" t="n">
        <x:f>E15</x:f>
        <x:v>1.5</x:v>
      </x:c>
      <x:c r="N15" s="20"/>
      <x:c r="O15" s="20"/>
      <x:c r="P15" s="23" t="str">
        <x:v>Founder-disclosed anchor</x:v>
      </x:c>
      <x:c r="Q15" s="23" t="str">
        <x:v>Pegged to the public 1.5T V9 foundation disclosure; active count and architecture undisclosed.</x:v>
      </x:c>
      <x:c r="R15" s="23" t="str">
        <x:v>https://docs.x.ai/developers/models/grok-4.5</x:v>
      </x:c>
    </x:row>
    <x:row r="16">
      <x:c r="A16" s="32" t="n">
        <x:v>46072</x:v>
      </x:c>
      <x:c r="B16" s="18" t="str">
        <x:v>Gemini 3.1 Pro</x:v>
      </x:c>
      <x:c r="C16" s="21" t="n">
        <x:v>46</x:v>
      </x:c>
      <x:c r="D16" s="21" t="n">
        <x:v>154.84</x:v>
      </x:c>
      <x:c r="E16" s="21" t="n">
        <x:v>1.4436946593511875</x:v>
      </x:c>
      <x:c r="F16" s="21" t="str">
        <x:v>Google</x:v>
      </x:c>
      <x:c r="G16" s="21"/>
      <x:c r="H16" s="21"/>
      <x:c r="I16" s="21" t="n">
        <x:v>1</x:v>
      </x:c>
      <x:c r="J16" s="21"/>
      <x:c r="K16" s="21"/>
      <x:c r="L16" s="29" t="n">
        <x:v>0</x:v>
      </x:c>
      <x:c r="M16" s="37" t="n">
        <x:f>E16</x:f>
        <x:v>1.4436946593511875</x:v>
      </x:c>
      <x:c r="N16" s="21" t="n">
        <x:f>M16/'Anchors &amp; Method'!$B$12</x:f>
        <x:v>0.4765974605080762</x:v>
      </x:c>
      <x:c r="O16" s="21" t="n">
        <x:f>M16*'Anchors &amp; Method'!$B$12</x:f>
        <x:v>4.373196338933959</x:v>
      </x:c>
      <x:c r="P16" s="24" t="str">
        <x:v>Regression estimate</x:v>
      </x:c>
      <x:c r="Q16" s="24" t="str">
        <x:v>No OpenAI/Anthropic price signal; benchmark estimate is unchanged.</x:v>
      </x:c>
      <x:c r="R16" s="24" t="str"/>
    </x:row>
  </x:sheetData>
  <x:mergeCells>
    <x:mergeCell ref="A1:R1"/>
    <x:mergeCell ref="A2:R3"/>
  </x:mergeCells>
  <x:conditionalFormatting sqref="P6:P16">
    <x:cfRule type="containsText" dxfId="0" priority="1" operator="containsText" text="anchor"/>
  </x:conditionalFormatting>
  <x:pageMargins left="0.7" right="0.7" top="0.75" bottom="0.75" header="0.3" footer="0.3"/>
  <x:legacyDrawing xmlns:r="http://schemas.openxmlformats.org/officeDocument/2006/relationships" r:id="Rfe15576b9ff845cc"/>
  <x:tableParts count="1">
    <x:tablePart xmlns:r="http://schemas.openxmlformats.org/officeDocument/2006/relationships" r:id="R54521f078993466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15"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24" hidden="0" customWidth="1"/>
    <x:col min="11" max="11" width="55" hidden="0" customWidth="1"/>
    <x:col min="12" max="12" width="52" hidden="0" customWidth="1"/>
  </x:cols>
  <x:sheetData>
    <x:row r="1" ht="36" customHeight="1">
      <x:c r="A1" s="3" t="str">
        <x:v>API pricing inputs — current standard rates</x:v>
      </x:c>
      <x:c r="B1" s="3"/>
      <x:c r="C1" s="3"/>
      <x:c r="D1" s="3"/>
      <x:c r="E1" s="3"/>
      <x:c r="F1" s="3"/>
      <x:c r="G1" s="3"/>
      <x:c r="H1" s="3"/>
      <x:c r="I1" s="3"/>
      <x:c r="J1" s="3"/>
      <x:c r="K1" s="3"/>
      <x:c r="L1" s="3"/>
    </x:row>
    <x:row r="2">
      <x:c r="A2" s="6" t="str">
        <x:v>USD per million tokens as of 2026-07-17. The calibration uses only standard uncached input and output rates; cached, batch, fast, regional, and long-context modifiers are retained for audit context but excluded from the price signal.</x:v>
      </x:c>
      <x:c r="B2" s="6"/>
      <x:c r="C2" s="6"/>
      <x:c r="D2" s="6"/>
      <x:c r="E2" s="6"/>
      <x:c r="F2" s="6"/>
      <x:c r="G2" s="6"/>
      <x:c r="H2" s="6"/>
      <x:c r="I2" s="6"/>
      <x:c r="J2" s="6"/>
      <x:c r="K2" s="6"/>
      <x:c r="L2" s="6"/>
    </x:row>
    <x:row r="3">
      <x:c r="A3" s="6"/>
      <x:c r="B3" s="6"/>
      <x:c r="C3" s="6"/>
      <x:c r="D3" s="6"/>
      <x:c r="E3" s="6"/>
      <x:c r="F3" s="6"/>
      <x:c r="G3" s="6"/>
      <x:c r="H3" s="6"/>
      <x:c r="I3" s="6"/>
      <x:c r="J3" s="6"/>
      <x:c r="K3" s="6"/>
      <x:c r="L3" s="6"/>
    </x:row>
    <x:row r="5" ht="34" customHeight="1">
      <x:c r="A5" s="11" t="str">
        <x:v>Base model</x:v>
      </x:c>
      <x:c r="B5" s="11" t="str">
        <x:v>Provider</x:v>
      </x:c>
      <x:c r="C5" s="11" t="str">
        <x:v>Input $/MTok</x:v>
      </x:c>
      <x:c r="D5" s="11" t="str">
        <x:v>Output $/MTok</x:v>
      </x:c>
      <x:c r="E5" s="11" t="str">
        <x:v>Cached input $/MTok</x:v>
      </x:c>
      <x:c r="F5" s="11" t="str">
        <x:v>5m cache write $/MTok</x:v>
      </x:c>
      <x:c r="G5" s="11" t="str">
        <x:v>Long input $/MTok</x:v>
      </x:c>
      <x:c r="H5" s="11" t="str">
        <x:v>Long output $/MTok</x:v>
      </x:c>
      <x:c r="I5" s="11" t="str">
        <x:v>Tokenizer factor</x:v>
      </x:c>
      <x:c r="J5" s="11" t="str">
        <x:v>Rate used</x:v>
      </x:c>
      <x:c r="K5" s="11" t="str">
        <x:v>Official source</x:v>
      </x:c>
      <x:c r="L5" s="11" t="str">
        <x:v>Note</x:v>
      </x:c>
    </x:row>
    <x:row r="6">
      <x:c r="A6" s="16" t="str">
        <x:v>Claude Fable 5</x:v>
      </x:c>
      <x:c r="B6" s="16" t="str">
        <x:v>Anthropic</x:v>
      </x:c>
      <x:c r="C6" s="19" t="n">
        <x:v>10</x:v>
      </x:c>
      <x:c r="D6" s="19" t="n">
        <x:v>50</x:v>
      </x:c>
      <x:c r="E6" s="19" t="n">
        <x:v>1</x:v>
      </x:c>
      <x:c r="F6" s="19" t="n">
        <x:v>12.5</x:v>
      </x:c>
      <x:c r="G6" s="19" t="n">
        <x:v>10</x:v>
      </x:c>
      <x:c r="H6" s="19" t="n">
        <x:v>50</x:v>
      </x:c>
      <x:c r="I6" s="19" t="n">
        <x:v>1.3</x:v>
      </x:c>
      <x:c r="J6" s="22" t="str">
        <x:v>Current standard</x:v>
      </x:c>
      <x:c r="K6" s="22" t="str">
        <x:v>https://platform.claude.com/docs/en/about-claude/pricing</x:v>
      </x:c>
      <x:c r="L6" s="22" t="str">
        <x:v>New tokenizer; approximately 30% more tokens for equivalent text.</x:v>
      </x:c>
    </x:row>
    <x:row r="7">
      <x:c r="A7" s="17" t="str">
        <x:v>GPT-5.6 Sol</x:v>
      </x:c>
      <x:c r="B7" s="17" t="str">
        <x:v>OpenAI</x:v>
      </x:c>
      <x:c r="C7" s="20" t="n">
        <x:v>5</x:v>
      </x:c>
      <x:c r="D7" s="20" t="n">
        <x:v>30</x:v>
      </x:c>
      <x:c r="E7" s="20" t="n">
        <x:v>0.5</x:v>
      </x:c>
      <x:c r="F7" s="20" t="n">
        <x:v>6.25</x:v>
      </x:c>
      <x:c r="G7" s="20" t="n">
        <x:v>10</x:v>
      </x:c>
      <x:c r="H7" s="20" t="n">
        <x:v>45</x:v>
      </x:c>
      <x:c r="I7" s="20" t="n">
        <x:v>1</x:v>
      </x:c>
      <x:c r="J7" s="23" t="str">
        <x:v>Short context</x:v>
      </x:c>
      <x:c r="K7" s="23" t="str">
        <x:v>https://developers.openai.com/api/docs/pricing</x:v>
      </x:c>
      <x:c r="L7" s="23" t="str">
        <x:v>Long-context tier excluded from calibration.</x:v>
      </x:c>
    </x:row>
    <x:row r="8">
      <x:c r="A8" s="17" t="str">
        <x:v>GPT-5.5</x:v>
      </x:c>
      <x:c r="B8" s="17" t="str">
        <x:v>OpenAI</x:v>
      </x:c>
      <x:c r="C8" s="20" t="n">
        <x:v>5</x:v>
      </x:c>
      <x:c r="D8" s="20" t="n">
        <x:v>30</x:v>
      </x:c>
      <x:c r="E8" s="20" t="n">
        <x:v>0.5</x:v>
      </x:c>
      <x:c r="F8" s="20"/>
      <x:c r="G8" s="20" t="n">
        <x:v>10</x:v>
      </x:c>
      <x:c r="H8" s="20" t="n">
        <x:v>45</x:v>
      </x:c>
      <x:c r="I8" s="20" t="n">
        <x:v>1</x:v>
      </x:c>
      <x:c r="J8" s="23" t="str">
        <x:v>Short context</x:v>
      </x:c>
      <x:c r="K8" s="23" t="str">
        <x:v>https://developers.openai.com/api/docs/pricing</x:v>
      </x:c>
      <x:c r="L8" s="23" t="str">
        <x:v>Pro price tier excluded as a service configuration.</x:v>
      </x:c>
    </x:row>
    <x:row r="9">
      <x:c r="A9" s="17" t="str">
        <x:v>Claude Opus 4.7 / 4.8 shared base</x:v>
      </x:c>
      <x:c r="B9" s="17" t="str">
        <x:v>Anthropic</x:v>
      </x:c>
      <x:c r="C9" s="20" t="n">
        <x:v>5</x:v>
      </x:c>
      <x:c r="D9" s="20" t="n">
        <x:v>25</x:v>
      </x:c>
      <x:c r="E9" s="20" t="n">
        <x:v>0.5</x:v>
      </x:c>
      <x:c r="F9" s="20" t="n">
        <x:v>6.25</x:v>
      </x:c>
      <x:c r="G9" s="20" t="n">
        <x:v>5</x:v>
      </x:c>
      <x:c r="H9" s="20" t="n">
        <x:v>25</x:v>
      </x:c>
      <x:c r="I9" s="20" t="n">
        <x:v>1.3</x:v>
      </x:c>
      <x:c r="J9" s="23" t="str">
        <x:v>Current standard</x:v>
      </x:c>
      <x:c r="K9" s="23" t="str">
        <x:v>https://platform.claude.com/docs/en/about-claude/pricing</x:v>
      </x:c>
      <x:c r="L9" s="23" t="str">
        <x:v>Same base and same standard price; fast-mode premiums excluded.</x:v>
      </x:c>
    </x:row>
    <x:row r="10">
      <x:c r="A10" s="17" t="str">
        <x:v>GPT-5.6 Terra</x:v>
      </x:c>
      <x:c r="B10" s="17" t="str">
        <x:v>OpenAI</x:v>
      </x:c>
      <x:c r="C10" s="20" t="n">
        <x:v>2.5</x:v>
      </x:c>
      <x:c r="D10" s="20" t="n">
        <x:v>15</x:v>
      </x:c>
      <x:c r="E10" s="20" t="n">
        <x:v>0.25</x:v>
      </x:c>
      <x:c r="F10" s="20" t="n">
        <x:v>3.125</x:v>
      </x:c>
      <x:c r="G10" s="20" t="n">
        <x:v>5</x:v>
      </x:c>
      <x:c r="H10" s="20" t="n">
        <x:v>22.5</x:v>
      </x:c>
      <x:c r="I10" s="20" t="n">
        <x:v>1</x:v>
      </x:c>
      <x:c r="J10" s="23" t="str">
        <x:v>Short context</x:v>
      </x:c>
      <x:c r="K10" s="23" t="str">
        <x:v>https://developers.openai.com/api/docs/pricing</x:v>
      </x:c>
      <x:c r="L10" s="23" t="str">
        <x:v>Long-context tier excluded from calibration.</x:v>
      </x:c>
    </x:row>
    <x:row r="11">
      <x:c r="A11" s="17" t="str">
        <x:v>Claude Sonnet 5</x:v>
      </x:c>
      <x:c r="B11" s="17" t="str">
        <x:v>Anthropic</x:v>
      </x:c>
      <x:c r="C11" s="20" t="n">
        <x:v>2</x:v>
      </x:c>
      <x:c r="D11" s="20" t="n">
        <x:v>10</x:v>
      </x:c>
      <x:c r="E11" s="20" t="n">
        <x:v>0.2</x:v>
      </x:c>
      <x:c r="F11" s="20" t="n">
        <x:v>2.5</x:v>
      </x:c>
      <x:c r="G11" s="20" t="n">
        <x:v>2</x:v>
      </x:c>
      <x:c r="H11" s="20" t="n">
        <x:v>10</x:v>
      </x:c>
      <x:c r="I11" s="20" t="n">
        <x:v>1.3</x:v>
      </x:c>
      <x:c r="J11" s="23" t="str">
        <x:v>Intro through 2026-08-31</x:v>
      </x:c>
      <x:c r="K11" s="23" t="str">
        <x:v>https://platform.claude.com/docs/en/about-claude/pricing</x:v>
      </x:c>
      <x:c r="L11" s="23" t="str">
        <x:v>Future $3/$15 standard price is shown in source but not used.</x:v>
      </x:c>
    </x:row>
    <x:row r="12">
      <x:c r="A12" s="17" t="str">
        <x:v>GPT-5.6 Luna</x:v>
      </x:c>
      <x:c r="B12" s="17" t="str">
        <x:v>OpenAI</x:v>
      </x:c>
      <x:c r="C12" s="20" t="n">
        <x:v>1</x:v>
      </x:c>
      <x:c r="D12" s="20" t="n">
        <x:v>6</x:v>
      </x:c>
      <x:c r="E12" s="20" t="n">
        <x:v>0.1</x:v>
      </x:c>
      <x:c r="F12" s="20" t="n">
        <x:v>1.25</x:v>
      </x:c>
      <x:c r="G12" s="20" t="n">
        <x:v>2</x:v>
      </x:c>
      <x:c r="H12" s="20" t="n">
        <x:v>9</x:v>
      </x:c>
      <x:c r="I12" s="20" t="n">
        <x:v>1</x:v>
      </x:c>
      <x:c r="J12" s="23" t="str">
        <x:v>Short context</x:v>
      </x:c>
      <x:c r="K12" s="23" t="str">
        <x:v>https://developers.openai.com/api/docs/pricing</x:v>
      </x:c>
      <x:c r="L12" s="23" t="str">
        <x:v>Long-context tier excluded from calibration.</x:v>
      </x:c>
    </x:row>
    <x:row r="13">
      <x:c r="A13" s="18" t="str">
        <x:v>Grok 4.5</x:v>
      </x:c>
      <x:c r="B13" s="18" t="str">
        <x:v>SpaceXAI</x:v>
      </x:c>
      <x:c r="C13" s="21" t="n">
        <x:v>2</x:v>
      </x:c>
      <x:c r="D13" s="21" t="n">
        <x:v>6</x:v>
      </x:c>
      <x:c r="E13" s="21" t="n">
        <x:v>0.5</x:v>
      </x:c>
      <x:c r="F13" s="21"/>
      <x:c r="G13" s="21"/>
      <x:c r="H13" s="21"/>
      <x:c r="I13" s="21" t="n">
        <x:v>1</x:v>
      </x:c>
      <x:c r="J13" s="24" t="str">
        <x:v>Standard</x:v>
      </x:c>
      <x:c r="K13" s="24" t="str">
        <x:v>https://docs.x.ai/developers/models/grok-4.5</x:v>
      </x:c>
      <x:c r="L13" s="24" t="str">
        <x:v>Validation only; not used to fit the OpenAI/Anthropic price model.</x:v>
      </x:c>
    </x:row>
  </x:sheetData>
  <x:mergeCells>
    <x:mergeCell ref="A1:L1"/>
    <x:mergeCell ref="A2:L3"/>
  </x:mergeCells>
  <x:pageMargins left="0.7" right="0.7" top="0.75" bottom="0.75" header="0.3" footer="0.3"/>
  <x:tableParts count="1">
    <x:tablePart xmlns:r="http://schemas.openxmlformats.org/officeDocument/2006/relationships" r:id="Ra228799f9d024ce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5" hidden="0" customWidth="1"/>
    <x:col min="2" max="2" width="18"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s>
  <x:sheetData>
    <x:row r="1" ht="36" customHeight="1">
      <x:c r="A1" s="3" t="str">
        <x:v>Weak API-price calibration</x:v>
      </x:c>
      <x:c r="B1" s="3"/>
      <x:c r="C1" s="3"/>
      <x:c r="D1" s="3"/>
      <x:c r="E1" s="3"/>
      <x:c r="F1" s="3"/>
      <x:c r="G1" s="3"/>
      <x:c r="H1" s="3"/>
      <x:c r="I1" s="3"/>
      <x:c r="J1" s="3"/>
      <x:c r="K1" s="3"/>
      <x:c r="L1" s="3"/>
      <x:c r="M1" s="3"/>
      <x:c r="N1" s="3"/>
      <x:c r="O1" s="3"/>
    </x:row>
    <x:row r="2">
      <x:c r="A2" s="6" t="str">
        <x:v>For seven unique OpenAI/Anthropic base models: z = sqrt(input price × output price) × tokenizer factor. A provider fixed effect prevents Anthropic and OpenAI commercial schedules from being treated as identical. Each model receives a leave-one-base-out price prediction, then only 15% log weight.</x:v>
      </x:c>
      <x:c r="B2" s="6"/>
      <x:c r="C2" s="6"/>
      <x:c r="D2" s="6"/>
      <x:c r="E2" s="6"/>
      <x:c r="F2" s="6"/>
      <x:c r="G2" s="6"/>
      <x:c r="H2" s="6"/>
      <x:c r="I2" s="6"/>
      <x:c r="J2" s="6"/>
      <x:c r="K2" s="6"/>
      <x:c r="L2" s="6"/>
      <x:c r="M2" s="6"/>
      <x:c r="N2" s="6"/>
      <x:c r="O2" s="6"/>
    </x:row>
    <x:row r="3">
      <x:c r="A3" s="6"/>
      <x:c r="B3" s="6"/>
      <x:c r="C3" s="6"/>
      <x:c r="D3" s="6"/>
      <x:c r="E3" s="6"/>
      <x:c r="F3" s="6"/>
      <x:c r="G3" s="6"/>
      <x:c r="H3" s="6"/>
      <x:c r="I3" s="6"/>
      <x:c r="J3" s="6"/>
      <x:c r="K3" s="6"/>
      <x:c r="L3" s="6"/>
      <x:c r="M3" s="6"/>
      <x:c r="N3" s="6"/>
      <x:c r="O3" s="6"/>
    </x:row>
    <x:row r="5" ht="34" customHeight="1">
      <x:c r="A5" s="11" t="str">
        <x:v>Diagnostic / assumption</x:v>
      </x:c>
      <x:c r="B5" s="11" t="str">
        <x:v>Value</x:v>
      </x:c>
    </x:row>
    <x:row r="6">
      <x:c r="A6" s="16" t="str">
        <x:v>Full-fit slope on log10(z)</x:v>
      </x:c>
      <x:c r="B6" s="25" t="n">
        <x:f>((SUM(R15:R21)-SUM(P15:P21)*SUM(Q15:Q21)/COUNTIF(B15:B21,"OpenAI"))+(SUM(V15:V21)-SUM(T15:T21)*SUM(U15:U21)/COUNTIF(B15:B21,"Anthropic")))/((SUM(S15:S21)-POWER(SUM(P15:P21),2)/COUNTIF(B15:B21,"OpenAI"))+(SUM(W15:W21)-POWER(SUM(T15:T21),2)/COUNTIF(B15:B21,"Anthropic")))</x:f>
        <x:v>0.44075615551578234</x:v>
      </x:c>
    </x:row>
    <x:row r="7">
      <x:c r="A7" s="17" t="str">
        <x:v>Full-fit OpenAI intercept, T units</x:v>
      </x:c>
      <x:c r="B7" s="26" t="n">
        <x:f>SUM(Q15:Q21)/COUNTIF(B15:B21,"OpenAI")-B6*SUM(P15:P21)/COUNTIF(B15:B21,"OpenAI")</x:f>
        <x:v>0.005099305927627529</x:v>
      </x:c>
    </x:row>
    <x:row r="8">
      <x:c r="A8" s="17" t="str">
        <x:v>Full-fit Anthropic effect</x:v>
      </x:c>
      <x:c r="B8" s="26" t="n">
        <x:f>SUM(U15:U21)/COUNTIF(B15:B21,"Anthropic")-B7-B6*SUM(T15:T21)/COUNTIF(B15:B21,"Anthropic")</x:f>
        <x:v>-0.1377532181736313</x:v>
      </x:c>
    </x:row>
    <x:row r="9">
      <x:c r="A9" s="17" t="str">
        <x:v>Full-fit R²</x:v>
      </x:c>
      <x:c r="B9" s="27" t="n">
        <x:f>1-SUM(AI15:AI21)/SUM(AJ15:AJ21)</x:f>
        <x:v>0.9160772902660487</x:v>
      </x:c>
    </x:row>
    <x:row r="10">
      <x:c r="A10" s="17" t="str">
        <x:v>LOBO RMSE, log10</x:v>
      </x:c>
      <x:c r="B10" s="27" t="n">
        <x:f>SQRT(AVERAGE(AK15:AK21))</x:f>
        <x:v>0.06488865122582953</x:v>
      </x:c>
    </x:row>
    <x:row r="11">
      <x:c r="A11" s="17" t="str">
        <x:v>LOBO multiplicative error</x:v>
      </x:c>
      <x:c r="B11" s="28" t="n">
        <x:f>POWER(10,B10)</x:f>
        <x:v>1.1611508681694092</x:v>
      </x:c>
    </x:row>
    <x:row r="12">
      <x:c r="A12" s="18" t="str">
        <x:v>Price log weight</x:v>
      </x:c>
      <x:c r="B12" s="29" t="n">
        <x:v>0.15</x:v>
      </x:c>
    </x:row>
    <x:row r="14" ht="34" customHeight="1">
      <x:c r="A14" s="11" t="str">
        <x:v>Model</x:v>
      </x:c>
      <x:c r="B14" s="11" t="str">
        <x:v>Provider</x:v>
      </x:c>
      <x:c r="C14" s="11" t="str">
        <x:v>Benchmark central (T)</x:v>
      </x:c>
      <x:c r="D14" s="11" t="str">
        <x:v>Input</x:v>
      </x:c>
      <x:c r="E14" s="11" t="str">
        <x:v>Output</x:v>
      </x:c>
      <x:c r="F14" s="11" t="str">
        <x:v>Tokenizer factor</x:v>
      </x:c>
      <x:c r="G14" s="11" t="str">
        <x:v>z</x:v>
      </x:c>
      <x:c r="H14" s="11" t="str">
        <x:v>log10(z)</x:v>
      </x:c>
      <x:c r="I14" s="11" t="str">
        <x:v>log10(P)</x:v>
      </x:c>
      <x:c r="J14" s="11" t="str">
        <x:v>Anthropic dummy</x:v>
      </x:c>
      <x:c r="K14" s="11" t="str">
        <x:v>LOBO slope</x:v>
      </x:c>
      <x:c r="L14" s="11" t="str">
        <x:v>LOBO intercept</x:v>
      </x:c>
      <x:c r="M14" s="11" t="str">
        <x:v>LOBO Anthropic effect</x:v>
      </x:c>
      <x:c r="N14" s="11" t="str">
        <x:v>LOBO price-implied (T)</x:v>
      </x:c>
      <x:c r="O14" s="11" t="str">
        <x:v>15% blended (T)</x:v>
      </x:c>
    </x:row>
    <x:row r="15">
      <x:c r="A15" s="16" t="str">
        <x:f>'API Prices'!A6</x:f>
        <x:v>Claude Fable 5</x:v>
      </x:c>
      <x:c r="B15" s="16" t="str">
        <x:f>'API Prices'!B6</x:f>
        <x:v>Anthropic</x:v>
      </x:c>
      <x:c r="C15" s="19" t="n">
        <x:f>'Frontier Estimates'!E6</x:f>
        <x:v>3.5009724758824072</x:v>
      </x:c>
      <x:c r="D15" s="19" t="n">
        <x:f>'API Prices'!C6</x:f>
        <x:v>10</x:v>
      </x:c>
      <x:c r="E15" s="19" t="n">
        <x:f>'API Prices'!D6</x:f>
        <x:v>50</x:v>
      </x:c>
      <x:c r="F15" s="19" t="n">
        <x:f>'API Prices'!I6</x:f>
        <x:v>1.3</x:v>
      </x:c>
      <x:c r="G15" s="19" t="n">
        <x:f>SQRT(D15*E15)*F15</x:f>
        <x:v>29.068883707497267</x:v>
      </x:c>
      <x:c r="H15" s="19" t="n">
        <x:f>LOG10(G15)</x:f>
        <x:v>1.46342835447485</x:v>
      </x:c>
      <x:c r="I15" s="19" t="n">
        <x:f>LOG10(C15)</x:f>
        <x:v>0.544188696420737</x:v>
      </x:c>
      <x:c r="J15" s="19" t="n">
        <x:f>IF(B15="Anthropic",1,0)</x:f>
        <x:v>1</x:v>
      </x:c>
      <x:c r="K15" s="19" t="n">
        <x:f>((AB15-Z15*AA15/X15)+(AF15-AD15*AE15/Y15))/((AC15-Z15*Z15/X15)+(AG15-AD15*AD15/Y15))</x:f>
        <x:v>0.40178582845883176</x:v>
      </x:c>
      <x:c r="L15" s="19" t="n">
        <x:f>AA15/X15-K15*Z15/X15</x:f>
        <x:v>0.03775821819897551</x:v>
      </x:c>
      <x:c r="M15" s="19" t="n">
        <x:f>AE15/Y15-L15-K15*AD15/Y15</x:f>
        <x:v>-0.14878078901296404</x:v>
      </x:c>
      <x:c r="N15" s="19" t="n">
        <x:f>POWER(10,L15+K15*H15+M15*J15)</x:f>
        <x:v>2.9989015106599064</x:v>
      </x:c>
      <x:c r="O15" s="19" t="n">
        <x:f>POWER(C15,1-$B$12)*POWER(N15,$B$12)</x:f>
        <x:v>3.420619147282</x:v>
      </x:c>
      <x:c r="P15" t="n">
        <x:f>IF(B15="OpenAI",H15,0)</x:f>
        <x:v>0</x:v>
      </x:c>
      <x:c r="Q15" t="n">
        <x:f>IF(B15="OpenAI",I15,0)</x:f>
        <x:v>0</x:v>
      </x:c>
      <x:c r="R15" t="n">
        <x:f>IF(B15="OpenAI",H15*I15,0)</x:f>
        <x:v>0</x:v>
      </x:c>
      <x:c r="S15" t="n">
        <x:f>IF(B15="OpenAI",H15*H15,0)</x:f>
        <x:v>0</x:v>
      </x:c>
      <x:c r="T15" t="n">
        <x:f>IF(B15="Anthropic",H15,0)</x:f>
        <x:v>1.46342835447485</x:v>
      </x:c>
      <x:c r="U15" t="n">
        <x:f>IF(B15="Anthropic",I15,0)</x:f>
        <x:v>0.544188696420737</x:v>
      </x:c>
      <x:c r="V15" t="n">
        <x:f>IF(B15="Anthropic",H15*I15,0)</x:f>
        <x:v>0.7963811685268128</x:v>
      </x:c>
      <x:c r="W15" t="n">
        <x:f>IF(B15="Anthropic",H15*H15,0)</x:f>
        <x:v>2.1416225486809677</x:v>
      </x:c>
      <x:c r="X15" t="n">
        <x:f>COUNTIF($B$15:$B$21,"OpenAI")-IF(B15="OpenAI",1,0)</x:f>
        <x:v>4</x:v>
      </x:c>
      <x:c r="Y15" t="n">
        <x:f>COUNTIF($B$15:$B$21,"Anthropic")-IF(B15="Anthropic",1,0)</x:f>
        <x:v>2</x:v>
      </x:c>
      <x:c r="Z15" t="n">
        <x:f>SUM($P$15:$P$21)-P15</x:f>
        <x:v>3.352182518111361</x:v>
      </x:c>
      <x:c r="AA15" t="n">
        <x:f>SUM($Q$15:$Q$21)-Q15</x:f>
        <x:v>1.497892302980488</x:v>
      </x:c>
      <x:c r="AB15" t="n">
        <x:f>SUM($R$15:$R$21)-R15</x:f>
        <x:v>1.3843006184865059</x:v>
      </x:c>
      <x:c r="AC15" t="n">
        <x:f>SUM($S$15:$S$21)-S15</x:f>
        <x:v>3.1384600339338062</x:v>
      </x:c>
      <x:c r="AD15" t="n">
        <x:f>SUM($T$15:$T$21)-T15</x:f>
        <x:v>1.926856708949687</x:v>
      </x:c>
      <x:c r="AE15" t="n">
        <x:f>SUM($U$15:$U$21)-U15</x:f>
        <x:v>0.552138577498831</x:v>
      </x:c>
      <x:c r="AF15" t="n">
        <x:f>SUM($V$15:$V$21)-V15</x:f>
        <x:v>0.567019195105711</x:v>
      </x:c>
      <x:c r="AG15" t="n">
        <x:f>SUM($W$15:$W$21)-W15</x:f>
        <x:v>1.9355665136631584</x:v>
      </x:c>
      <x:c r="AH15" t="n">
        <x:f>$B$7+$B$6*H15+$B$8*J15</x:f>
        <x:v>0.5123611431451187</x:v>
      </x:c>
      <x:c r="AI15" t="n">
        <x:f>POWER(I15-AH15,2)</x:f>
        <x:v>0.0010129931475123186</x:v>
      </x:c>
      <x:c r="AJ15" t="n">
        <x:f>POWER(I15-AVERAGE($I$15:$I$21),2)</x:f>
        <x:v>0.03013206458185499</x:v>
      </x:c>
      <x:c r="AK15" t="n">
        <x:f>POWER(I15-LOG10(N15),2)</x:f>
        <x:v>0.004519401420494221</x:v>
      </x:c>
    </x:row>
    <x:row r="16">
      <x:c r="A16" s="17" t="str">
        <x:f>'API Prices'!A7</x:f>
        <x:v>GPT-5.6 Sol</x:v>
      </x:c>
      <x:c r="B16" s="17" t="str">
        <x:f>'API Prices'!B7</x:f>
        <x:v>OpenAI</x:v>
      </x:c>
      <x:c r="C16" s="20" t="n">
        <x:f>'Frontier Estimates'!E7</x:f>
        <x:v>3.4292100769491034</x:v>
      </x:c>
      <x:c r="D16" s="20" t="n">
        <x:f>'API Prices'!C7</x:f>
        <x:v>5</x:v>
      </x:c>
      <x:c r="E16" s="20" t="n">
        <x:f>'API Prices'!D7</x:f>
        <x:v>30</x:v>
      </x:c>
      <x:c r="F16" s="20" t="n">
        <x:f>'API Prices'!I7</x:f>
        <x:v>1</x:v>
      </x:c>
      <x:c r="G16" s="20" t="n">
        <x:f>SQRT(D16*E16)*F16</x:f>
        <x:v>12.24744871391589</x:v>
      </x:c>
      <x:c r="H16" s="20" t="n">
        <x:f>LOG10(G16)</x:f>
        <x:v>1.08804562952784</x:v>
      </x:c>
      <x:c r="I16" s="20" t="n">
        <x:f>LOG10(C16)</x:f>
        <x:v>0.535194091258173</x:v>
      </x:c>
      <x:c r="J16" s="20" t="n">
        <x:f>IF(B16="Anthropic",1,0)</x:f>
        <x:v>0</x:v>
      </x:c>
      <x:c r="K16" s="20" t="n">
        <x:f>((AB16-Z16*AA16/X16)+(AF16-AD16*AE16/Y16))/((AC16-Z16*Z16/X16)+(AG16-AD16*AD16/Y16))</x:f>
        <x:v>0.4064987850830326</x:v>
      </x:c>
      <x:c r="L16" s="20" t="n">
        <x:f>AA16/X16-K16*Z16/X16</x:f>
        <x:v>0.014109772417145394</x:v>
      </x:c>
      <x:c r="M16" s="20" t="n">
        <x:f>AE16/Y16-L16-K16*AD16/Y16</x:f>
        <x:v>-0.10804960089969823</x:v>
      </x:c>
      <x:c r="N16" s="20" t="n">
        <x:f>POWER(10,L16+K16*H16+M16*J16)</x:f>
        <x:v>2.860217101040209</x:v>
      </x:c>
      <x:c r="O16" s="20" t="n">
        <x:f>POWER(C16,1-$B$12)*POWER(N16,$B$12)</x:f>
        <x:v>3.337143079854522</x:v>
      </x:c>
      <x:c r="P16" t="n">
        <x:f>IF(B16="OpenAI",H16,0)</x:f>
        <x:v>1.08804562952784</x:v>
      </x:c>
      <x:c r="Q16" t="n">
        <x:f>IF(B16="OpenAI",I16,0)</x:f>
        <x:v>0.535194091258173</x:v>
      </x:c>
      <x:c r="R16" t="n">
        <x:f>IF(B16="OpenAI",H16*I16,0)</x:f>
        <x:v>0.5823155919425791</x:v>
      </x:c>
      <x:c r="S16" t="n">
        <x:f>IF(B16="OpenAI",H16*H16,0)</x:f>
        <x:v>1.1838432919346338</x:v>
      </x:c>
      <x:c r="T16" t="n">
        <x:f>IF(B16="Anthropic",H16,0)</x:f>
        <x:v>0</x:v>
      </x:c>
      <x:c r="U16" t="n">
        <x:f>IF(B16="Anthropic",I16,0)</x:f>
        <x:v>0</x:v>
      </x:c>
      <x:c r="V16" t="n">
        <x:f>IF(B16="Anthropic",H16*I16,0)</x:f>
        <x:v>0</x:v>
      </x:c>
      <x:c r="W16" t="n">
        <x:f>IF(B16="Anthropic",H16*H16,0)</x:f>
        <x:v>0</x:v>
      </x:c>
      <x:c r="X16" t="n">
        <x:f>COUNTIF($B$15:$B$21,"OpenAI")-IF(B16="OpenAI",1,0)</x:f>
        <x:v>3</x:v>
      </x:c>
      <x:c r="Y16" t="n">
        <x:f>COUNTIF($B$15:$B$21,"Anthropic")-IF(B16="Anthropic",1,0)</x:f>
        <x:v>3</x:v>
      </x:c>
      <x:c r="Z16" t="n">
        <x:f>SUM($P$15:$P$21)-P16</x:f>
        <x:v>2.264136888583521</x:v>
      </x:c>
      <x:c r="AA16" t="n">
        <x:f>SUM($Q$15:$Q$21)-Q16</x:f>
        <x:v>0.9626982117223151</x:v>
      </x:c>
      <x:c r="AB16" t="n">
        <x:f>SUM($R$15:$R$21)-R16</x:f>
        <x:v>0.8019850265439268</x:v>
      </x:c>
      <x:c r="AC16" t="n">
        <x:f>SUM($S$15:$S$21)-S16</x:f>
        <x:v>1.9546167419991725</x:v>
      </x:c>
      <x:c r="AD16" t="n">
        <x:f>SUM($T$15:$T$21)-T16</x:f>
        <x:v>3.390285063424537</x:v>
      </x:c>
      <x:c r="AE16" t="n">
        <x:f>SUM($U$15:$U$21)-U16</x:f>
        <x:v>1.096327273919568</x:v>
      </x:c>
      <x:c r="AF16" t="n">
        <x:f>SUM($V$15:$V$21)-V16</x:f>
        <x:v>1.3634003636325238</x:v>
      </x:c>
      <x:c r="AG16" t="n">
        <x:f>SUM($W$15:$W$21)-W16</x:f>
        <x:v>4.077189062344126</x:v>
      </x:c>
      <x:c r="AH16" t="n">
        <x:f>$B$7+$B$6*H16+$B$8*J16</x:f>
        <x:v>0.4846621146240675</x:v>
      </x:c>
      <x:c r="AI16" t="n">
        <x:f>POWER(I16-AH16,2)</x:f>
        <x:v>0.002553480662549781</x:v>
      </x:c>
      <x:c r="AJ16" t="n">
        <x:f>POWER(I16-AVERAGE($I$15:$I$21),2)</x:f>
        <x:v>0.02709029424433264</x:v>
      </x:c>
      <x:c r="AK16" t="n">
        <x:f>POWER(I16-LOG10(N16),2)</x:f>
        <x:v>0.0062086665741990735</x:v>
      </x:c>
    </x:row>
    <x:row r="17">
      <x:c r="A17" s="17" t="str">
        <x:f>'API Prices'!A8</x:f>
        <x:v>GPT-5.5</x:v>
      </x:c>
      <x:c r="B17" s="17" t="str">
        <x:f>'API Prices'!B8</x:f>
        <x:v>OpenAI</x:v>
      </x:c>
      <x:c r="C17" s="20" t="n">
        <x:f>'Frontier Estimates'!E9</x:f>
        <x:v>2.5655772005746638</x:v>
      </x:c>
      <x:c r="D17" s="20" t="n">
        <x:f>'API Prices'!C8</x:f>
        <x:v>5</x:v>
      </x:c>
      <x:c r="E17" s="20" t="n">
        <x:f>'API Prices'!D8</x:f>
        <x:v>30</x:v>
      </x:c>
      <x:c r="F17" s="20" t="n">
        <x:f>'API Prices'!I8</x:f>
        <x:v>1</x:v>
      </x:c>
      <x:c r="G17" s="20" t="n">
        <x:f>SQRT(D17*E17)*F17</x:f>
        <x:v>12.24744871391589</x:v>
      </x:c>
      <x:c r="H17" s="20" t="n">
        <x:f>LOG10(G17)</x:f>
        <x:v>1.08804562952784</x:v>
      </x:c>
      <x:c r="I17" s="20" t="n">
        <x:f>LOG10(C17)</x:f>
        <x:v>0.409185087507923</x:v>
      </x:c>
      <x:c r="J17" s="20" t="n">
        <x:f>IF(B17="Anthropic",1,0)</x:f>
        <x:v>0</x:v>
      </x:c>
      <x:c r="K17" s="20" t="n">
        <x:f>((AB17-Z17*AA17/X17)+(AF17-AD17*AE17/Y17))/((AC17-Z17*Z17/X17)+(AG17-AD17*AD17/Y17))</x:f>
        <x:v>0.4919246363334395</x:v>
      </x:c>
      <x:c r="L17" s="20" t="n">
        <x:f>AA17/X17-K17*Z17/X17</x:f>
        <x:v>-0.008359166684336339</x:v>
      </x:c>
      <x:c r="M17" s="20" t="n">
        <x:f>AE17/Y17-L17-K17*AD17/Y17</x:f>
        <x:v>-0.18211999097307674</x:v>
      </x:c>
      <x:c r="N17" s="20" t="n">
        <x:f>POWER(10,L17+K17*H17+M17*J17)</x:f>
        <x:v>3.3641649669213614</x:v>
      </x:c>
      <x:c r="O17" s="20" t="n">
        <x:f>POWER(C17,1-$B$12)*POWER(N17,$B$12)</x:f>
        <x:v>2.672015154705486</x:v>
      </x:c>
      <x:c r="P17" t="n">
        <x:f>IF(B17="OpenAI",H17,0)</x:f>
        <x:v>1.08804562952784</x:v>
      </x:c>
      <x:c r="Q17" t="n">
        <x:f>IF(B17="OpenAI",I17,0)</x:f>
        <x:v>0.409185087507923</x:v>
      </x:c>
      <x:c r="R17" t="n">
        <x:f>IF(B17="OpenAI",H17*I17,0)</x:f>
        <x:v>0.4452120461309624</x:v>
      </x:c>
      <x:c r="S17" t="n">
        <x:f>IF(B17="OpenAI",H17*H17,0)</x:f>
        <x:v>1.1838432919346338</x:v>
      </x:c>
      <x:c r="T17" t="n">
        <x:f>IF(B17="Anthropic",H17,0)</x:f>
        <x:v>0</x:v>
      </x:c>
      <x:c r="U17" t="n">
        <x:f>IF(B17="Anthropic",I17,0)</x:f>
        <x:v>0</x:v>
      </x:c>
      <x:c r="V17" t="n">
        <x:f>IF(B17="Anthropic",H17*I17,0)</x:f>
        <x:v>0</x:v>
      </x:c>
      <x:c r="W17" t="n">
        <x:f>IF(B17="Anthropic",H17*H17,0)</x:f>
        <x:v>0</x:v>
      </x:c>
      <x:c r="X17" t="n">
        <x:f>COUNTIF($B$15:$B$21,"OpenAI")-IF(B17="OpenAI",1,0)</x:f>
        <x:v>3</x:v>
      </x:c>
      <x:c r="Y17" t="n">
        <x:f>COUNTIF($B$15:$B$21,"Anthropic")-IF(B17="Anthropic",1,0)</x:f>
        <x:v>3</x:v>
      </x:c>
      <x:c r="Z17" t="n">
        <x:f>SUM($P$15:$P$21)-P17</x:f>
        <x:v>2.264136888583521</x:v>
      </x:c>
      <x:c r="AA17" t="n">
        <x:f>SUM($Q$15:$Q$21)-Q17</x:f>
        <x:v>1.088707215472565</x:v>
      </x:c>
      <x:c r="AB17" t="n">
        <x:f>SUM($R$15:$R$21)-R17</x:f>
        <x:v>0.9390885723555435</x:v>
      </x:c>
      <x:c r="AC17" t="n">
        <x:f>SUM($S$15:$S$21)-S17</x:f>
        <x:v>1.9546167419991725</x:v>
      </x:c>
      <x:c r="AD17" t="n">
        <x:f>SUM($T$15:$T$21)-T17</x:f>
        <x:v>3.390285063424537</x:v>
      </x:c>
      <x:c r="AE17" t="n">
        <x:f>SUM($U$15:$U$21)-U17</x:f>
        <x:v>1.096327273919568</x:v>
      </x:c>
      <x:c r="AF17" t="n">
        <x:f>SUM($V$15:$V$21)-V17</x:f>
        <x:v>1.3634003636325238</x:v>
      </x:c>
      <x:c r="AG17" t="n">
        <x:f>SUM($W$15:$W$21)-W17</x:f>
        <x:v>4.077189062344126</x:v>
      </x:c>
      <x:c r="AH17" t="n">
        <x:f>$B$7+$B$6*H17+$B$8*J17</x:f>
        <x:v>0.4846621146240675</x:v>
      </x:c>
      <x:c r="AI17" t="n">
        <x:f>POWER(I17-AH17,2)</x:f>
        <x:v>0.005696781622291214</x:v>
      </x:c>
      <x:c r="AJ17" t="n">
        <x:f>POWER(I17-AVERAGE($I$15:$I$21),2)</x:f>
        <x:v>0.0014885931639865247</x:v>
      </x:c>
      <x:c r="AK17" t="n">
        <x:f>POWER(I17-LOG10(N17),2)</x:f>
        <x:v>0.013851453099908522</x:v>
      </x:c>
    </x:row>
    <x:row r="18">
      <x:c r="A18" s="17" t="str">
        <x:f>'API Prices'!A9</x:f>
        <x:v>Claude Opus 4.7 / 4.8 shared base</x:v>
      </x:c>
      <x:c r="B18" s="17" t="str">
        <x:f>'API Prices'!B9</x:f>
        <x:v>Anthropic</x:v>
      </x:c>
      <x:c r="C18" s="20" t="n">
        <x:f>'Frontier Estimates'!E10</x:f>
        <x:v>2.313163214231789</x:v>
      </x:c>
      <x:c r="D18" s="20" t="n">
        <x:f>'API Prices'!C9</x:f>
        <x:v>5</x:v>
      </x:c>
      <x:c r="E18" s="20" t="n">
        <x:f>'API Prices'!D9</x:f>
        <x:v>25</x:v>
      </x:c>
      <x:c r="F18" s="20" t="n">
        <x:f>'API Prices'!I9</x:f>
        <x:v>1.3</x:v>
      </x:c>
      <x:c r="G18" s="20" t="n">
        <x:f>SQRT(D18*E18)*F18</x:f>
        <x:v>14.534441853748634</x:v>
      </x:c>
      <x:c r="H18" s="20" t="n">
        <x:f>LOG10(G18)</x:f>
        <x:v>1.16239835881086</x:v>
      </x:c>
      <x:c r="I18" s="20" t="n">
        <x:f>LOG10(C18)</x:f>
        <x:v>0.36420627718889</x:v>
      </x:c>
      <x:c r="J18" s="20" t="n">
        <x:f>IF(B18="Anthropic",1,0)</x:f>
        <x:v>1</x:v>
      </x:c>
      <x:c r="K18" s="20" t="n">
        <x:f>((AB18-Z18*AA18/X18)+(AF18-AD18*AE18/Y18))/((AC18-Z18*Z18/X18)+(AG18-AD18*AD18/Y18))</x:f>
        <x:v>0.44206365365864153</x:v>
      </x:c>
      <x:c r="L18" s="20" t="n">
        <x:f>AA18/X18-K18*Z18/X18</x:f>
        <x:v>0.004003562823388651</x:v>
      </x:c>
      <x:c r="M18" s="20" t="n">
        <x:f>AE18/Y18-L18-K18*AD18/Y18</x:f>
        <x:v>-0.13037693274756612</x:v>
      </x:c>
      <x:c r="N18" s="20" t="n">
        <x:f>POWER(10,L18+K18*H18+M18*J18)</x:f>
        <x:v>2.440510584757213</x:v>
      </x:c>
      <x:c r="O18" s="20" t="n">
        <x:f>POWER(C18,1-$B$12)*POWER(N18,$B$12)</x:f>
        <x:v>2.3318329775695745</x:v>
      </x:c>
      <x:c r="P18" t="n">
        <x:f>IF(B18="OpenAI",H18,0)</x:f>
        <x:v>0</x:v>
      </x:c>
      <x:c r="Q18" t="n">
        <x:f>IF(B18="OpenAI",I18,0)</x:f>
        <x:v>0</x:v>
      </x:c>
      <x:c r="R18" t="n">
        <x:f>IF(B18="OpenAI",H18*I18,0)</x:f>
        <x:v>0</x:v>
      </x:c>
      <x:c r="S18" t="n">
        <x:f>IF(B18="OpenAI",H18*H18,0)</x:f>
        <x:v>0</x:v>
      </x:c>
      <x:c r="T18" t="n">
        <x:f>IF(B18="Anthropic",H18,0)</x:f>
        <x:v>1.16239835881086</x:v>
      </x:c>
      <x:c r="U18" t="n">
        <x:f>IF(B18="Anthropic",I18,0)</x:f>
        <x:v>0.36420627718889</x:v>
      </x:c>
      <x:c r="V18" t="n">
        <x:f>IF(B18="Anthropic",H18*I18,0)</x:f>
        <x:v>0.42335277887297884</x:v>
      </x:c>
      <x:c r="W18" t="n">
        <x:f>IF(B18="Anthropic",H18*H18,0)</x:f>
        <x:v>1.3511699445661807</x:v>
      </x:c>
      <x:c r="X18" t="n">
        <x:f>COUNTIF($B$15:$B$21,"OpenAI")-IF(B18="OpenAI",1,0)</x:f>
        <x:v>4</x:v>
      </x:c>
      <x:c r="Y18" t="n">
        <x:f>COUNTIF($B$15:$B$21,"Anthropic")-IF(B18="Anthropic",1,0)</x:f>
        <x:v>2</x:v>
      </x:c>
      <x:c r="Z18" t="n">
        <x:f>SUM($P$15:$P$21)-P18</x:f>
        <x:v>3.352182518111361</x:v>
      </x:c>
      <x:c r="AA18" t="n">
        <x:f>SUM($Q$15:$Q$21)-Q18</x:f>
        <x:v>1.497892302980488</x:v>
      </x:c>
      <x:c r="AB18" t="n">
        <x:f>SUM($R$15:$R$21)-R18</x:f>
        <x:v>1.3843006184865059</x:v>
      </x:c>
      <x:c r="AC18" t="n">
        <x:f>SUM($S$15:$S$21)-S18</x:f>
        <x:v>3.1384600339338062</x:v>
      </x:c>
      <x:c r="AD18" t="n">
        <x:f>SUM($T$15:$T$21)-T18</x:f>
        <x:v>2.2278867046136774</x:v>
      </x:c>
      <x:c r="AE18" t="n">
        <x:f>SUM($U$15:$U$21)-U18</x:f>
        <x:v>0.732120996730678</x:v>
      </x:c>
      <x:c r="AF18" t="n">
        <x:f>SUM($V$15:$V$21)-V18</x:f>
        <x:v>0.940047584759545</x:v>
      </x:c>
      <x:c r="AG18" t="n">
        <x:f>SUM($W$15:$W$21)-W18</x:f>
        <x:v>2.7260191177779456</x:v>
      </x:c>
      <x:c r="AH18" t="n">
        <x:f>$B$7+$B$6*H18+$B$8*J18</x:f>
        <x:v>0.37968031956132575</x:v>
      </x:c>
      <x:c r="AI18" t="n">
        <x:f>POWER(I18-AH18,2)</x:f>
        <x:v>0.00023944598734393764</x:v>
      </x:c>
      <x:c r="AJ18" t="n">
        <x:f>POWER(I18-AVERAGE($I$15:$I$21),2)</x:f>
        <x:v>0.00004091546185611288</x:v>
      </x:c>
      <x:c r="AK18" t="n">
        <x:f>POWER(I18-LOG10(N18),2)</x:f>
        <x:v>0.0005416985513774108</x:v>
      </x:c>
    </x:row>
    <x:row r="19">
      <x:c r="A19" s="17" t="str">
        <x:f>'API Prices'!A10</x:f>
        <x:v>GPT-5.6 Terra</x:v>
      </x:c>
      <x:c r="B19" s="17" t="str">
        <x:f>'API Prices'!B10</x:f>
        <x:v>OpenAI</x:v>
      </x:c>
      <x:c r="C19" s="20" t="n">
        <x:f>'Frontier Estimates'!E11</x:f>
        <x:v>2.2665558150589984</x:v>
      </x:c>
      <x:c r="D19" s="20" t="n">
        <x:f>'API Prices'!C10</x:f>
        <x:v>2.5</x:v>
      </x:c>
      <x:c r="E19" s="20" t="n">
        <x:f>'API Prices'!D10</x:f>
        <x:v>15</x:v>
      </x:c>
      <x:c r="F19" s="20" t="n">
        <x:f>'API Prices'!I10</x:f>
        <x:v>1</x:v>
      </x:c>
      <x:c r="G19" s="20" t="n">
        <x:f>SQRT(D19*E19)*F19</x:f>
        <x:v>6.123724356957945</x:v>
      </x:c>
      <x:c r="H19" s="20" t="n">
        <x:f>LOG10(G19)</x:f>
        <x:v>0.787015633863859</x:v>
      </x:c>
      <x:c r="I19" s="20" t="n">
        <x:f>LOG10(C19)</x:f>
        <x:v>0.355366418243003</x:v>
      </x:c>
      <x:c r="J19" s="20" t="n">
        <x:f>IF(B19="Anthropic",1,0)</x:f>
        <x:v>0</x:v>
      </x:c>
      <x:c r="K19" s="20" t="n">
        <x:f>((AB19-Z19*AA19/X19)+(AF19-AD19*AE19/Y19))/((AC19-Z19*Z19/X19)+(AG19-AD19*AD19/Y19))</x:f>
        <x:v>0.44115913635417914</x:v>
      </x:c>
      <x:c r="L19" s="20" t="n">
        <x:f>AA19/X19-K19*Z19/X19</x:f>
        <x:v>0.003626359159505488</x:v>
      </x:c>
      <x:c r="M19" s="20" t="n">
        <x:f>AE19/Y19-L19-K19*AD19/Y19</x:f>
        <x:v>-0.1367356780445969</x:v>
      </x:c>
      <x:c r="N19" s="20" t="n">
        <x:f>POWER(10,L19+K19*H19+M19*J19)</x:f>
        <x:v>2.2429804925499206</x:v>
      </x:c>
      <x:c r="O19" s="20" t="n">
        <x:f>POWER(C19,1-$B$12)*POWER(N19,$B$12)</x:f>
        <x:v>2.2630037831413268</x:v>
      </x:c>
      <x:c r="P19" t="n">
        <x:f>IF(B19="OpenAI",H19,0)</x:f>
        <x:v>0.787015633863859</x:v>
      </x:c>
      <x:c r="Q19" t="n">
        <x:f>IF(B19="OpenAI",I19,0)</x:f>
        <x:v>0.355366418243003</x:v>
      </x:c>
      <x:c r="R19" t="n">
        <x:f>IF(B19="OpenAI",H19*I19,0)</x:f>
        <x:v>0.2796789269074462</x:v>
      </x:c>
      <x:c r="S19" t="n">
        <x:f>IF(B19="OpenAI",H19*H19,0)</x:f>
        <x:v>0.6193936079461317</x:v>
      </x:c>
      <x:c r="T19" t="n">
        <x:f>IF(B19="Anthropic",H19,0)</x:f>
        <x:v>0</x:v>
      </x:c>
      <x:c r="U19" t="n">
        <x:f>IF(B19="Anthropic",I19,0)</x:f>
        <x:v>0</x:v>
      </x:c>
      <x:c r="V19" t="n">
        <x:f>IF(B19="Anthropic",H19*I19,0)</x:f>
        <x:v>0</x:v>
      </x:c>
      <x:c r="W19" t="n">
        <x:f>IF(B19="Anthropic",H19*H19,0)</x:f>
        <x:v>0</x:v>
      </x:c>
      <x:c r="X19" t="n">
        <x:f>COUNTIF($B$15:$B$21,"OpenAI")-IF(B19="OpenAI",1,0)</x:f>
        <x:v>3</x:v>
      </x:c>
      <x:c r="Y19" t="n">
        <x:f>COUNTIF($B$15:$B$21,"Anthropic")-IF(B19="Anthropic",1,0)</x:f>
        <x:v>3</x:v>
      </x:c>
      <x:c r="Z19" t="n">
        <x:f>SUM($P$15:$P$21)-P19</x:f>
        <x:v>2.565166884247502</x:v>
      </x:c>
      <x:c r="AA19" t="n">
        <x:f>SUM($Q$15:$Q$21)-Q19</x:f>
        <x:v>1.142525884737485</x:v>
      </x:c>
      <x:c r="AB19" t="n">
        <x:f>SUM($R$15:$R$21)-R19</x:f>
        <x:v>1.1046216915790597</x:v>
      </x:c>
      <x:c r="AC19" t="n">
        <x:f>SUM($S$15:$S$21)-S19</x:f>
        <x:v>2.5190664259876745</x:v>
      </x:c>
      <x:c r="AD19" t="n">
        <x:f>SUM($T$15:$T$21)-T19</x:f>
        <x:v>3.390285063424537</x:v>
      </x:c>
      <x:c r="AE19" t="n">
        <x:f>SUM($U$15:$U$21)-U19</x:f>
        <x:v>1.096327273919568</x:v>
      </x:c>
      <x:c r="AF19" t="n">
        <x:f>SUM($V$15:$V$21)-V19</x:f>
        <x:v>1.3634003636325238</x:v>
      </x:c>
      <x:c r="AG19" t="n">
        <x:f>SUM($W$15:$W$21)-W19</x:f>
        <x:v>4.077189062344126</x:v>
      </x:c>
      <x:c r="AH19" t="n">
        <x:f>$B$7+$B$6*H19+$B$8*J19</x:f>
        <x:v>0.3519812910402786</x:v>
      </x:c>
      <x:c r="AI19" t="n">
        <x:f>POWER(I19-AH19,2)</x:f>
        <x:v>0.000011459086178624966</x:v>
      </x:c>
      <x:c r="AJ19" t="n">
        <x:f>POWER(I19-AVERAGE($I$15:$I$21),2)</x:f>
        <x:v>0.0002321472284850839</x:v>
      </x:c>
      <x:c r="AK19" t="n">
        <x:f>POWER(I19-LOG10(N19),2)</x:f>
        <x:v>0.00002061997034762416</x:v>
      </x:c>
    </x:row>
    <x:row r="20">
      <x:c r="A20" s="17" t="str">
        <x:f>'API Prices'!A11</x:f>
        <x:v>Claude Sonnet 5</x:v>
      </x:c>
      <x:c r="B20" s="17" t="str">
        <x:f>'API Prices'!B11</x:f>
        <x:v>Anthropic</x:v>
      </x:c>
      <x:c r="C20" s="20" t="n">
        <x:f>'Frontier Estimates'!E12</x:f>
        <x:v>1.5414601447886873</x:v>
      </x:c>
      <x:c r="D20" s="20" t="n">
        <x:f>'API Prices'!C11</x:f>
        <x:v>2</x:v>
      </x:c>
      <x:c r="E20" s="20" t="n">
        <x:f>'API Prices'!D11</x:f>
        <x:v>10</x:v>
      </x:c>
      <x:c r="F20" s="20" t="n">
        <x:f>'API Prices'!I11</x:f>
        <x:v>1.3</x:v>
      </x:c>
      <x:c r="G20" s="20" t="n">
        <x:f>SQRT(D20*E20)*F20</x:f>
        <x:v>5.813776741499454</x:v>
      </x:c>
      <x:c r="H20" s="20" t="n">
        <x:f>LOG10(G20)</x:f>
        <x:v>0.764458350138827</x:v>
      </x:c>
      <x:c r="I20" s="20" t="n">
        <x:f>LOG10(C20)</x:f>
        <x:v>0.187932300309941</x:v>
      </x:c>
      <x:c r="J20" s="20" t="n">
        <x:f>IF(B20="Anthropic",1,0)</x:f>
        <x:v>1</x:v>
      </x:c>
      <x:c r="K20" s="20" t="n">
        <x:f>((AB20-Z20*AA20/X20)+(AF20-AD20*AE20/Y20))/((AC20-Z20*Z20/X20)+(AG20-AD20*AD20/Y20))</x:f>
        <x:v>0.4168056598893181</x:v>
      </x:c>
      <x:c r="L20" s="20" t="n">
        <x:f>AA20/X20-K20*Z20/X20</x:f>
        <x:v>0.02517091411241157</x:v>
      </x:c>
      <x:c r="M20" s="20" t="n">
        <x:f>AE20/Y20-L20-K20*AD20/Y20</x:f>
        <x:v>-0.11820314530062298</x:v>
      </x:c>
      <x:c r="N20" s="20" t="n">
        <x:f>POWER(10,L20+K20*H20+M20*J20)</x:f>
        <x:v>1.6811185328664842</x:v>
      </x:c>
      <x:c r="O20" s="20" t="n">
        <x:f>POWER(C20,1-$B$12)*POWER(N20,$B$12)</x:f>
        <x:v>1.5616446066762157</x:v>
      </x:c>
      <x:c r="P20" t="n">
        <x:f>IF(B20="OpenAI",H20,0)</x:f>
        <x:v>0</x:v>
      </x:c>
      <x:c r="Q20" t="n">
        <x:f>IF(B20="OpenAI",I20,0)</x:f>
        <x:v>0</x:v>
      </x:c>
      <x:c r="R20" t="n">
        <x:f>IF(B20="OpenAI",H20*I20,0)</x:f>
        <x:v>0</x:v>
      </x:c>
      <x:c r="S20" t="n">
        <x:f>IF(B20="OpenAI",H20*H20,0)</x:f>
        <x:v>0</x:v>
      </x:c>
      <x:c r="T20" t="n">
        <x:f>IF(B20="Anthropic",H20,0)</x:f>
        <x:v>0.764458350138827</x:v>
      </x:c>
      <x:c r="U20" t="n">
        <x:f>IF(B20="Anthropic",I20,0)</x:f>
        <x:v>0.187932300309941</x:v>
      </x:c>
      <x:c r="V20" t="n">
        <x:f>IF(B20="Anthropic",H20*I20,0)</x:f>
        <x:v>0.14366641623273207</x:v>
      </x:c>
      <x:c r="W20" t="n">
        <x:f>IF(B20="Anthropic",H20*H20,0)</x:f>
        <x:v>0.5843965690969775</x:v>
      </x:c>
      <x:c r="X20" t="n">
        <x:f>COUNTIF($B$15:$B$21,"OpenAI")-IF(B20="OpenAI",1,0)</x:f>
        <x:v>4</x:v>
      </x:c>
      <x:c r="Y20" t="n">
        <x:f>COUNTIF($B$15:$B$21,"Anthropic")-IF(B20="Anthropic",1,0)</x:f>
        <x:v>2</x:v>
      </x:c>
      <x:c r="Z20" t="n">
        <x:f>SUM($P$15:$P$21)-P20</x:f>
        <x:v>3.352182518111361</x:v>
      </x:c>
      <x:c r="AA20" t="n">
        <x:f>SUM($Q$15:$Q$21)-Q20</x:f>
        <x:v>1.497892302980488</x:v>
      </x:c>
      <x:c r="AB20" t="n">
        <x:f>SUM($R$15:$R$21)-R20</x:f>
        <x:v>1.3843006184865059</x:v>
      </x:c>
      <x:c r="AC20" t="n">
        <x:f>SUM($S$15:$S$21)-S20</x:f>
        <x:v>3.1384600339338062</x:v>
      </x:c>
      <x:c r="AD20" t="n">
        <x:f>SUM($T$15:$T$21)-T20</x:f>
        <x:v>2.62582671328571</x:v>
      </x:c>
      <x:c r="AE20" t="n">
        <x:f>SUM($U$15:$U$21)-U20</x:f>
        <x:v>0.908394973609627</x:v>
      </x:c>
      <x:c r="AF20" t="n">
        <x:f>SUM($V$15:$V$21)-V20</x:f>
        <x:v>1.2197339473997917</x:v>
      </x:c>
      <x:c r="AG20" t="n">
        <x:f>SUM($W$15:$W$21)-W20</x:f>
        <x:v>3.4927924932471486</x:v>
      </x:c>
      <x:c r="AH20" t="n">
        <x:f>$B$7+$B$6*H20+$B$8*J20</x:f>
        <x:v>0.20428581121312345</x:v>
      </x:c>
      <x:c r="AI20" t="n">
        <x:f>POWER(I20-AH20,2)</x:f>
        <x:v>0.0002674373188605067</x:v>
      </x:c>
      <x:c r="AJ20" t="n">
        <x:f>POWER(I20-AVERAGE($I$15:$I$21),2)</x:f>
        <x:v>0.03336851025139346</x:v>
      </x:c>
      <x:c r="AK20" t="n">
        <x:f>POWER(I20-LOG10(N20),2)</x:f>
        <x:v>0.0014187302370190088</x:v>
      </x:c>
    </x:row>
    <x:row r="21">
      <x:c r="A21" s="18" t="str">
        <x:f>'API Prices'!A12</x:f>
        <x:v>GPT-5.6 Luna</x:v>
      </x:c>
      <x:c r="B21" s="18" t="str">
        <x:f>'API Prices'!B12</x:f>
        <x:v>OpenAI</x:v>
      </x:c>
      <x:c r="C21" s="21" t="n">
        <x:f>'Frontier Estimates'!E13</x:f>
        <x:v>1.5781442815133315</x:v>
      </x:c>
      <x:c r="D21" s="21" t="n">
        <x:f>'API Prices'!C12</x:f>
        <x:v>1</x:v>
      </x:c>
      <x:c r="E21" s="21" t="n">
        <x:f>'API Prices'!D12</x:f>
        <x:v>6</x:v>
      </x:c>
      <x:c r="F21" s="21" t="n">
        <x:f>'API Prices'!I12</x:f>
        <x:v>1</x:v>
      </x:c>
      <x:c r="G21" s="21" t="n">
        <x:f>SQRT(D21*E21)*F21</x:f>
        <x:v>2.449489742783178</x:v>
      </x:c>
      <x:c r="H21" s="21" t="n">
        <x:f>LOG10(G21)</x:f>
        <x:v>0.389075625191822</x:v>
      </x:c>
      <x:c r="I21" s="21" t="n">
        <x:f>LOG10(C21)</x:f>
        <x:v>0.198146705971389</x:v>
      </x:c>
      <x:c r="J21" s="21" t="n">
        <x:f>IF(B21="Anthropic",1,0)</x:f>
        <x:v>0</x:v>
      </x:c>
      <x:c r="K21" s="21" t="n">
        <x:f>((AB21-Z21*AA21/X21)+(AF21-AD21*AE21/Y21))/((AC21-Z21*Z21/X21)+(AG21-AD21*AD21/Y21))</x:f>
        <x:v>0.48289829158967257</x:v>
      </x:c>
      <x:c r="L21" s="21" t="n">
        <x:f>AA21/X21-K21*Z21/X21</x:f>
        <x:v>-0.04371121979310977</x:v>
      </x:c>
      <x:c r="M21" s="21" t="n">
        <x:f>AE21/Y21-L21-K21*AD21/Y21</x:f>
        <x:v>-0.1365673106102655</x:v>
      </x:c>
      <x:c r="N21" s="21" t="n">
        <x:f>POWER(10,L21+K21*H21+M21*J21)</x:f>
        <x:v>1.3937110229275442</x:v>
      </x:c>
      <x:c r="O21" s="21" t="n">
        <x:f>POWER(C21,1-$B$12)*POWER(N21,$B$12)</x:f>
        <x:v>1.5489971200785368</x:v>
      </x:c>
      <x:c r="P21" t="n">
        <x:f>IF(B21="OpenAI",H21,0)</x:f>
        <x:v>0.389075625191822</x:v>
      </x:c>
      <x:c r="Q21" t="n">
        <x:f>IF(B21="OpenAI",I21,0)</x:f>
        <x:v>0.198146705971389</x:v>
      </x:c>
      <x:c r="R21" t="n">
        <x:f>IF(B21="OpenAI",H21*I21,0)</x:f>
        <x:v>0.0770940535055183</x:v>
      </x:c>
      <x:c r="S21" t="n">
        <x:f>IF(B21="OpenAI",H21*H21,0)</x:f>
        <x:v>0.15137984211840713</x:v>
      </x:c>
      <x:c r="T21" t="n">
        <x:f>IF(B21="Anthropic",H21,0)</x:f>
        <x:v>0</x:v>
      </x:c>
      <x:c r="U21" t="n">
        <x:f>IF(B21="Anthropic",I21,0)</x:f>
        <x:v>0</x:v>
      </x:c>
      <x:c r="V21" t="n">
        <x:f>IF(B21="Anthropic",H21*I21,0)</x:f>
        <x:v>0</x:v>
      </x:c>
      <x:c r="W21" t="n">
        <x:f>IF(B21="Anthropic",H21*H21,0)</x:f>
        <x:v>0</x:v>
      </x:c>
      <x:c r="X21" t="n">
        <x:f>COUNTIF($B$15:$B$21,"OpenAI")-IF(B21="OpenAI",1,0)</x:f>
        <x:v>3</x:v>
      </x:c>
      <x:c r="Y21" t="n">
        <x:f>COUNTIF($B$15:$B$21,"Anthropic")-IF(B21="Anthropic",1,0)</x:f>
        <x:v>3</x:v>
      </x:c>
      <x:c r="Z21" t="n">
        <x:f>SUM($P$15:$P$21)-P21</x:f>
        <x:v>2.963106892919539</x:v>
      </x:c>
      <x:c r="AA21" t="n">
        <x:f>SUM($Q$15:$Q$21)-Q21</x:f>
        <x:v>1.299745597009099</x:v>
      </x:c>
      <x:c r="AB21" t="n">
        <x:f>SUM($R$15:$R$21)-R21</x:f>
        <x:v>1.3072065649809876</x:v>
      </x:c>
      <x:c r="AC21" t="n">
        <x:f>SUM($S$15:$S$21)-S21</x:f>
        <x:v>2.9870801918153993</x:v>
      </x:c>
      <x:c r="AD21" t="n">
        <x:f>SUM($T$15:$T$21)-T21</x:f>
        <x:v>3.390285063424537</x:v>
      </x:c>
      <x:c r="AE21" t="n">
        <x:f>SUM($U$15:$U$21)-U21</x:f>
        <x:v>1.096327273919568</x:v>
      </x:c>
      <x:c r="AF21" t="n">
        <x:f>SUM($V$15:$V$21)-V21</x:f>
        <x:v>1.3634003636325238</x:v>
      </x:c>
      <x:c r="AG21" t="n">
        <x:f>SUM($W$15:$W$21)-W21</x:f>
        <x:v>4.077189062344126</x:v>
      </x:c>
      <x:c r="AH21" t="n">
        <x:f>$B$7+$B$6*H21+$B$8*J21</x:f>
        <x:v>0.17658678269207445</x:v>
      </x:c>
      <x:c r="AI21" t="n">
        <x:f>POWER(I21-AH21,2)</x:f>
        <x:v>0.0004648302918099296</x:v>
      </x:c>
      <x:c r="AJ21" t="n">
        <x:f>POWER(I21-AVERAGE($I$15:$I$21),2)</x:f>
        <x:v>0.02974110322939765</x:v>
      </x:c>
      <x:c r="AK21" t="n">
        <x:f>POWER(I21-LOG10(N21),2)</x:f>
        <x:v>0.0029131895520055806</x:v>
      </x:c>
    </x:row>
  </x:sheetData>
  <x:mergeCells>
    <x:mergeCell ref="A1:O1"/>
    <x:mergeCell ref="A2:O3"/>
  </x:mergeCells>
  <x:pageMargins left="0.7" right="0.7" top="0.75" bottom="0.75" header="0.3" footer="0.3"/>
  <x:legacyDrawing xmlns:r="http://schemas.openxmlformats.org/officeDocument/2006/relationships" r:id="Re5bc9c9c62ad4f79"/>
</x:worksheet>
</file>

<file path=xl/worksheets/sheet5.xml><?xml version="1.0" encoding="utf-8"?>
<x:worksheet xmlns:x="http://schemas.openxmlformats.org/spreadsheetml/2006/main">
  <x:sheetViews>
    <x:sheetView showGridLines="0" workbookViewId="0"/>
  </x:sheetViews>
  <x:sheetFormatPr defaultRowHeight="15"/>
  <x:cols>
    <x:col min="1" max="1" width="43" hidden="0" customWidth="1"/>
    <x:col min="2" max="2" width="24" hidden="0" customWidth="1"/>
    <x:col min="3" max="3" width="60" hidden="0" customWidth="1"/>
    <x:col min="4" max="4" width="14" hidden="0" customWidth="1"/>
    <x:col min="5" max="5" width="14" hidden="0" customWidth="1"/>
    <x:col min="6" max="6" width="14" hidden="0" customWidth="1"/>
    <x:col min="7" max="7" width="14" hidden="0" customWidth="1"/>
    <x:col min="8" max="8" width="14" hidden="0" customWidth="1"/>
  </x:cols>
  <x:sheetData>
    <x:row r="1" ht="36" customHeight="1">
      <x:c r="A1" s="3" t="str">
        <x:v>Anchors, uncertainty, and model-choice audit</x:v>
      </x:c>
      <x:c r="B1" s="3"/>
      <x:c r="C1" s="3"/>
      <x:c r="D1" s="3"/>
      <x:c r="E1" s="3"/>
      <x:c r="F1" s="3"/>
      <x:c r="G1" s="3"/>
      <x:c r="H1" s="3"/>
    </x:row>
    <x:row r="2">
      <x:c r="A2" s="6" t="str">
        <x:v>The primary benchmark remains date-aware and K3-anchored. Grok is used as a fixed disclosed row and validation check, not to rotate the entire frontier scale. Price is commercial evidence and therefore receives only weak cross-fitted weight.</x:v>
      </x:c>
      <x:c r="B2" s="6"/>
      <x:c r="C2" s="6"/>
      <x:c r="D2" s="6"/>
      <x:c r="E2" s="6"/>
      <x:c r="F2" s="6"/>
      <x:c r="G2" s="6"/>
      <x:c r="H2" s="6"/>
    </x:row>
    <x:row r="3">
      <x:c r="A3" s="6"/>
      <x:c r="B3" s="6"/>
      <x:c r="C3" s="6"/>
      <x:c r="D3" s="6"/>
      <x:c r="E3" s="6"/>
      <x:c r="F3" s="6"/>
      <x:c r="G3" s="6"/>
      <x:c r="H3" s="6"/>
    </x:row>
    <x:row r="5" ht="34" customHeight="1">
      <x:c r="A5" s="11" t="str">
        <x:v>Parameter / check</x:v>
      </x:c>
      <x:c r="B5" s="11" t="str">
        <x:v>Value</x:v>
      </x:c>
      <x:c r="C5" s="11" t="str">
        <x:v>Interpretation</x:v>
      </x:c>
    </x:row>
    <x:row r="6">
      <x:c r="A6" s="38" t="str">
        <x:v>K3 exact AA v4.1</x:v>
      </x:c>
      <x:c r="B6" s="19" t="n">
        <x:v>57.1123394372091</x:v>
      </x:c>
      <x:c r="C6" s="16" t="str">
        <x:v>UI displays 57</x:v>
      </x:c>
    </x:row>
    <x:row r="7">
      <x:c r="A7" s="39" t="str">
        <x:v>K3 disclosed total (T)</x:v>
      </x:c>
      <x:c r="B7" s="20" t="n">
        <x:v>2.8</x:v>
      </x:c>
      <x:c r="C7" s="17" t="str">
        <x:v>High-confidence model disclosure; active count unavailable</x:v>
      </x:c>
    </x:row>
    <x:row r="8">
      <x:c r="A8" s="39" t="str">
        <x:v>Grok exact AA v4.1</x:v>
      </x:c>
      <x:c r="B8" s="20" t="n">
        <x:v>53.8265951657731</x:v>
      </x:c>
      <x:c r="C8" s="17" t="str">
        <x:v>UI displays 54</x:v>
      </x:c>
    </x:row>
    <x:row r="9">
      <x:c r="A9" s="39" t="str">
        <x:v>Grok founder-disclosed foundation scale (T)</x:v>
      </x:c>
      <x:c r="B9" s="20" t="n">
        <x:v>1.5</x:v>
      </x:c>
      <x:c r="C9" s="17" t="str">
        <x:v>Medium-confidence first-party executive disclosure</x:v>
      </x:c>
    </x:row>
    <x:row r="10">
      <x:c r="A10" s="39" t="str">
        <x:v>Grok prior regression estimate (T)</x:v>
      </x:c>
      <x:c r="B10" s="20" t="n">
        <x:v>1.601005407941694</x:v>
      </x:c>
      <x:c r="C10" s="17" t="str">
        <x:v>Only 6.7% above the 1.5T anchor</x:v>
      </x:c>
    </x:row>
    <x:row r="11">
      <x:c r="A11" s="39" t="str">
        <x:v>Conservative LOFO log10 RMSE</x:v>
      </x:c>
      <x:c r="B11" s="20" t="n">
        <x:v>0.48132362596390643</x:v>
      </x:c>
      <x:c r="C11" s="17" t="str">
        <x:v>Worse leave-family-out scale retained</x:v>
      </x:c>
    </x:row>
    <x:row r="12">
      <x:c r="A12" s="39" t="str">
        <x:v>Conservative error factor</x:v>
      </x:c>
      <x:c r="B12" s="28" t="n">
        <x:f>POWER(10,B11)</x:f>
        <x:v>3.0291698529239715</x:v>
      </x:c>
      <x:c r="C12" s="17" t="str">
        <x:v>10^LOFO RMSE</x:v>
      </x:c>
    </x:row>
    <x:row r="13">
      <x:c r="A13" s="39" t="str">
        <x:v>Price log weight</x:v>
      </x:c>
      <x:c r="B13" s="34" t="n">
        <x:v>0.15</x:v>
      </x:c>
      <x:c r="C13" s="17" t="str">
        <x:v>Weak secondary regularizer</x:v>
      </x:c>
    </x:row>
    <x:row r="14">
      <x:c r="A14" s="39" t="str">
        <x:v>Anthropic tokenizer factor</x:v>
      </x:c>
      <x:c r="B14" s="41" t="n">
        <x:v>1.3</x:v>
      </x:c>
      <x:c r="C14" s="17" t="str">
        <x:v>Approximate same-text token-count adjustment</x:v>
      </x:c>
    </x:row>
    <x:row r="15">
      <x:c r="A15" s="40" t="str">
        <x:v>As of</x:v>
      </x:c>
      <x:c r="B15" s="32" t="n">
        <x:v>46220</x:v>
      </x:c>
      <x:c r="C15" s="18" t="str">
        <x:v>Pricing and benchmark snapshot date</x:v>
      </x:c>
    </x:row>
    <x:row r="18">
      <x:c r="A18" s="44" t="str">
        <x:v>Specification decisions</x:v>
      </x:c>
      <x:c r="B18" s="44"/>
      <x:c r="C18" s="44"/>
      <x:c r="D18" s="44"/>
      <x:c r="E18" s="44"/>
      <x:c r="F18" s="44"/>
      <x:c r="G18" s="44"/>
      <x:c r="H18" s="44"/>
    </x:row>
    <x:row r="20">
      <x:c r="A20" s="48" t="str">
        <x:v>Central estimate: 85% log weight on the existing benchmark/date estimate and 15% on a leave-one-base-out API-price estimate. Standard uncached input/output prices enter through z = sqrt(input × output), with an Anthropic provider effect and a 1.3× same-text tokenizer factor.</x:v>
      </x:c>
      <x:c r="B20" s="48"/>
      <x:c r="C20" s="48"/>
      <x:c r="D20" s="48"/>
      <x:c r="E20" s="48"/>
      <x:c r="F20" s="48"/>
      <x:c r="G20" s="48"/>
      <x:c r="H20" s="48"/>
    </x:row>
    <x:row r="21">
      <x:c r="A21" s="48"/>
      <x:c r="B21" s="48"/>
      <x:c r="C21" s="48"/>
      <x:c r="D21" s="48"/>
      <x:c r="E21" s="48"/>
      <x:c r="F21" s="48"/>
      <x:c r="G21" s="48"/>
      <x:c r="H21" s="48"/>
    </x:row>
    <x:row r="22">
      <x:c r="A22" s="48" t="str">
        <x:v>Grok choice: peg the row at 1.5T, but do not force the entire regression through K3 and Grok. The prior model was already within 6.7%; exact two-anchor rotation would add model risk and widen the uncertainty band.</x:v>
      </x:c>
      <x:c r="B22" s="48"/>
      <x:c r="C22" s="48"/>
      <x:c r="D22" s="48"/>
      <x:c r="E22" s="48"/>
      <x:c r="F22" s="48"/>
      <x:c r="G22" s="48"/>
      <x:c r="H22" s="48"/>
    </x:row>
    <x:row r="23">
      <x:c r="A23" s="48"/>
      <x:c r="B23" s="48"/>
      <x:c r="C23" s="48"/>
      <x:c r="D23" s="48"/>
      <x:c r="E23" s="48"/>
      <x:c r="F23" s="48"/>
      <x:c r="G23" s="48"/>
      <x:c r="H23" s="48"/>
    </x:row>
    <x:row r="24">
      <x:c r="A24" s="48" t="str">
        <x:v>Identity choice: Opus 4.7 and 4.8 are one shared base observation. Fable is displayed and modeled as a regular frontier model, per user instruction. Service tiers, fast mode, and reasoning settings are not separate base sizes.</x:v>
      </x:c>
      <x:c r="B24" s="48"/>
      <x:c r="C24" s="48"/>
      <x:c r="D24" s="48"/>
      <x:c r="E24" s="48"/>
      <x:c r="F24" s="48"/>
      <x:c r="G24" s="48"/>
      <x:c r="H24" s="48"/>
    </x:row>
    <x:row r="25">
      <x:c r="A25" s="48"/>
      <x:c r="B25" s="48"/>
      <x:c r="C25" s="48"/>
      <x:c r="D25" s="48"/>
      <x:c r="E25" s="48"/>
      <x:c r="F25" s="48"/>
      <x:c r="G25" s="48"/>
      <x:c r="H25" s="48"/>
    </x:row>
    <x:row r="28">
      <x:c r="A28" s="44" t="str">
        <x:v>Price-model diagnostics</x:v>
      </x:c>
      <x:c r="B28" s="44"/>
      <x:c r="C28" s="44"/>
      <x:c r="D28" s="44"/>
      <x:c r="E28" s="44"/>
      <x:c r="F28" s="44"/>
      <x:c r="G28" s="44"/>
      <x:c r="H28" s="44"/>
    </x:row>
    <x:row r="30" ht="34" customHeight="1">
      <x:c r="A30" s="11" t="str">
        <x:v>Diagnostic</x:v>
      </x:c>
      <x:c r="B30" s="11" t="str">
        <x:v>Result</x:v>
      </x:c>
      <x:c r="C30" s="11" t="str">
        <x:v>Meaning</x:v>
      </x:c>
    </x:row>
    <x:row r="31">
      <x:c r="A31" s="16" t="str">
        <x:v>Full-fit price slope</x:v>
      </x:c>
      <x:c r="B31" s="49" t="n">
        <x:f>'Price Model'!B6</x:f>
        <x:v>0.44075615551578234</x:v>
      </x:c>
      <x:c r="C31" s="16" t="str">
        <x:v>Price elasticity after provider adjustment</x:v>
      </x:c>
    </x:row>
    <x:row r="32">
      <x:c r="A32" s="17" t="str">
        <x:v>OpenAI intercept, T units</x:v>
      </x:c>
      <x:c r="B32" s="27" t="n">
        <x:f>'Price Model'!B7</x:f>
        <x:v>0.005099305927627529</x:v>
      </x:c>
      <x:c r="C32" s="17" t="str">
        <x:v>OpenAI baseline</x:v>
      </x:c>
    </x:row>
    <x:row r="33">
      <x:c r="A33" s="17" t="str">
        <x:v>Anthropic provider effect</x:v>
      </x:c>
      <x:c r="B33" s="27" t="n">
        <x:f>'Price Model'!B8</x:f>
        <x:v>-0.1377532181736313</x:v>
      </x:c>
      <x:c r="C33" s="17" t="str">
        <x:v>Commercial/provider offset</x:v>
      </x:c>
    </x:row>
    <x:row r="34">
      <x:c r="A34" s="17" t="str">
        <x:v>Full-fit R²</x:v>
      </x:c>
      <x:c r="B34" s="27" t="n">
        <x:f>'Price Model'!B9</x:f>
        <x:v>0.9160772902660487</x:v>
      </x:c>
      <x:c r="C34" s="17" t="str">
        <x:v>Coherence with benchmark estimates, not physical ground truth</x:v>
      </x:c>
    </x:row>
    <x:row r="35">
      <x:c r="A35" s="17" t="str">
        <x:v>LOBO price RMSE</x:v>
      </x:c>
      <x:c r="B35" s="27" t="n">
        <x:f>'Price Model'!B10</x:f>
        <x:v>0.06488865122582953</x:v>
      </x:c>
      <x:c r="C35" s="17" t="str">
        <x:v>Leave-one-base-out log10 error</x:v>
      </x:c>
    </x:row>
    <x:row r="36">
      <x:c r="A36" s="17" t="str">
        <x:v>LOBO multiplicative error</x:v>
      </x:c>
      <x:c r="B36" s="28" t="n">
        <x:f>'Price Model'!B11</x:f>
        <x:v>1.1611508681694092</x:v>
      </x:c>
      <x:c r="C36" s="17" t="str">
        <x:v>Price-only cross-fit error</x:v>
      </x:c>
    </x:row>
    <x:row r="37">
      <x:c r="A37" s="18" t="str">
        <x:v>Main parameter error factor</x:v>
      </x:c>
      <x:c r="B37" s="50" t="n">
        <x:f>B12</x:f>
        <x:v>3.0291698529239715</x:v>
      </x:c>
      <x:c r="C37" s="18" t="str">
        <x:v>Used for final whiskers; not narrowed by price</x:v>
      </x:c>
    </x:row>
  </x:sheetData>
  <x:mergeCells>
    <x:mergeCell ref="A1:H1"/>
    <x:mergeCell ref="A2:H3"/>
    <x:mergeCell ref="A18:H18"/>
    <x:mergeCell ref="A20:H21"/>
    <x:mergeCell ref="A22:H23"/>
    <x:mergeCell ref="A24:H25"/>
    <x:mergeCell ref="A28:H28"/>
  </x:mergeCells>
  <x:pageMargins left="0.7" right="0.7" top="0.75" bottom="0.75" header="0.3" footer="0.3"/>
  <x:legacyDrawing xmlns:r="http://schemas.openxmlformats.org/officeDocument/2006/relationships" r:id="R589d6d120f5d4da6"/>
</x:worksheet>
</file>

<file path=xl/worksheets/sheet6.xml><?xml version="1.0" encoding="utf-8"?>
<x:worksheet xmlns:x="http://schemas.openxmlformats.org/spreadsheetml/2006/main">
  <x:sheetViews>
    <x:sheetView showGridLines="0" workbookViewId="0"/>
  </x:sheetViews>
  <x:sheetFormatPr defaultRowHeight="15"/>
  <x:cols>
    <x:col min="1" max="1" width="38" hidden="0" customWidth="1"/>
    <x:col min="2" max="2" width="65" hidden="0" customWidth="1"/>
    <x:col min="3" max="3" width="55" hidden="0" customWidth="1"/>
    <x:col min="4" max="4" width="48" hidden="0" customWidth="1"/>
  </x:cols>
  <x:sheetData>
    <x:row r="1" ht="36" customHeight="1">
      <x:c r="A1" s="3" t="str">
        <x:v>Sources and audit trail</x:v>
      </x:c>
      <x:c r="B1" s="3"/>
      <x:c r="C1" s="3"/>
      <x:c r="D1" s="3"/>
    </x:row>
    <x:row r="2">
      <x:c r="A2" s="6" t="str">
        <x:v>Plain-text URLs and local paths are retained for reproducibility. Pricing was verified against current official documentation on 2026-07-17.</x:v>
      </x:c>
      <x:c r="B2" s="6"/>
      <x:c r="C2" s="6"/>
      <x:c r="D2" s="6"/>
    </x:row>
    <x:row r="3">
      <x:c r="A3" s="6"/>
      <x:c r="B3" s="6"/>
      <x:c r="C3" s="6"/>
      <x:c r="D3" s="6"/>
    </x:row>
    <x:row r="5" ht="34" customHeight="1">
      <x:c r="A5" s="11" t="str">
        <x:v>Source</x:v>
      </x:c>
      <x:c r="B5" s="11" t="str">
        <x:v>URL / path</x:v>
      </x:c>
      <x:c r="C5" s="11" t="str">
        <x:v>Use</x:v>
      </x:c>
      <x:c r="D5" s="11" t="str">
        <x:v>Caveat / snapshot</x:v>
      </x:c>
    </x:row>
    <x:row r="6">
      <x:c r="A6" s="16" t="str">
        <x:v>OpenAI official API pricing</x:v>
      </x:c>
      <x:c r="B6" s="22" t="str">
        <x:v>https://developers.openai.com/api/docs/pricing</x:v>
      </x:c>
      <x:c r="C6" s="22" t="str">
        <x:v>GPT-5.6 Sol/Terra/Luna and GPT-5.5 input/output prices</x:v>
      </x:c>
      <x:c r="D6" s="22" t="str">
        <x:v>Standard short-context rates as of 2026-07-17</x:v>
      </x:c>
    </x:row>
    <x:row r="7">
      <x:c r="A7" s="17" t="str">
        <x:v>Anthropic official pricing</x:v>
      </x:c>
      <x:c r="B7" s="23" t="str">
        <x:v>https://platform.claude.com/docs/en/about-claude/pricing</x:v>
      </x:c>
      <x:c r="C7" s="23" t="str">
        <x:v>Fable, Opus, Sonnet prices and tokenizer note</x:v>
      </x:c>
      <x:c r="D7" s="23" t="str">
        <x:v>Sonnet introductory $2/$10 used; future price excluded</x:v>
      </x:c>
    </x:row>
    <x:row r="8">
      <x:c r="A8" s="17" t="str">
        <x:v>SpaceXAI Grok 4.5 model page</x:v>
      </x:c>
      <x:c r="B8" s="23" t="str">
        <x:v>https://docs.x.ai/developers/models/grok-4.5</x:v>
      </x:c>
      <x:c r="C8" s="23" t="str">
        <x:v>Grok API $2/$6 validation price</x:v>
      </x:c>
      <x:c r="D8" s="23" t="str">
        <x:v>Not used in OpenAI/Anthropic fit</x:v>
      </x:c>
    </x:row>
    <x:row r="9">
      <x:c r="A9" s="17" t="str">
        <x:v>Grok 4.5 1.5T founder disclosure</x:v>
      </x:c>
      <x:c r="B9" s="23" t="str">
        <x:v>https://x.com/elonmusk/status/2071184354756477041</x:v>
      </x:c>
      <x:c r="C9" s="23" t="str">
        <x:v>Public first-party 1.5T V9 foundation scale</x:v>
      </x:c>
      <x:c r="D9" s="23" t="str">
        <x:v>Executive disclosure; not model-card-grade exactness</x:v>
      </x:c>
    </x:row>
    <x:row r="10">
      <x:c r="A10" s="17" t="str">
        <x:v>Kimi K3 launch</x:v>
      </x:c>
      <x:c r="B10" s="23" t="str">
        <x:v>https://www.kimi.com/blog/kimi-k3</x:v>
      </x:c>
      <x:c r="C10" s="23" t="str">
        <x:v>2.8T disclosed total and architecture</x:v>
      </x:c>
      <x:c r="D10" s="23" t="str">
        <x:v>Active parameters undisclosed</x:v>
      </x:c>
    </x:row>
    <x:row r="11">
      <x:c r="A11" s="17" t="str">
        <x:v>Artificial Analysis K3</x:v>
      </x:c>
      <x:c r="B11" s="23" t="str">
        <x:v>https://artificialanalysis.ai/models/kimi-k3</x:v>
      </x:c>
      <x:c r="C11" s="23" t="str">
        <x:v>K3 exact AA v4.1 score</x:v>
      </x:c>
      <x:c r="D11" s="23" t="str">
        <x:v>UI displays rounded 57</x:v>
      </x:c>
    </x:row>
    <x:row r="12">
      <x:c r="A12" s="17" t="str">
        <x:v>Artificial Analysis Grok 4.5</x:v>
      </x:c>
      <x:c r="B12" s="23" t="str">
        <x:v>https://artificialanalysis.ai/models/grok-4-5</x:v>
      </x:c>
      <x:c r="C12" s="23" t="str">
        <x:v>Grok AA v4.1 score and release date</x:v>
      </x:c>
      <x:c r="D12" s="23" t="str">
        <x:v>AA parameter fields remain blank</x:v>
      </x:c>
    </x:row>
    <x:row r="13">
      <x:c r="A13" s="17" t="str">
        <x:v>Supplied ECI workbook</x:v>
      </x:c>
      <x:c r="B13" s="23" t="str">
        <x:v>~/Downloads/eci_parameter_regression_workbook.xlsx</x:v>
      </x:c>
      <x:c r="C13" s="23" t="str">
        <x:v>Dated and no-date ECI cross-check</x:v>
      </x:c>
      <x:c r="D13" s="23" t="str">
        <x:v>Read-only reference</x:v>
      </x:c>
    </x:row>
    <x:row r="14">
      <x:c r="A14" s="17" t="str">
        <x:v>Prior K3-calibrated workbook</x:v>
      </x:c>
      <x:c r="B14" s="23" t="str">
        <x:v>./outputs/019f6c42-2d53-7743-ab07-6293e2618dd7/k3_calibrated_frontier_parameter_crosscheck_2026-07-17.xlsx</x:v>
      </x:c>
      <x:c r="C14" s="23" t="str">
        <x:v>Primary benchmark estimates before price smoothing</x:v>
      </x:c>
      <x:c r="D14" s="23" t="str">
        <x:v>Opus rows collapsed here; Fable treated as regular per user</x:v>
      </x:c>
    </x:row>
    <x:row r="15">
      <x:c r="A15" s="17" t="str">
        <x:v>OpenAI pricing attachment</x:v>
      </x:c>
      <x:c r="B15" s="23" t="str">
        <x:v>~/.codex/attachments/7fd90f78-7cc0-4a40-bac0-2132738152d1/pasted-text.txt</x:v>
      </x:c>
      <x:c r="C15" s="23" t="str">
        <x:v>User-provided official-doc snapshot</x:v>
      </x:c>
      <x:c r="D15" s="23" t="str">
        <x:v>Cross-checked with live official page</x:v>
      </x:c>
    </x:row>
    <x:row r="16">
      <x:c r="A16" s="18" t="str">
        <x:v>Anthropic pricing attachment</x:v>
      </x:c>
      <x:c r="B16" s="24" t="str">
        <x:v>~/.codex/attachments/d61abc72-44c9-4f25-a5d4-d08de62acff7/pasted-text.txt</x:v>
      </x:c>
      <x:c r="C16" s="24" t="str">
        <x:v>User-provided official-doc snapshot</x:v>
      </x:c>
      <x:c r="D16" s="24" t="str">
        <x:v>Cross-checked with live official page</x:v>
      </x:c>
    </x:row>
    <x:row r="19">
      <x:c r="A19" s="77" t="str">
        <x:v>Horizon and forecast evidence added in this revision</x:v>
      </x:c>
      <x:c r="B19" s="77"/>
      <x:c r="C19" s="77"/>
      <x:c r="D19" s="77"/>
    </x:row>
    <x:row r="20" ht="34" customHeight="1">
      <x:c r="A20" s="150" t="str">
        <x:v>No-CoT horizon paper</x:v>
      </x:c>
      <x:c r="B20" s="150" t="str">
        <x:v>https://arxiv.org/pdf/2606.07157</x:v>
      </x:c>
      <x:c r="C20" s="150" t="str">
        <x:v>Primary model-level horizons, CIs, scaling laws, and architecture findings</x:v>
      </x:c>
      <x:c r="D20" s="150" t="str">
        <x:v>v3 source parsed directly</x:v>
      </x:c>
    </x:row>
    <x:row r="21">
      <x:c r="A21" s="151" t="str">
        <x:v>Submitted LaTeX source</x:v>
      </x:c>
      <x:c r="B21" s="153" t="str">
        <x:v>~/Downloads/arXiv-2606.07157v3.tar.gz</x:v>
      </x:c>
      <x:c r="C21" s="153" t="str">
        <x:v>Exact extraction of all model-level paper data used here</x:v>
      </x:c>
      <x:c r="D21" s="153" t="str">
        <x:v>Local immutable input for this build</x:v>
      </x:c>
    </x:row>
    <x:row r="22">
      <x:c r="A22" s="151" t="str">
        <x:v>LessWrong paper copy</x:v>
      </x:c>
      <x:c r="B22" s="153" t="str">
        <x:v>~/.codex/attachments/0f45b0c5-4b8c-4916-b6d7-b6bc53dcc26f/pasted-text.txt</x:v>
      </x:c>
      <x:c r="C22" s="153" t="str">
        <x:v>Secondary paper text / discussion</x:v>
      </x:c>
      <x:c r="D22" s="153" t="str">
        <x:v>Primary numbers taken from LaTeX, not this copy</x:v>
      </x:c>
    </x:row>
    <x:row r="23">
      <x:c r="A23" s="151" t="str">
        <x:v>METR-Horizon-v1.1 extract</x:v>
      </x:c>
      <x:c r="B23" s="153" t="str">
        <x:v>User-supplied in Codex conversation, 2026-07-17</x:v>
      </x:c>
      <x:c r="C23" s="153" t="str">
        <x:v>128.744-day from-2023 doubling and model horizons</x:v>
      </x:c>
      <x:c r="D23" s="153" t="str">
        <x:v>Used to identify post-training leverage only</x:v>
      </x:c>
    </x:row>
    <x:row r="24">
      <x:c r="A24" s="151" t="str">
        <x:v>Ryan Greenblatt K3 assessment</x:v>
      </x:c>
      <x:c r="B24" s="153" t="str">
        <x:v>User-supplied in Codex conversation, 2026-07-17</x:v>
      </x:c>
      <x:c r="C24" s="153" t="str">
        <x:v>Corrected K3 pretrain placement and ~8-month gap</x:v>
      </x:c>
      <x:c r="D24" s="153" t="str">
        <x:v>Qualitative prior; earlier bullish view explicitly retracted</x:v>
      </x:c>
    </x:row>
    <x:row r="25">
      <x:c r="A25" s="152" t="str">
        <x:v>Human prediction registry</x:v>
      </x:c>
      <x:c r="B25" s="154" t="str">
        <x:v>./outputs/019f6c42-2d53-7743-ab07-6293e2618dd7/frontier_parameter_prediction_registry_v1.8_2026-07-17.docx</x:v>
      </x:c>
      <x:c r="C25" s="154" t="str">
        <x:v>Fable/Sol crowd sanity checks</x:v>
      </x:c>
      <x:c r="D25" s="154" t="str">
        <x:v>Unscored and likely correlated; not an independent likelihood</x:v>
      </x:c>
    </x:row>
  </x:sheetData>
  <x:mergeCells>
    <x:mergeCell ref="A1:D1"/>
    <x:mergeCell ref="A2:D3"/>
    <x:mergeCell ref="A19:D19"/>
  </x:mergeCells>
  <x:pageMargins left="0.7" right="0.7" top="0.75" bottom="0.75" header="0.3" footer="0.3"/>
  <x:tableParts count="1">
    <x:tablePart xmlns:r="http://schemas.openxmlformats.org/officeDocument/2006/relationships" r:id="R132347d9597b40a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7" hidden="0" customWidth="1"/>
    <x:col min="2" max="2" width="32" hidden="0" customWidth="1"/>
    <x:col min="3" max="3" width="15"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28" hidden="0" customWidth="1"/>
    <x:col min="11" max="11" width="16" hidden="0" customWidth="1"/>
    <x:col min="12" max="12" width="16" hidden="0" customWidth="1"/>
    <x:col min="13" max="13" width="16" hidden="0" customWidth="1"/>
  </x:cols>
  <x:sheetData>
    <x:row r="1" ht="36" customHeight="1">
      <x:c r="A1" s="66" t="str">
        <x:v>No-CoT evidence — exact LaTeX extraction</x:v>
      </x:c>
      <x:c r="B1" s="66"/>
      <x:c r="C1" s="66"/>
      <x:c r="D1" s="66"/>
      <x:c r="E1" s="66"/>
      <x:c r="F1" s="66"/>
      <x:c r="G1" s="66"/>
      <x:c r="H1" s="66"/>
      <x:c r="I1" s="66"/>
      <x:c r="J1" s="66"/>
      <x:c r="K1" s="66"/>
      <x:c r="L1" s="66"/>
      <x:c r="M1" s="66"/>
    </x:row>
    <x:row r="2">
      <x:c r="A2" s="6" t="str">
        <x:v>Parsed directly from arXiv-2606.07157v3.tar.gz: all model-level evidence relevant to parameter inference — 14 proprietary models with time/token horizons and CIs, plus all 35 open-weight models with architecture, total/active parameters, layers, and point/median/CIs. No figure transcription.</x:v>
      </x:c>
      <x:c r="B2" s="6"/>
      <x:c r="C2" s="6"/>
      <x:c r="D2" s="6"/>
      <x:c r="E2" s="6"/>
      <x:c r="F2" s="6"/>
      <x:c r="G2" s="6"/>
      <x:c r="H2" s="6"/>
      <x:c r="I2" s="6"/>
      <x:c r="J2" s="6"/>
      <x:c r="K2" s="6"/>
      <x:c r="L2" s="6"/>
      <x:c r="M2" s="6"/>
    </x:row>
    <x:row r="3">
      <x:c r="A3" s="6"/>
      <x:c r="B3" s="6"/>
      <x:c r="C3" s="6"/>
      <x:c r="D3" s="6"/>
      <x:c r="E3" s="6"/>
      <x:c r="F3" s="6"/>
      <x:c r="G3" s="6"/>
      <x:c r="H3" s="6"/>
      <x:c r="I3" s="6"/>
      <x:c r="J3" s="6"/>
      <x:c r="K3" s="6"/>
      <x:c r="L3" s="6"/>
      <x:c r="M3" s="6"/>
    </x:row>
    <x:row r="5">
      <x:c r="A5" s="77" t="str">
        <x:v>Proprietary / frontier horizons — whole 32-short-answer suite</x:v>
      </x:c>
      <x:c r="B5" s="77"/>
      <x:c r="C5" s="77"/>
      <x:c r="D5" s="77"/>
      <x:c r="E5" s="77"/>
      <x:c r="F5" s="77"/>
      <x:c r="G5" s="77"/>
      <x:c r="H5" s="77"/>
      <x:c r="I5" s="77"/>
      <x:c r="J5" s="77"/>
      <x:c r="K5" s="77"/>
      <x:c r="L5" s="77"/>
      <x:c r="M5" s="77"/>
    </x:row>
    <x:row r="6" ht="34" customHeight="1">
      <x:c r="A6" s="71" t="str">
        <x:v>Model</x:v>
      </x:c>
      <x:c r="B6" s="71" t="str">
        <x:v>Release month</x:v>
      </x:c>
      <x:c r="C6" s="71" t="str">
        <x:v>Time TH (min)</x:v>
      </x:c>
      <x:c r="D6" s="71" t="str">
        <x:v>Time CI low</x:v>
      </x:c>
      <x:c r="E6" s="71" t="str">
        <x:v>Time CI high</x:v>
      </x:c>
      <x:c r="F6" s="71" t="str">
        <x:v>Time source text</x:v>
      </x:c>
      <x:c r="G6" s="71" t="str">
        <x:v>Token TH</x:v>
      </x:c>
      <x:c r="H6" s="71" t="str">
        <x:v>Token CI low</x:v>
      </x:c>
      <x:c r="I6" s="71" t="str">
        <x:v>Token CI high</x:v>
      </x:c>
      <x:c r="J6" s="71" t="str">
        <x:v>Token source text</x:v>
      </x:c>
      <x:c r="K6" s="71" t="str">
        <x:v>At floor?</x:v>
      </x:c>
      <x:c r="L6" s="71" t="str">
        <x:v>LaTeX table</x:v>
      </x:c>
    </x:row>
    <x:row r="7">
      <x:c r="A7" s="16" t="str">
        <x:v>GPT-2</x:v>
      </x:c>
      <x:c r="B7" s="81" t="n">
        <x:v>43497</x:v>
      </x:c>
      <x:c r="C7" s="19" t="n">
        <x:v>0.01</x:v>
      </x:c>
      <x:c r="D7" s="19" t="n">
        <x:v>0.01</x:v>
      </x:c>
      <x:c r="E7" s="19" t="n">
        <x:v>0.01</x:v>
      </x:c>
      <x:c r="F7" s="16" t="str">
        <x:v>&lt;0.01 [&lt;0.01, &lt;0.01]</x:v>
      </x:c>
      <x:c r="G7" s="19" t="n">
        <x:v>1</x:v>
      </x:c>
      <x:c r="H7" s="19" t="n">
        <x:v>1</x:v>
      </x:c>
      <x:c r="I7" s="19" t="n">
        <x:v>1</x:v>
      </x:c>
      <x:c r="J7" s="16" t="str">
        <x:v>&lt;1 [1, 1]</x:v>
      </x:c>
      <x:c r="K7" s="16" t="str">
        <x:v>Yes</x:v>
      </x:c>
      <x:c r="L7" s="16" t="str">
        <x:v>tab:horizons-per-model</x:v>
      </x:c>
    </x:row>
    <x:row r="8">
      <x:c r="A8" s="17" t="str">
        <x:v>GPT-3</x:v>
      </x:c>
      <x:c r="B8" s="82" t="n">
        <x:v>43952</x:v>
      </x:c>
      <x:c r="C8" s="20" t="n">
        <x:v>0.05</x:v>
      </x:c>
      <x:c r="D8" s="20" t="n">
        <x:v>0.01</x:v>
      </x:c>
      <x:c r="E8" s="20" t="n">
        <x:v>0.05</x:v>
      </x:c>
      <x:c r="F8" s="17" t="str">
        <x:v>0.05 [&lt;0.01, 0.05]</x:v>
      </x:c>
      <x:c r="G8" s="20" t="n">
        <x:v>1</x:v>
      </x:c>
      <x:c r="H8" s="20" t="n">
        <x:v>1</x:v>
      </x:c>
      <x:c r="I8" s="20" t="n">
        <x:v>8</x:v>
      </x:c>
      <x:c r="J8" s="17" t="str">
        <x:v>1 [1, 8]</x:v>
      </x:c>
      <x:c r="K8" s="17" t="str">
        <x:v>No</x:v>
      </x:c>
      <x:c r="L8" s="17" t="str">
        <x:v>tab:horizons-per-model</x:v>
      </x:c>
    </x:row>
    <x:row r="9">
      <x:c r="A9" s="17" t="str">
        <x:v>GPT-3.5</x:v>
      </x:c>
      <x:c r="B9" s="82" t="n">
        <x:v>44621</x:v>
      </x:c>
      <x:c r="C9" s="20" t="n">
        <x:v>0.29</x:v>
      </x:c>
      <x:c r="D9" s="20" t="n">
        <x:v>0.01</x:v>
      </x:c>
      <x:c r="E9" s="20" t="n">
        <x:v>0.42</x:v>
      </x:c>
      <x:c r="F9" s="17" t="str">
        <x:v>0.29 [&lt;0.01, 0.42]</x:v>
      </x:c>
      <x:c r="G9" s="20" t="n">
        <x:v>123</x:v>
      </x:c>
      <x:c r="H9" s="20" t="n">
        <x:v>71</x:v>
      </x:c>
      <x:c r="I9" s="20" t="n">
        <x:v>189</x:v>
      </x:c>
      <x:c r="J9" s="17" t="str">
        <x:v>123 [71, 189]</x:v>
      </x:c>
      <x:c r="K9" s="17" t="str">
        <x:v>No</x:v>
      </x:c>
      <x:c r="L9" s="17" t="str">
        <x:v>tab:horizons-per-model</x:v>
      </x:c>
    </x:row>
    <x:row r="10">
      <x:c r="A10" s="17" t="str">
        <x:v>GPT-4</x:v>
      </x:c>
      <x:c r="B10" s="82" t="n">
        <x:v>44986</x:v>
      </x:c>
      <x:c r="C10" s="20" t="n">
        <x:v>0.89</x:v>
      </x:c>
      <x:c r="D10" s="20" t="n">
        <x:v>0.19</x:v>
      </x:c>
      <x:c r="E10" s="20" t="n">
        <x:v>0.95</x:v>
      </x:c>
      <x:c r="F10" s="17" t="str">
        <x:v>0.89 [0.19, 0.95]</x:v>
      </x:c>
      <x:c r="G10" s="20" t="n">
        <x:v>290</x:v>
      </x:c>
      <x:c r="H10" s="20" t="n">
        <x:v>197</x:v>
      </x:c>
      <x:c r="I10" s="20" t="n">
        <x:v>457</x:v>
      </x:c>
      <x:c r="J10" s="17" t="str">
        <x:v>290 [197, 457]</x:v>
      </x:c>
      <x:c r="K10" s="17" t="str">
        <x:v>No</x:v>
      </x:c>
      <x:c r="L10" s="17" t="str">
        <x:v>tab:horizons-per-model</x:v>
      </x:c>
    </x:row>
    <x:row r="11">
      <x:c r="A11" s="17" t="str">
        <x:v>GPT-4 Turbo</x:v>
      </x:c>
      <x:c r="B11" s="82" t="n">
        <x:v>45383</x:v>
      </x:c>
      <x:c r="C11" s="20" t="n">
        <x:v>0.8</x:v>
      </x:c>
      <x:c r="D11" s="20" t="n">
        <x:v>0.06</x:v>
      </x:c>
      <x:c r="E11" s="20" t="n">
        <x:v>0.91</x:v>
      </x:c>
      <x:c r="F11" s="17" t="str">
        <x:v>0.80 [0.06, 0.91]</x:v>
      </x:c>
      <x:c r="G11" s="20" t="n">
        <x:v>401</x:v>
      </x:c>
      <x:c r="H11" s="20" t="n">
        <x:v>248</x:v>
      </x:c>
      <x:c r="I11" s="20" t="n">
        <x:v>652</x:v>
      </x:c>
      <x:c r="J11" s="17" t="str">
        <x:v>401 [248, 652]</x:v>
      </x:c>
      <x:c r="K11" s="17" t="str">
        <x:v>No</x:v>
      </x:c>
      <x:c r="L11" s="17" t="str">
        <x:v>tab:horizons-per-model</x:v>
      </x:c>
    </x:row>
    <x:row r="12">
      <x:c r="A12" s="17" t="str">
        <x:v>GPT-4o</x:v>
      </x:c>
      <x:c r="B12" s="82" t="n">
        <x:v>45413</x:v>
      </x:c>
      <x:c r="C12" s="20" t="n">
        <x:v>0.8</x:v>
      </x:c>
      <x:c r="D12" s="20" t="n">
        <x:v>0.03</x:v>
      </x:c>
      <x:c r="E12" s="20" t="n">
        <x:v>0.92</x:v>
      </x:c>
      <x:c r="F12" s="17" t="str">
        <x:v>0.80 [0.03, 0.92]</x:v>
      </x:c>
      <x:c r="G12" s="20" t="n">
        <x:v>455</x:v>
      </x:c>
      <x:c r="H12" s="20" t="n">
        <x:v>233</x:v>
      </x:c>
      <x:c r="I12" s="20" t="n">
        <x:v>851</x:v>
      </x:c>
      <x:c r="J12" s="17" t="str">
        <x:v>455 [233, 851]</x:v>
      </x:c>
      <x:c r="K12" s="17" t="str">
        <x:v>No</x:v>
      </x:c>
      <x:c r="L12" s="17" t="str">
        <x:v>tab:horizons-per-model</x:v>
      </x:c>
    </x:row>
    <x:row r="13">
      <x:c r="A13" s="17" t="str">
        <x:v>Sonnet 3.7</x:v>
      </x:c>
      <x:c r="B13" s="82" t="n">
        <x:v>45689</x:v>
      </x:c>
      <x:c r="C13" s="20" t="n">
        <x:v>1.1</x:v>
      </x:c>
      <x:c r="D13" s="20" t="n">
        <x:v>0.26</x:v>
      </x:c>
      <x:c r="E13" s="20" t="n">
        <x:v>1.3</x:v>
      </x:c>
      <x:c r="F13" s="17" t="str">
        <x:v>1.1 [0.26, 1.3]</x:v>
      </x:c>
      <x:c r="G13" s="20" t="n">
        <x:v>584</x:v>
      </x:c>
      <x:c r="H13" s="20" t="n">
        <x:v>403</x:v>
      </x:c>
      <x:c r="I13" s="20" t="n">
        <x:v>876</x:v>
      </x:c>
      <x:c r="J13" s="17" t="str">
        <x:v>584 [403, 876]</x:v>
      </x:c>
      <x:c r="K13" s="17" t="str">
        <x:v>No</x:v>
      </x:c>
      <x:c r="L13" s="17" t="str">
        <x:v>tab:horizons-per-model</x:v>
      </x:c>
    </x:row>
    <x:row r="14">
      <x:c r="A14" s="17" t="str">
        <x:v>Opus 4</x:v>
      </x:c>
      <x:c r="B14" s="82" t="n">
        <x:v>45778</x:v>
      </x:c>
      <x:c r="C14" s="20" t="n">
        <x:v>1.2</x:v>
      </x:c>
      <x:c r="D14" s="20" t="n">
        <x:v>0.34</x:v>
      </x:c>
      <x:c r="E14" s="20" t="n">
        <x:v>1.4</x:v>
      </x:c>
      <x:c r="F14" s="17" t="str">
        <x:v>1.2 [0.34, 1.4]</x:v>
      </x:c>
      <x:c r="G14" s="20" t="n">
        <x:v>612</x:v>
      </x:c>
      <x:c r="H14" s="20" t="n">
        <x:v>373</x:v>
      </x:c>
      <x:c r="I14" s="20" t="n">
        <x:v>1100</x:v>
      </x:c>
      <x:c r="J14" s="17" t="str">
        <x:v>612 [373, 1.1k]</x:v>
      </x:c>
      <x:c r="K14" s="17" t="str">
        <x:v>No</x:v>
      </x:c>
      <x:c r="L14" s="17" t="str">
        <x:v>tab:horizons-per-model</x:v>
      </x:c>
    </x:row>
    <x:row r="15">
      <x:c r="A15" s="17" t="str">
        <x:v>Opus 4.1</x:v>
      </x:c>
      <x:c r="B15" s="82" t="n">
        <x:v>45870</x:v>
      </x:c>
      <x:c r="C15" s="20" t="n">
        <x:v>1.4</x:v>
      </x:c>
      <x:c r="D15" s="20" t="n">
        <x:v>0.44</x:v>
      </x:c>
      <x:c r="E15" s="20" t="n">
        <x:v>1.7</x:v>
      </x:c>
      <x:c r="F15" s="17" t="str">
        <x:v>1.4 [0.44, 1.7]</x:v>
      </x:c>
      <x:c r="G15" s="20" t="n">
        <x:v>825</x:v>
      </x:c>
      <x:c r="H15" s="20" t="n">
        <x:v>542</x:v>
      </x:c>
      <x:c r="I15" s="20" t="n">
        <x:v>1400</x:v>
      </x:c>
      <x:c r="J15" s="17" t="str">
        <x:v>825 [542, 1.4k]</x:v>
      </x:c>
      <x:c r="K15" s="17" t="str">
        <x:v>No</x:v>
      </x:c>
      <x:c r="L15" s="17" t="str">
        <x:v>tab:horizons-per-model</x:v>
      </x:c>
    </x:row>
    <x:row r="16">
      <x:c r="A16" s="17" t="str">
        <x:v>Opus 4.5</x:v>
      </x:c>
      <x:c r="B16" s="82" t="n">
        <x:v>45962</x:v>
      </x:c>
      <x:c r="C16" s="20" t="n">
        <x:v>2.4</x:v>
      </x:c>
      <x:c r="D16" s="20" t="n">
        <x:v>0.39</x:v>
      </x:c>
      <x:c r="E16" s="20" t="n">
        <x:v>94</x:v>
      </x:c>
      <x:c r="F16" s="17" t="str">
        <x:v>2.4 [0.39, 94]</x:v>
      </x:c>
      <x:c r="G16" s="20" t="n">
        <x:v>1400</x:v>
      </x:c>
      <x:c r="H16" s="20" t="n">
        <x:v>842</x:v>
      </x:c>
      <x:c r="I16" s="20" t="n">
        <x:v>2400</x:v>
      </x:c>
      <x:c r="J16" s="17" t="str">
        <x:v>1.4k [842, 2.4k]</x:v>
      </x:c>
      <x:c r="K16" s="17" t="str">
        <x:v>No</x:v>
      </x:c>
      <x:c r="L16" s="17" t="str">
        <x:v>tab:horizons-per-model</x:v>
      </x:c>
    </x:row>
    <x:row r="17">
      <x:c r="A17" s="17" t="str">
        <x:v>Opus 4.6</x:v>
      </x:c>
      <x:c r="B17" s="82" t="n">
        <x:v>46054</x:v>
      </x:c>
      <x:c r="C17" s="20" t="n">
        <x:v>2.5</x:v>
      </x:c>
      <x:c r="D17" s="20" t="n">
        <x:v>0.55</x:v>
      </x:c>
      <x:c r="E17" s="20" t="n">
        <x:v>40</x:v>
      </x:c>
      <x:c r="F17" s="17" t="str">
        <x:v>2.5 [0.55, 40]</x:v>
      </x:c>
      <x:c r="G17" s="20" t="n">
        <x:v>1300</x:v>
      </x:c>
      <x:c r="H17" s="20" t="n">
        <x:v>780</x:v>
      </x:c>
      <x:c r="I17" s="20" t="n">
        <x:v>2200</x:v>
      </x:c>
      <x:c r="J17" s="17" t="str">
        <x:v>1.3k [780, 2.2k]</x:v>
      </x:c>
      <x:c r="K17" s="17" t="str">
        <x:v>No</x:v>
      </x:c>
      <x:c r="L17" s="17" t="str">
        <x:v>tab:horizons-per-model</x:v>
      </x:c>
    </x:row>
    <x:row r="18">
      <x:c r="A18" s="17" t="str">
        <x:v>GPT-5.4</x:v>
      </x:c>
      <x:c r="B18" s="82" t="n">
        <x:v>46082</x:v>
      </x:c>
      <x:c r="C18" s="20" t="n">
        <x:v>1.4</x:v>
      </x:c>
      <x:c r="D18" s="20" t="n">
        <x:v>0.12</x:v>
      </x:c>
      <x:c r="E18" s="20" t="n">
        <x:v>6.6</x:v>
      </x:c>
      <x:c r="F18" s="17" t="str">
        <x:v>1.4 [0.12, 6.6]</x:v>
      </x:c>
      <x:c r="G18" s="20" t="n">
        <x:v>961</x:v>
      </x:c>
      <x:c r="H18" s="20" t="n">
        <x:v>570</x:v>
      </x:c>
      <x:c r="I18" s="20" t="n">
        <x:v>1600</x:v>
      </x:c>
      <x:c r="J18" s="17" t="str">
        <x:v>961 [570, 1.6k]</x:v>
      </x:c>
      <x:c r="K18" s="17" t="str">
        <x:v>No</x:v>
      </x:c>
      <x:c r="L18" s="17" t="str">
        <x:v>tab:horizons-per-model</x:v>
      </x:c>
    </x:row>
    <x:row r="19">
      <x:c r="A19" s="17" t="str">
        <x:v>Opus 4.7</x:v>
      </x:c>
      <x:c r="B19" s="82" t="n">
        <x:v>46113</x:v>
      </x:c>
      <x:c r="C19" s="20" t="n">
        <x:v>2.8</x:v>
      </x:c>
      <x:c r="D19" s="20" t="n">
        <x:v>0.61</x:v>
      </x:c>
      <x:c r="E19" s="20" t="n">
        <x:v>73</x:v>
      </x:c>
      <x:c r="F19" s="17" t="str">
        <x:v>2.8 [0.61, 73]</x:v>
      </x:c>
      <x:c r="G19" s="20" t="n">
        <x:v>1500</x:v>
      </x:c>
      <x:c r="H19" s="20" t="n">
        <x:v>854</x:v>
      </x:c>
      <x:c r="I19" s="20" t="n">
        <x:v>2800</x:v>
      </x:c>
      <x:c r="J19" s="17" t="str">
        <x:v>1.5k [854, 2.8k]</x:v>
      </x:c>
      <x:c r="K19" s="17" t="str">
        <x:v>No</x:v>
      </x:c>
      <x:c r="L19" s="17" t="str">
        <x:v>tab:horizons-per-model</x:v>
      </x:c>
    </x:row>
    <x:row r="20">
      <x:c r="A20" s="18" t="str">
        <x:v>GPT-5.5</x:v>
      </x:c>
      <x:c r="B20" s="83" t="n">
        <x:v>46113</x:v>
      </x:c>
      <x:c r="C20" s="21" t="n">
        <x:v>3</x:v>
      </x:c>
      <x:c r="D20" s="21" t="n">
        <x:v>0.84</x:v>
      </x:c>
      <x:c r="E20" s="21" t="n">
        <x:v>62</x:v>
      </x:c>
      <x:c r="F20" s="18" t="str">
        <x:v>3.0 [0.84, 62]</x:v>
      </x:c>
      <x:c r="G20" s="21" t="n">
        <x:v>1500</x:v>
      </x:c>
      <x:c r="H20" s="21" t="n">
        <x:v>950</x:v>
      </x:c>
      <x:c r="I20" s="21" t="n">
        <x:v>2400</x:v>
      </x:c>
      <x:c r="J20" s="18" t="str">
        <x:v>1.5k [950, 2.4k]</x:v>
      </x:c>
      <x:c r="K20" s="18" t="str">
        <x:v>No</x:v>
      </x:c>
      <x:c r="L20" s="18" t="str">
        <x:v>tab:horizons-per-model</x:v>
      </x:c>
    </x:row>
    <x:row r="23">
      <x:c r="A23" s="77" t="str">
        <x:v>Open-weight horizon panel — 25-benchmark subset (not level-comparable to proprietary suite)</x:v>
      </x:c>
      <x:c r="B23" s="77"/>
      <x:c r="C23" s="77"/>
      <x:c r="D23" s="77"/>
      <x:c r="E23" s="77"/>
      <x:c r="F23" s="77"/>
      <x:c r="G23" s="77"/>
      <x:c r="H23" s="77"/>
      <x:c r="I23" s="77"/>
      <x:c r="J23" s="77"/>
      <x:c r="K23" s="77"/>
      <x:c r="L23" s="77"/>
      <x:c r="M23" s="77"/>
    </x:row>
    <x:row r="24" ht="34" customHeight="1">
      <x:c r="A24" s="71" t="str">
        <x:v>Developer</x:v>
      </x:c>
      <x:c r="B24" s="71" t="str">
        <x:v>Model</x:v>
      </x:c>
      <x:c r="C24" s="71" t="str">
        <x:v>Release month</x:v>
      </x:c>
      <x:c r="D24" s="71" t="str">
        <x:v>Total params (B)</x:v>
      </x:c>
      <x:c r="E24" s="71" t="str">
        <x:v>Active params (B)</x:v>
      </x:c>
      <x:c r="F24" s="71" t="str">
        <x:v>Layers</x:v>
      </x:c>
      <x:c r="G24" s="71" t="str">
        <x:v>Architecture</x:v>
      </x:c>
      <x:c r="H24" s="71" t="str">
        <x:v>Reasoning</x:v>
      </x:c>
      <x:c r="I24" s="71" t="str">
        <x:v>Modality</x:v>
      </x:c>
      <x:c r="J24" s="71" t="str">
        <x:v>Point TH (min)</x:v>
      </x:c>
      <x:c r="K24" s="71" t="str">
        <x:v>Bootstrap median</x:v>
      </x:c>
      <x:c r="L24" s="71" t="str">
        <x:v>CI low</x:v>
      </x:c>
      <x:c r="M24" s="71" t="str">
        <x:v>CI high</x:v>
      </x:c>
    </x:row>
    <x:row r="25">
      <x:c r="A25" s="16" t="str">
        <x:v>Llama</x:v>
      </x:c>
      <x:c r="B25" s="16" t="str">
        <x:v>Llama 3 8B Instruct</x:v>
      </x:c>
      <x:c r="C25" s="81" t="n">
        <x:v>45383</x:v>
      </x:c>
      <x:c r="D25" s="72" t="n">
        <x:v>8</x:v>
      </x:c>
      <x:c r="E25" s="72" t="n">
        <x:v>8</x:v>
      </x:c>
      <x:c r="F25" s="72" t="n">
        <x:v>32</x:v>
      </x:c>
      <x:c r="G25" s="16" t="str">
        <x:v>Dense</x:v>
      </x:c>
      <x:c r="H25" s="16" t="str">
        <x:v>Non-reasoning</x:v>
      </x:c>
      <x:c r="I25" s="16" t="str">
        <x:v>Text</x:v>
      </x:c>
      <x:c r="J25" s="19" t="n">
        <x:v>0.177</x:v>
      </x:c>
      <x:c r="K25" s="19" t="n">
        <x:v>0.075</x:v>
      </x:c>
      <x:c r="L25" s="19" t="n">
        <x:v>0</x:v>
      </x:c>
      <x:c r="M25" s="19" t="n">
        <x:v>0.344</x:v>
      </x:c>
    </x:row>
    <x:row r="26">
      <x:c r="A26" s="17" t="str">
        <x:v>Llama</x:v>
      </x:c>
      <x:c r="B26" s="17" t="str">
        <x:v>Llama 3.1 8B Instruct</x:v>
      </x:c>
      <x:c r="C26" s="82" t="n">
        <x:v>45474</x:v>
      </x:c>
      <x:c r="D26" s="73" t="n">
        <x:v>8</x:v>
      </x:c>
      <x:c r="E26" s="73" t="n">
        <x:v>8</x:v>
      </x:c>
      <x:c r="F26" s="73" t="n">
        <x:v>32</x:v>
      </x:c>
      <x:c r="G26" s="17" t="str">
        <x:v>Dense</x:v>
      </x:c>
      <x:c r="H26" s="17" t="str">
        <x:v>Non-reasoning</x:v>
      </x:c>
      <x:c r="I26" s="17" t="str">
        <x:v>Text</x:v>
      </x:c>
      <x:c r="J26" s="20" t="n">
        <x:v>0.097</x:v>
      </x:c>
      <x:c r="K26" s="20" t="n">
        <x:v>0.034</x:v>
      </x:c>
      <x:c r="L26" s="20" t="n">
        <x:v>0</x:v>
      </x:c>
      <x:c r="M26" s="20" t="n">
        <x:v>0.279</x:v>
      </x:c>
    </x:row>
    <x:row r="27">
      <x:c r="A27" s="17" t="str">
        <x:v>Llama</x:v>
      </x:c>
      <x:c r="B27" s="17" t="str">
        <x:v>Llama 3.1 70B Instruct</x:v>
      </x:c>
      <x:c r="C27" s="82" t="n">
        <x:v>45474</x:v>
      </x:c>
      <x:c r="D27" s="73" t="n">
        <x:v>70</x:v>
      </x:c>
      <x:c r="E27" s="73" t="n">
        <x:v>70</x:v>
      </x:c>
      <x:c r="F27" s="73" t="n">
        <x:v>80</x:v>
      </x:c>
      <x:c r="G27" s="17" t="str">
        <x:v>Dense</x:v>
      </x:c>
      <x:c r="H27" s="17" t="str">
        <x:v>Non-reasoning</x:v>
      </x:c>
      <x:c r="I27" s="17" t="str">
        <x:v>Text</x:v>
      </x:c>
      <x:c r="J27" s="20" t="n">
        <x:v>0.407</x:v>
      </x:c>
      <x:c r="K27" s="20" t="n">
        <x:v>0.195</x:v>
      </x:c>
      <x:c r="L27" s="20" t="n">
        <x:v>0.022</x:v>
      </x:c>
      <x:c r="M27" s="20" t="n">
        <x:v>0.762</x:v>
      </x:c>
    </x:row>
    <x:row r="28">
      <x:c r="A28" s="17" t="str">
        <x:v>Llama</x:v>
      </x:c>
      <x:c r="B28" s="17" t="str">
        <x:v>Llama 3.2 1B Instruct</x:v>
      </x:c>
      <x:c r="C28" s="82" t="n">
        <x:v>45536</x:v>
      </x:c>
      <x:c r="D28" s="73" t="n">
        <x:v>1</x:v>
      </x:c>
      <x:c r="E28" s="73" t="n">
        <x:v>1</x:v>
      </x:c>
      <x:c r="F28" s="73" t="n">
        <x:v>16</x:v>
      </x:c>
      <x:c r="G28" s="17" t="str">
        <x:v>Dense</x:v>
      </x:c>
      <x:c r="H28" s="17" t="str">
        <x:v>Non-reasoning</x:v>
      </x:c>
      <x:c r="I28" s="17" t="str">
        <x:v>Text</x:v>
      </x:c>
      <x:c r="J28" s="20" t="n">
        <x:v>0.055</x:v>
      </x:c>
      <x:c r="K28" s="20" t="n">
        <x:v>0.021</x:v>
      </x:c>
      <x:c r="L28" s="20" t="n">
        <x:v>0</x:v>
      </x:c>
      <x:c r="M28" s="20" t="n">
        <x:v>0.084</x:v>
      </x:c>
    </x:row>
    <x:row r="29">
      <x:c r="A29" s="17" t="str">
        <x:v>Llama</x:v>
      </x:c>
      <x:c r="B29" s="17" t="str">
        <x:v>Llama 3.2 3B Instruct</x:v>
      </x:c>
      <x:c r="C29" s="82" t="n">
        <x:v>45536</x:v>
      </x:c>
      <x:c r="D29" s="73" t="n">
        <x:v>3</x:v>
      </x:c>
      <x:c r="E29" s="73" t="n">
        <x:v>3</x:v>
      </x:c>
      <x:c r="F29" s="73" t="n">
        <x:v>28</x:v>
      </x:c>
      <x:c r="G29" s="17" t="str">
        <x:v>Dense</x:v>
      </x:c>
      <x:c r="H29" s="17" t="str">
        <x:v>Non-reasoning</x:v>
      </x:c>
      <x:c r="I29" s="17" t="str">
        <x:v>Text</x:v>
      </x:c>
      <x:c r="J29" s="20" t="n">
        <x:v>0.146</x:v>
      </x:c>
      <x:c r="K29" s="20" t="n">
        <x:v>0.06</x:v>
      </x:c>
      <x:c r="L29" s="20" t="n">
        <x:v>0</x:v>
      </x:c>
      <x:c r="M29" s="20" t="n">
        <x:v>0.297</x:v>
      </x:c>
    </x:row>
    <x:row r="30">
      <x:c r="A30" s="17" t="str">
        <x:v>Llama</x:v>
      </x:c>
      <x:c r="B30" s="17" t="str">
        <x:v>Llama 3.3 70B Instruct</x:v>
      </x:c>
      <x:c r="C30" s="82" t="n">
        <x:v>45627</x:v>
      </x:c>
      <x:c r="D30" s="73" t="n">
        <x:v>70</x:v>
      </x:c>
      <x:c r="E30" s="73" t="n">
        <x:v>70</x:v>
      </x:c>
      <x:c r="F30" s="73" t="n">
        <x:v>80</x:v>
      </x:c>
      <x:c r="G30" s="17" t="str">
        <x:v>Dense</x:v>
      </x:c>
      <x:c r="H30" s="17" t="str">
        <x:v>Non-reasoning</x:v>
      </x:c>
      <x:c r="I30" s="17" t="str">
        <x:v>Text</x:v>
      </x:c>
      <x:c r="J30" s="20" t="n">
        <x:v>0.513</x:v>
      </x:c>
      <x:c r="K30" s="20" t="n">
        <x:v>0.263</x:v>
      </x:c>
      <x:c r="L30" s="20" t="n">
        <x:v>0.012</x:v>
      </x:c>
      <x:c r="M30" s="20" t="n">
        <x:v>0.861</x:v>
      </x:c>
    </x:row>
    <x:row r="31">
      <x:c r="A31" s="17" t="str">
        <x:v>Llama</x:v>
      </x:c>
      <x:c r="B31" s="17" t="str">
        <x:v>Llama 4 Scout</x:v>
      </x:c>
      <x:c r="C31" s="82" t="n">
        <x:v>45748</x:v>
      </x:c>
      <x:c r="D31" s="73" t="n">
        <x:v>109</x:v>
      </x:c>
      <x:c r="E31" s="73" t="n">
        <x:v>17</x:v>
      </x:c>
      <x:c r="F31" s="73" t="n">
        <x:v>48</x:v>
      </x:c>
      <x:c r="G31" s="17" t="str">
        <x:v>MoE</x:v>
      </x:c>
      <x:c r="H31" s="17" t="str">
        <x:v>Non-reasoning</x:v>
      </x:c>
      <x:c r="I31" s="17" t="str">
        <x:v>VL</x:v>
      </x:c>
      <x:c r="J31" s="20" t="n">
        <x:v>0.102</x:v>
      </x:c>
      <x:c r="K31" s="20" t="n">
        <x:v>0.037</x:v>
      </x:c>
      <x:c r="L31" s="20" t="n">
        <x:v>0.001</x:v>
      </x:c>
      <x:c r="M31" s="20" t="n">
        <x:v>0.231</x:v>
      </x:c>
    </x:row>
    <x:row r="32">
      <x:c r="A32" s="17" t="str">
        <x:v>Llama</x:v>
      </x:c>
      <x:c r="B32" s="17" t="str">
        <x:v>Llama 4 Maverick</x:v>
      </x:c>
      <x:c r="C32" s="82" t="n">
        <x:v>45748</x:v>
      </x:c>
      <x:c r="D32" s="73" t="n">
        <x:v>400</x:v>
      </x:c>
      <x:c r="E32" s="73" t="n">
        <x:v>17</x:v>
      </x:c>
      <x:c r="F32" s="73" t="n">
        <x:v>48</x:v>
      </x:c>
      <x:c r="G32" s="17" t="str">
        <x:v>MoE</x:v>
      </x:c>
      <x:c r="H32" s="17" t="str">
        <x:v>Non-reasoning</x:v>
      </x:c>
      <x:c r="I32" s="17" t="str">
        <x:v>VL</x:v>
      </x:c>
      <x:c r="J32" s="20" t="n">
        <x:v>0.391</x:v>
      </x:c>
      <x:c r="K32" s="20" t="n">
        <x:v>0.19</x:v>
      </x:c>
      <x:c r="L32" s="20" t="n">
        <x:v>0.004</x:v>
      </x:c>
      <x:c r="M32" s="20" t="n">
        <x:v>0.732</x:v>
      </x:c>
    </x:row>
    <x:row r="33">
      <x:c r="A33" s="17" t="str">
        <x:v>Mistral</x:v>
      </x:c>
      <x:c r="B33" s="17" t="str">
        <x:v>Mistral Nemo 12B</x:v>
      </x:c>
      <x:c r="C33" s="82" t="n">
        <x:v>45474</x:v>
      </x:c>
      <x:c r="D33" s="73" t="n">
        <x:v>12</x:v>
      </x:c>
      <x:c r="E33" s="73" t="n">
        <x:v>12</x:v>
      </x:c>
      <x:c r="F33" s="73" t="n">
        <x:v>40</x:v>
      </x:c>
      <x:c r="G33" s="17" t="str">
        <x:v>Dense</x:v>
      </x:c>
      <x:c r="H33" s="17" t="str">
        <x:v>Non-reasoning</x:v>
      </x:c>
      <x:c r="I33" s="17" t="str">
        <x:v>Text</x:v>
      </x:c>
      <x:c r="J33" s="20" t="n">
        <x:v>0.126</x:v>
      </x:c>
      <x:c r="K33" s="20" t="n">
        <x:v>0.048</x:v>
      </x:c>
      <x:c r="L33" s="20" t="n">
        <x:v>0.002</x:v>
      </x:c>
      <x:c r="M33" s="20" t="n">
        <x:v>0.3</x:v>
      </x:c>
    </x:row>
    <x:row r="34">
      <x:c r="A34" s="17" t="str">
        <x:v>Mistral</x:v>
      </x:c>
      <x:c r="B34" s="17" t="str">
        <x:v>Ministral 3 3B</x:v>
      </x:c>
      <x:c r="C34" s="82" t="n">
        <x:v>45992</x:v>
      </x:c>
      <x:c r="D34" s="73" t="n">
        <x:v>3</x:v>
      </x:c>
      <x:c r="E34" s="73" t="n">
        <x:v>3</x:v>
      </x:c>
      <x:c r="F34" s="73" t="n">
        <x:v>26</x:v>
      </x:c>
      <x:c r="G34" s="17" t="str">
        <x:v>Dense</x:v>
      </x:c>
      <x:c r="H34" s="17" t="str">
        <x:v>Non-reasoning</x:v>
      </x:c>
      <x:c r="I34" s="17" t="str">
        <x:v>VL</x:v>
      </x:c>
      <x:c r="J34" s="20" t="n">
        <x:v>0.096</x:v>
      </x:c>
      <x:c r="K34" s="20" t="n">
        <x:v>0.036</x:v>
      </x:c>
      <x:c r="L34" s="20" t="n">
        <x:v>0</x:v>
      </x:c>
      <x:c r="M34" s="20" t="n">
        <x:v>0.194</x:v>
      </x:c>
    </x:row>
    <x:row r="35">
      <x:c r="A35" s="17" t="str">
        <x:v>Mistral</x:v>
      </x:c>
      <x:c r="B35" s="17" t="str">
        <x:v>Ministral 3 8B</x:v>
      </x:c>
      <x:c r="C35" s="82" t="n">
        <x:v>45992</x:v>
      </x:c>
      <x:c r="D35" s="73" t="n">
        <x:v>8</x:v>
      </x:c>
      <x:c r="E35" s="73" t="n">
        <x:v>8</x:v>
      </x:c>
      <x:c r="F35" s="73" t="n">
        <x:v>32</x:v>
      </x:c>
      <x:c r="G35" s="17" t="str">
        <x:v>Dense</x:v>
      </x:c>
      <x:c r="H35" s="17" t="str">
        <x:v>Non-reasoning</x:v>
      </x:c>
      <x:c r="I35" s="17" t="str">
        <x:v>VL</x:v>
      </x:c>
      <x:c r="J35" s="20" t="n">
        <x:v>0.282</x:v>
      </x:c>
      <x:c r="K35" s="20" t="n">
        <x:v>0.132</x:v>
      </x:c>
      <x:c r="L35" s="20" t="n">
        <x:v>0.002</x:v>
      </x:c>
      <x:c r="M35" s="20" t="n">
        <x:v>0.482</x:v>
      </x:c>
    </x:row>
    <x:row r="36">
      <x:c r="A36" s="17" t="str">
        <x:v>Mistral</x:v>
      </x:c>
      <x:c r="B36" s="17" t="str">
        <x:v>Ministral 3 14B</x:v>
      </x:c>
      <x:c r="C36" s="82" t="n">
        <x:v>45992</x:v>
      </x:c>
      <x:c r="D36" s="73" t="n">
        <x:v>14</x:v>
      </x:c>
      <x:c r="E36" s="73" t="n">
        <x:v>14</x:v>
      </x:c>
      <x:c r="F36" s="73" t="n">
        <x:v>40</x:v>
      </x:c>
      <x:c r="G36" s="17" t="str">
        <x:v>Dense</x:v>
      </x:c>
      <x:c r="H36" s="17" t="str">
        <x:v>Non-reasoning</x:v>
      </x:c>
      <x:c r="I36" s="17" t="str">
        <x:v>VL</x:v>
      </x:c>
      <x:c r="J36" s="20" t="n">
        <x:v>0.367</x:v>
      </x:c>
      <x:c r="K36" s="20" t="n">
        <x:v>0.178</x:v>
      </x:c>
      <x:c r="L36" s="20" t="n">
        <x:v>0.004</x:v>
      </x:c>
      <x:c r="M36" s="20" t="n">
        <x:v>0.625</x:v>
      </x:c>
    </x:row>
    <x:row r="37">
      <x:c r="A37" s="17" t="str">
        <x:v>Qwen</x:v>
      </x:c>
      <x:c r="B37" s="17" t="str">
        <x:v>Qwen 3 8B</x:v>
      </x:c>
      <x:c r="C37" s="82" t="n">
        <x:v>45748</x:v>
      </x:c>
      <x:c r="D37" s="73" t="n">
        <x:v>8</x:v>
      </x:c>
      <x:c r="E37" s="73" t="n">
        <x:v>8</x:v>
      </x:c>
      <x:c r="F37" s="73" t="n">
        <x:v>36</x:v>
      </x:c>
      <x:c r="G37" s="17" t="str">
        <x:v>Dense</x:v>
      </x:c>
      <x:c r="H37" s="17" t="str">
        <x:v>Hybrid-reasoning</x:v>
      </x:c>
      <x:c r="I37" s="17" t="str">
        <x:v>Text</x:v>
      </x:c>
      <x:c r="J37" s="20" t="n">
        <x:v>0.23</x:v>
      </x:c>
      <x:c r="K37" s="20" t="n">
        <x:v>0.101</x:v>
      </x:c>
      <x:c r="L37" s="20" t="n">
        <x:v>0.001</x:v>
      </x:c>
      <x:c r="M37" s="20" t="n">
        <x:v>0.377</x:v>
      </x:c>
    </x:row>
    <x:row r="38">
      <x:c r="A38" s="17" t="str">
        <x:v>Qwen</x:v>
      </x:c>
      <x:c r="B38" s="17" t="str">
        <x:v>Qwen 3 14B</x:v>
      </x:c>
      <x:c r="C38" s="82" t="n">
        <x:v>45748</x:v>
      </x:c>
      <x:c r="D38" s="73" t="n">
        <x:v>14</x:v>
      </x:c>
      <x:c r="E38" s="73" t="n">
        <x:v>14</x:v>
      </x:c>
      <x:c r="F38" s="73" t="n">
        <x:v>40</x:v>
      </x:c>
      <x:c r="G38" s="17" t="str">
        <x:v>Dense</x:v>
      </x:c>
      <x:c r="H38" s="17" t="str">
        <x:v>Hybrid-reasoning</x:v>
      </x:c>
      <x:c r="I38" s="17" t="str">
        <x:v>Text</x:v>
      </x:c>
      <x:c r="J38" s="20" t="n">
        <x:v>0.258</x:v>
      </x:c>
      <x:c r="K38" s="20" t="n">
        <x:v>0.117</x:v>
      </x:c>
      <x:c r="L38" s="20" t="n">
        <x:v>0.005</x:v>
      </x:c>
      <x:c r="M38" s="20" t="n">
        <x:v>0.436</x:v>
      </x:c>
    </x:row>
    <x:row r="39">
      <x:c r="A39" s="17" t="str">
        <x:v>Qwen</x:v>
      </x:c>
      <x:c r="B39" s="17" t="str">
        <x:v>Qwen 3 32B</x:v>
      </x:c>
      <x:c r="C39" s="82" t="n">
        <x:v>45748</x:v>
      </x:c>
      <x:c r="D39" s="73" t="n">
        <x:v>32</x:v>
      </x:c>
      <x:c r="E39" s="73" t="n">
        <x:v>32</x:v>
      </x:c>
      <x:c r="F39" s="73" t="n">
        <x:v>64</x:v>
      </x:c>
      <x:c r="G39" s="17" t="str">
        <x:v>Dense</x:v>
      </x:c>
      <x:c r="H39" s="17" t="str">
        <x:v>Hybrid-reasoning</x:v>
      </x:c>
      <x:c r="I39" s="17" t="str">
        <x:v>Text</x:v>
      </x:c>
      <x:c r="J39" s="20" t="n">
        <x:v>0.346</x:v>
      </x:c>
      <x:c r="K39" s="20" t="n">
        <x:v>0.164</x:v>
      </x:c>
      <x:c r="L39" s="20" t="n">
        <x:v>0.013</x:v>
      </x:c>
      <x:c r="M39" s="20" t="n">
        <x:v>0.531</x:v>
      </x:c>
    </x:row>
    <x:row r="40">
      <x:c r="A40" s="17" t="str">
        <x:v>Qwen</x:v>
      </x:c>
      <x:c r="B40" s="17" t="str">
        <x:v>Qwen 3 30B-A3B (2507)</x:v>
      </x:c>
      <x:c r="C40" s="82" t="n">
        <x:v>45839</x:v>
      </x:c>
      <x:c r="D40" s="73" t="n">
        <x:v>30</x:v>
      </x:c>
      <x:c r="E40" s="73" t="n">
        <x:v>3</x:v>
      </x:c>
      <x:c r="F40" s="73" t="n">
        <x:v>48</x:v>
      </x:c>
      <x:c r="G40" s="17" t="str">
        <x:v>MoE</x:v>
      </x:c>
      <x:c r="H40" s="17" t="str">
        <x:v>Non-reasoning</x:v>
      </x:c>
      <x:c r="I40" s="17" t="str">
        <x:v>Text</x:v>
      </x:c>
      <x:c r="J40" s="20" t="n">
        <x:v>0.384</x:v>
      </x:c>
      <x:c r="K40" s="20" t="n">
        <x:v>0.186</x:v>
      </x:c>
      <x:c r="L40" s="20" t="n">
        <x:v>0.006</x:v>
      </x:c>
      <x:c r="M40" s="20" t="n">
        <x:v>0.663</x:v>
      </x:c>
    </x:row>
    <x:row r="41">
      <x:c r="A41" s="17" t="str">
        <x:v>Qwen</x:v>
      </x:c>
      <x:c r="B41" s="17" t="str">
        <x:v>Qwen 3 235B-A22B (2507)</x:v>
      </x:c>
      <x:c r="C41" s="82" t="n">
        <x:v>45839</x:v>
      </x:c>
      <x:c r="D41" s="73" t="n">
        <x:v>235</x:v>
      </x:c>
      <x:c r="E41" s="73" t="n">
        <x:v>22</x:v>
      </x:c>
      <x:c r="F41" s="73" t="n">
        <x:v>94</x:v>
      </x:c>
      <x:c r="G41" s="17" t="str">
        <x:v>MoE</x:v>
      </x:c>
      <x:c r="H41" s="17" t="str">
        <x:v>Non-reasoning</x:v>
      </x:c>
      <x:c r="I41" s="17" t="str">
        <x:v>Text</x:v>
      </x:c>
      <x:c r="J41" s="20" t="n">
        <x:v>0.988</x:v>
      </x:c>
      <x:c r="K41" s="20" t="n">
        <x:v>0.612</x:v>
      </x:c>
      <x:c r="L41" s="20" t="n">
        <x:v>0.132</x:v>
      </x:c>
      <x:c r="M41" s="20" t="n">
        <x:v>1.43</x:v>
      </x:c>
    </x:row>
    <x:row r="42">
      <x:c r="A42" s="17" t="str">
        <x:v>Qwen</x:v>
      </x:c>
      <x:c r="B42" s="17" t="str">
        <x:v>Qwen 3-Next 80B-A3B</x:v>
      </x:c>
      <x:c r="C42" s="82" t="n">
        <x:v>45901</x:v>
      </x:c>
      <x:c r="D42" s="73" t="n">
        <x:v>80</x:v>
      </x:c>
      <x:c r="E42" s="73" t="n">
        <x:v>3</x:v>
      </x:c>
      <x:c r="F42" s="73" t="n">
        <x:v>48</x:v>
      </x:c>
      <x:c r="G42" s="17" t="str">
        <x:v>MoE</x:v>
      </x:c>
      <x:c r="H42" s="17" t="str">
        <x:v>Non-reasoning</x:v>
      </x:c>
      <x:c r="I42" s="17" t="str">
        <x:v>Text</x:v>
      </x:c>
      <x:c r="J42" s="20" t="n">
        <x:v>0.702</x:v>
      </x:c>
      <x:c r="K42" s="20" t="n">
        <x:v>0.405</x:v>
      </x:c>
      <x:c r="L42" s="20" t="n">
        <x:v>0.04</x:v>
      </x:c>
      <x:c r="M42" s="20" t="n">
        <x:v>1.137</x:v>
      </x:c>
    </x:row>
    <x:row r="43">
      <x:c r="A43" s="17" t="str">
        <x:v>Qwen</x:v>
      </x:c>
      <x:c r="B43" s="17" t="str">
        <x:v>Qwen 3.5 9B</x:v>
      </x:c>
      <x:c r="C43" s="82" t="n">
        <x:v>46054</x:v>
      </x:c>
      <x:c r="D43" s="73" t="n">
        <x:v>9</x:v>
      </x:c>
      <x:c r="E43" s="73" t="n">
        <x:v>9</x:v>
      </x:c>
      <x:c r="F43" s="73" t="n">
        <x:v>32</x:v>
      </x:c>
      <x:c r="G43" s="17" t="str">
        <x:v>Dense</x:v>
      </x:c>
      <x:c r="H43" s="17" t="str">
        <x:v>Hybrid-reasoning</x:v>
      </x:c>
      <x:c r="I43" s="17" t="str">
        <x:v>VL</x:v>
      </x:c>
      <x:c r="J43" s="20" t="n">
        <x:v>0.345</x:v>
      </x:c>
      <x:c r="K43" s="20" t="n">
        <x:v>0.171</x:v>
      </x:c>
      <x:c r="L43" s="20" t="n">
        <x:v>0.009</x:v>
      </x:c>
      <x:c r="M43" s="20" t="n">
        <x:v>0.559</x:v>
      </x:c>
    </x:row>
    <x:row r="44">
      <x:c r="A44" s="17" t="str">
        <x:v>Qwen</x:v>
      </x:c>
      <x:c r="B44" s="17" t="str">
        <x:v>Qwen 3.5 27B</x:v>
      </x:c>
      <x:c r="C44" s="82" t="n">
        <x:v>46054</x:v>
      </x:c>
      <x:c r="D44" s="73" t="n">
        <x:v>27</x:v>
      </x:c>
      <x:c r="E44" s="73" t="n">
        <x:v>27</x:v>
      </x:c>
      <x:c r="F44" s="73" t="n">
        <x:v>64</x:v>
      </x:c>
      <x:c r="G44" s="17" t="str">
        <x:v>Dense</x:v>
      </x:c>
      <x:c r="H44" s="17" t="str">
        <x:v>Hybrid-reasoning</x:v>
      </x:c>
      <x:c r="I44" s="17" t="str">
        <x:v>VL</x:v>
      </x:c>
      <x:c r="J44" s="20" t="n">
        <x:v>0.192</x:v>
      </x:c>
      <x:c r="K44" s="20" t="n">
        <x:v>0.088</x:v>
      </x:c>
      <x:c r="L44" s="20" t="n">
        <x:v>0.002</x:v>
      </x:c>
      <x:c r="M44" s="20" t="n">
        <x:v>0.346</x:v>
      </x:c>
    </x:row>
    <x:row r="45">
      <x:c r="A45" s="17" t="str">
        <x:v>Qwen</x:v>
      </x:c>
      <x:c r="B45" s="17" t="str">
        <x:v>Qwen 3.5 35B-A3B</x:v>
      </x:c>
      <x:c r="C45" s="82" t="n">
        <x:v>46054</x:v>
      </x:c>
      <x:c r="D45" s="73" t="n">
        <x:v>35</x:v>
      </x:c>
      <x:c r="E45" s="73" t="n">
        <x:v>3</x:v>
      </x:c>
      <x:c r="F45" s="73" t="n">
        <x:v>40</x:v>
      </x:c>
      <x:c r="G45" s="17" t="str">
        <x:v>MoE</x:v>
      </x:c>
      <x:c r="H45" s="17" t="str">
        <x:v>Hybrid-reasoning</x:v>
      </x:c>
      <x:c r="I45" s="17" t="str">
        <x:v>VL</x:v>
      </x:c>
      <x:c r="J45" s="20" t="n">
        <x:v>0.406</x:v>
      </x:c>
      <x:c r="K45" s="20" t="n">
        <x:v>0.209</x:v>
      </x:c>
      <x:c r="L45" s="20" t="n">
        <x:v>0.016</x:v>
      </x:c>
      <x:c r="M45" s="20" t="n">
        <x:v>0.645</x:v>
      </x:c>
    </x:row>
    <x:row r="46">
      <x:c r="A46" s="17" t="str">
        <x:v>Qwen</x:v>
      </x:c>
      <x:c r="B46" s="17" t="str">
        <x:v>Qwen 3.5 122B-A10B</x:v>
      </x:c>
      <x:c r="C46" s="82" t="n">
        <x:v>46054</x:v>
      </x:c>
      <x:c r="D46" s="73" t="n">
        <x:v>122</x:v>
      </x:c>
      <x:c r="E46" s="73" t="n">
        <x:v>10</x:v>
      </x:c>
      <x:c r="F46" s="73" t="n">
        <x:v>48</x:v>
      </x:c>
      <x:c r="G46" s="17" t="str">
        <x:v>MoE</x:v>
      </x:c>
      <x:c r="H46" s="17" t="str">
        <x:v>Hybrid-reasoning</x:v>
      </x:c>
      <x:c r="I46" s="17" t="str">
        <x:v>VL</x:v>
      </x:c>
      <x:c r="J46" s="20" t="n">
        <x:v>0.636</x:v>
      </x:c>
      <x:c r="K46" s="20" t="n">
        <x:v>0.334</x:v>
      </x:c>
      <x:c r="L46" s="20" t="n">
        <x:v>0.068</x:v>
      </x:c>
      <x:c r="M46" s="20" t="n">
        <x:v>0.856</x:v>
      </x:c>
    </x:row>
    <x:row r="47">
      <x:c r="A47" s="17" t="str">
        <x:v>Qwen</x:v>
      </x:c>
      <x:c r="B47" s="17" t="str">
        <x:v>Qwen 3.5 397B-A17B</x:v>
      </x:c>
      <x:c r="C47" s="82" t="n">
        <x:v>46054</x:v>
      </x:c>
      <x:c r="D47" s="73" t="n">
        <x:v>397</x:v>
      </x:c>
      <x:c r="E47" s="73" t="n">
        <x:v>17</x:v>
      </x:c>
      <x:c r="F47" s="73" t="n">
        <x:v>60</x:v>
      </x:c>
      <x:c r="G47" s="17" t="str">
        <x:v>MoE</x:v>
      </x:c>
      <x:c r="H47" s="17" t="str">
        <x:v>Hybrid-reasoning</x:v>
      </x:c>
      <x:c r="I47" s="17" t="str">
        <x:v>VL</x:v>
      </x:c>
      <x:c r="J47" s="20" t="n">
        <x:v>1.085</x:v>
      </x:c>
      <x:c r="K47" s="20" t="n">
        <x:v>0.705</x:v>
      </x:c>
      <x:c r="L47" s="20" t="n">
        <x:v>0.183</x:v>
      </x:c>
      <x:c r="M47" s="20" t="n">
        <x:v>1.677</x:v>
      </x:c>
    </x:row>
    <x:row r="48">
      <x:c r="A48" s="17" t="str">
        <x:v>Gemma</x:v>
      </x:c>
      <x:c r="B48" s="17" t="str">
        <x:v>Gemma 3 4B IT</x:v>
      </x:c>
      <x:c r="C48" s="82" t="n">
        <x:v>45717</x:v>
      </x:c>
      <x:c r="D48" s="73" t="n">
        <x:v>4</x:v>
      </x:c>
      <x:c r="E48" s="73" t="n">
        <x:v>4</x:v>
      </x:c>
      <x:c r="F48" s="73" t="n">
        <x:v>34</x:v>
      </x:c>
      <x:c r="G48" s="17" t="str">
        <x:v>Dense</x:v>
      </x:c>
      <x:c r="H48" s="17" t="str">
        <x:v>Non-reasoning</x:v>
      </x:c>
      <x:c r="I48" s="17" t="str">
        <x:v>VL</x:v>
      </x:c>
      <x:c r="J48" s="20" t="n">
        <x:v>0.154</x:v>
      </x:c>
      <x:c r="K48" s="20" t="n">
        <x:v>0.063</x:v>
      </x:c>
      <x:c r="L48" s="20" t="n">
        <x:v>0</x:v>
      </x:c>
      <x:c r="M48" s="20" t="n">
        <x:v>0.305</x:v>
      </x:c>
    </x:row>
    <x:row r="49">
      <x:c r="A49" s="17" t="str">
        <x:v>Gemma</x:v>
      </x:c>
      <x:c r="B49" s="17" t="str">
        <x:v>Gemma 3 12B IT</x:v>
      </x:c>
      <x:c r="C49" s="82" t="n">
        <x:v>45717</x:v>
      </x:c>
      <x:c r="D49" s="73" t="n">
        <x:v>12</x:v>
      </x:c>
      <x:c r="E49" s="73" t="n">
        <x:v>12</x:v>
      </x:c>
      <x:c r="F49" s="73" t="n">
        <x:v>48</x:v>
      </x:c>
      <x:c r="G49" s="17" t="str">
        <x:v>Dense</x:v>
      </x:c>
      <x:c r="H49" s="17" t="str">
        <x:v>Non-reasoning</x:v>
      </x:c>
      <x:c r="I49" s="17" t="str">
        <x:v>VL</x:v>
      </x:c>
      <x:c r="J49" s="20" t="n">
        <x:v>0.322</x:v>
      </x:c>
      <x:c r="K49" s="20" t="n">
        <x:v>0.15</x:v>
      </x:c>
      <x:c r="L49" s="20" t="n">
        <x:v>0.006</x:v>
      </x:c>
      <x:c r="M49" s="20" t="n">
        <x:v>0.52</x:v>
      </x:c>
    </x:row>
    <x:row r="50">
      <x:c r="A50" s="17" t="str">
        <x:v>Gemma</x:v>
      </x:c>
      <x:c r="B50" s="17" t="str">
        <x:v>Gemma 3 27B IT</x:v>
      </x:c>
      <x:c r="C50" s="82" t="n">
        <x:v>45717</x:v>
      </x:c>
      <x:c r="D50" s="73" t="n">
        <x:v>27</x:v>
      </x:c>
      <x:c r="E50" s="73" t="n">
        <x:v>27</x:v>
      </x:c>
      <x:c r="F50" s="73" t="n">
        <x:v>62</x:v>
      </x:c>
      <x:c r="G50" s="17" t="str">
        <x:v>Dense</x:v>
      </x:c>
      <x:c r="H50" s="17" t="str">
        <x:v>Non-reasoning</x:v>
      </x:c>
      <x:c r="I50" s="17" t="str">
        <x:v>VL</x:v>
      </x:c>
      <x:c r="J50" s="20" t="n">
        <x:v>0.512</x:v>
      </x:c>
      <x:c r="K50" s="20" t="n">
        <x:v>0.264</x:v>
      </x:c>
      <x:c r="L50" s="20" t="n">
        <x:v>0.025</x:v>
      </x:c>
      <x:c r="M50" s="20" t="n">
        <x:v>0.761</x:v>
      </x:c>
    </x:row>
    <x:row r="51">
      <x:c r="A51" s="17" t="str">
        <x:v>Gemma</x:v>
      </x:c>
      <x:c r="B51" s="17" t="str">
        <x:v>Gemma 4 26B-A4B</x:v>
      </x:c>
      <x:c r="C51" s="82" t="n">
        <x:v>46113</x:v>
      </x:c>
      <x:c r="D51" s="73" t="n">
        <x:v>26</x:v>
      </x:c>
      <x:c r="E51" s="73" t="n">
        <x:v>4</x:v>
      </x:c>
      <x:c r="F51" s="73" t="n">
        <x:v>60</x:v>
      </x:c>
      <x:c r="G51" s="17" t="str">
        <x:v>MoE</x:v>
      </x:c>
      <x:c r="H51" s="17" t="str">
        <x:v>Hybrid-reasoning</x:v>
      </x:c>
      <x:c r="I51" s="17" t="str">
        <x:v>VL</x:v>
      </x:c>
      <x:c r="J51" s="20" t="n">
        <x:v>0.449</x:v>
      </x:c>
      <x:c r="K51" s="20" t="n">
        <x:v>0.231</x:v>
      </x:c>
      <x:c r="L51" s="20" t="n">
        <x:v>0.021</x:v>
      </x:c>
      <x:c r="M51" s="20" t="n">
        <x:v>0.747</x:v>
      </x:c>
    </x:row>
    <x:row r="52">
      <x:c r="A52" s="17" t="str">
        <x:v>Gemma</x:v>
      </x:c>
      <x:c r="B52" s="17" t="str">
        <x:v>Gemma 4 31B</x:v>
      </x:c>
      <x:c r="C52" s="82" t="n">
        <x:v>46113</x:v>
      </x:c>
      <x:c r="D52" s="73" t="n">
        <x:v>31</x:v>
      </x:c>
      <x:c r="E52" s="73" t="n">
        <x:v>31</x:v>
      </x:c>
      <x:c r="F52" s="73" t="n">
        <x:v>60</x:v>
      </x:c>
      <x:c r="G52" s="17" t="str">
        <x:v>Dense</x:v>
      </x:c>
      <x:c r="H52" s="17" t="str">
        <x:v>Hybrid-reasoning</x:v>
      </x:c>
      <x:c r="I52" s="17" t="str">
        <x:v>VL</x:v>
      </x:c>
      <x:c r="J52" s="20" t="n">
        <x:v>1.054</x:v>
      </x:c>
      <x:c r="K52" s="20" t="n">
        <x:v>0.688</x:v>
      </x:c>
      <x:c r="L52" s="20" t="n">
        <x:v>0.245</x:v>
      </x:c>
      <x:c r="M52" s="20" t="n">
        <x:v>1.416</x:v>
      </x:c>
    </x:row>
    <x:row r="53">
      <x:c r="A53" s="17" t="str">
        <x:v>DeepSeek</x:v>
      </x:c>
      <x:c r="B53" s="17" t="str">
        <x:v>DeepSeek V3 (0324)</x:v>
      </x:c>
      <x:c r="C53" s="82" t="n">
        <x:v>45717</x:v>
      </x:c>
      <x:c r="D53" s="73" t="n">
        <x:v>671</x:v>
      </x:c>
      <x:c r="E53" s="73" t="n">
        <x:v>37</x:v>
      </x:c>
      <x:c r="F53" s="73" t="n">
        <x:v>61</x:v>
      </x:c>
      <x:c r="G53" s="17" t="str">
        <x:v>MoE</x:v>
      </x:c>
      <x:c r="H53" s="17" t="str">
        <x:v>Non-reasoning</x:v>
      </x:c>
      <x:c r="I53" s="17" t="str">
        <x:v>Text</x:v>
      </x:c>
      <x:c r="J53" s="20" t="n">
        <x:v>0.746</x:v>
      </x:c>
      <x:c r="K53" s="20" t="n">
        <x:v>0.429</x:v>
      </x:c>
      <x:c r="L53" s="20" t="n">
        <x:v>0.08</x:v>
      </x:c>
      <x:c r="M53" s="20" t="n">
        <x:v>1.064</x:v>
      </x:c>
    </x:row>
    <x:row r="54">
      <x:c r="A54" s="17" t="str">
        <x:v>DeepSeek</x:v>
      </x:c>
      <x:c r="B54" s="17" t="str">
        <x:v>DeepSeek V3.1-terminus</x:v>
      </x:c>
      <x:c r="C54" s="82" t="n">
        <x:v>45901</x:v>
      </x:c>
      <x:c r="D54" s="73" t="n">
        <x:v>671</x:v>
      </x:c>
      <x:c r="E54" s="73" t="n">
        <x:v>37</x:v>
      </x:c>
      <x:c r="F54" s="73" t="n">
        <x:v>61</x:v>
      </x:c>
      <x:c r="G54" s="17" t="str">
        <x:v>MoE</x:v>
      </x:c>
      <x:c r="H54" s="17" t="str">
        <x:v>Hybrid-reasoning</x:v>
      </x:c>
      <x:c r="I54" s="17" t="str">
        <x:v>Text</x:v>
      </x:c>
      <x:c r="J54" s="20" t="n">
        <x:v>0.954</x:v>
      </x:c>
      <x:c r="K54" s="20" t="n">
        <x:v>0.599</x:v>
      </x:c>
      <x:c r="L54" s="20" t="n">
        <x:v>0.148</x:v>
      </x:c>
      <x:c r="M54" s="20" t="n">
        <x:v>1.346</x:v>
      </x:c>
    </x:row>
    <x:row r="55">
      <x:c r="A55" s="17" t="str">
        <x:v>DeepSeek</x:v>
      </x:c>
      <x:c r="B55" s="17" t="str">
        <x:v>DeepSeek V3.2</x:v>
      </x:c>
      <x:c r="C55" s="82" t="n">
        <x:v>45901</x:v>
      </x:c>
      <x:c r="D55" s="73" t="n">
        <x:v>671</x:v>
      </x:c>
      <x:c r="E55" s="73" t="n">
        <x:v>37</x:v>
      </x:c>
      <x:c r="F55" s="73" t="n">
        <x:v>61</x:v>
      </x:c>
      <x:c r="G55" s="17" t="str">
        <x:v>MoE</x:v>
      </x:c>
      <x:c r="H55" s="17" t="str">
        <x:v>Hybrid-reasoning</x:v>
      </x:c>
      <x:c r="I55" s="17" t="str">
        <x:v>Text</x:v>
      </x:c>
      <x:c r="J55" s="20" t="n">
        <x:v>0.678</x:v>
      </x:c>
      <x:c r="K55" s="20" t="n">
        <x:v>0.373</x:v>
      </x:c>
      <x:c r="L55" s="20" t="n">
        <x:v>0.062</x:v>
      </x:c>
      <x:c r="M55" s="20" t="n">
        <x:v>1.102</x:v>
      </x:c>
    </x:row>
    <x:row r="56">
      <x:c r="A56" s="17" t="str">
        <x:v>DeepSeek</x:v>
      </x:c>
      <x:c r="B56" s="17" t="str">
        <x:v>DeepSeek V4-flash</x:v>
      </x:c>
      <x:c r="C56" s="82" t="n">
        <x:v>46113</x:v>
      </x:c>
      <x:c r="D56" s="73" t="n">
        <x:v>284</x:v>
      </x:c>
      <x:c r="E56" s="73" t="n">
        <x:v>13</x:v>
      </x:c>
      <x:c r="F56" s="73" t="n">
        <x:v>48</x:v>
      </x:c>
      <x:c r="G56" s="17" t="str">
        <x:v>MoE</x:v>
      </x:c>
      <x:c r="H56" s="17" t="str">
        <x:v>Hybrid-reasoning</x:v>
      </x:c>
      <x:c r="I56" s="17" t="str">
        <x:v>Text</x:v>
      </x:c>
      <x:c r="J56" s="20" t="n">
        <x:v>0.695</x:v>
      </x:c>
      <x:c r="K56" s="20" t="n">
        <x:v>0.403</x:v>
      </x:c>
      <x:c r="L56" s="20" t="n">
        <x:v>0.069</x:v>
      </x:c>
      <x:c r="M56" s="20" t="n">
        <x:v>1.032</x:v>
      </x:c>
    </x:row>
    <x:row r="57">
      <x:c r="A57" s="17" t="str">
        <x:v>Kimi</x:v>
      </x:c>
      <x:c r="B57" s="17" t="str">
        <x:v>Kimi K2-0905</x:v>
      </x:c>
      <x:c r="C57" s="82" t="n">
        <x:v>45901</x:v>
      </x:c>
      <x:c r="D57" s="73" t="n">
        <x:v>1000</x:v>
      </x:c>
      <x:c r="E57" s="73" t="n">
        <x:v>32</x:v>
      </x:c>
      <x:c r="F57" s="73" t="n">
        <x:v>61</x:v>
      </x:c>
      <x:c r="G57" s="17" t="str">
        <x:v>MoE</x:v>
      </x:c>
      <x:c r="H57" s="17" t="str">
        <x:v>Non-reasoning</x:v>
      </x:c>
      <x:c r="I57" s="17" t="str">
        <x:v>Text</x:v>
      </x:c>
      <x:c r="J57" s="20" t="n">
        <x:v>0.724</x:v>
      </x:c>
      <x:c r="K57" s="20" t="n">
        <x:v>0.417</x:v>
      </x:c>
      <x:c r="L57" s="20" t="n">
        <x:v>0.087</x:v>
      </x:c>
      <x:c r="M57" s="20" t="n">
        <x:v>1.071</x:v>
      </x:c>
    </x:row>
    <x:row r="58">
      <x:c r="A58" s="17" t="str">
        <x:v>Kimi</x:v>
      </x:c>
      <x:c r="B58" s="17" t="str">
        <x:v>Kimi K2.5</x:v>
      </x:c>
      <x:c r="C58" s="82" t="n">
        <x:v>46023</x:v>
      </x:c>
      <x:c r="D58" s="73" t="n">
        <x:v>1000</x:v>
      </x:c>
      <x:c r="E58" s="73" t="n">
        <x:v>32</x:v>
      </x:c>
      <x:c r="F58" s="73" t="n">
        <x:v>61</x:v>
      </x:c>
      <x:c r="G58" s="17" t="str">
        <x:v>MoE</x:v>
      </x:c>
      <x:c r="H58" s="17" t="str">
        <x:v>Hybrid-reasoning</x:v>
      </x:c>
      <x:c r="I58" s="17" t="str">
        <x:v>VL</x:v>
      </x:c>
      <x:c r="J58" s="20" t="n">
        <x:v>1.102</x:v>
      </x:c>
      <x:c r="K58" s="20" t="n">
        <x:v>0.738</x:v>
      </x:c>
      <x:c r="L58" s="20" t="n">
        <x:v>0.169</x:v>
      </x:c>
      <x:c r="M58" s="20" t="n">
        <x:v>1.943</x:v>
      </x:c>
    </x:row>
    <x:row r="59">
      <x:c r="A59" s="18" t="str">
        <x:v>Kimi</x:v>
      </x:c>
      <x:c r="B59" s="18" t="str">
        <x:v>Kimi K2.6</x:v>
      </x:c>
      <x:c r="C59" s="83" t="n">
        <x:v>46113</x:v>
      </x:c>
      <x:c r="D59" s="74" t="n">
        <x:v>1000</x:v>
      </x:c>
      <x:c r="E59" s="74" t="n">
        <x:v>32</x:v>
      </x:c>
      <x:c r="F59" s="74" t="n">
        <x:v>61</x:v>
      </x:c>
      <x:c r="G59" s="18" t="str">
        <x:v>MoE</x:v>
      </x:c>
      <x:c r="H59" s="18" t="str">
        <x:v>Hybrid-reasoning</x:v>
      </x:c>
      <x:c r="I59" s="18" t="str">
        <x:v>VL</x:v>
      </x:c>
      <x:c r="J59" s="21" t="n">
        <x:v>0.508</x:v>
      </x:c>
      <x:c r="K59" s="21" t="n">
        <x:v>0.272</x:v>
      </x:c>
      <x:c r="L59" s="21" t="n">
        <x:v>0.059</x:v>
      </x:c>
      <x:c r="M59" s="21" t="n">
        <x:v>0.791</x:v>
      </x:c>
    </x:row>
    <x:row r="62">
      <x:c r="A62" s="87" t="str">
        <x:v>Source archive: ~/Downloads/arXiv-2606.07157v3.tar.gz
Paper: https://arxiv.org/pdf/2606.07157
All model-level fields used by the regression are parsed here. Every other LaTeX table is retained verbatim and losslessly chunked in the “LaTeX Tables Raw” sheet.</x:v>
      </x:c>
      <x:c r="B62" s="87"/>
      <x:c r="C62" s="87"/>
      <x:c r="D62" s="87"/>
      <x:c r="E62" s="87"/>
      <x:c r="F62" s="87"/>
      <x:c r="G62" s="87"/>
      <x:c r="H62" s="87"/>
      <x:c r="I62" s="87"/>
      <x:c r="J62" s="87"/>
      <x:c r="K62" s="87"/>
      <x:c r="L62" s="87"/>
      <x:c r="M62" s="87"/>
    </x:row>
    <x:row r="63">
      <x:c r="A63" s="87"/>
      <x:c r="B63" s="87"/>
      <x:c r="C63" s="87"/>
      <x:c r="D63" s="87"/>
      <x:c r="E63" s="87"/>
      <x:c r="F63" s="87"/>
      <x:c r="G63" s="87"/>
      <x:c r="H63" s="87"/>
      <x:c r="I63" s="87"/>
      <x:c r="J63" s="87"/>
      <x:c r="K63" s="87"/>
      <x:c r="L63" s="87"/>
      <x:c r="M63" s="87"/>
    </x:row>
  </x:sheetData>
  <x:mergeCells>
    <x:mergeCell ref="A1:M1"/>
    <x:mergeCell ref="A2:M3"/>
    <x:mergeCell ref="A5:M5"/>
    <x:mergeCell ref="A23:M23"/>
    <x:mergeCell ref="A62:M63"/>
  </x:mergeCells>
  <x:conditionalFormatting sqref="G25:G59">
    <x:cfRule type="containsText" dxfId="7" priority="1" operator="containsText" text="MoE"/>
  </x:conditionalFormatting>
  <x:pageMargins left="0.7" right="0.7" top="0.75" bottom="0.75" header="0.3" footer="0.3"/>
  <x:tableParts count="2">
    <x:tablePart xmlns:r="http://schemas.openxmlformats.org/officeDocument/2006/relationships" r:id="R970a548dba1640bf"/>
    <x:tablePart xmlns:r="http://schemas.openxmlformats.org/officeDocument/2006/relationships" r:id="R2fa2052c01a441c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0" hidden="0" customWidth="1"/>
    <x:col min="2" max="2" width="22" hidden="0" customWidth="1"/>
    <x:col min="3" max="3" width="55" hidden="0" customWidth="1"/>
    <x:col min="4" max="4" width="16" hidden="0" customWidth="1"/>
    <x:col min="5" max="5" width="10" hidden="0" customWidth="1"/>
    <x:col min="6" max="6" width="3" hidden="0" customWidth="1"/>
    <x:col min="7" max="7" width="32" hidden="0" customWidth="1"/>
    <x:col min="8" max="8" width="14" hidden="0" customWidth="1"/>
  </x:cols>
  <x:sheetData>
    <x:row r="1" ht="36" customHeight="1">
      <x:c r="A1" s="66" t="str">
        <x:v>Horizon laws and Bayesian calibration</x:v>
      </x:c>
      <x:c r="B1" s="66"/>
      <x:c r="C1" s="66"/>
      <x:c r="D1" s="66"/>
      <x:c r="E1" s="66"/>
      <x:c r="F1" s="66"/>
      <x:c r="G1" s="66"/>
      <x:c r="H1" s="66"/>
    </x:row>
    <x:row r="2">
      <x:c r="A2" s="6" t="str">
        <x:v>The horizon branch receives 50% log weight. The authors' 35-model open-weight panel supplies the absolute parameter elasticity; proprietary no-CoT horizons supply relative base placement. With-CoT METR is used only to identify post-training leverage, not to map directly to base size.</x:v>
      </x:c>
      <x:c r="B2" s="6"/>
      <x:c r="C2" s="6"/>
      <x:c r="D2" s="6"/>
      <x:c r="E2" s="6"/>
      <x:c r="F2" s="6"/>
      <x:c r="G2" s="6"/>
      <x:c r="H2" s="6"/>
    </x:row>
    <x:row r="3">
      <x:c r="A3" s="6"/>
      <x:c r="B3" s="6"/>
      <x:c r="C3" s="6"/>
      <x:c r="D3" s="6"/>
      <x:c r="E3" s="6"/>
      <x:c r="F3" s="6"/>
      <x:c r="G3" s="6"/>
      <x:c r="H3" s="6"/>
    </x:row>
    <x:row r="5" ht="34" customHeight="1">
      <x:c r="A5" s="71" t="str">
        <x:v>Input / assumption</x:v>
      </x:c>
      <x:c r="B5" s="71" t="str">
        <x:v>Value</x:v>
      </x:c>
      <x:c r="C5" s="71" t="str">
        <x:v>Interpretation</x:v>
      </x:c>
    </x:row>
    <x:row r="6">
      <x:c r="A6" s="16" t="str">
        <x:v>Horizon log weight</x:v>
      </x:c>
      <x:c r="B6" s="33" t="n">
        <x:v>0.5</x:v>
      </x:c>
      <x:c r="C6" s="16" t="str">
        <x:v>Requested weight for the paper branch</x:v>
      </x:c>
    </x:row>
    <x:row r="7">
      <x:c r="A7" s="17" t="str">
        <x:v>Existing benchmark + price weight</x:v>
      </x:c>
      <x:c r="B7" s="34" t="n">
        <x:f>1-B6</x:f>
        <x:v>0.5</x:v>
      </x:c>
      <x:c r="C7" s="17" t="str">
        <x:v>1 − horizon weight</x:v>
      </x:c>
    </x:row>
    <x:row r="8">
      <x:c r="A8" s="17" t="str">
        <x:v>Kimi K3 disclosed total (T)</x:v>
      </x:c>
      <x:c r="B8" s="20" t="n">
        <x:v>2.8</x:v>
      </x:c>
      <x:c r="C8" s="17" t="str">
        <x:v>Absolute anchor</x:v>
      </x:c>
    </x:row>
    <x:row r="9">
      <x:c r="A9" s="17" t="str">
        <x:v>K3 pretrain-equivalent TH (min)</x:v>
      </x:c>
      <x:c r="B9" s="20" t="n">
        <x:f>'No-CoT Evidence'!C16</x:f>
        <x:v>2.4</x:v>
      </x:c>
      <x:c r="C9" s="17" t="str">
        <x:v>Ryan Greenblatt correction: K3 pretrain ≈ Opus 4.5</x:v>
      </x:c>
    </x:row>
    <x:row r="10">
      <x:c r="A10" s="17" t="str">
        <x:v>Total params per TH doubling</x:v>
      </x:c>
      <x:c r="B10" s="20" t="n">
        <x:v>4.2</x:v>
      </x:c>
      <x:c r="C10" s="17" t="str">
        <x:v>Reported pooled Pareto slope, 35 open-weight models</x:v>
      </x:c>
    </x:row>
    <x:row r="11">
      <x:c r="A11" s="17" t="str">
        <x:v>Parameter elasticity α</x:v>
      </x:c>
      <x:c r="B11" s="20" t="n">
        <x:f>LN(B10)/LN(2)</x:f>
        <x:v>2.070389327891398</x:v>
      </x:c>
      <x:c r="C11" s="17" t="str">
        <x:v>log2(total-parameter multiplier)</x:v>
      </x:c>
    </x:row>
    <x:row r="12">
      <x:c r="A12" s="17" t="str">
        <x:v>No-CoT TH doubling (days)</x:v>
      </x:c>
      <x:c r="B12" s="20" t="n">
        <x:v>373</x:v>
      </x:c>
      <x:c r="C12" s="17" t="str">
        <x:v>Paper point estimate</x:v>
      </x:c>
    </x:row>
    <x:row r="13">
      <x:c r="A13" s="17" t="str">
        <x:v>No-CoT TH doubling CI low</x:v>
      </x:c>
      <x:c r="B13" s="20" t="n">
        <x:v>167</x:v>
      </x:c>
      <x:c r="C13" s="17" t="str">
        <x:v>Paper 95% CI</x:v>
      </x:c>
    </x:row>
    <x:row r="14">
      <x:c r="A14" s="17" t="str">
        <x:v>No-CoT TH doubling CI high</x:v>
      </x:c>
      <x:c r="B14" s="20" t="n">
        <x:v>691</x:v>
      </x:c>
      <x:c r="C14" s="17" t="str">
        <x:v>Paper 95% CI</x:v>
      </x:c>
    </x:row>
    <x:row r="15">
      <x:c r="A15" s="17" t="str">
        <x:v>Token-horizon doubling (days)</x:v>
      </x:c>
      <x:c r="B15" s="20" t="n">
        <x:v>437</x:v>
      </x:c>
      <x:c r="C15" s="17" t="str">
        <x:v>Paper point estimate</x:v>
      </x:c>
    </x:row>
    <x:row r="16">
      <x:c r="A16" s="17" t="str">
        <x:v>Token-horizon CI low</x:v>
      </x:c>
      <x:c r="B16" s="20" t="n">
        <x:v>341</x:v>
      </x:c>
      <x:c r="C16" s="17" t="str">
        <x:v>Paper 95% CI</x:v>
      </x:c>
    </x:row>
    <x:row r="17">
      <x:c r="A17" s="17" t="str">
        <x:v>Token-horizon CI high</x:v>
      </x:c>
      <x:c r="B17" s="20" t="n">
        <x:v>571</x:v>
      </x:c>
      <x:c r="C17" s="17" t="str">
        <x:v>Paper 95% CI</x:v>
      </x:c>
    </x:row>
    <x:row r="18">
      <x:c r="A18" s="17" t="str">
        <x:v>METR from-2023 doubling (days)</x:v>
      </x:c>
      <x:c r="B18" s="20" t="n">
        <x:v>128.744</x:v>
      </x:c>
      <x:c r="C18" s="17" t="str">
        <x:v>User-supplied METR-Horizon-v1.1</x:v>
      </x:c>
    </x:row>
    <x:row r="19">
      <x:c r="A19" s="17" t="str">
        <x:v>METR CI low</x:v>
      </x:c>
      <x:c r="B19" s="20" t="n">
        <x:v>104.428</x:v>
      </x:c>
      <x:c r="C19" s="17" t="str">
        <x:v>User-supplied</x:v>
      </x:c>
    </x:row>
    <x:row r="20">
      <x:c r="A20" s="17" t="str">
        <x:v>METR CI high</x:v>
      </x:c>
      <x:c r="B20" s="20" t="n">
        <x:v>158.012</x:v>
      </x:c>
      <x:c r="C20" s="17" t="str">
        <x:v>User-supplied</x:v>
      </x:c>
    </x:row>
    <x:row r="21">
      <x:c r="A21" s="18" t="str">
        <x:v>Ryan K3→Anthropic pretrain gap (months)</x:v>
      </x:c>
      <x:c r="B21" s="21" t="n">
        <x:v>8</x:v>
      </x:c>
      <x:c r="C21" s="18" t="str">
        <x:v>Corrected qualitative estimate; conservative point</x:v>
      </x:c>
    </x:row>
    <x:row r="24">
      <x:c r="A24" s="77" t="str">
        <x:v>Exact reported open-weight relationships</x:v>
      </x:c>
      <x:c r="B24" s="77"/>
      <x:c r="C24" s="77"/>
      <x:c r="D24" s="77"/>
      <x:c r="E24" s="77"/>
      <x:c r="F24" s="77"/>
      <x:c r="G24" s="77"/>
      <x:c r="H24" s="77"/>
    </x:row>
    <x:row r="25" ht="34" customHeight="1">
      <x:c r="A25" s="71" t="str">
        <x:v>Axis</x:v>
      </x:c>
      <x:c r="B25" s="71" t="str">
        <x:v>Factor per TH doubling</x:v>
      </x:c>
      <x:c r="C25" s="71" t="str">
        <x:v>Spearman ρ</x:v>
      </x:c>
      <x:c r="D25" s="71" t="str">
        <x:v>p-value</x:v>
      </x:c>
      <x:c r="E25" s="71" t="str">
        <x:v>n</x:v>
      </x:c>
      <x:c r="G25" s="71" t="str">
        <x:v>Architecture contrast</x:v>
      </x:c>
      <x:c r="H25" s="71" t="str">
        <x:v>Factor</x:v>
      </x:c>
    </x:row>
    <x:row r="26">
      <x:c r="A26" s="16" t="str">
        <x:v>Total parameters</x:v>
      </x:c>
      <x:c r="B26" s="88" t="n">
        <x:v>4.2</x:v>
      </x:c>
      <x:c r="C26" s="90" t="n">
        <x:v>0.81</x:v>
      </x:c>
      <x:c r="D26" s="93" t="n">
        <x:v>3.5000000000000003e-9</x:v>
      </x:c>
      <x:c r="E26" s="72" t="n">
        <x:v>35</x:v>
      </x:c>
      <x:c r="G26" s="16" t="str">
        <x:v>Dense total parameters</x:v>
      </x:c>
      <x:c r="H26" s="96" t="n">
        <x:v>2.2</x:v>
      </x:c>
    </x:row>
    <x:row r="27">
      <x:c r="A27" s="17" t="str">
        <x:v>Layer count</x:v>
      </x:c>
      <x:c r="B27" s="41" t="n">
        <x:v>1.3</x:v>
      </x:c>
      <x:c r="C27" s="91" t="n">
        <x:v>0.67</x:v>
      </x:c>
      <x:c r="D27" s="94" t="n">
        <x:v>0.000013000000000000001</x:v>
      </x:c>
      <x:c r="E27" s="73" t="n">
        <x:v>35</x:v>
      </x:c>
      <x:c r="G27" s="17" t="str">
        <x:v>MoE total parameters</x:v>
      </x:c>
      <x:c r="H27" s="97" t="n">
        <x:v>8.1</x:v>
      </x:c>
    </x:row>
    <x:row r="28">
      <x:c r="A28" s="17" t="str">
        <x:v>AA Intelligence Index</x:v>
      </x:c>
      <x:c r="B28" s="41" t="n">
        <x:v>1.7</x:v>
      </x:c>
      <x:c r="C28" s="91" t="n">
        <x:v>0.66</x:v>
      </x:c>
      <x:c r="D28" s="94" t="n">
        <x:v>0.00044000000000000007</x:v>
      </x:c>
      <x:c r="E28" s="73" t="n">
        <x:v>24</x:v>
      </x:c>
      <x:c r="G28" s="17" t="str">
        <x:v>Dense active parameters</x:v>
      </x:c>
      <x:c r="H28" s="97" t="n">
        <x:v>2.2</x:v>
      </x:c>
    </x:row>
    <x:row r="29">
      <x:c r="A29" s="17" t="str">
        <x:v>Active parameters</x:v>
      </x:c>
      <x:c r="B29" s="41" t="n">
        <x:v>2.1</x:v>
      </x:c>
      <x:c r="C29" s="91" t="n">
        <x:v>0.55</x:v>
      </x:c>
      <x:c r="D29" s="94" t="n">
        <x:v>0.00068</x:v>
      </x:c>
      <x:c r="E29" s="73" t="n">
        <x:v>35</x:v>
      </x:c>
      <x:c r="G29" s="17" t="str">
        <x:v>MoE active parameters</x:v>
      </x:c>
      <x:c r="H29" s="97" t="n">
        <x:v>13</x:v>
      </x:c>
    </x:row>
    <x:row r="30">
      <x:c r="A30" s="17" t="str">
        <x:v>Total training FLOPs</x:v>
      </x:c>
      <x:c r="B30" s="41"/>
      <x:c r="C30" s="91" t="n">
        <x:v>0.51</x:v>
      </x:c>
      <x:c r="D30" s="94" t="n">
        <x:v>0.044000000000000004</x:v>
      </x:c>
      <x:c r="E30" s="73" t="n">
        <x:v>16</x:v>
      </x:c>
      <x:c r="G30" s="17" t="str">
        <x:v>Dense layers</x:v>
      </x:c>
      <x:c r="H30" s="97" t="n">
        <x:v>1.29</x:v>
      </x:c>
    </x:row>
    <x:row r="31">
      <x:c r="A31" s="18" t="str">
        <x:v>Pretraining FLOPs</x:v>
      </x:c>
      <x:c r="B31" s="89" t="n">
        <x:v>3.1</x:v>
      </x:c>
      <x:c r="C31" s="92" t="n">
        <x:v>0.47</x:v>
      </x:c>
      <x:c r="D31" s="95" t="n">
        <x:v>0.0045000000000000005</x:v>
      </x:c>
      <x:c r="E31" s="74" t="n">
        <x:v>35</x:v>
      </x:c>
      <x:c r="G31" s="17" t="str">
        <x:v>MoE layers</x:v>
      </x:c>
      <x:c r="H31" s="97" t="n">
        <x:v>1.27</x:v>
      </x:c>
    </x:row>
    <x:row r="32">
      <x:c r="G32" s="18" t="str">
        <x:v>Dense TH intercept advantage</x:v>
      </x:c>
      <x:c r="H32" s="98" t="n">
        <x:v>1.7</x:v>
      </x:c>
    </x:row>
    <x:row r="35">
      <x:c r="A35" s="77" t="str">
        <x:v>Derived horizon priors</x:v>
      </x:c>
      <x:c r="B35" s="77"/>
      <x:c r="C35" s="77"/>
      <x:c r="D35" s="77"/>
      <x:c r="E35" s="77"/>
      <x:c r="F35" s="77"/>
      <x:c r="G35" s="77"/>
      <x:c r="H35" s="77"/>
    </x:row>
    <x:row r="36" ht="34" customHeight="1">
      <x:c r="A36" s="71" t="str">
        <x:v>Derived quantity</x:v>
      </x:c>
      <x:c r="B36" s="71" t="str">
        <x:v>Formula result</x:v>
      </x:c>
      <x:c r="C36" s="71" t="str">
        <x:v>Use</x:v>
      </x:c>
      <x:c r="E36" s="105" t="str">
        <x:v>Interpretation: Opus 4.5→4.6 barely changes no-CoT TH (~1.04×) while the user-supplied with-CoT METR horizon grows ~2.45×. That is direct same-base evidence that RL/inference gains can dominate agentic benchmark gains without implying a larger pretrain. Therefore METR changes the decomposition, not the absolute parameter scale.</x:v>
      </x:c>
      <x:c r="F36" s="106"/>
      <x:c r="G36" s="106"/>
      <x:c r="H36" s="106"/>
    </x:row>
    <x:row r="37">
      <x:c r="A37" s="16" t="str">
        <x:v>Opus shared-base TH (min)</x:v>
      </x:c>
      <x:c r="B37" s="19" t="n">
        <x:f>POWER('No-CoT Evidence'!C16*'No-CoT Evidence'!C17*'No-CoT Evidence'!C19,1/3)</x:f>
        <x:v>2.561158329974988</x:v>
      </x:c>
      <x:c r="C37" s="16" t="str">
        <x:v>Geometric mean of Opus 4.5 / 4.6 / 4.7</x:v>
      </x:c>
      <x:c r="E37" s="105"/>
      <x:c r="F37" s="106"/>
      <x:c r="G37" s="106"/>
      <x:c r="H37" s="106"/>
    </x:row>
    <x:row r="38">
      <x:c r="A38" s="17" t="str">
        <x:v>GPT shared-base TH (min)</x:v>
      </x:c>
      <x:c r="B38" s="20" t="n">
        <x:f>SQRT('No-CoT Evidence'!C18*'No-CoT Evidence'!C20)</x:f>
        <x:v>2.0493901531919194</x:v>
      </x:c>
      <x:c r="C38" s="17" t="str">
        <x:v>Geometric mean of GPT-5.4 / GPT-5.5</x:v>
      </x:c>
      <x:c r="E38" s="105"/>
      <x:c r="F38" s="106"/>
      <x:c r="G38" s="106"/>
      <x:c r="H38" s="106"/>
    </x:row>
    <x:row r="39">
      <x:c r="A39" s="17" t="str">
        <x:v>Opus shared-base prior (T)</x:v>
      </x:c>
      <x:c r="B39" s="20" t="n">
        <x:f>$B$8*POWER(B37/$B$9,$B$11)</x:f>
        <x:v>3.203281859170802</x:v>
      </x:c>
      <x:c r="C39" s="17" t="str">
        <x:v>K3 anchor × TH ratio^α</x:v>
      </x:c>
      <x:c r="E39" s="105"/>
      <x:c r="F39" s="106"/>
      <x:c r="G39" s="106"/>
      <x:c r="H39" s="106"/>
    </x:row>
    <x:row r="40">
      <x:c r="A40" s="17" t="str">
        <x:v>GPT-5.5 prior (T)</x:v>
      </x:c>
      <x:c r="B40" s="20" t="n">
        <x:f>$B$8*POWER(B38/$B$9,$B$11)</x:f>
        <x:v>2.0190964903578963</x:v>
      </x:c>
      <x:c r="C40" s="17" t="str">
        <x:v>K3 anchor × TH ratio^α</x:v>
      </x:c>
      <x:c r="E40" s="105"/>
      <x:c r="F40" s="106"/>
      <x:c r="G40" s="106"/>
      <x:c r="H40" s="106"/>
    </x:row>
    <x:row r="41">
      <x:c r="A41" s="17" t="str">
        <x:v>GPT effective release date</x:v>
      </x:c>
      <x:c r="B41" s="82" t="n">
        <x:f>AVERAGE('Model Registry'!K208,'Model Registry'!K223)</x:f>
        <x:v>46110.5</x:v>
      </x:c>
      <x:c r="C41" s="17" t="str">
        <x:v>Exact checkpoint dates joined from ECI through canonical IDs</x:v>
      </x:c>
    </x:row>
    <x:row r="42">
      <x:c r="A42" s="17" t="str">
        <x:v>GPT effective→Sol days</x:v>
      </x:c>
      <x:c r="B42" s="20" t="n">
        <x:f>'Frontier Estimates'!A7-B41</x:f>
        <x:v>101.5</x:v>
      </x:c>
      <x:c r="C42" s="17" t="str">
        <x:v>Date projection interval</x:v>
      </x:c>
      <x:c r="E42" s="113" t="str">
        <x:v>Ryan Greenblatt correction used here: K3's pretrain looked roughly halfway from Opus 4 to Opus 4.5 and approximately comparable to Opus 4.5 overall, about eight months behind Anthropic. His earlier view that K3 pretrain was between Opus 4.8 and Mythos was explicitly retracted. This is a qualitative prior, not a measurement.</x:v>
      </x:c>
      <x:c r="F42" s="114"/>
      <x:c r="G42" s="114"/>
      <x:c r="H42" s="114"/>
    </x:row>
    <x:row r="43">
      <x:c r="A43" s="17" t="str">
        <x:v>Sol projected TH (min)</x:v>
      </x:c>
      <x:c r="B43" s="20" t="n">
        <x:f>B38*POWER(2,B42/$B$12)</x:f>
        <x:v>2.47480117907748</x:v>
      </x:c>
      <x:c r="C43" s="17" t="str">
        <x:v>GPT shared TH advanced on 373-day law</x:v>
      </x:c>
      <x:c r="E43" s="113"/>
      <x:c r="F43" s="114"/>
      <x:c r="G43" s="114"/>
      <x:c r="H43" s="114"/>
    </x:row>
    <x:row r="44">
      <x:c r="A44" s="17" t="str">
        <x:v>Sol horizon prior (T)</x:v>
      </x:c>
      <x:c r="B44" s="20" t="n">
        <x:f>$B$8*POWER(B43/$B$9,$B$11)</x:f>
        <x:v>2.983694824019499</x:v>
      </x:c>
      <x:c r="C44" s="17" t="str">
        <x:v>K3 anchor × TH ratio^α</x:v>
      </x:c>
      <x:c r="E44" s="113"/>
      <x:c r="F44" s="114"/>
      <x:c r="G44" s="114"/>
      <x:c r="H44" s="114"/>
    </x:row>
    <x:row r="45">
      <x:c r="A45" s="17" t="str">
        <x:v>Opus 4.5→Fable days</x:v>
      </x:c>
      <x:c r="B45" s="20" t="n">
        <x:f>'Frontier Estimates'!A6-'Model Registry'!K185</x:f>
        <x:v>197</x:v>
      </x:c>
      <x:c r="C45" s="17" t="str">
        <x:v>Exact Opus 4.5 checkpoint date joined from ECI</x:v>
      </x:c>
      <x:c r="E45" s="113"/>
      <x:c r="F45" s="114"/>
      <x:c r="G45" s="114"/>
      <x:c r="H45" s="114"/>
    </x:row>
    <x:row r="46">
      <x:c r="A46" s="17" t="str">
        <x:v>Fable date-projected TH (min)</x:v>
      </x:c>
      <x:c r="B46" s="20" t="n">
        <x:f>$B$9*POWER(2,B45/$B$12)</x:f>
        <x:v>3.460989440604091</x:v>
      </x:c>
      <x:c r="C46" s="17" t="str">
        <x:v>No-CoT time law</x:v>
      </x:c>
      <x:c r="E46" s="113"/>
      <x:c r="F46" s="114"/>
      <x:c r="G46" s="114"/>
      <x:c r="H46" s="114"/>
    </x:row>
    <x:row r="47">
      <x:c r="A47" s="17" t="str">
        <x:v>Fable Ryan-gap TH (min)</x:v>
      </x:c>
      <x:c r="B47" s="20" t="n">
        <x:f>$B$9*POWER(2,$B$21*365.25/12/$B$12)</x:f>
        <x:v>3.773359140062272</x:v>
      </x:c>
      <x:c r="C47" s="17" t="str">
        <x:v>8-month pretrain lead over K3</x:v>
      </x:c>
      <x:c r="E47" s="113"/>
      <x:c r="F47" s="114"/>
      <x:c r="G47" s="114"/>
      <x:c r="H47" s="114"/>
    </x:row>
    <x:row r="48">
      <x:c r="A48" s="17" t="str">
        <x:v>Fable combined TH (min)</x:v>
      </x:c>
      <x:c r="B48" s="20" t="n">
        <x:f>SQRT(B46*B47)</x:f>
        <x:v>3.613800788555238</x:v>
      </x:c>
      <x:c r="C48" s="17" t="str">
        <x:v>Geometric pooling of date and Ryan priors</x:v>
      </x:c>
    </x:row>
    <x:row r="49">
      <x:c r="A49" s="17" t="str">
        <x:v>Fable horizon prior (T)</x:v>
      </x:c>
      <x:c r="B49" s="20" t="n">
        <x:f>$B$8*POWER(B48/$B$9,$B$11)</x:f>
        <x:v>6.533951047522359</x:v>
      </x:c>
      <x:c r="C49" s="17" t="str">
        <x:v>K3 anchor × TH ratio^α</x:v>
      </x:c>
    </x:row>
    <x:row r="50">
      <x:c r="A50" s="17" t="str">
        <x:v>No-CoT / METR doubling ratio</x:v>
      </x:c>
      <x:c r="B50" s="20" t="n">
        <x:f>$B$12/$B$18</x:f>
        <x:v>2.89722239483005</x:v>
      </x:c>
      <x:c r="C50" s="17" t="str">
        <x:v>With-CoT capability is improving much faster</x:v>
      </x:c>
    </x:row>
    <x:row r="51">
      <x:c r="A51" s="17" t="str">
        <x:v>Opus 4.5→4.6 no-CoT ratio</x:v>
      </x:c>
      <x:c r="B51" s="20" t="n">
        <x:f>'No-CoT Evidence'!C17 / 'No-CoT Evidence'!C16</x:f>
        <x:v>1.0416666666666667</x:v>
      </x:c>
      <x:c r="C51" s="17" t="str">
        <x:v>Same-base post-training sensitivity</x:v>
      </x:c>
    </x:row>
    <x:row r="52">
      <x:c r="A52" s="18" t="str">
        <x:v>Opus 4.5→4.6 METR ratio</x:v>
      </x:c>
      <x:c r="B52" s="21" t="n">
        <x:f>718.80683/292.994594</x:f>
        <x:v>2.453310896241314</x:v>
      </x:c>
      <x:c r="C52" s="18" t="str">
        <x:v>Same-base with-CoT sensitivity</x:v>
      </x:c>
    </x:row>
    <x:row r="55">
      <x:c r="A55" s="87" t="str">
        <x:v>Primary paper: https://arxiv.org/pdf/2606.07157
Submitted source archive: ~/Downloads/arXiv-2606.07157v3.tar.gz
METR values and Ryan Greenblatt text: user-supplied in this Codex task on 2026-07-17.</x:v>
      </x:c>
      <x:c r="B55" s="87"/>
      <x:c r="C55" s="87"/>
      <x:c r="D55" s="87"/>
      <x:c r="E55" s="87"/>
      <x:c r="F55" s="87"/>
      <x:c r="G55" s="87"/>
      <x:c r="H55" s="87"/>
    </x:row>
    <x:row r="56">
      <x:c r="A56" s="87"/>
      <x:c r="B56" s="87"/>
      <x:c r="C56" s="87"/>
      <x:c r="D56" s="87"/>
      <x:c r="E56" s="87"/>
      <x:c r="F56" s="87"/>
      <x:c r="G56" s="87"/>
      <x:c r="H56" s="87"/>
    </x:row>
    <x:row r="57">
      <x:c r="A57" s="87"/>
      <x:c r="B57" s="87"/>
      <x:c r="C57" s="87"/>
      <x:c r="D57" s="87"/>
      <x:c r="E57" s="87"/>
      <x:c r="F57" s="87"/>
      <x:c r="G57" s="87"/>
      <x:c r="H57" s="87"/>
    </x:row>
  </x:sheetData>
  <x:mergeCells>
    <x:mergeCell ref="A1:H1"/>
    <x:mergeCell ref="A2:H3"/>
    <x:mergeCell ref="A24:H24"/>
    <x:mergeCell ref="A35:H35"/>
    <x:mergeCell ref="E36:H40"/>
    <x:mergeCell ref="E42:H47"/>
    <x:mergeCell ref="A55:H57"/>
  </x:mergeCells>
  <x:pageMargins left="0.7" right="0.7" top="0.75" bottom="0.75" header="0.3" footer="0.3"/>
  <x:legacyDrawing xmlns:r="http://schemas.openxmlformats.org/officeDocument/2006/relationships" r:id="R6c353f3a74574998"/>
</x:worksheet>
</file>

<file path=xl/worksheets/sheet9.xml><?xml version="1.0" encoding="utf-8"?>
<x:worksheet xmlns:x="http://schemas.openxmlformats.org/spreadsheetml/2006/main">
  <x:sheetViews>
    <x:sheetView showGridLines="0" workbookViewId="0"/>
  </x:sheetViews>
  <x:sheetFormatPr defaultRowHeight="15"/>
  <x:cols>
    <x:col min="1" max="1" width="38"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25" hidden="0" customWidth="1"/>
    <x:col min="11" max="11" width="25" hidden="0" customWidth="1"/>
    <x:col min="12" max="12" width="64" hidden="0" customWidth="1"/>
  </x:cols>
  <x:sheetData>
    <x:row r="1" ht="36" customHeight="1">
      <x:c r="A1" s="66" t="str">
        <x:v>Horizon-informed frontier parameter posterior</x:v>
      </x:c>
      <x:c r="B1" s="66"/>
      <x:c r="C1" s="66"/>
      <x:c r="D1" s="66"/>
      <x:c r="E1" s="66"/>
      <x:c r="F1" s="66"/>
      <x:c r="G1" s="66"/>
      <x:c r="H1" s="66"/>
      <x:c r="I1" s="66"/>
      <x:c r="J1" s="66"/>
      <x:c r="K1" s="66"/>
      <x:c r="L1" s="66"/>
    </x:row>
    <x:row r="2">
      <x:c r="A2" s="6" t="str">
        <x:v>Posterior = 50% log weight on the existing price-informed benchmark model and 50% on the no-CoT horizon branch. The existing branch is itself 85% AA+ECI benchmark / 15% API price, giving effective weights of 42.5% benchmark, 7.5% price, and 50% horizon. Crowd estimates are shown as a check, not treated as independent observations.</x:v>
      </x:c>
      <x:c r="B2" s="6"/>
      <x:c r="C2" s="6"/>
      <x:c r="D2" s="6"/>
      <x:c r="E2" s="6"/>
      <x:c r="F2" s="6"/>
      <x:c r="G2" s="6"/>
      <x:c r="H2" s="6"/>
      <x:c r="I2" s="6"/>
      <x:c r="J2" s="6"/>
      <x:c r="K2" s="6"/>
      <x:c r="L2" s="6"/>
    </x:row>
    <x:row r="3">
      <x:c r="A3" s="6"/>
      <x:c r="B3" s="6"/>
      <x:c r="C3" s="6"/>
      <x:c r="D3" s="6"/>
      <x:c r="E3" s="6"/>
      <x:c r="F3" s="6"/>
      <x:c r="G3" s="6"/>
      <x:c r="H3" s="6"/>
      <x:c r="I3" s="6"/>
      <x:c r="J3" s="6"/>
      <x:c r="K3" s="6"/>
      <x:c r="L3" s="6"/>
    </x:row>
    <x:row r="5" ht="34" customHeight="1">
      <x:c r="A5" s="71" t="str">
        <x:v>Model / base</x:v>
      </x:c>
      <x:c r="B5" s="71" t="str">
        <x:v>Existing central (T)</x:v>
      </x:c>
      <x:c r="C5" s="71" t="str">
        <x:v>TH proxy (min)</x:v>
      </x:c>
      <x:c r="D5" s="71" t="str">
        <x:v>Horizon prior (T)</x:v>
      </x:c>
      <x:c r="E5" s="71" t="str">
        <x:v>Existing weight</x:v>
      </x:c>
      <x:c r="F5" s="71" t="str">
        <x:v>Horizon weight</x:v>
      </x:c>
      <x:c r="G5" s="71" t="str">
        <x:v>Posterior (T)</x:v>
      </x:c>
      <x:c r="H5" s="71" t="str">
        <x:v>Crowd point (T)</x:v>
      </x:c>
      <x:c r="I5" s="71" t="str">
        <x:v>Posterior / crowd</x:v>
      </x:c>
      <x:c r="J5" s="71" t="str">
        <x:v>Horizon evidence</x:v>
      </x:c>
      <x:c r="K5" s="71" t="str">
        <x:v>Status</x:v>
      </x:c>
      <x:c r="L5" s="71" t="str">
        <x:v>Method note</x:v>
      </x:c>
    </x:row>
    <x:row r="6">
      <x:c r="A6" s="16" t="str">
        <x:v>Claude Fable 5</x:v>
      </x:c>
      <x:c r="B6" s="19" t="n">
        <x:f>'Frontier Estimates'!M6</x:f>
        <x:v>3.420619147282</x:v>
      </x:c>
      <x:c r="C6" s="19" t="n">
        <x:f>'Horizon Laws'!B48</x:f>
        <x:v>3.613800788555238</x:v>
      </x:c>
      <x:c r="D6" s="19" t="n">
        <x:f>'Horizon Laws'!B49</x:f>
        <x:v>6.533951047522359</x:v>
      </x:c>
      <x:c r="E6" s="33" t="n">
        <x:f>'Horizon Laws'!B7</x:f>
        <x:v>0.5</x:v>
      </x:c>
      <x:c r="F6" s="33" t="n">
        <x:f>'Horizon Laws'!B6</x:f>
        <x:v>0.5</x:v>
      </x:c>
      <x:c r="G6" s="118" t="n">
        <x:f>IF(K6="Disclosed anchor",B6,POWER(B6,E6)*POWER(D6,F6))</x:f>
        <x:v>4.72759537826137</x:v>
      </x:c>
      <x:c r="H6" s="115" t="n">
        <x:v>3.4</x:v>
      </x:c>
      <x:c r="I6" s="115" t="n">
        <x:f>G6/H6</x:f>
        <x:v>1.3904692289004028</x:v>
      </x:c>
      <x:c r="J6" s="22" t="str">
        <x:v>Projected new pretrain</x:v>
      </x:c>
      <x:c r="K6" s="22" t="str">
        <x:v>Regression estimate</x:v>
      </x:c>
      <x:c r="L6" s="22" t="str">
        <x:v>Date law and Ryan's corrected 8-month pretrain gap pooled geometrically.</x:v>
      </x:c>
    </x:row>
    <x:row r="7">
      <x:c r="A7" s="17" t="str">
        <x:v>GPT-5.6 Sol</x:v>
      </x:c>
      <x:c r="B7" s="20" t="n">
        <x:f>'Frontier Estimates'!M7</x:f>
        <x:v>3.337143079854522</x:v>
      </x:c>
      <x:c r="C7" s="20" t="n">
        <x:f>'Horizon Laws'!B43</x:f>
        <x:v>2.47480117907748</x:v>
      </x:c>
      <x:c r="D7" s="20" t="n">
        <x:f>'Horizon Laws'!B44</x:f>
        <x:v>2.983694824019499</x:v>
      </x:c>
      <x:c r="E7" s="34" t="n">
        <x:f>'Horizon Laws'!B7</x:f>
        <x:v>0.5</x:v>
      </x:c>
      <x:c r="F7" s="34" t="n">
        <x:f>'Horizon Laws'!B6</x:f>
        <x:v>0.5</x:v>
      </x:c>
      <x:c r="G7" s="119" t="n">
        <x:f>IF(K7="Disclosed anchor",B7,POWER(B7,E7)*POWER(D7,F7))</x:f>
        <x:v>3.1554740585804897</x:v>
      </x:c>
      <x:c r="H7" s="116" t="n">
        <x:v>2.3</x:v>
      </x:c>
      <x:c r="I7" s="116" t="n">
        <x:f>G7/H7</x:f>
        <x:v>1.3719452428610825</x:v>
      </x:c>
      <x:c r="J7" s="23" t="str">
        <x:v>Same-family/date projection</x:v>
      </x:c>
      <x:c r="K7" s="23" t="str">
        <x:v>Regression estimate</x:v>
      </x:c>
      <x:c r="L7" s="23" t="str">
        <x:v>GPT-5.4/5.5 no-CoT shared-base proxy advanced to Sol's release.</x:v>
      </x:c>
    </x:row>
    <x:row r="8">
      <x:c r="A8" s="17" t="str">
        <x:v>Kimi K3</x:v>
      </x:c>
      <x:c r="B8" s="20" t="n">
        <x:f>'Frontier Estimates'!M8</x:f>
        <x:v>2.8</x:v>
      </x:c>
      <x:c r="C8" s="20" t="n">
        <x:f>'Horizon Laws'!B9</x:f>
        <x:v>2.4</x:v>
      </x:c>
      <x:c r="D8" s="20" t="n">
        <x:f>'Horizon Laws'!B8</x:f>
        <x:v>2.8</x:v>
      </x:c>
      <x:c r="E8" s="34" t="n">
        <x:f>'Horizon Laws'!B7</x:f>
        <x:v>0.5</x:v>
      </x:c>
      <x:c r="F8" s="34" t="n">
        <x:f>'Horizon Laws'!B6</x:f>
        <x:v>0.5</x:v>
      </x:c>
      <x:c r="G8" s="119" t="n">
        <x:f>IF(K8="Disclosed anchor",B8,POWER(B8,E8)*POWER(D8,F8))</x:f>
        <x:v>2.8</x:v>
      </x:c>
      <x:c r="H8" s="116"/>
      <x:c r="I8" s="116"/>
      <x:c r="J8" s="23" t="str">
        <x:v>Absolute anchor</x:v>
      </x:c>
      <x:c r="K8" s="23" t="str">
        <x:v>Disclosed anchor</x:v>
      </x:c>
      <x:c r="L8" s="23" t="str">
        <x:v>2.8T disclosed; horizon branch cannot move an exact anchor.</x:v>
      </x:c>
    </x:row>
    <x:row r="9">
      <x:c r="A9" s="17" t="str">
        <x:v>Claude Opus 4.7 / 4.8 shared base</x:v>
      </x:c>
      <x:c r="B9" s="20" t="n">
        <x:f>'Frontier Estimates'!M10</x:f>
        <x:v>2.3318329775695745</x:v>
      </x:c>
      <x:c r="C9" s="20" t="n">
        <x:f>'Horizon Laws'!B37</x:f>
        <x:v>2.561158329974988</x:v>
      </x:c>
      <x:c r="D9" s="20" t="n">
        <x:f>'Horizon Laws'!B39</x:f>
        <x:v>3.203281859170802</x:v>
      </x:c>
      <x:c r="E9" s="34" t="n">
        <x:f>'Horizon Laws'!B7</x:f>
        <x:v>0.5</x:v>
      </x:c>
      <x:c r="F9" s="34" t="n">
        <x:f>'Horizon Laws'!B6</x:f>
        <x:v>0.5</x:v>
      </x:c>
      <x:c r="G9" s="119" t="n">
        <x:f>IF(K9="Disclosed anchor",B9,POWER(B9,E9)*POWER(D9,F9))</x:f>
        <x:v>2.7330419454638553</x:v>
      </x:c>
      <x:c r="H9" s="116"/>
      <x:c r="I9" s="116"/>
      <x:c r="J9" s="23" t="str">
        <x:v>Measured shared-base proxy</x:v>
      </x:c>
      <x:c r="K9" s="23" t="str">
        <x:v>Regression estimate</x:v>
      </x:c>
      <x:c r="L9" s="23" t="str">
        <x:v>Opus 4.5/4.6/4.7 collapsed; 4.7 and 4.8 remain one base.</x:v>
      </x:c>
    </x:row>
    <x:row r="10">
      <x:c r="A10" s="17" t="str">
        <x:v>GPT-5.5</x:v>
      </x:c>
      <x:c r="B10" s="20" t="n">
        <x:f>'Frontier Estimates'!M9</x:f>
        <x:v>2.672015154705486</x:v>
      </x:c>
      <x:c r="C10" s="20" t="n">
        <x:f>'Horizon Laws'!B38</x:f>
        <x:v>2.0493901531919194</x:v>
      </x:c>
      <x:c r="D10" s="20" t="n">
        <x:f>'Horizon Laws'!B40</x:f>
        <x:v>2.0190964903578963</x:v>
      </x:c>
      <x:c r="E10" s="34" t="n">
        <x:f>'Horizon Laws'!B7</x:f>
        <x:v>0.5</x:v>
      </x:c>
      <x:c r="F10" s="34" t="n">
        <x:f>'Horizon Laws'!B6</x:f>
        <x:v>0.5</x:v>
      </x:c>
      <x:c r="G10" s="119" t="n">
        <x:f>IF(K10="Disclosed anchor",B10,POWER(B10,E10)*POWER(D10,F10))</x:f>
        <x:v>2.3227260753366847</x:v>
      </x:c>
      <x:c r="H10" s="116"/>
      <x:c r="I10" s="116"/>
      <x:c r="J10" s="23" t="str">
        <x:v>Measured shared-base proxy</x:v>
      </x:c>
      <x:c r="K10" s="23" t="str">
        <x:v>Regression estimate</x:v>
      </x:c>
      <x:c r="L10" s="23" t="str">
        <x:v>GPT-5.4 and 5.5 treated as same-base post-training variants.</x:v>
      </x:c>
    </x:row>
    <x:row r="11">
      <x:c r="A11" s="17" t="str">
        <x:v>GPT-5.6 Terra</x:v>
      </x:c>
      <x:c r="B11" s="20" t="n">
        <x:f>'Frontier Estimates'!M11</x:f>
        <x:v>2.2630037831413268</x:v>
      </x:c>
      <x:c r="C11" s="20"/>
      <x:c r="D11" s="20" t="n">
        <x:f>'Horizon Laws'!B44*'Frontier Estimates'!M11/'Frontier Estimates'!M7</x:f>
        <x:v>2.0233212999634618</x:v>
      </x:c>
      <x:c r="E11" s="34" t="n">
        <x:f>'Horizon Laws'!B7</x:f>
        <x:v>0.5</x:v>
      </x:c>
      <x:c r="F11" s="34" t="n">
        <x:f>'Horizon Laws'!B6</x:f>
        <x:v>0.5</x:v>
      </x:c>
      <x:c r="G11" s="119" t="n">
        <x:f>IF(K11="Disclosed anchor",B11,POWER(B11,E11)*POWER(D11,F11))</x:f>
        <x:v>2.1398092803630284</x:v>
      </x:c>
      <x:c r="H11" s="116"/>
      <x:c r="I11" s="116"/>
      <x:c r="J11" s="23" t="str">
        <x:v>Relative to Sol</x:v>
      </x:c>
      <x:c r="K11" s="23" t="str">
        <x:v>Regression estimate</x:v>
      </x:c>
      <x:c r="L11" s="23" t="str">
        <x:v>Preserves Terra/Sol scale ratio while applying Sol's horizon correction.</x:v>
      </x:c>
    </x:row>
    <x:row r="12">
      <x:c r="A12" s="17" t="str">
        <x:v>Claude Sonnet 5</x:v>
      </x:c>
      <x:c r="B12" s="20" t="n">
        <x:f>'Frontier Estimates'!M12</x:f>
        <x:v>1.5616446066762157</x:v>
      </x:c>
      <x:c r="C12" s="20"/>
      <x:c r="D12" s="20" t="n">
        <x:f>'Frontier Estimates'!M12</x:f>
        <x:v>1.5616446066762157</x:v>
      </x:c>
      <x:c r="E12" s="34" t="n">
        <x:f>'Horizon Laws'!B7</x:f>
        <x:v>0.5</x:v>
      </x:c>
      <x:c r="F12" s="34" t="n">
        <x:f>'Horizon Laws'!B6</x:f>
        <x:v>0.5</x:v>
      </x:c>
      <x:c r="G12" s="119" t="n">
        <x:f>IF(K12="Disclosed anchor",B12,POWER(B12,E12)*POWER(D12,F12))</x:f>
        <x:v>1.561644606676216</x:v>
      </x:c>
      <x:c r="H12" s="116"/>
      <x:c r="I12" s="116"/>
      <x:c r="J12" s="23" t="str">
        <x:v>Neutral</x:v>
      </x:c>
      <x:c r="K12" s="23" t="str">
        <x:v>Regression estimate</x:v>
      </x:c>
      <x:c r="L12" s="23" t="str">
        <x:v>No direct Sonnet 5 no-CoT point; horizon branch left neutral.</x:v>
      </x:c>
    </x:row>
    <x:row r="13">
      <x:c r="A13" s="17" t="str">
        <x:v>GPT-5.6 Luna</x:v>
      </x:c>
      <x:c r="B13" s="20" t="n">
        <x:f>'Frontier Estimates'!M13</x:f>
        <x:v>1.5489971200785368</x:v>
      </x:c>
      <x:c r="C13" s="20"/>
      <x:c r="D13" s="20" t="n">
        <x:f>'Horizon Laws'!B44*'Frontier Estimates'!M13/'Frontier Estimates'!M7</x:f>
        <x:v>1.3849375286003376</x:v>
      </x:c>
      <x:c r="E13" s="34" t="n">
        <x:f>'Horizon Laws'!B7</x:f>
        <x:v>0.5</x:v>
      </x:c>
      <x:c r="F13" s="34" t="n">
        <x:f>'Horizon Laws'!B6</x:f>
        <x:v>0.5</x:v>
      </x:c>
      <x:c r="G13" s="119" t="n">
        <x:f>IF(K13="Disclosed anchor",B13,POWER(B13,E13)*POWER(D13,F13))</x:f>
        <x:v>1.464672059981554</x:v>
      </x:c>
      <x:c r="H13" s="116"/>
      <x:c r="I13" s="116"/>
      <x:c r="J13" s="23" t="str">
        <x:v>Relative to Sol</x:v>
      </x:c>
      <x:c r="K13" s="23" t="str">
        <x:v>Regression estimate</x:v>
      </x:c>
      <x:c r="L13" s="23" t="str">
        <x:v>Preserves Luna/Sol scale ratio while applying Sol's horizon correction.</x:v>
      </x:c>
    </x:row>
    <x:row r="14">
      <x:c r="A14" s="18" t="str">
        <x:v>Grok 4.5</x:v>
      </x:c>
      <x:c r="B14" s="21" t="n">
        <x:f>'Frontier Estimates'!M15</x:f>
        <x:v>1.5</x:v>
      </x:c>
      <x:c r="C14" s="21"/>
      <x:c r="D14" s="21" t="n">
        <x:f>'Frontier Estimates'!M15</x:f>
        <x:v>1.5</x:v>
      </x:c>
      <x:c r="E14" s="29" t="n">
        <x:f>'Horizon Laws'!B7</x:f>
        <x:v>0.5</x:v>
      </x:c>
      <x:c r="F14" s="29" t="n">
        <x:f>'Horizon Laws'!B6</x:f>
        <x:v>0.5</x:v>
      </x:c>
      <x:c r="G14" s="120" t="n">
        <x:f>IF(K14="Disclosed anchor",B14,POWER(B14,E14)*POWER(D14,F14))</x:f>
        <x:v>1.5</x:v>
      </x:c>
      <x:c r="H14" s="117"/>
      <x:c r="I14" s="117"/>
      <x:c r="J14" s="24" t="str">
        <x:v>Absolute anchor</x:v>
      </x:c>
      <x:c r="K14" s="24" t="str">
        <x:v>Disclosed anchor</x:v>
      </x:c>
      <x:c r="L14" s="24" t="str">
        <x:v>1.5T disclosed peg; horizon branch cannot move an exact anchor.</x:v>
      </x:c>
    </x:row>
    <x:row r="17">
      <x:c r="A17" s="77" t="str">
        <x:v>Bayesian interpretation</x:v>
      </x:c>
      <x:c r="B17" s="77"/>
      <x:c r="C17" s="77"/>
      <x:c r="D17" s="77"/>
      <x:c r="E17" s="77"/>
      <x:c r="F17" s="77"/>
      <x:c r="G17" s="77"/>
      <x:c r="H17" s="77"/>
      <x:c r="I17" s="77"/>
      <x:c r="J17" s="77"/>
      <x:c r="K17" s="77"/>
      <x:c r="L17" s="77"/>
    </x:row>
    <x:row r="19">
      <x:c r="A19" s="126" t="str">
        <x:v>The 35-model open-weight panel is informative but not clean: pooled total parameters correlate strongly with TH (ρ=0.81), yet dense and MoE slopes differ sharply (2.2× vs 8.1× total parameters per TH doubling), and absolute open/proprietary TH levels use different benchmark suites. The model therefore uses the paper's pooled 4.2× slope as a 50% branch anchored to K3, not as a standalone inversion.</x:v>
      </x:c>
      <x:c r="B19" s="127"/>
      <x:c r="C19" s="127"/>
      <x:c r="D19" s="127"/>
      <x:c r="E19" s="127"/>
      <x:c r="F19" s="127"/>
      <x:c r="G19" s="127"/>
      <x:c r="H19" s="127"/>
      <x:c r="I19" s="127"/>
      <x:c r="J19" s="127"/>
      <x:c r="K19" s="127"/>
      <x:c r="L19" s="127"/>
    </x:row>
    <x:row r="20">
      <x:c r="A20" s="126"/>
      <x:c r="B20" s="127"/>
      <x:c r="C20" s="127"/>
      <x:c r="D20" s="127"/>
      <x:c r="E20" s="127"/>
      <x:c r="F20" s="127"/>
      <x:c r="G20" s="127"/>
      <x:c r="H20" s="127"/>
      <x:c r="I20" s="127"/>
      <x:c r="J20" s="127"/>
      <x:c r="K20" s="127"/>
      <x:c r="L20" s="127"/>
    </x:row>
    <x:row r="21">
      <x:c r="A21" s="126"/>
      <x:c r="B21" s="127"/>
      <x:c r="C21" s="127"/>
      <x:c r="D21" s="127"/>
      <x:c r="E21" s="127"/>
      <x:c r="F21" s="127"/>
      <x:c r="G21" s="127"/>
      <x:c r="H21" s="127"/>
      <x:c r="I21" s="127"/>
      <x:c r="J21" s="127"/>
      <x:c r="K21" s="127"/>
      <x:c r="L21" s="127"/>
    </x:row>
    <x:row r="23">
      <x:c r="A23" s="132" t="str">
        <x:v>The human crowd registry currently centers Fable at 3.4T and Sol at 2.3T. Those forecasts are useful for calibration awareness but are relayed, unscored, and probably correlated. They remain posterior checks rather than receiving pseudo-precision as an independent likelihood.</x:v>
      </x:c>
      <x:c r="B23" s="133"/>
      <x:c r="C23" s="133"/>
      <x:c r="D23" s="133"/>
      <x:c r="E23" s="133"/>
      <x:c r="F23" s="133"/>
      <x:c r="G23" s="133"/>
      <x:c r="H23" s="133"/>
      <x:c r="I23" s="133"/>
      <x:c r="J23" s="133"/>
      <x:c r="K23" s="133"/>
      <x:c r="L23" s="133"/>
    </x:row>
    <x:row r="24">
      <x:c r="A24" s="132"/>
      <x:c r="B24" s="133"/>
      <x:c r="C24" s="133"/>
      <x:c r="D24" s="133"/>
      <x:c r="E24" s="133"/>
      <x:c r="F24" s="133"/>
      <x:c r="G24" s="133"/>
      <x:c r="H24" s="133"/>
      <x:c r="I24" s="133"/>
      <x:c r="J24" s="133"/>
      <x:c r="K24" s="133"/>
      <x:c r="L24" s="133"/>
    </x:row>
    <x:row r="25">
      <x:c r="A25" s="132"/>
      <x:c r="B25" s="133"/>
      <x:c r="C25" s="133"/>
      <x:c r="D25" s="133"/>
      <x:c r="E25" s="133"/>
      <x:c r="F25" s="133"/>
      <x:c r="G25" s="133"/>
      <x:c r="H25" s="133"/>
      <x:c r="I25" s="133"/>
      <x:c r="J25" s="133"/>
      <x:c r="K25" s="133"/>
      <x:c r="L25" s="133"/>
    </x:row>
  </x:sheetData>
  <x:mergeCells>
    <x:mergeCell ref="A1:L1"/>
    <x:mergeCell ref="A2:L3"/>
    <x:mergeCell ref="A17:L17"/>
    <x:mergeCell ref="A19:L21"/>
    <x:mergeCell ref="A23:L25"/>
  </x:mergeCells>
  <x:conditionalFormatting sqref="K6:K14">
    <x:cfRule type="containsText" dxfId="8" priority="1" operator="containsText" text="Disclosed"/>
  </x:conditionalFormatting>
  <x:pageMargins left="0.7" right="0.7" top="0.75" bottom="0.75" header="0.3" footer="0.3"/>
  <x:legacyDrawing xmlns:r="http://schemas.openxmlformats.org/officeDocument/2006/relationships" r:id="R296c8ff284e14f9b"/>
  <x:tableParts count="1">
    <x:tablePart xmlns:r="http://schemas.openxmlformats.org/officeDocument/2006/relationships" r:id="R0965ac04465b4f54"/>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38" hidden="0" customWidth="1"/>
    <x:col min="2" max="2" width="34" hidden="0" customWidth="1"/>
    <x:col min="3" max="3" width="24" hidden="0" customWidth="1"/>
    <x:col min="4" max="4" width="38" hidden="0" customWidth="1"/>
    <x:col min="5" max="5" width="38" hidden="0" customWidth="1"/>
    <x:col min="6" max="6" width="34" hidden="0" customWidth="1"/>
    <x:col min="7" max="7" width="34" hidden="0" customWidth="1"/>
    <x:col min="8" max="8" width="34" hidden="0" customWidth="1"/>
    <x:col min="9" max="9" width="18" hidden="0" customWidth="1"/>
    <x:col min="10" max="10" width="18" hidden="0" customWidth="1"/>
    <x:col min="11" max="11" width="18" hidden="0" customWidth="1"/>
    <x:col min="12" max="12" width="18" hidden="0" customWidth="1"/>
    <x:col min="13" max="13" width="18" hidden="0" customWidth="1"/>
    <x:col min="14" max="14" width="17" hidden="0" customWidth="1"/>
    <x:col min="15" max="15" width="17"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 min="22" max="22" width="17" hidden="0" customWidth="1"/>
    <x:col min="23" max="23" width="17" hidden="0" customWidth="1"/>
    <x:col min="24" max="24" width="17" hidden="0" customWidth="1"/>
    <x:col min="25" max="25" width="17" hidden="0" customWidth="1"/>
    <x:col min="26" max="26" width="17" hidden="0" customWidth="1"/>
    <x:col min="27" max="27" width="17" hidden="0" customWidth="1"/>
    <x:col min="28" max="28" width="24" hidden="0" customWidth="1"/>
    <x:col min="29" max="29" width="24" hidden="0" customWidth="1"/>
    <x:col min="30" max="30" width="58" hidden="0" customWidth="1"/>
    <x:col min="31" max="31" width="58" hidden="0" customWidth="1"/>
  </x:cols>
  <x:sheetData>
    <x:row r="1" ht="36" customHeight="1">
      <x:c r="A1" s="66" t="str">
        <x:v>Canonical model registry — checkpoint identity and source reconciliation</x:v>
      </x:c>
      <x:c r="B1" s="66"/>
      <x:c r="C1" s="66"/>
      <x:c r="D1" s="66"/>
      <x:c r="E1" s="66"/>
      <x:c r="F1" s="66"/>
      <x:c r="G1" s="66"/>
      <x:c r="H1" s="66"/>
      <x:c r="I1" s="66"/>
      <x:c r="J1" s="66"/>
      <x:c r="K1" s="66"/>
      <x:c r="L1" s="66"/>
      <x:c r="M1" s="66"/>
      <x:c r="N1" s="66"/>
      <x:c r="O1" s="66"/>
      <x:c r="P1" s="66"/>
      <x:c r="Q1" s="66"/>
      <x:c r="R1" s="66"/>
      <x:c r="S1" s="66"/>
      <x:c r="T1" s="66"/>
      <x:c r="U1" s="66"/>
      <x:c r="V1" s="66"/>
      <x:c r="W1" s="66"/>
      <x:c r="X1" s="66"/>
      <x:c r="Y1" s="66"/>
      <x:c r="Z1" s="66"/>
      <x:c r="AA1" s="66"/>
      <x:c r="AB1" s="66"/>
      <x:c r="AC1" s="66"/>
      <x:c r="AD1" s="66"/>
      <x:c r="AE1" s="66"/>
    </x:row>
    <x:row r="2">
      <x:c r="A2" s="6" t="str">
        <x:v>One row per canonical checkpoint across the complete 211-row ECI graph, all 49 paper models, and all 9 final frontier targets. Paper month, ECI exact date, ECI and paper parameter fields, checkpoint/base/lineage identities, and conflicts are stored separately; no source value is overwritten.</x:v>
      </x:c>
      <x:c r="B2" s="6"/>
      <x:c r="C2" s="6"/>
      <x:c r="D2" s="6"/>
      <x:c r="E2" s="6"/>
      <x:c r="F2" s="6"/>
      <x:c r="G2" s="6"/>
      <x:c r="H2" s="6"/>
      <x:c r="I2" s="6"/>
      <x:c r="J2" s="6"/>
      <x:c r="K2" s="6"/>
      <x:c r="L2" s="6"/>
      <x:c r="M2" s="6"/>
      <x:c r="N2" s="6"/>
      <x:c r="O2" s="6"/>
      <x:c r="P2" s="6"/>
      <x:c r="Q2" s="6"/>
      <x:c r="R2" s="6"/>
      <x:c r="S2" s="6"/>
      <x:c r="T2" s="6"/>
      <x:c r="U2" s="6"/>
      <x:c r="V2" s="6"/>
      <x:c r="W2" s="6"/>
      <x:c r="X2" s="6"/>
      <x:c r="Y2" s="6"/>
      <x:c r="Z2" s="6"/>
      <x:c r="AA2" s="6"/>
      <x:c r="AB2" s="6"/>
      <x:c r="AC2" s="6"/>
      <x:c r="AD2" s="6"/>
      <x:c r="AE2" s="6"/>
    </x:row>
    <x:row r="3">
      <x:c r="A3" s="6"/>
      <x:c r="B3" s="6"/>
      <x:c r="C3" s="6"/>
      <x:c r="D3" s="6"/>
      <x:c r="E3" s="6"/>
      <x:c r="F3" s="6"/>
      <x:c r="G3" s="6"/>
      <x:c r="H3" s="6"/>
      <x:c r="I3" s="6"/>
      <x:c r="J3" s="6"/>
      <x:c r="K3" s="6"/>
      <x:c r="L3" s="6"/>
      <x:c r="M3" s="6"/>
      <x:c r="N3" s="6"/>
      <x:c r="O3" s="6"/>
      <x:c r="P3" s="6"/>
      <x:c r="Q3" s="6"/>
      <x:c r="R3" s="6"/>
      <x:c r="S3" s="6"/>
      <x:c r="T3" s="6"/>
      <x:c r="U3" s="6"/>
      <x:c r="V3" s="6"/>
      <x:c r="W3" s="6"/>
      <x:c r="X3" s="6"/>
      <x:c r="Y3" s="6"/>
      <x:c r="Z3" s="6"/>
      <x:c r="AA3" s="6"/>
      <x:c r="AB3" s="6"/>
      <x:c r="AC3" s="6"/>
      <x:c r="AD3" s="6"/>
      <x:c r="AE3" s="6"/>
    </x:row>
    <x:row r="5" ht="34" customHeight="1">
      <x:c r="A5" s="71" t="str">
        <x:v>Canonical checkpoint ID</x:v>
      </x:c>
      <x:c r="B5" s="71" t="str">
        <x:v>Canonical display</x:v>
      </x:c>
      <x:c r="C5" s="71" t="str">
        <x:v>Organization</x:v>
      </x:c>
      <x:c r="D5" s="71" t="str">
        <x:v>Lineage ID</x:v>
      </x:c>
      <x:c r="E5" s="71" t="str">
        <x:v>Base ID</x:v>
      </x:c>
      <x:c r="F5" s="71" t="str">
        <x:v>Final target label</x:v>
      </x:c>
      <x:c r="G5" s="71" t="str">
        <x:v>Paper alias</x:v>
      </x:c>
      <x:c r="H5" s="71" t="str">
        <x:v>ECI alias</x:v>
      </x:c>
      <x:c r="I5" s="71" t="str">
        <x:v>Paper release month</x:v>
      </x:c>
      <x:c r="J5" s="71" t="str">
        <x:v>ECI exact release</x:v>
      </x:c>
      <x:c r="K5" s="71" t="str">
        <x:v>Release date used</x:v>
      </x:c>
      <x:c r="L5" s="71" t="str">
        <x:v>Date source</x:v>
      </x:c>
      <x:c r="M5" s="71" t="str">
        <x:v>Date delta (days)</x:v>
      </x:c>
      <x:c r="N5" s="71" t="str">
        <x:v>ECI</x:v>
      </x:c>
      <x:c r="O5" s="71" t="str">
        <x:v>ECI CI low</x:v>
      </x:c>
      <x:c r="P5" s="71" t="str">
        <x:v>ECI CI high</x:v>
      </x:c>
      <x:c r="Q5" s="71" t="str">
        <x:v>AA current</x:v>
      </x:c>
      <x:c r="R5" s="71" t="str">
        <x:v>Paper total params (B)</x:v>
      </x:c>
      <x:c r="S5" s="71" t="str">
        <x:v>Paper active params (B)</x:v>
      </x:c>
      <x:c r="T5" s="71" t="str">
        <x:v>ECI regression total (B)</x:v>
      </x:c>
      <x:c r="U5" s="71" t="str">
        <x:v>Disclosed total (B)</x:v>
      </x:c>
      <x:c r="V5" s="71" t="str">
        <x:v>Layers</x:v>
      </x:c>
      <x:c r="W5" s="71" t="str">
        <x:v>Architecture</x:v>
      </x:c>
      <x:c r="X5" s="71" t="str">
        <x:v>No-CoT point (min)</x:v>
      </x:c>
      <x:c r="Y5" s="71" t="str">
        <x:v>No-CoT median</x:v>
      </x:c>
      <x:c r="Z5" s="71" t="str">
        <x:v>No-CoT CI low</x:v>
      </x:c>
      <x:c r="AA5" s="71" t="str">
        <x:v>No-CoT CI high</x:v>
      </x:c>
      <x:c r="AB5" s="71" t="str">
        <x:v>Horizon suite</x:v>
      </x:c>
      <x:c r="AC5" s="71" t="str">
        <x:v>Match status</x:v>
      </x:c>
      <x:c r="AD5" s="71" t="str">
        <x:v>Conflict / variance</x:v>
      </x:c>
      <x:c r="AE5" s="71" t="str">
        <x:v>Source note</x:v>
      </x:c>
    </x:row>
    <x:row r="6">
      <x:c r="A6" s="16" t="str">
        <x:v>openai:gpt-2</x:v>
      </x:c>
      <x:c r="B6" s="16" t="str">
        <x:v>GPT-2</x:v>
      </x:c>
      <x:c r="C6" s="16" t="str">
        <x:v>OpenAI</x:v>
      </x:c>
      <x:c r="D6" s="16" t="str">
        <x:v>lineage:openai:gpt-2</x:v>
      </x:c>
      <x:c r="E6" s="16" t="str">
        <x:v>base:openai:gpt-2</x:v>
      </x:c>
      <x:c r="F6" s="22" t="str"/>
      <x:c r="G6" s="22" t="str">
        <x:v>GPT-2</x:v>
      </x:c>
      <x:c r="H6" s="22" t="str"/>
      <x:c r="I6" s="30" t="n">
        <x:v>43497</x:v>
      </x:c>
      <x:c r="J6" s="30"/>
      <x:c r="K6" s="30" t="n">
        <x:v>43497</x:v>
      </x:c>
      <x:c r="L6" s="16" t="str">
        <x:v>Paper month only</x:v>
      </x:c>
      <x:c r="M6" s="72"/>
      <x:c r="N6" s="19"/>
      <x:c r="O6" s="19"/>
      <x:c r="P6" s="19"/>
      <x:c r="Q6" s="19"/>
      <x:c r="R6" s="19"/>
      <x:c r="S6" s="19"/>
      <x:c r="T6" s="19"/>
      <x:c r="U6" s="19"/>
      <x:c r="V6" s="19"/>
      <x:c r="W6" s="19" t="str"/>
      <x:c r="X6" s="19" t="n">
        <x:v>0.01</x:v>
      </x:c>
      <x:c r="Y6" s="19"/>
      <x:c r="Z6" s="19" t="n">
        <x:v>0.01</x:v>
      </x:c>
      <x:c r="AA6" s="19" t="n">
        <x:v>0.01</x:v>
      </x:c>
      <x:c r="AB6" s="22" t="str">
        <x:v>Paper frontier</x:v>
      </x:c>
      <x:c r="AC6" s="22" t="str">
        <x:v>No exact ECI checkpoint</x:v>
      </x:c>
      <x:c r="AD6" s="22" t="str"/>
      <x:c r="AE6" s="22" t="str"/>
    </x:row>
    <x:row r="7">
      <x:c r="A7" s="17" t="str">
        <x:v>openai:gpt-3</x:v>
      </x:c>
      <x:c r="B7" s="17" t="str">
        <x:v>GPT-3</x:v>
      </x:c>
      <x:c r="C7" s="17" t="str">
        <x:v>OpenAI</x:v>
      </x:c>
      <x:c r="D7" s="17" t="str">
        <x:v>lineage:openai:gpt-3</x:v>
      </x:c>
      <x:c r="E7" s="17" t="str">
        <x:v>base:openai:gpt-3</x:v>
      </x:c>
      <x:c r="F7" s="23" t="str"/>
      <x:c r="G7" s="23" t="str">
        <x:v>GPT-3</x:v>
      </x:c>
      <x:c r="H7" s="23" t="str"/>
      <x:c r="I7" s="31" t="n">
        <x:v>43952</x:v>
      </x:c>
      <x:c r="J7" s="31"/>
      <x:c r="K7" s="31" t="n">
        <x:v>43952</x:v>
      </x:c>
      <x:c r="L7" s="17" t="str">
        <x:v>Paper month only</x:v>
      </x:c>
      <x:c r="M7" s="73"/>
      <x:c r="N7" s="20"/>
      <x:c r="O7" s="20"/>
      <x:c r="P7" s="20"/>
      <x:c r="Q7" s="20"/>
      <x:c r="R7" s="20"/>
      <x:c r="S7" s="20"/>
      <x:c r="T7" s="20"/>
      <x:c r="U7" s="20"/>
      <x:c r="V7" s="20"/>
      <x:c r="W7" s="20" t="str"/>
      <x:c r="X7" s="20" t="n">
        <x:v>0.05</x:v>
      </x:c>
      <x:c r="Y7" s="20"/>
      <x:c r="Z7" s="20" t="n">
        <x:v>0.01</x:v>
      </x:c>
      <x:c r="AA7" s="20" t="n">
        <x:v>0.05</x:v>
      </x:c>
      <x:c r="AB7" s="23" t="str">
        <x:v>Paper frontier</x:v>
      </x:c>
      <x:c r="AC7" s="23" t="str">
        <x:v>No exact ECI checkpoint</x:v>
      </x:c>
      <x:c r="AD7" s="23" t="str"/>
      <x:c r="AE7" s="23" t="str"/>
    </x:row>
    <x:row r="8">
      <x:c r="A8" s="17" t="str">
        <x:v>openai:gpt-3-5</x:v>
      </x:c>
      <x:c r="B8" s="17" t="str">
        <x:v>GPT-3.5</x:v>
      </x:c>
      <x:c r="C8" s="17" t="str">
        <x:v>OpenAI</x:v>
      </x:c>
      <x:c r="D8" s="17" t="str">
        <x:v>lineage:openai:gpt-3-5</x:v>
      </x:c>
      <x:c r="E8" s="17" t="str">
        <x:v>base:openai:gpt-3-5</x:v>
      </x:c>
      <x:c r="F8" s="23" t="str"/>
      <x:c r="G8" s="23" t="str">
        <x:v>GPT-3.5</x:v>
      </x:c>
      <x:c r="H8" s="23" t="str"/>
      <x:c r="I8" s="31" t="n">
        <x:v>44621</x:v>
      </x:c>
      <x:c r="J8" s="31"/>
      <x:c r="K8" s="31" t="n">
        <x:v>44621</x:v>
      </x:c>
      <x:c r="L8" s="17" t="str">
        <x:v>Paper month only</x:v>
      </x:c>
      <x:c r="M8" s="73"/>
      <x:c r="N8" s="20"/>
      <x:c r="O8" s="20"/>
      <x:c r="P8" s="20"/>
      <x:c r="Q8" s="20"/>
      <x:c r="R8" s="20"/>
      <x:c r="S8" s="20"/>
      <x:c r="T8" s="20"/>
      <x:c r="U8" s="20"/>
      <x:c r="V8" s="20"/>
      <x:c r="W8" s="20" t="str"/>
      <x:c r="X8" s="20" t="n">
        <x:v>0.29</x:v>
      </x:c>
      <x:c r="Y8" s="20"/>
      <x:c r="Z8" s="20" t="n">
        <x:v>0.01</x:v>
      </x:c>
      <x:c r="AA8" s="20" t="n">
        <x:v>0.42</x:v>
      </x:c>
      <x:c r="AB8" s="23" t="str">
        <x:v>Paper frontier</x:v>
      </x:c>
      <x:c r="AC8" s="23" t="str">
        <x:v>No exact ECI checkpoint</x:v>
      </x:c>
      <x:c r="AD8" s="23" t="str"/>
      <x:c r="AE8" s="23" t="str"/>
    </x:row>
    <x:row r="9">
      <x:c r="A9" s="17" t="str">
        <x:v>meta:llama-65b</x:v>
      </x:c>
      <x:c r="B9" s="17" t="str">
        <x:v>LLaMA-65B</x:v>
      </x:c>
      <x:c r="C9" s="17" t="str">
        <x:v>Meta AI</x:v>
      </x:c>
      <x:c r="D9" s="17" t="str">
        <x:v>lineage:meta:llama-65b</x:v>
      </x:c>
      <x:c r="E9" s="17" t="str">
        <x:v>base:meta:llama-65b</x:v>
      </x:c>
      <x:c r="F9" s="23" t="str"/>
      <x:c r="G9" s="23" t="str"/>
      <x:c r="H9" s="23" t="str">
        <x:v>LLaMA-65B</x:v>
      </x:c>
      <x:c r="I9" s="31"/>
      <x:c r="J9" s="31" t="n">
        <x:v>44981</x:v>
      </x:c>
      <x:c r="K9" s="31" t="n">
        <x:v>44981</x:v>
      </x:c>
      <x:c r="L9" s="17" t="str">
        <x:v>ECI exact date</x:v>
      </x:c>
      <x:c r="M9" s="73"/>
      <x:c r="N9" s="20" t="n">
        <x:v>109.93</x:v>
      </x:c>
      <x:c r="O9" s="20" t="n">
        <x:v>100.46</x:v>
      </x:c>
      <x:c r="P9" s="20" t="n">
        <x:v>114.37</x:v>
      </x:c>
      <x:c r="Q9" s="20"/>
      <x:c r="R9" s="20"/>
      <x:c r="S9" s="20"/>
      <x:c r="T9" s="20" t="n">
        <x:v>65.2</x:v>
      </x:c>
      <x:c r="U9" s="20"/>
      <x:c r="V9" s="20"/>
      <x:c r="W9" s="20" t="str"/>
      <x:c r="X9" s="20"/>
      <x:c r="Y9" s="20"/>
      <x:c r="Z9" s="20"/>
      <x:c r="AA9" s="20"/>
      <x:c r="AB9" s="23" t="str"/>
      <x:c r="AC9" s="23" t="str">
        <x:v>ECI-only row</x:v>
      </x:c>
      <x:c r="AD9" s="23" t="str"/>
      <x:c r="AE9" s="23" t="str">
        <x:v>Parameter row: Regression Data!2</x:v>
      </x:c>
    </x:row>
    <x:row r="10">
      <x:c r="A10" s="17" t="str">
        <x:v>meta:llama-7b</x:v>
      </x:c>
      <x:c r="B10" s="17" t="str">
        <x:v>LLaMA-7B</x:v>
      </x:c>
      <x:c r="C10" s="17" t="str">
        <x:v>Meta AI</x:v>
      </x:c>
      <x:c r="D10" s="17" t="str">
        <x:v>lineage:meta:llama-7b</x:v>
      </x:c>
      <x:c r="E10" s="17" t="str">
        <x:v>base:meta:llama-7b</x:v>
      </x:c>
      <x:c r="F10" s="23" t="str"/>
      <x:c r="G10" s="23" t="str"/>
      <x:c r="H10" s="23" t="str">
        <x:v>LLaMA-7B</x:v>
      </x:c>
      <x:c r="I10" s="31"/>
      <x:c r="J10" s="31" t="n">
        <x:v>44981</x:v>
      </x:c>
      <x:c r="K10" s="31" t="n">
        <x:v>44981</x:v>
      </x:c>
      <x:c r="L10" s="17" t="str">
        <x:v>ECI exact date</x:v>
      </x:c>
      <x:c r="M10" s="73"/>
      <x:c r="N10" s="20" t="n">
        <x:v>96.41</x:v>
      </x:c>
      <x:c r="O10" s="20" t="n">
        <x:v>83.74</x:v>
      </x:c>
      <x:c r="P10" s="20" t="n">
        <x:v>104.14</x:v>
      </x:c>
      <x:c r="Q10" s="20"/>
      <x:c r="R10" s="20"/>
      <x:c r="S10" s="20"/>
      <x:c r="T10" s="20"/>
      <x:c r="U10" s="20"/>
      <x:c r="V10" s="20"/>
      <x:c r="W10" s="20" t="str"/>
      <x:c r="X10" s="20"/>
      <x:c r="Y10" s="20"/>
      <x:c r="Z10" s="20"/>
      <x:c r="AA10" s="20"/>
      <x:c r="AB10" s="23" t="str"/>
      <x:c r="AC10" s="23" t="str">
        <x:v>ECI-only row</x:v>
      </x:c>
      <x:c r="AD10" s="23" t="str"/>
      <x:c r="AE10" s="23" t="str"/>
    </x:row>
    <x:row r="11">
      <x:c r="A11" s="17" t="str">
        <x:v>meta:llama-13b</x:v>
      </x:c>
      <x:c r="B11" s="17" t="str">
        <x:v>LLaMA-13B</x:v>
      </x:c>
      <x:c r="C11" s="17" t="str">
        <x:v>Meta AI</x:v>
      </x:c>
      <x:c r="D11" s="17" t="str">
        <x:v>lineage:meta:llama-13b</x:v>
      </x:c>
      <x:c r="E11" s="17" t="str">
        <x:v>base:meta:llama-13b</x:v>
      </x:c>
      <x:c r="F11" s="23" t="str"/>
      <x:c r="G11" s="23" t="str"/>
      <x:c r="H11" s="23" t="str">
        <x:v>LLaMA-13B</x:v>
      </x:c>
      <x:c r="I11" s="31"/>
      <x:c r="J11" s="31" t="n">
        <x:v>44984</x:v>
      </x:c>
      <x:c r="K11" s="31" t="n">
        <x:v>44984</x:v>
      </x:c>
      <x:c r="L11" s="17" t="str">
        <x:v>ECI exact date</x:v>
      </x:c>
      <x:c r="M11" s="73"/>
      <x:c r="N11" s="20" t="n">
        <x:v>100.3</x:v>
      </x:c>
      <x:c r="O11" s="20" t="n">
        <x:v>89.58</x:v>
      </x:c>
      <x:c r="P11" s="20" t="n">
        <x:v>106.66</x:v>
      </x:c>
      <x:c r="Q11" s="20"/>
      <x:c r="R11" s="20"/>
      <x:c r="S11" s="20"/>
      <x:c r="T11" s="20" t="n">
        <x:v>13</x:v>
      </x:c>
      <x:c r="U11" s="20"/>
      <x:c r="V11" s="20"/>
      <x:c r="W11" s="20" t="str"/>
      <x:c r="X11" s="20"/>
      <x:c r="Y11" s="20"/>
      <x:c r="Z11" s="20"/>
      <x:c r="AA11" s="20"/>
      <x:c r="AB11" s="23" t="str"/>
      <x:c r="AC11" s="23" t="str">
        <x:v>ECI-only row</x:v>
      </x:c>
      <x:c r="AD11" s="23" t="str"/>
      <x:c r="AE11" s="23" t="str">
        <x:v>Parameter row: Regression Data!3</x:v>
      </x:c>
    </x:row>
    <x:row r="12">
      <x:c r="A12" s="17" t="str">
        <x:v>meta:llama-33b</x:v>
      </x:c>
      <x:c r="B12" s="17" t="str">
        <x:v>LLaMA-33B</x:v>
      </x:c>
      <x:c r="C12" s="17" t="str">
        <x:v>Meta AI</x:v>
      </x:c>
      <x:c r="D12" s="17" t="str">
        <x:v>lineage:meta:llama-33b</x:v>
      </x:c>
      <x:c r="E12" s="17" t="str">
        <x:v>base:meta:llama-33b</x:v>
      </x:c>
      <x:c r="F12" s="23" t="str"/>
      <x:c r="G12" s="23" t="str"/>
      <x:c r="H12" s="23" t="str">
        <x:v>LLaMA-33B</x:v>
      </x:c>
      <x:c r="I12" s="31"/>
      <x:c r="J12" s="31" t="n">
        <x:v>44984</x:v>
      </x:c>
      <x:c r="K12" s="31" t="n">
        <x:v>44984</x:v>
      </x:c>
      <x:c r="L12" s="17" t="str">
        <x:v>ECI exact date</x:v>
      </x:c>
      <x:c r="M12" s="73"/>
      <x:c r="N12" s="20" t="n">
        <x:v>107.16</x:v>
      </x:c>
      <x:c r="O12" s="20" t="n">
        <x:v>96.33</x:v>
      </x:c>
      <x:c r="P12" s="20" t="n">
        <x:v>112.28</x:v>
      </x:c>
      <x:c r="Q12" s="20"/>
      <x:c r="R12" s="20"/>
      <x:c r="S12" s="20"/>
      <x:c r="T12" s="20" t="n">
        <x:v>32.5</x:v>
      </x:c>
      <x:c r="U12" s="20"/>
      <x:c r="V12" s="20"/>
      <x:c r="W12" s="20" t="str"/>
      <x:c r="X12" s="20"/>
      <x:c r="Y12" s="20"/>
      <x:c r="Z12" s="20"/>
      <x:c r="AA12" s="20"/>
      <x:c r="AB12" s="23" t="str"/>
      <x:c r="AC12" s="23" t="str">
        <x:v>ECI-only row</x:v>
      </x:c>
      <x:c r="AD12" s="23" t="str"/>
      <x:c r="AE12" s="23" t="str">
        <x:v>Parameter row: Regression Data!4</x:v>
      </x:c>
    </x:row>
    <x:row r="13">
      <x:c r="A13" s="17" t="str">
        <x:v>openai:gpt-4-mar-2023</x:v>
      </x:c>
      <x:c r="B13" s="17" t="str">
        <x:v>GPT-4 (Mar 2023)</x:v>
      </x:c>
      <x:c r="C13" s="17" t="str">
        <x:v>OpenAI</x:v>
      </x:c>
      <x:c r="D13" s="17" t="str">
        <x:v>lineage:openai:gpt-4-mar-2023</x:v>
      </x:c>
      <x:c r="E13" s="17" t="str">
        <x:v>base:openai:gpt-4-mar-2023</x:v>
      </x:c>
      <x:c r="F13" s="23" t="str"/>
      <x:c r="G13" s="23" t="str">
        <x:v>GPT-4</x:v>
      </x:c>
      <x:c r="H13" s="23" t="str">
        <x:v>GPT-4 (Mar 2023)</x:v>
      </x:c>
      <x:c r="I13" s="31" t="n">
        <x:v>44986</x:v>
      </x:c>
      <x:c r="J13" s="31" t="n">
        <x:v>45000</x:v>
      </x:c>
      <x:c r="K13" s="31" t="n">
        <x:v>45000</x:v>
      </x:c>
      <x:c r="L13" s="17" t="str">
        <x:v>ECI exact date</x:v>
      </x:c>
      <x:c r="M13" s="73" t="n">
        <x:v>14</x:v>
      </x:c>
      <x:c r="N13" s="20" t="n">
        <x:v>125.93</x:v>
      </x:c>
      <x:c r="O13" s="20" t="n">
        <x:v>119.58</x:v>
      </x:c>
      <x:c r="P13" s="20" t="n">
        <x:v>132.2</x:v>
      </x:c>
      <x:c r="Q13" s="20"/>
      <x:c r="R13" s="20"/>
      <x:c r="S13" s="20"/>
      <x:c r="T13" s="20"/>
      <x:c r="U13" s="20"/>
      <x:c r="V13" s="20"/>
      <x:c r="W13" s="20" t="str"/>
      <x:c r="X13" s="20" t="n">
        <x:v>0.89</x:v>
      </x:c>
      <x:c r="Y13" s="20"/>
      <x:c r="Z13" s="20" t="n">
        <x:v>0.19</x:v>
      </x:c>
      <x:c r="AA13" s="20" t="n">
        <x:v>0.95</x:v>
      </x:c>
      <x:c r="AB13" s="23" t="str">
        <x:v>Paper frontier</x:v>
      </x:c>
      <x:c r="AC13" s="23" t="str">
        <x:v>Manual exact ECI join</x:v>
      </x:c>
      <x:c r="AD13" s="23" t="str"/>
      <x:c r="AE13" s="23" t="str"/>
    </x:row>
    <x:row r="14">
      <x:c r="A14" s="17" t="str">
        <x:v>technology-innovation-institute:falcon-40b</x:v>
      </x:c>
      <x:c r="B14" s="17" t="str">
        <x:v>Falcon-40B</x:v>
      </x:c>
      <x:c r="C14" s="17" t="str">
        <x:v>Technology Innovation Institute</x:v>
      </x:c>
      <x:c r="D14" s="17" t="str">
        <x:v>lineage:technology-innovation-institute:falcon-40b</x:v>
      </x:c>
      <x:c r="E14" s="17" t="str">
        <x:v>base:technology-innovation-institute:falcon-40b</x:v>
      </x:c>
      <x:c r="F14" s="23" t="str"/>
      <x:c r="G14" s="23" t="str"/>
      <x:c r="H14" s="23" t="str">
        <x:v>Falcon-40B</x:v>
      </x:c>
      <x:c r="I14" s="31"/>
      <x:c r="J14" s="31" t="n">
        <x:v>45000</x:v>
      </x:c>
      <x:c r="K14" s="31" t="n">
        <x:v>45000</x:v>
      </x:c>
      <x:c r="L14" s="17" t="str">
        <x:v>ECI exact date</x:v>
      </x:c>
      <x:c r="M14" s="73"/>
      <x:c r="N14" s="20" t="n">
        <x:v>104.19</x:v>
      </x:c>
      <x:c r="O14" s="20" t="n">
        <x:v>94.99</x:v>
      </x:c>
      <x:c r="P14" s="20" t="n">
        <x:v>110.58</x:v>
      </x:c>
      <x:c r="Q14" s="20"/>
      <x:c r="R14" s="20"/>
      <x:c r="S14" s="20"/>
      <x:c r="T14" s="20" t="n">
        <x:v>40</x:v>
      </x:c>
      <x:c r="U14" s="20"/>
      <x:c r="V14" s="20"/>
      <x:c r="W14" s="20" t="str"/>
      <x:c r="X14" s="20"/>
      <x:c r="Y14" s="20"/>
      <x:c r="Z14" s="20"/>
      <x:c r="AA14" s="20"/>
      <x:c r="AB14" s="23" t="str"/>
      <x:c r="AC14" s="23" t="str">
        <x:v>ECI-only row</x:v>
      </x:c>
      <x:c r="AD14" s="23" t="str"/>
      <x:c r="AE14" s="23" t="str">
        <x:v>Parameter row: Regression Data!5</x:v>
      </x:c>
    </x:row>
    <x:row r="15">
      <x:c r="A15" s="17" t="str">
        <x:v>cerebras-systems:cerebras-gpt-13b</x:v>
      </x:c>
      <x:c r="B15" s="17" t="str">
        <x:v>Cerebras-GPT-13B</x:v>
      </x:c>
      <x:c r="C15" s="17" t="str">
        <x:v>Cerebras Systems</x:v>
      </x:c>
      <x:c r="D15" s="17" t="str">
        <x:v>lineage:cerebras-systems:cerebras-gpt-13b</x:v>
      </x:c>
      <x:c r="E15" s="17" t="str">
        <x:v>base:cerebras-systems:cerebras-gpt-13b</x:v>
      </x:c>
      <x:c r="F15" s="23" t="str"/>
      <x:c r="G15" s="23" t="str"/>
      <x:c r="H15" s="23" t="str">
        <x:v>Cerebras-GPT-13B</x:v>
      </x:c>
      <x:c r="I15" s="31"/>
      <x:c r="J15" s="31" t="n">
        <x:v>45022</x:v>
      </x:c>
      <x:c r="K15" s="31" t="n">
        <x:v>45022</x:v>
      </x:c>
      <x:c r="L15" s="17" t="str">
        <x:v>ECI exact date</x:v>
      </x:c>
      <x:c r="M15" s="73"/>
      <x:c r="N15" s="20" t="n">
        <x:v>82.95</x:v>
      </x:c>
      <x:c r="O15" s="20" t="n">
        <x:v>67.22</x:v>
      </x:c>
      <x:c r="P15" s="20" t="n">
        <x:v>92.99</x:v>
      </x:c>
      <x:c r="Q15" s="20"/>
      <x:c r="R15" s="20"/>
      <x:c r="S15" s="20"/>
      <x:c r="T15" s="20" t="n">
        <x:v>13</x:v>
      </x:c>
      <x:c r="U15" s="20"/>
      <x:c r="V15" s="20"/>
      <x:c r="W15" s="20" t="str"/>
      <x:c r="X15" s="20"/>
      <x:c r="Y15" s="20"/>
      <x:c r="Z15" s="20"/>
      <x:c r="AA15" s="20"/>
      <x:c r="AB15" s="23" t="str"/>
      <x:c r="AC15" s="23" t="str">
        <x:v>ECI-only row</x:v>
      </x:c>
      <x:c r="AD15" s="23" t="str"/>
      <x:c r="AE15" s="23" t="str">
        <x:v>Parameter row: Regression Data!6</x:v>
      </x:c>
    </x:row>
    <x:row r="16">
      <x:c r="A16" s="17" t="str">
        <x:v>databricks:dolly-2-0-12b</x:v>
      </x:c>
      <x:c r="B16" s="17" t="str">
        <x:v>Dolly 2.0-12b</x:v>
      </x:c>
      <x:c r="C16" s="17" t="str">
        <x:v>Databricks</x:v>
      </x:c>
      <x:c r="D16" s="17" t="str">
        <x:v>lineage:databricks:dolly-2-0-12b</x:v>
      </x:c>
      <x:c r="E16" s="17" t="str">
        <x:v>base:databricks:dolly-2-0-12b</x:v>
      </x:c>
      <x:c r="F16" s="23" t="str"/>
      <x:c r="G16" s="23" t="str"/>
      <x:c r="H16" s="23" t="str">
        <x:v>Dolly 2.0-12b</x:v>
      </x:c>
      <x:c r="I16" s="31"/>
      <x:c r="J16" s="31" t="n">
        <x:v>45028</x:v>
      </x:c>
      <x:c r="K16" s="31" t="n">
        <x:v>45028</x:v>
      </x:c>
      <x:c r="L16" s="17" t="str">
        <x:v>ECI exact date</x:v>
      </x:c>
      <x:c r="M16" s="73"/>
      <x:c r="N16" s="20" t="n">
        <x:v>89.37</x:v>
      </x:c>
      <x:c r="O16" s="20" t="n">
        <x:v>74.42</x:v>
      </x:c>
      <x:c r="P16" s="20" t="n">
        <x:v>98.45</x:v>
      </x:c>
      <x:c r="Q16" s="20"/>
      <x:c r="R16" s="20"/>
      <x:c r="S16" s="20"/>
      <x:c r="T16" s="20" t="n">
        <x:v>12</x:v>
      </x:c>
      <x:c r="U16" s="20"/>
      <x:c r="V16" s="20"/>
      <x:c r="W16" s="20" t="str"/>
      <x:c r="X16" s="20"/>
      <x:c r="Y16" s="20"/>
      <x:c r="Z16" s="20"/>
      <x:c r="AA16" s="20"/>
      <x:c r="AB16" s="23" t="str"/>
      <x:c r="AC16" s="23" t="str">
        <x:v>ECI-only row</x:v>
      </x:c>
      <x:c r="AD16" s="23" t="str"/>
      <x:c r="AE16" s="23" t="str">
        <x:v>Parameter row: Regression Data!7</x:v>
      </x:c>
    </x:row>
    <x:row r="17">
      <x:c r="A17" s="17" t="str">
        <x:v>unknown:vicuna-13b-v1-1</x:v>
      </x:c>
      <x:c r="B17" s="17" t="str">
        <x:v>vicuna-13b-v1.1</x:v>
      </x:c>
      <x:c r="C17" s="17" t="str"/>
      <x:c r="D17" s="17" t="str">
        <x:v>lineage:unknown:vicuna-13b-v1-1</x:v>
      </x:c>
      <x:c r="E17" s="17" t="str">
        <x:v>base:unknown:vicuna-13b-v1-1</x:v>
      </x:c>
      <x:c r="F17" s="23" t="str"/>
      <x:c r="G17" s="23" t="str"/>
      <x:c r="H17" s="23" t="str">
        <x:v>vicuna-13b-v1.1</x:v>
      </x:c>
      <x:c r="I17" s="31"/>
      <x:c r="J17" s="31" t="n">
        <x:v>45028</x:v>
      </x:c>
      <x:c r="K17" s="31" t="n">
        <x:v>45028</x:v>
      </x:c>
      <x:c r="L17" s="17" t="str">
        <x:v>ECI exact date</x:v>
      </x:c>
      <x:c r="M17" s="73"/>
      <x:c r="N17" s="20" t="n">
        <x:v>94.4</x:v>
      </x:c>
      <x:c r="O17" s="20" t="n">
        <x:v>81.38</x:v>
      </x:c>
      <x:c r="P17" s="20" t="n">
        <x:v>103.21</x:v>
      </x:c>
      <x:c r="Q17" s="20"/>
      <x:c r="R17" s="20"/>
      <x:c r="S17" s="20"/>
      <x:c r="T17" s="20"/>
      <x:c r="U17" s="20"/>
      <x:c r="V17" s="20"/>
      <x:c r="W17" s="20" t="str"/>
      <x:c r="X17" s="20"/>
      <x:c r="Y17" s="20"/>
      <x:c r="Z17" s="20"/>
      <x:c r="AA17" s="20"/>
      <x:c r="AB17" s="23" t="str"/>
      <x:c r="AC17" s="23" t="str">
        <x:v>ECI-only row</x:v>
      </x:c>
      <x:c r="AD17" s="23" t="str"/>
      <x:c r="AE17" s="23" t="str"/>
    </x:row>
    <x:row r="18">
      <x:c r="A18" s="17" t="str">
        <x:v>unknown:stablelm-tuned-alpha-7b</x:v>
      </x:c>
      <x:c r="B18" s="17" t="str">
        <x:v>stablelm-tuned-alpha-7b</x:v>
      </x:c>
      <x:c r="C18" s="17" t="str"/>
      <x:c r="D18" s="17" t="str">
        <x:v>lineage:unknown:stablelm-tuned-alpha-7b</x:v>
      </x:c>
      <x:c r="E18" s="17" t="str">
        <x:v>base:unknown:stablelm-tuned-alpha-7b</x:v>
      </x:c>
      <x:c r="F18" s="23" t="str"/>
      <x:c r="G18" s="23" t="str"/>
      <x:c r="H18" s="23" t="str">
        <x:v>stablelm-tuned-alpha-7b</x:v>
      </x:c>
      <x:c r="I18" s="31"/>
      <x:c r="J18" s="31" t="n">
        <x:v>45035</x:v>
      </x:c>
      <x:c r="K18" s="31" t="n">
        <x:v>45035</x:v>
      </x:c>
      <x:c r="L18" s="17" t="str">
        <x:v>ECI exact date</x:v>
      </x:c>
      <x:c r="M18" s="73"/>
      <x:c r="N18" s="20" t="n">
        <x:v>55.51</x:v>
      </x:c>
      <x:c r="O18" s="20" t="n">
        <x:v>31.98</x:v>
      </x:c>
      <x:c r="P18" s="20" t="n">
        <x:v>74.21</x:v>
      </x:c>
      <x:c r="Q18" s="20"/>
      <x:c r="R18" s="20"/>
      <x:c r="S18" s="20"/>
      <x:c r="T18" s="20"/>
      <x:c r="U18" s="20"/>
      <x:c r="V18" s="20"/>
      <x:c r="W18" s="20" t="str"/>
      <x:c r="X18" s="20"/>
      <x:c r="Y18" s="20"/>
      <x:c r="Z18" s="20"/>
      <x:c r="AA18" s="20"/>
      <x:c r="AB18" s="23" t="str"/>
      <x:c r="AC18" s="23" t="str">
        <x:v>ECI-only row</x:v>
      </x:c>
      <x:c r="AD18" s="23" t="str"/>
      <x:c r="AE18" s="23" t="str"/>
    </x:row>
    <x:row r="19">
      <x:c r="A19" s="17" t="str">
        <x:v>technology-innovation-institute:falcon-7b</x:v>
      </x:c>
      <x:c r="B19" s="17" t="str">
        <x:v>Falcon-7B</x:v>
      </x:c>
      <x:c r="C19" s="17" t="str">
        <x:v>Technology Innovation Institute</x:v>
      </x:c>
      <x:c r="D19" s="17" t="str">
        <x:v>lineage:technology-innovation-institute:falcon-7b</x:v>
      </x:c>
      <x:c r="E19" s="17" t="str">
        <x:v>base:technology-innovation-institute:falcon-7b</x:v>
      </x:c>
      <x:c r="F19" s="23" t="str"/>
      <x:c r="G19" s="23" t="str"/>
      <x:c r="H19" s="23" t="str">
        <x:v>Falcon-7B</x:v>
      </x:c>
      <x:c r="I19" s="31"/>
      <x:c r="J19" s="31" t="n">
        <x:v>45040</x:v>
      </x:c>
      <x:c r="K19" s="31" t="n">
        <x:v>45040</x:v>
      </x:c>
      <x:c r="L19" s="17" t="str">
        <x:v>ECI exact date</x:v>
      </x:c>
      <x:c r="M19" s="73"/>
      <x:c r="N19" s="20" t="n">
        <x:v>94.81</x:v>
      </x:c>
      <x:c r="O19" s="20" t="n">
        <x:v>81.69</x:v>
      </x:c>
      <x:c r="P19" s="20" t="n">
        <x:v>102.89</x:v>
      </x:c>
      <x:c r="Q19" s="20"/>
      <x:c r="R19" s="20"/>
      <x:c r="S19" s="20"/>
      <x:c r="T19" s="20"/>
      <x:c r="U19" s="20"/>
      <x:c r="V19" s="20"/>
      <x:c r="W19" s="20" t="str"/>
      <x:c r="X19" s="20"/>
      <x:c r="Y19" s="20"/>
      <x:c r="Z19" s="20"/>
      <x:c r="AA19" s="20"/>
      <x:c r="AB19" s="23" t="str"/>
      <x:c r="AC19" s="23" t="str">
        <x:v>ECI-only row</x:v>
      </x:c>
      <x:c r="AD19" s="23" t="str"/>
      <x:c r="AE19" s="23" t="str"/>
    </x:row>
    <x:row r="20">
      <x:c r="A20" s="17" t="str">
        <x:v>unknown:redpajama-incite-7b-base</x:v>
      </x:c>
      <x:c r="B20" s="17" t="str">
        <x:v>RedPajama-INCITE-7B-Base</x:v>
      </x:c>
      <x:c r="C20" s="17" t="str"/>
      <x:c r="D20" s="17" t="str">
        <x:v>lineage:unknown:redpajama-incite-7b-base</x:v>
      </x:c>
      <x:c r="E20" s="17" t="str">
        <x:v>base:unknown:redpajama-incite-7b-base</x:v>
      </x:c>
      <x:c r="F20" s="23" t="str"/>
      <x:c r="G20" s="23" t="str"/>
      <x:c r="H20" s="23" t="str">
        <x:v>RedPajama-INCITE-7B-Base</x:v>
      </x:c>
      <x:c r="I20" s="31"/>
      <x:c r="J20" s="31" t="n">
        <x:v>45050</x:v>
      </x:c>
      <x:c r="K20" s="31" t="n">
        <x:v>45050</x:v>
      </x:c>
      <x:c r="L20" s="17" t="str">
        <x:v>ECI exact date</x:v>
      </x:c>
      <x:c r="M20" s="73"/>
      <x:c r="N20" s="20" t="n">
        <x:v>90.12</x:v>
      </x:c>
      <x:c r="O20" s="20" t="n">
        <x:v>74.73</x:v>
      </x:c>
      <x:c r="P20" s="20" t="n">
        <x:v>99.34</x:v>
      </x:c>
      <x:c r="Q20" s="20"/>
      <x:c r="R20" s="20"/>
      <x:c r="S20" s="20"/>
      <x:c r="T20" s="20"/>
      <x:c r="U20" s="20"/>
      <x:c r="V20" s="20"/>
      <x:c r="W20" s="20" t="str"/>
      <x:c r="X20" s="20"/>
      <x:c r="Y20" s="20"/>
      <x:c r="Z20" s="20"/>
      <x:c r="AA20" s="20"/>
      <x:c r="AB20" s="23" t="str"/>
      <x:c r="AC20" s="23" t="str">
        <x:v>ECI-only row</x:v>
      </x:c>
      <x:c r="AD20" s="23" t="str"/>
      <x:c r="AE20" s="23" t="str"/>
    </x:row>
    <x:row r="21">
      <x:c r="A21" s="17" t="str">
        <x:v>mosaicml:mpt-7b</x:v>
      </x:c>
      <x:c r="B21" s="17" t="str">
        <x:v>MPT-7B</x:v>
      </x:c>
      <x:c r="C21" s="17" t="str">
        <x:v>MosaicML</x:v>
      </x:c>
      <x:c r="D21" s="17" t="str">
        <x:v>lineage:mosaicml:mpt-7b</x:v>
      </x:c>
      <x:c r="E21" s="17" t="str">
        <x:v>base:mosaicml:mpt-7b</x:v>
      </x:c>
      <x:c r="F21" s="23" t="str"/>
      <x:c r="G21" s="23" t="str"/>
      <x:c r="H21" s="23" t="str">
        <x:v>MPT-7B</x:v>
      </x:c>
      <x:c r="I21" s="31"/>
      <x:c r="J21" s="31" t="n">
        <x:v>45051</x:v>
      </x:c>
      <x:c r="K21" s="31" t="n">
        <x:v>45051</x:v>
      </x:c>
      <x:c r="L21" s="17" t="str">
        <x:v>ECI exact date</x:v>
      </x:c>
      <x:c r="M21" s="73"/>
      <x:c r="N21" s="20" t="n">
        <x:v>94.3</x:v>
      </x:c>
      <x:c r="O21" s="20" t="n">
        <x:v>81.04</x:v>
      </x:c>
      <x:c r="P21" s="20" t="n">
        <x:v>102.67</x:v>
      </x:c>
      <x:c r="Q21" s="20"/>
      <x:c r="R21" s="20"/>
      <x:c r="S21" s="20"/>
      <x:c r="T21" s="20"/>
      <x:c r="U21" s="20"/>
      <x:c r="V21" s="20"/>
      <x:c r="W21" s="20" t="str"/>
      <x:c r="X21" s="20"/>
      <x:c r="Y21" s="20"/>
      <x:c r="Z21" s="20"/>
      <x:c r="AA21" s="20"/>
      <x:c r="AB21" s="23" t="str"/>
      <x:c r="AC21" s="23" t="str">
        <x:v>ECI-only row</x:v>
      </x:c>
      <x:c r="AD21" s="23" t="str"/>
      <x:c r="AE21" s="23" t="str"/>
    </x:row>
    <x:row r="22">
      <x:c r="A22" s="17" t="str">
        <x:v>unknown:palm-2-l</x:v>
      </x:c>
      <x:c r="B22" s="17" t="str">
        <x:v>PaLM 2-L</x:v>
      </x:c>
      <x:c r="C22" s="17" t="str"/>
      <x:c r="D22" s="17" t="str">
        <x:v>lineage:unknown:palm-2-l</x:v>
      </x:c>
      <x:c r="E22" s="17" t="str">
        <x:v>base:unknown:palm-2-l</x:v>
      </x:c>
      <x:c r="F22" s="23" t="str"/>
      <x:c r="G22" s="23" t="str"/>
      <x:c r="H22" s="23" t="str">
        <x:v>PaLM 2-L</x:v>
      </x:c>
      <x:c r="I22" s="31"/>
      <x:c r="J22" s="31" t="n">
        <x:v>45063</x:v>
      </x:c>
      <x:c r="K22" s="31" t="n">
        <x:v>45063</x:v>
      </x:c>
      <x:c r="L22" s="17" t="str">
        <x:v>ECI exact date</x:v>
      </x:c>
      <x:c r="M22" s="73"/>
      <x:c r="N22" s="20" t="n">
        <x:v>114.86</x:v>
      </x:c>
      <x:c r="O22" s="20" t="n">
        <x:v>107.01</x:v>
      </x:c>
      <x:c r="P22" s="20" t="n">
        <x:v>128.51</x:v>
      </x:c>
      <x:c r="Q22" s="20"/>
      <x:c r="R22" s="20"/>
      <x:c r="S22" s="20"/>
      <x:c r="T22" s="20"/>
      <x:c r="U22" s="20"/>
      <x:c r="V22" s="20"/>
      <x:c r="W22" s="20" t="str"/>
      <x:c r="X22" s="20"/>
      <x:c r="Y22" s="20"/>
      <x:c r="Z22" s="20"/>
      <x:c r="AA22" s="20"/>
      <x:c r="AB22" s="23" t="str"/>
      <x:c r="AC22" s="23" t="str">
        <x:v>ECI-only row</x:v>
      </x:c>
      <x:c r="AD22" s="23" t="str"/>
      <x:c r="AE22" s="23" t="str"/>
    </x:row>
    <x:row r="23">
      <x:c r="A23" s="17" t="str">
        <x:v>unknown:palm-2-m</x:v>
      </x:c>
      <x:c r="B23" s="17" t="str">
        <x:v>PaLM 2-M</x:v>
      </x:c>
      <x:c r="C23" s="17" t="str"/>
      <x:c r="D23" s="17" t="str">
        <x:v>lineage:unknown:palm-2-m</x:v>
      </x:c>
      <x:c r="E23" s="17" t="str">
        <x:v>base:unknown:palm-2-m</x:v>
      </x:c>
      <x:c r="F23" s="23" t="str"/>
      <x:c r="G23" s="23" t="str"/>
      <x:c r="H23" s="23" t="str">
        <x:v>PaLM 2-M</x:v>
      </x:c>
      <x:c r="I23" s="31"/>
      <x:c r="J23" s="31" t="n">
        <x:v>45063</x:v>
      </x:c>
      <x:c r="K23" s="31" t="n">
        <x:v>45063</x:v>
      </x:c>
      <x:c r="L23" s="17" t="str">
        <x:v>ECI exact date</x:v>
      </x:c>
      <x:c r="M23" s="73"/>
      <x:c r="N23" s="20" t="n">
        <x:v>108.09</x:v>
      </x:c>
      <x:c r="O23" s="20" t="n">
        <x:v>99.04</x:v>
      </x:c>
      <x:c r="P23" s="20" t="n">
        <x:v>119.05</x:v>
      </x:c>
      <x:c r="Q23" s="20"/>
      <x:c r="R23" s="20"/>
      <x:c r="S23" s="20"/>
      <x:c r="T23" s="20"/>
      <x:c r="U23" s="20"/>
      <x:c r="V23" s="20"/>
      <x:c r="W23" s="20" t="str"/>
      <x:c r="X23" s="20"/>
      <x:c r="Y23" s="20"/>
      <x:c r="Z23" s="20"/>
      <x:c r="AA23" s="20"/>
      <x:c r="AB23" s="23" t="str"/>
      <x:c r="AC23" s="23" t="str">
        <x:v>ECI-only row</x:v>
      </x:c>
      <x:c r="AD23" s="23" t="str"/>
      <x:c r="AE23" s="23" t="str"/>
    </x:row>
    <x:row r="24">
      <x:c r="A24" s="17" t="str">
        <x:v>unknown:palm-2-s</x:v>
      </x:c>
      <x:c r="B24" s="17" t="str">
        <x:v>PaLM 2-S</x:v>
      </x:c>
      <x:c r="C24" s="17" t="str"/>
      <x:c r="D24" s="17" t="str">
        <x:v>lineage:unknown:palm-2-s</x:v>
      </x:c>
      <x:c r="E24" s="17" t="str">
        <x:v>base:unknown:palm-2-s</x:v>
      </x:c>
      <x:c r="F24" s="23" t="str"/>
      <x:c r="G24" s="23" t="str"/>
      <x:c r="H24" s="23" t="str">
        <x:v>PaLM 2-S</x:v>
      </x:c>
      <x:c r="I24" s="31"/>
      <x:c r="J24" s="31" t="n">
        <x:v>45063</x:v>
      </x:c>
      <x:c r="K24" s="31" t="n">
        <x:v>45063</x:v>
      </x:c>
      <x:c r="L24" s="17" t="str">
        <x:v>ECI exact date</x:v>
      </x:c>
      <x:c r="M24" s="73"/>
      <x:c r="N24" s="20" t="n">
        <x:v>105.96</x:v>
      </x:c>
      <x:c r="O24" s="20" t="n">
        <x:v>96.19</x:v>
      </x:c>
      <x:c r="P24" s="20" t="n">
        <x:v>113.44</x:v>
      </x:c>
      <x:c r="Q24" s="20"/>
      <x:c r="R24" s="20"/>
      <x:c r="S24" s="20"/>
      <x:c r="T24" s="20"/>
      <x:c r="U24" s="20"/>
      <x:c r="V24" s="20"/>
      <x:c r="W24" s="20" t="str"/>
      <x:c r="X24" s="20"/>
      <x:c r="Y24" s="20"/>
      <x:c r="Z24" s="20"/>
      <x:c r="AA24" s="20"/>
      <x:c r="AB24" s="23" t="str"/>
      <x:c r="AC24" s="23" t="str">
        <x:v>ECI-only row</x:v>
      </x:c>
      <x:c r="AD24" s="23" t="str"/>
      <x:c r="AE24" s="23" t="str"/>
    </x:row>
    <x:row r="25">
      <x:c r="A25" s="17" t="str">
        <x:v>baichuan:baichuan1-7b</x:v>
      </x:c>
      <x:c r="B25" s="17" t="str">
        <x:v>Baichuan1-7B</x:v>
      </x:c>
      <x:c r="C25" s="17" t="str">
        <x:v>Baichuan</x:v>
      </x:c>
      <x:c r="D25" s="17" t="str">
        <x:v>lineage:baichuan:baichuan1-7b</x:v>
      </x:c>
      <x:c r="E25" s="17" t="str">
        <x:v>base:baichuan:baichuan1-7b</x:v>
      </x:c>
      <x:c r="F25" s="23" t="str"/>
      <x:c r="G25" s="23" t="str"/>
      <x:c r="H25" s="23" t="str">
        <x:v>Baichuan1-7B</x:v>
      </x:c>
      <x:c r="I25" s="31"/>
      <x:c r="J25" s="31" t="n">
        <x:v>45078</x:v>
      </x:c>
      <x:c r="K25" s="31" t="n">
        <x:v>45078</x:v>
      </x:c>
      <x:c r="L25" s="17" t="str">
        <x:v>ECI exact date</x:v>
      </x:c>
      <x:c r="M25" s="73"/>
      <x:c r="N25" s="20" t="n">
        <x:v>90.14</x:v>
      </x:c>
      <x:c r="O25" s="20" t="n">
        <x:v>75.09</x:v>
      </x:c>
      <x:c r="P25" s="20" t="n">
        <x:v>99.78</x:v>
      </x:c>
      <x:c r="Q25" s="20"/>
      <x:c r="R25" s="20"/>
      <x:c r="S25" s="20"/>
      <x:c r="T25" s="20"/>
      <x:c r="U25" s="20"/>
      <x:c r="V25" s="20"/>
      <x:c r="W25" s="20" t="str"/>
      <x:c r="X25" s="20"/>
      <x:c r="Y25" s="20"/>
      <x:c r="Z25" s="20"/>
      <x:c r="AA25" s="20"/>
      <x:c r="AB25" s="23" t="str"/>
      <x:c r="AC25" s="23" t="str">
        <x:v>ECI-only row</x:v>
      </x:c>
      <x:c r="AD25" s="23" t="str"/>
      <x:c r="AE25" s="23" t="str"/>
    </x:row>
    <x:row r="26">
      <x:c r="A26" s="17" t="str">
        <x:v>unknown:open-llama-7b</x:v>
      </x:c>
      <x:c r="B26" s="17" t="str">
        <x:v>open_llama_7b</x:v>
      </x:c>
      <x:c r="C26" s="17" t="str"/>
      <x:c r="D26" s="17" t="str">
        <x:v>lineage:unknown:open-llama-7b</x:v>
      </x:c>
      <x:c r="E26" s="17" t="str">
        <x:v>base:unknown:open-llama-7b</x:v>
      </x:c>
      <x:c r="F26" s="23" t="str"/>
      <x:c r="G26" s="23" t="str"/>
      <x:c r="H26" s="23" t="str">
        <x:v>open_llama_7b</x:v>
      </x:c>
      <x:c r="I26" s="31"/>
      <x:c r="J26" s="31" t="n">
        <x:v>45084</x:v>
      </x:c>
      <x:c r="K26" s="31" t="n">
        <x:v>45084</x:v>
      </x:c>
      <x:c r="L26" s="17" t="str">
        <x:v>ECI exact date</x:v>
      </x:c>
      <x:c r="M26" s="73"/>
      <x:c r="N26" s="20" t="n">
        <x:v>91.36</x:v>
      </x:c>
      <x:c r="O26" s="20" t="n">
        <x:v>76.58</x:v>
      </x:c>
      <x:c r="P26" s="20" t="n">
        <x:v>100.39</x:v>
      </x:c>
      <x:c r="Q26" s="20"/>
      <x:c r="R26" s="20"/>
      <x:c r="S26" s="20"/>
      <x:c r="T26" s="20"/>
      <x:c r="U26" s="20"/>
      <x:c r="V26" s="20"/>
      <x:c r="W26" s="20" t="str"/>
      <x:c r="X26" s="20"/>
      <x:c r="Y26" s="20"/>
      <x:c r="Z26" s="20"/>
      <x:c r="AA26" s="20"/>
      <x:c r="AB26" s="23" t="str"/>
      <x:c r="AC26" s="23" t="str">
        <x:v>ECI-only row</x:v>
      </x:c>
      <x:c r="AD26" s="23" t="str"/>
      <x:c r="AE26" s="23" t="str"/>
    </x:row>
    <x:row r="27">
      <x:c r="A27" s="17" t="str">
        <x:v>openai:gpt-3-5-turbo-jan-2024</x:v>
      </x:c>
      <x:c r="B27" s="17" t="str">
        <x:v>GPT-3.5 Turbo (Jan 2024)</x:v>
      </x:c>
      <x:c r="C27" s="17" t="str">
        <x:v>OpenAI</x:v>
      </x:c>
      <x:c r="D27" s="17" t="str">
        <x:v>lineage:openai:gpt-3-5-turbo-jan-2024</x:v>
      </x:c>
      <x:c r="E27" s="17" t="str">
        <x:v>base:openai:gpt-3-5-turbo-jan-2024</x:v>
      </x:c>
      <x:c r="F27" s="23" t="str"/>
      <x:c r="G27" s="23" t="str"/>
      <x:c r="H27" s="23" t="str">
        <x:v>GPT-3.5 Turbo (Jan 2024)</x:v>
      </x:c>
      <x:c r="I27" s="31"/>
      <x:c r="J27" s="31" t="n">
        <x:v>45090</x:v>
      </x:c>
      <x:c r="K27" s="31" t="n">
        <x:v>45090</x:v>
      </x:c>
      <x:c r="L27" s="17" t="str">
        <x:v>ECI exact date</x:v>
      </x:c>
      <x:c r="M27" s="73"/>
      <x:c r="N27" s="20" t="n">
        <x:v>114.42</x:v>
      </x:c>
      <x:c r="O27" s="20" t="n">
        <x:v>104.52</x:v>
      </x:c>
      <x:c r="P27" s="20" t="n">
        <x:v>117.76</x:v>
      </x:c>
      <x:c r="Q27" s="20"/>
      <x:c r="R27" s="20"/>
      <x:c r="S27" s="20"/>
      <x:c r="T27" s="20"/>
      <x:c r="U27" s="20"/>
      <x:c r="V27" s="20"/>
      <x:c r="W27" s="20" t="str"/>
      <x:c r="X27" s="20"/>
      <x:c r="Y27" s="20"/>
      <x:c r="Z27" s="20"/>
      <x:c r="AA27" s="20"/>
      <x:c r="AB27" s="23" t="str"/>
      <x:c r="AC27" s="23" t="str">
        <x:v>ECI-only row</x:v>
      </x:c>
      <x:c r="AD27" s="23" t="str"/>
      <x:c r="AE27" s="23" t="str"/>
    </x:row>
    <x:row r="28">
      <x:c r="A28" s="17" t="str">
        <x:v>openai:gpt-3-5-turbo-jun-2023</x:v>
      </x:c>
      <x:c r="B28" s="17" t="str">
        <x:v>GPT-3.5 Turbo (Jun 2023)</x:v>
      </x:c>
      <x:c r="C28" s="17" t="str">
        <x:v>OpenAI</x:v>
      </x:c>
      <x:c r="D28" s="17" t="str">
        <x:v>lineage:openai:gpt-3-5-turbo-jun-2023</x:v>
      </x:c>
      <x:c r="E28" s="17" t="str">
        <x:v>base:openai:gpt-3-5-turbo-jun-2023</x:v>
      </x:c>
      <x:c r="F28" s="23" t="str"/>
      <x:c r="G28" s="23" t="str"/>
      <x:c r="H28" s="23" t="str">
        <x:v>GPT-3.5 Turbo (Jun 2023)</x:v>
      </x:c>
      <x:c r="I28" s="31"/>
      <x:c r="J28" s="31" t="n">
        <x:v>45090</x:v>
      </x:c>
      <x:c r="K28" s="31" t="n">
        <x:v>45090</x:v>
      </x:c>
      <x:c r="L28" s="17" t="str">
        <x:v>ECI exact date</x:v>
      </x:c>
      <x:c r="M28" s="73"/>
      <x:c r="N28" s="20" t="n">
        <x:v>113.13</x:v>
      </x:c>
      <x:c r="O28" s="20" t="n">
        <x:v>104.69</x:v>
      </x:c>
      <x:c r="P28" s="20" t="n">
        <x:v>118.18</x:v>
      </x:c>
      <x:c r="Q28" s="20"/>
      <x:c r="R28" s="20"/>
      <x:c r="S28" s="20"/>
      <x:c r="T28" s="20"/>
      <x:c r="U28" s="20"/>
      <x:c r="V28" s="20"/>
      <x:c r="W28" s="20" t="str"/>
      <x:c r="X28" s="20"/>
      <x:c r="Y28" s="20"/>
      <x:c r="Z28" s="20"/>
      <x:c r="AA28" s="20"/>
      <x:c r="AB28" s="23" t="str"/>
      <x:c r="AC28" s="23" t="str">
        <x:v>ECI-only row</x:v>
      </x:c>
      <x:c r="AD28" s="23" t="str"/>
      <x:c r="AE28" s="23" t="str"/>
    </x:row>
    <x:row r="29">
      <x:c r="A29" s="17" t="str">
        <x:v>openai:gpt-3-5-turbo-nov-2023</x:v>
      </x:c>
      <x:c r="B29" s="17" t="str">
        <x:v>GPT-3.5 Turbo (Nov 2023)</x:v>
      </x:c>
      <x:c r="C29" s="17" t="str">
        <x:v>OpenAI</x:v>
      </x:c>
      <x:c r="D29" s="17" t="str">
        <x:v>lineage:openai:gpt-3-5-turbo-nov-2023</x:v>
      </x:c>
      <x:c r="E29" s="17" t="str">
        <x:v>base:openai:gpt-3-5-turbo-nov-2023</x:v>
      </x:c>
      <x:c r="F29" s="23" t="str"/>
      <x:c r="G29" s="23" t="str"/>
      <x:c r="H29" s="23" t="str">
        <x:v>GPT-3.5 Turbo (Nov 2023)</x:v>
      </x:c>
      <x:c r="I29" s="31"/>
      <x:c r="J29" s="31" t="n">
        <x:v>45090</x:v>
      </x:c>
      <x:c r="K29" s="31" t="n">
        <x:v>45090</x:v>
      </x:c>
      <x:c r="L29" s="17" t="str">
        <x:v>ECI exact date</x:v>
      </x:c>
      <x:c r="M29" s="73"/>
      <x:c r="N29" s="20" t="n">
        <x:v>118.28</x:v>
      </x:c>
      <x:c r="O29" s="20" t="n">
        <x:v>108.74</x:v>
      </x:c>
      <x:c r="P29" s="20" t="n">
        <x:v>121.51</x:v>
      </x:c>
      <x:c r="Q29" s="20"/>
      <x:c r="R29" s="20"/>
      <x:c r="S29" s="20"/>
      <x:c r="T29" s="20"/>
      <x:c r="U29" s="20"/>
      <x:c r="V29" s="20"/>
      <x:c r="W29" s="20" t="str"/>
      <x:c r="X29" s="20"/>
      <x:c r="Y29" s="20"/>
      <x:c r="Z29" s="20"/>
      <x:c r="AA29" s="20"/>
      <x:c r="AB29" s="23" t="str"/>
      <x:c r="AC29" s="23" t="str">
        <x:v>ECI-only row</x:v>
      </x:c>
      <x:c r="AD29" s="23" t="str"/>
      <x:c r="AE29" s="23" t="str"/>
    </x:row>
    <x:row r="30">
      <x:c r="A30" s="17" t="str">
        <x:v>openai:gpt-4-jun-2023</x:v>
      </x:c>
      <x:c r="B30" s="17" t="str">
        <x:v>GPT-4 (Jun 2023)</x:v>
      </x:c>
      <x:c r="C30" s="17" t="str">
        <x:v>OpenAI</x:v>
      </x:c>
      <x:c r="D30" s="17" t="str">
        <x:v>lineage:openai:gpt-4-jun-2023</x:v>
      </x:c>
      <x:c r="E30" s="17" t="str">
        <x:v>base:openai:gpt-4-jun-2023</x:v>
      </x:c>
      <x:c r="F30" s="23" t="str"/>
      <x:c r="G30" s="23" t="str"/>
      <x:c r="H30" s="23" t="str">
        <x:v>GPT-4 (Jun 2023)</x:v>
      </x:c>
      <x:c r="I30" s="31"/>
      <x:c r="J30" s="31" t="n">
        <x:v>45090</x:v>
      </x:c>
      <x:c r="K30" s="31" t="n">
        <x:v>45090</x:v>
      </x:c>
      <x:c r="L30" s="17" t="str">
        <x:v>ECI exact date</x:v>
      </x:c>
      <x:c r="M30" s="73"/>
      <x:c r="N30" s="20" t="n">
        <x:v>121.91</x:v>
      </x:c>
      <x:c r="O30" s="20" t="n">
        <x:v>114.46</x:v>
      </x:c>
      <x:c r="P30" s="20" t="n">
        <x:v>124.8</x:v>
      </x:c>
      <x:c r="Q30" s="20"/>
      <x:c r="R30" s="20"/>
      <x:c r="S30" s="20"/>
      <x:c r="T30" s="20"/>
      <x:c r="U30" s="20"/>
      <x:c r="V30" s="20"/>
      <x:c r="W30" s="20" t="str"/>
      <x:c r="X30" s="20"/>
      <x:c r="Y30" s="20"/>
      <x:c r="Z30" s="20"/>
      <x:c r="AA30" s="20"/>
      <x:c r="AB30" s="23" t="str"/>
      <x:c r="AC30" s="23" t="str">
        <x:v>ECI-only row</x:v>
      </x:c>
      <x:c r="AD30" s="23" t="str"/>
      <x:c r="AE30" s="23" t="str"/>
    </x:row>
    <x:row r="31">
      <x:c r="A31" s="17" t="str">
        <x:v>mosaicml:mpt-30b</x:v>
      </x:c>
      <x:c r="B31" s="17" t="str">
        <x:v>MPT-30B</x:v>
      </x:c>
      <x:c r="C31" s="17" t="str">
        <x:v>MosaicML</x:v>
      </x:c>
      <x:c r="D31" s="17" t="str">
        <x:v>lineage:mosaicml:mpt-30b</x:v>
      </x:c>
      <x:c r="E31" s="17" t="str">
        <x:v>base:mosaicml:mpt-30b</x:v>
      </x:c>
      <x:c r="F31" s="23" t="str"/>
      <x:c r="G31" s="23" t="str"/>
      <x:c r="H31" s="23" t="str">
        <x:v>MPT-30B</x:v>
      </x:c>
      <x:c r="I31" s="31"/>
      <x:c r="J31" s="31" t="n">
        <x:v>45099</x:v>
      </x:c>
      <x:c r="K31" s="31" t="n">
        <x:v>45099</x:v>
      </x:c>
      <x:c r="L31" s="17" t="str">
        <x:v>ECI exact date</x:v>
      </x:c>
      <x:c r="M31" s="73"/>
      <x:c r="N31" s="20" t="n">
        <x:v>100.38</x:v>
      </x:c>
      <x:c r="O31" s="20" t="n">
        <x:v>89.25</x:v>
      </x:c>
      <x:c r="P31" s="20" t="n">
        <x:v>106.66</x:v>
      </x:c>
      <x:c r="Q31" s="20"/>
      <x:c r="R31" s="20"/>
      <x:c r="S31" s="20"/>
      <x:c r="T31" s="20" t="n">
        <x:v>30</x:v>
      </x:c>
      <x:c r="U31" s="20"/>
      <x:c r="V31" s="20"/>
      <x:c r="W31" s="20" t="str"/>
      <x:c r="X31" s="20"/>
      <x:c r="Y31" s="20"/>
      <x:c r="Z31" s="20"/>
      <x:c r="AA31" s="20"/>
      <x:c r="AB31" s="23" t="str"/>
      <x:c r="AC31" s="23" t="str">
        <x:v>ECI-only row</x:v>
      </x:c>
      <x:c r="AD31" s="23" t="str"/>
      <x:c r="AE31" s="23" t="str">
        <x:v>Parameter row: Regression Data!8</x:v>
      </x:c>
    </x:row>
    <x:row r="32">
      <x:c r="A32" s="17" t="str">
        <x:v>unknown:chatglm2-6b</x:v>
      </x:c>
      <x:c r="B32" s="17" t="str">
        <x:v>chatglm2-6b</x:v>
      </x:c>
      <x:c r="C32" s="17" t="str"/>
      <x:c r="D32" s="17" t="str">
        <x:v>lineage:unknown:chatglm2-6b</x:v>
      </x:c>
      <x:c r="E32" s="17" t="str">
        <x:v>base:unknown:chatglm2-6b</x:v>
      </x:c>
      <x:c r="F32" s="23" t="str"/>
      <x:c r="G32" s="23" t="str"/>
      <x:c r="H32" s="23" t="str">
        <x:v>chatglm2-6b</x:v>
      </x:c>
      <x:c r="I32" s="31"/>
      <x:c r="J32" s="31" t="n">
        <x:v>45101</x:v>
      </x:c>
      <x:c r="K32" s="31" t="n">
        <x:v>45101</x:v>
      </x:c>
      <x:c r="L32" s="17" t="str">
        <x:v>ECI exact date</x:v>
      </x:c>
      <x:c r="M32" s="73"/>
      <x:c r="N32" s="20" t="n">
        <x:v>98.63</x:v>
      </x:c>
      <x:c r="O32" s="20" t="n">
        <x:v>76.75</x:v>
      </x:c>
      <x:c r="P32" s="20" t="n">
        <x:v>105.82</x:v>
      </x:c>
      <x:c r="Q32" s="20"/>
      <x:c r="R32" s="20"/>
      <x:c r="S32" s="20"/>
      <x:c r="T32" s="20"/>
      <x:c r="U32" s="20"/>
      <x:c r="V32" s="20"/>
      <x:c r="W32" s="20" t="str"/>
      <x:c r="X32" s="20"/>
      <x:c r="Y32" s="20"/>
      <x:c r="Z32" s="20"/>
      <x:c r="AA32" s="20"/>
      <x:c r="AB32" s="23" t="str"/>
      <x:c r="AC32" s="23" t="str">
        <x:v>ECI-only row</x:v>
      </x:c>
      <x:c r="AD32" s="23" t="str"/>
      <x:c r="AE32" s="23" t="str"/>
    </x:row>
    <x:row r="33">
      <x:c r="A33" s="17" t="str">
        <x:v>unknown:internlm-7b</x:v>
      </x:c>
      <x:c r="B33" s="17" t="str">
        <x:v>internlm-7b</x:v>
      </x:c>
      <x:c r="C33" s="17" t="str"/>
      <x:c r="D33" s="17" t="str">
        <x:v>lineage:unknown:internlm-7b</x:v>
      </x:c>
      <x:c r="E33" s="17" t="str">
        <x:v>base:unknown:internlm-7b</x:v>
      </x:c>
      <x:c r="F33" s="23" t="str"/>
      <x:c r="G33" s="23" t="str"/>
      <x:c r="H33" s="23" t="str">
        <x:v>internlm-7b</x:v>
      </x:c>
      <x:c r="I33" s="31"/>
      <x:c r="J33" s="31" t="n">
        <x:v>45112</x:v>
      </x:c>
      <x:c r="K33" s="31" t="n">
        <x:v>45112</x:v>
      </x:c>
      <x:c r="L33" s="17" t="str">
        <x:v>ECI exact date</x:v>
      </x:c>
      <x:c r="M33" s="73"/>
      <x:c r="N33" s="20" t="n">
        <x:v>102.58</x:v>
      </x:c>
      <x:c r="O33" s="20" t="n">
        <x:v>89.7</x:v>
      </x:c>
      <x:c r="P33" s="20" t="n">
        <x:v>109.22</x:v>
      </x:c>
      <x:c r="Q33" s="20"/>
      <x:c r="R33" s="20"/>
      <x:c r="S33" s="20"/>
      <x:c r="T33" s="20"/>
      <x:c r="U33" s="20"/>
      <x:c r="V33" s="20"/>
      <x:c r="W33" s="20" t="str"/>
      <x:c r="X33" s="20"/>
      <x:c r="Y33" s="20"/>
      <x:c r="Z33" s="20"/>
      <x:c r="AA33" s="20"/>
      <x:c r="AB33" s="23" t="str"/>
      <x:c r="AC33" s="23" t="str">
        <x:v>ECI-only row</x:v>
      </x:c>
      <x:c r="AD33" s="23" t="str"/>
      <x:c r="AE33" s="23" t="str"/>
    </x:row>
    <x:row r="34">
      <x:c r="A34" s="17" t="str">
        <x:v>anthropic:claude-2</x:v>
      </x:c>
      <x:c r="B34" s="17" t="str">
        <x:v>Claude 2</x:v>
      </x:c>
      <x:c r="C34" s="17" t="str">
        <x:v>Anthropic</x:v>
      </x:c>
      <x:c r="D34" s="17" t="str">
        <x:v>lineage:anthropic:claude-2</x:v>
      </x:c>
      <x:c r="E34" s="17" t="str">
        <x:v>base:anthropic:claude-2</x:v>
      </x:c>
      <x:c r="F34" s="23" t="str"/>
      <x:c r="G34" s="23" t="str"/>
      <x:c r="H34" s="23" t="str">
        <x:v>Claude 2</x:v>
      </x:c>
      <x:c r="I34" s="31"/>
      <x:c r="J34" s="31" t="n">
        <x:v>45118</x:v>
      </x:c>
      <x:c r="K34" s="31" t="n">
        <x:v>45118</x:v>
      </x:c>
      <x:c r="L34" s="17" t="str">
        <x:v>ECI exact date</x:v>
      </x:c>
      <x:c r="M34" s="73"/>
      <x:c r="N34" s="20" t="n">
        <x:v>119.58</x:v>
      </x:c>
      <x:c r="O34" s="20" t="n">
        <x:v>111.5</x:v>
      </x:c>
      <x:c r="P34" s="20" t="n">
        <x:v>124.06</x:v>
      </x:c>
      <x:c r="Q34" s="20"/>
      <x:c r="R34" s="20"/>
      <x:c r="S34" s="20"/>
      <x:c r="T34" s="20"/>
      <x:c r="U34" s="20"/>
      <x:c r="V34" s="20"/>
      <x:c r="W34" s="20" t="str"/>
      <x:c r="X34" s="20"/>
      <x:c r="Y34" s="20"/>
      <x:c r="Z34" s="20"/>
      <x:c r="AA34" s="20"/>
      <x:c r="AB34" s="23" t="str"/>
      <x:c r="AC34" s="23" t="str">
        <x:v>ECI-only row</x:v>
      </x:c>
      <x:c r="AD34" s="23" t="str"/>
      <x:c r="AE34" s="23" t="str"/>
    </x:row>
    <x:row r="35">
      <x:c r="A35" s="17" t="str">
        <x:v>meta:llama-2-13b</x:v>
      </x:c>
      <x:c r="B35" s="17" t="str">
        <x:v>Llama 2-13B</x:v>
      </x:c>
      <x:c r="C35" s="17" t="str">
        <x:v>Meta AI</x:v>
      </x:c>
      <x:c r="D35" s="17" t="str">
        <x:v>lineage:meta:llama-2-13b</x:v>
      </x:c>
      <x:c r="E35" s="17" t="str">
        <x:v>base:meta:llama-2-13b</x:v>
      </x:c>
      <x:c r="F35" s="23" t="str"/>
      <x:c r="G35" s="23" t="str"/>
      <x:c r="H35" s="23" t="str">
        <x:v>Llama 2-13B</x:v>
      </x:c>
      <x:c r="I35" s="31"/>
      <x:c r="J35" s="31" t="n">
        <x:v>45125</x:v>
      </x:c>
      <x:c r="K35" s="31" t="n">
        <x:v>45125</x:v>
      </x:c>
      <x:c r="L35" s="17" t="str">
        <x:v>ECI exact date</x:v>
      </x:c>
      <x:c r="M35" s="73"/>
      <x:c r="N35" s="20" t="n">
        <x:v>105.91</x:v>
      </x:c>
      <x:c r="O35" s="20" t="n">
        <x:v>95.41</x:v>
      </x:c>
      <x:c r="P35" s="20" t="n">
        <x:v>111.37</x:v>
      </x:c>
      <x:c r="Q35" s="20"/>
      <x:c r="R35" s="20"/>
      <x:c r="S35" s="20"/>
      <x:c r="T35" s="20" t="n">
        <x:v>13</x:v>
      </x:c>
      <x:c r="U35" s="20"/>
      <x:c r="V35" s="20"/>
      <x:c r="W35" s="20" t="str"/>
      <x:c r="X35" s="20"/>
      <x:c r="Y35" s="20"/>
      <x:c r="Z35" s="20"/>
      <x:c r="AA35" s="20"/>
      <x:c r="AB35" s="23" t="str"/>
      <x:c r="AC35" s="23" t="str">
        <x:v>ECI-only row</x:v>
      </x:c>
      <x:c r="AD35" s="23" t="str"/>
      <x:c r="AE35" s="23" t="str">
        <x:v>Parameter row: Regression Data!9</x:v>
      </x:c>
    </x:row>
    <x:row r="36">
      <x:c r="A36" s="17" t="str">
        <x:v>meta:llama-2-34b</x:v>
      </x:c>
      <x:c r="B36" s="17" t="str">
        <x:v>Llama 2-34B</x:v>
      </x:c>
      <x:c r="C36" s="17" t="str">
        <x:v>Meta AI</x:v>
      </x:c>
      <x:c r="D36" s="17" t="str">
        <x:v>lineage:meta:llama-2-34b</x:v>
      </x:c>
      <x:c r="E36" s="17" t="str">
        <x:v>base:meta:llama-2-34b</x:v>
      </x:c>
      <x:c r="F36" s="23" t="str"/>
      <x:c r="G36" s="23" t="str"/>
      <x:c r="H36" s="23" t="str">
        <x:v>Llama 2-34B</x:v>
      </x:c>
      <x:c r="I36" s="31"/>
      <x:c r="J36" s="31" t="n">
        <x:v>45125</x:v>
      </x:c>
      <x:c r="K36" s="31" t="n">
        <x:v>45125</x:v>
      </x:c>
      <x:c r="L36" s="17" t="str">
        <x:v>ECI exact date</x:v>
      </x:c>
      <x:c r="M36" s="73"/>
      <x:c r="N36" s="20" t="n">
        <x:v>104.95</x:v>
      </x:c>
      <x:c r="O36" s="20" t="n">
        <x:v>94.08</x:v>
      </x:c>
      <x:c r="P36" s="20" t="n">
        <x:v>110.71</x:v>
      </x:c>
      <x:c r="Q36" s="20"/>
      <x:c r="R36" s="20"/>
      <x:c r="S36" s="20"/>
      <x:c r="T36" s="20"/>
      <x:c r="U36" s="20"/>
      <x:c r="V36" s="20"/>
      <x:c r="W36" s="20" t="str"/>
      <x:c r="X36" s="20"/>
      <x:c r="Y36" s="20"/>
      <x:c r="Z36" s="20"/>
      <x:c r="AA36" s="20"/>
      <x:c r="AB36" s="23" t="str"/>
      <x:c r="AC36" s="23" t="str">
        <x:v>ECI-only row</x:v>
      </x:c>
      <x:c r="AD36" s="23" t="str"/>
      <x:c r="AE36" s="23" t="str"/>
    </x:row>
    <x:row r="37">
      <x:c r="A37" s="17" t="str">
        <x:v>meta:llama-2-70b</x:v>
      </x:c>
      <x:c r="B37" s="17" t="str">
        <x:v>Llama 2-70B</x:v>
      </x:c>
      <x:c r="C37" s="17" t="str">
        <x:v>Meta AI</x:v>
      </x:c>
      <x:c r="D37" s="17" t="str">
        <x:v>lineage:meta:llama-2-70b</x:v>
      </x:c>
      <x:c r="E37" s="17" t="str">
        <x:v>base:meta:llama-2-70b</x:v>
      </x:c>
      <x:c r="F37" s="23" t="str"/>
      <x:c r="G37" s="23" t="str"/>
      <x:c r="H37" s="23" t="str">
        <x:v>Llama 2-70B</x:v>
      </x:c>
      <x:c r="I37" s="31"/>
      <x:c r="J37" s="31" t="n">
        <x:v>45125</x:v>
      </x:c>
      <x:c r="K37" s="31" t="n">
        <x:v>45125</x:v>
      </x:c>
      <x:c r="L37" s="17" t="str">
        <x:v>ECI exact date</x:v>
      </x:c>
      <x:c r="M37" s="73"/>
      <x:c r="N37" s="20" t="n">
        <x:v>113.72</x:v>
      </x:c>
      <x:c r="O37" s="20" t="n">
        <x:v>104.07</x:v>
      </x:c>
      <x:c r="P37" s="20" t="n">
        <x:v>117.82</x:v>
      </x:c>
      <x:c r="Q37" s="20"/>
      <x:c r="R37" s="20"/>
      <x:c r="S37" s="20"/>
      <x:c r="T37" s="20" t="n">
        <x:v>70</x:v>
      </x:c>
      <x:c r="U37" s="20"/>
      <x:c r="V37" s="20"/>
      <x:c r="W37" s="20" t="str"/>
      <x:c r="X37" s="20"/>
      <x:c r="Y37" s="20"/>
      <x:c r="Z37" s="20"/>
      <x:c r="AA37" s="20"/>
      <x:c r="AB37" s="23" t="str"/>
      <x:c r="AC37" s="23" t="str">
        <x:v>ECI-only row</x:v>
      </x:c>
      <x:c r="AD37" s="23" t="str"/>
      <x:c r="AE37" s="23" t="str">
        <x:v>Parameter row: Regression Data!10</x:v>
      </x:c>
    </x:row>
    <x:row r="38">
      <x:c r="A38" s="17" t="str">
        <x:v>meta:llama-2-7b</x:v>
      </x:c>
      <x:c r="B38" s="17" t="str">
        <x:v>Llama 2-7B</x:v>
      </x:c>
      <x:c r="C38" s="17" t="str">
        <x:v>Meta AI</x:v>
      </x:c>
      <x:c r="D38" s="17" t="str">
        <x:v>lineage:meta:llama-2-7b</x:v>
      </x:c>
      <x:c r="E38" s="17" t="str">
        <x:v>base:meta:llama-2-7b</x:v>
      </x:c>
      <x:c r="F38" s="23" t="str"/>
      <x:c r="G38" s="23" t="str"/>
      <x:c r="H38" s="23" t="str">
        <x:v>Llama 2-7B</x:v>
      </x:c>
      <x:c r="I38" s="31"/>
      <x:c r="J38" s="31" t="n">
        <x:v>45125</x:v>
      </x:c>
      <x:c r="K38" s="31" t="n">
        <x:v>45125</x:v>
      </x:c>
      <x:c r="L38" s="17" t="str">
        <x:v>ECI exact date</x:v>
      </x:c>
      <x:c r="M38" s="73"/>
      <x:c r="N38" s="20" t="n">
        <x:v>98.78</x:v>
      </x:c>
      <x:c r="O38" s="20" t="n">
        <x:v>87.09</x:v>
      </x:c>
      <x:c r="P38" s="20" t="n">
        <x:v>105.57</x:v>
      </x:c>
      <x:c r="Q38" s="20"/>
      <x:c r="R38" s="20"/>
      <x:c r="S38" s="20"/>
      <x:c r="T38" s="20"/>
      <x:c r="U38" s="20"/>
      <x:c r="V38" s="20"/>
      <x:c r="W38" s="20" t="str"/>
      <x:c r="X38" s="20"/>
      <x:c r="Y38" s="20"/>
      <x:c r="Z38" s="20"/>
      <x:c r="AA38" s="20"/>
      <x:c r="AB38" s="23" t="str"/>
      <x:c r="AC38" s="23" t="str">
        <x:v>ECI-only row</x:v>
      </x:c>
      <x:c r="AD38" s="23" t="str"/>
      <x:c r="AE38" s="23" t="str"/>
    </x:row>
    <x:row r="39">
      <x:c r="A39" s="17" t="str">
        <x:v>stability-ai:stable-beluga-2</x:v>
      </x:c>
      <x:c r="B39" s="17" t="str">
        <x:v>Stable Beluga 2</x:v>
      </x:c>
      <x:c r="C39" s="17" t="str">
        <x:v>Stability AI</x:v>
      </x:c>
      <x:c r="D39" s="17" t="str">
        <x:v>lineage:stability-ai:stable-beluga-2</x:v>
      </x:c>
      <x:c r="E39" s="17" t="str">
        <x:v>base:stability-ai:stable-beluga-2</x:v>
      </x:c>
      <x:c r="F39" s="23" t="str"/>
      <x:c r="G39" s="23" t="str"/>
      <x:c r="H39" s="23" t="str">
        <x:v>Stable Beluga 2</x:v>
      </x:c>
      <x:c r="I39" s="31"/>
      <x:c r="J39" s="31" t="n">
        <x:v>45127</x:v>
      </x:c>
      <x:c r="K39" s="31" t="n">
        <x:v>45127</x:v>
      </x:c>
      <x:c r="L39" s="17" t="str">
        <x:v>ECI exact date</x:v>
      </x:c>
      <x:c r="M39" s="73"/>
      <x:c r="N39" s="20" t="n">
        <x:v>116.91</x:v>
      </x:c>
      <x:c r="O39" s="20" t="n">
        <x:v>107.97</x:v>
      </x:c>
      <x:c r="P39" s="20" t="n">
        <x:v>120.27</x:v>
      </x:c>
      <x:c r="Q39" s="20"/>
      <x:c r="R39" s="20"/>
      <x:c r="S39" s="20"/>
      <x:c r="T39" s="20" t="n">
        <x:v>70</x:v>
      </x:c>
      <x:c r="U39" s="20"/>
      <x:c r="V39" s="20"/>
      <x:c r="W39" s="20" t="str"/>
      <x:c r="X39" s="20"/>
      <x:c r="Y39" s="20"/>
      <x:c r="Z39" s="20"/>
      <x:c r="AA39" s="20"/>
      <x:c r="AB39" s="23" t="str"/>
      <x:c r="AC39" s="23" t="str">
        <x:v>ECI-only row</x:v>
      </x:c>
      <x:c r="AD39" s="23" t="str"/>
      <x:c r="AE39" s="23" t="str">
        <x:v>Parameter row: Regression Data!11</x:v>
      </x:c>
    </x:row>
    <x:row r="40">
      <x:c r="A40" s="17" t="str">
        <x:v>anthropic:claude-instant</x:v>
      </x:c>
      <x:c r="B40" s="17" t="str">
        <x:v>Claude Instant</x:v>
      </x:c>
      <x:c r="C40" s="17" t="str">
        <x:v>Anthropic</x:v>
      </x:c>
      <x:c r="D40" s="17" t="str">
        <x:v>lineage:anthropic:claude-instant</x:v>
      </x:c>
      <x:c r="E40" s="17" t="str">
        <x:v>base:anthropic:claude-instant</x:v>
      </x:c>
      <x:c r="F40" s="23" t="str"/>
      <x:c r="G40" s="23" t="str"/>
      <x:c r="H40" s="23" t="str">
        <x:v>Claude Instant</x:v>
      </x:c>
      <x:c r="I40" s="31"/>
      <x:c r="J40" s="31" t="n">
        <x:v>45147</x:v>
      </x:c>
      <x:c r="K40" s="31" t="n">
        <x:v>45147</x:v>
      </x:c>
      <x:c r="L40" s="17" t="str">
        <x:v>ECI exact date</x:v>
      </x:c>
      <x:c r="M40" s="73"/>
      <x:c r="N40" s="20" t="n">
        <x:v>121.11</x:v>
      </x:c>
      <x:c r="O40" s="20" t="n">
        <x:v>113.87</x:v>
      </x:c>
      <x:c r="P40" s="20" t="n">
        <x:v>123.96</x:v>
      </x:c>
      <x:c r="Q40" s="20"/>
      <x:c r="R40" s="20"/>
      <x:c r="S40" s="20"/>
      <x:c r="T40" s="20"/>
      <x:c r="U40" s="20"/>
      <x:c r="V40" s="20"/>
      <x:c r="W40" s="20" t="str"/>
      <x:c r="X40" s="20"/>
      <x:c r="Y40" s="20"/>
      <x:c r="Z40" s="20"/>
      <x:c r="AA40" s="20"/>
      <x:c r="AB40" s="23" t="str"/>
      <x:c r="AC40" s="23" t="str">
        <x:v>ECI-only row</x:v>
      </x:c>
      <x:c r="AD40" s="23" t="str"/>
      <x:c r="AE40" s="23" t="str"/>
    </x:row>
    <x:row r="41">
      <x:c r="A41" s="17" t="str">
        <x:v>baichuan:baichuan2-13b</x:v>
      </x:c>
      <x:c r="B41" s="17" t="str">
        <x:v>Baichuan2-13B</x:v>
      </x:c>
      <x:c r="C41" s="17" t="str">
        <x:v>Baichuan</x:v>
      </x:c>
      <x:c r="D41" s="17" t="str">
        <x:v>lineage:baichuan:baichuan2-13b</x:v>
      </x:c>
      <x:c r="E41" s="17" t="str">
        <x:v>base:baichuan:baichuan2-13b</x:v>
      </x:c>
      <x:c r="F41" s="23" t="str"/>
      <x:c r="G41" s="23" t="str"/>
      <x:c r="H41" s="23" t="str">
        <x:v>Baichuan2-13B</x:v>
      </x:c>
      <x:c r="I41" s="31"/>
      <x:c r="J41" s="31" t="n">
        <x:v>45175</x:v>
      </x:c>
      <x:c r="K41" s="31" t="n">
        <x:v>45175</x:v>
      </x:c>
      <x:c r="L41" s="17" t="str">
        <x:v>ECI exact date</x:v>
      </x:c>
      <x:c r="M41" s="73"/>
      <x:c r="N41" s="20" t="n">
        <x:v>102.93</x:v>
      </x:c>
      <x:c r="O41" s="20" t="n">
        <x:v>89.49</x:v>
      </x:c>
      <x:c r="P41" s="20" t="n">
        <x:v>110.46</x:v>
      </x:c>
      <x:c r="Q41" s="20"/>
      <x:c r="R41" s="20"/>
      <x:c r="S41" s="20"/>
      <x:c r="T41" s="20" t="n">
        <x:v>13</x:v>
      </x:c>
      <x:c r="U41" s="20"/>
      <x:c r="V41" s="20"/>
      <x:c r="W41" s="20" t="str"/>
      <x:c r="X41" s="20"/>
      <x:c r="Y41" s="20"/>
      <x:c r="Z41" s="20"/>
      <x:c r="AA41" s="20"/>
      <x:c r="AB41" s="23" t="str"/>
      <x:c r="AC41" s="23" t="str">
        <x:v>ECI-only row</x:v>
      </x:c>
      <x:c r="AD41" s="23" t="str"/>
      <x:c r="AE41" s="23" t="str">
        <x:v>Parameter row: Regression Data!12</x:v>
      </x:c>
    </x:row>
    <x:row r="42">
      <x:c r="A42" s="17" t="str">
        <x:v>technology-innovation-institute:falcon-180b</x:v>
      </x:c>
      <x:c r="B42" s="17" t="str">
        <x:v>Falcon-180B</x:v>
      </x:c>
      <x:c r="C42" s="17" t="str">
        <x:v>Technology Innovation Institute</x:v>
      </x:c>
      <x:c r="D42" s="17" t="str">
        <x:v>lineage:technology-innovation-institute:falcon-180b</x:v>
      </x:c>
      <x:c r="E42" s="17" t="str">
        <x:v>base:technology-innovation-institute:falcon-180b</x:v>
      </x:c>
      <x:c r="F42" s="23" t="str"/>
      <x:c r="G42" s="23" t="str"/>
      <x:c r="H42" s="23" t="str">
        <x:v>Falcon-180B</x:v>
      </x:c>
      <x:c r="I42" s="31"/>
      <x:c r="J42" s="31" t="n">
        <x:v>45175</x:v>
      </x:c>
      <x:c r="K42" s="31" t="n">
        <x:v>45175</x:v>
      </x:c>
      <x:c r="L42" s="17" t="str">
        <x:v>ECI exact date</x:v>
      </x:c>
      <x:c r="M42" s="73"/>
      <x:c r="N42" s="20" t="n">
        <x:v>111.92</x:v>
      </x:c>
      <x:c r="O42" s="20" t="n">
        <x:v>102.04</x:v>
      </x:c>
      <x:c r="P42" s="20" t="n">
        <x:v>119.45</x:v>
      </x:c>
      <x:c r="Q42" s="20"/>
      <x:c r="R42" s="20"/>
      <x:c r="S42" s="20"/>
      <x:c r="T42" s="20" t="n">
        <x:v>180</x:v>
      </x:c>
      <x:c r="U42" s="20"/>
      <x:c r="V42" s="20"/>
      <x:c r="W42" s="20" t="str"/>
      <x:c r="X42" s="20"/>
      <x:c r="Y42" s="20"/>
      <x:c r="Z42" s="20"/>
      <x:c r="AA42" s="20"/>
      <x:c r="AB42" s="23" t="str"/>
      <x:c r="AC42" s="23" t="str">
        <x:v>ECI-only row</x:v>
      </x:c>
      <x:c r="AD42" s="23" t="str"/>
      <x:c r="AE42" s="23" t="str">
        <x:v>Parameter row: Regression Data!13</x:v>
      </x:c>
    </x:row>
    <x:row r="43">
      <x:c r="A43" s="17" t="str">
        <x:v>salesforce:xgen-7b</x:v>
      </x:c>
      <x:c r="B43" s="17" t="str">
        <x:v>XGen-7B</x:v>
      </x:c>
      <x:c r="C43" s="17" t="str">
        <x:v>Salesforce</x:v>
      </x:c>
      <x:c r="D43" s="17" t="str">
        <x:v>lineage:salesforce:xgen-7b</x:v>
      </x:c>
      <x:c r="E43" s="17" t="str">
        <x:v>base:salesforce:xgen-7b</x:v>
      </x:c>
      <x:c r="F43" s="23" t="str"/>
      <x:c r="G43" s="23" t="str"/>
      <x:c r="H43" s="23" t="str">
        <x:v>XGen-7B</x:v>
      </x:c>
      <x:c r="I43" s="31"/>
      <x:c r="J43" s="31" t="n">
        <x:v>45176</x:v>
      </x:c>
      <x:c r="K43" s="31" t="n">
        <x:v>45176</x:v>
      </x:c>
      <x:c r="L43" s="17" t="str">
        <x:v>ECI exact date</x:v>
      </x:c>
      <x:c r="M43" s="73"/>
      <x:c r="N43" s="20" t="n">
        <x:v>93.11</x:v>
      </x:c>
      <x:c r="O43" s="20" t="n">
        <x:v>79.82</x:v>
      </x:c>
      <x:c r="P43" s="20" t="n">
        <x:v>101.25</x:v>
      </x:c>
      <x:c r="Q43" s="20"/>
      <x:c r="R43" s="20"/>
      <x:c r="S43" s="20"/>
      <x:c r="T43" s="20"/>
      <x:c r="U43" s="20"/>
      <x:c r="V43" s="20"/>
      <x:c r="W43" s="20" t="str"/>
      <x:c r="X43" s="20"/>
      <x:c r="Y43" s="20"/>
      <x:c r="Z43" s="20"/>
      <x:c r="AA43" s="20"/>
      <x:c r="AB43" s="23" t="str"/>
      <x:c r="AC43" s="23" t="str">
        <x:v>ECI-only row</x:v>
      </x:c>
      <x:c r="AD43" s="23" t="str"/>
      <x:c r="AE43" s="23" t="str"/>
    </x:row>
    <x:row r="44">
      <x:c r="A44" s="17" t="str">
        <x:v>microsoft:phi-1-5</x:v>
      </x:c>
      <x:c r="B44" s="17" t="str">
        <x:v>Phi-1.5</x:v>
      </x:c>
      <x:c r="C44" s="17" t="str">
        <x:v>Microsoft</x:v>
      </x:c>
      <x:c r="D44" s="17" t="str">
        <x:v>lineage:microsoft:phi-1-5</x:v>
      </x:c>
      <x:c r="E44" s="17" t="str">
        <x:v>base:microsoft:phi-1-5</x:v>
      </x:c>
      <x:c r="F44" s="23" t="str"/>
      <x:c r="G44" s="23" t="str"/>
      <x:c r="H44" s="23" t="str">
        <x:v>Phi-1.5</x:v>
      </x:c>
      <x:c r="I44" s="31"/>
      <x:c r="J44" s="31" t="n">
        <x:v>45180</x:v>
      </x:c>
      <x:c r="K44" s="31" t="n">
        <x:v>45180</x:v>
      </x:c>
      <x:c r="L44" s="17" t="str">
        <x:v>ECI exact date</x:v>
      </x:c>
      <x:c r="M44" s="73"/>
      <x:c r="N44" s="20" t="n">
        <x:v>91.26</x:v>
      </x:c>
      <x:c r="O44" s="20" t="n">
        <x:v>72.29</x:v>
      </x:c>
      <x:c r="P44" s="20" t="n">
        <x:v>101.39</x:v>
      </x:c>
      <x:c r="Q44" s="20"/>
      <x:c r="R44" s="20"/>
      <x:c r="S44" s="20"/>
      <x:c r="T44" s="20"/>
      <x:c r="U44" s="20"/>
      <x:c r="V44" s="20"/>
      <x:c r="W44" s="20" t="str"/>
      <x:c r="X44" s="20"/>
      <x:c r="Y44" s="20"/>
      <x:c r="Z44" s="20"/>
      <x:c r="AA44" s="20"/>
      <x:c r="AB44" s="23" t="str"/>
      <x:c r="AC44" s="23" t="str">
        <x:v>ECI-only row</x:v>
      </x:c>
      <x:c r="AD44" s="23" t="str"/>
      <x:c r="AE44" s="23" t="str"/>
    </x:row>
    <x:row r="45">
      <x:c r="A45" s="17" t="str">
        <x:v>unknown:internlm-20b</x:v>
      </x:c>
      <x:c r="B45" s="17" t="str">
        <x:v>internlm-20b</x:v>
      </x:c>
      <x:c r="C45" s="17" t="str"/>
      <x:c r="D45" s="17" t="str">
        <x:v>lineage:unknown:internlm-20b</x:v>
      </x:c>
      <x:c r="E45" s="17" t="str">
        <x:v>base:unknown:internlm-20b</x:v>
      </x:c>
      <x:c r="F45" s="23" t="str"/>
      <x:c r="G45" s="23" t="str"/>
      <x:c r="H45" s="23" t="str">
        <x:v>internlm-20b</x:v>
      </x:c>
      <x:c r="I45" s="31"/>
      <x:c r="J45" s="31" t="n">
        <x:v>45187</x:v>
      </x:c>
      <x:c r="K45" s="31" t="n">
        <x:v>45187</x:v>
      </x:c>
      <x:c r="L45" s="17" t="str">
        <x:v>ECI exact date</x:v>
      </x:c>
      <x:c r="M45" s="73"/>
      <x:c r="N45" s="20" t="n">
        <x:v>111.86</x:v>
      </x:c>
      <x:c r="O45" s="20" t="n">
        <x:v>101.31</x:v>
      </x:c>
      <x:c r="P45" s="20" t="n">
        <x:v>116.95</x:v>
      </x:c>
      <x:c r="Q45" s="20"/>
      <x:c r="R45" s="20"/>
      <x:c r="S45" s="20"/>
      <x:c r="T45" s="20"/>
      <x:c r="U45" s="20"/>
      <x:c r="V45" s="20"/>
      <x:c r="W45" s="20" t="str"/>
      <x:c r="X45" s="20"/>
      <x:c r="Y45" s="20"/>
      <x:c r="Z45" s="20"/>
      <x:c r="AA45" s="20"/>
      <x:c r="AB45" s="23" t="str"/>
      <x:c r="AC45" s="23" t="str">
        <x:v>ECI-only row</x:v>
      </x:c>
      <x:c r="AD45" s="23" t="str"/>
      <x:c r="AE45" s="23" t="str"/>
    </x:row>
    <x:row r="46">
      <x:c r="A46" s="17" t="str">
        <x:v>baichuan:baichuan-2-7b</x:v>
      </x:c>
      <x:c r="B46" s="17" t="str">
        <x:v>Baichuan 2-7B</x:v>
      </x:c>
      <x:c r="C46" s="17" t="str">
        <x:v>Baichuan</x:v>
      </x:c>
      <x:c r="D46" s="17" t="str">
        <x:v>lineage:baichuan:baichuan-2-7b</x:v>
      </x:c>
      <x:c r="E46" s="17" t="str">
        <x:v>base:baichuan:baichuan-2-7b</x:v>
      </x:c>
      <x:c r="F46" s="23" t="str"/>
      <x:c r="G46" s="23" t="str"/>
      <x:c r="H46" s="23" t="str">
        <x:v>Baichuan 2-7B</x:v>
      </x:c>
      <x:c r="I46" s="31"/>
      <x:c r="J46" s="31" t="n">
        <x:v>45189</x:v>
      </x:c>
      <x:c r="K46" s="31" t="n">
        <x:v>45189</x:v>
      </x:c>
      <x:c r="L46" s="17" t="str">
        <x:v>ECI exact date</x:v>
      </x:c>
      <x:c r="M46" s="73"/>
      <x:c r="N46" s="20" t="n">
        <x:v>96.04</x:v>
      </x:c>
      <x:c r="O46" s="20" t="n">
        <x:v>84.33</x:v>
      </x:c>
      <x:c r="P46" s="20" t="n">
        <x:v>104.53</x:v>
      </x:c>
      <x:c r="Q46" s="20"/>
      <x:c r="R46" s="20"/>
      <x:c r="S46" s="20"/>
      <x:c r="T46" s="20"/>
      <x:c r="U46" s="20"/>
      <x:c r="V46" s="20"/>
      <x:c r="W46" s="20" t="str"/>
      <x:c r="X46" s="20"/>
      <x:c r="Y46" s="20"/>
      <x:c r="Z46" s="20"/>
      <x:c r="AA46" s="20"/>
      <x:c r="AB46" s="23" t="str"/>
      <x:c r="AC46" s="23" t="str">
        <x:v>ECI-only row</x:v>
      </x:c>
      <x:c r="AD46" s="23" t="str"/>
      <x:c r="AE46" s="23" t="str"/>
    </x:row>
    <x:row r="47">
      <x:c r="A47" s="17" t="str">
        <x:v>alibaba:qwen-14b</x:v>
      </x:c>
      <x:c r="B47" s="17" t="str">
        <x:v>Qwen-14B</x:v>
      </x:c>
      <x:c r="C47" s="17" t="str">
        <x:v>Alibaba</x:v>
      </x:c>
      <x:c r="D47" s="17" t="str">
        <x:v>lineage:alibaba:qwen-14b</x:v>
      </x:c>
      <x:c r="E47" s="17" t="str">
        <x:v>base:alibaba:qwen-14b</x:v>
      </x:c>
      <x:c r="F47" s="23" t="str"/>
      <x:c r="G47" s="23" t="str"/>
      <x:c r="H47" s="23" t="str">
        <x:v>Qwen-14B</x:v>
      </x:c>
      <x:c r="I47" s="31"/>
      <x:c r="J47" s="31" t="n">
        <x:v>45193</x:v>
      </x:c>
      <x:c r="K47" s="31" t="n">
        <x:v>45193</x:v>
      </x:c>
      <x:c r="L47" s="17" t="str">
        <x:v>ECI exact date</x:v>
      </x:c>
      <x:c r="M47" s="73"/>
      <x:c r="N47" s="20" t="n">
        <x:v>112.8</x:v>
      </x:c>
      <x:c r="O47" s="20" t="n">
        <x:v>103.39</x:v>
      </x:c>
      <x:c r="P47" s="20" t="n">
        <x:v>117.54</x:v>
      </x:c>
      <x:c r="Q47" s="20"/>
      <x:c r="R47" s="20"/>
      <x:c r="S47" s="20"/>
      <x:c r="T47" s="20" t="n">
        <x:v>14</x:v>
      </x:c>
      <x:c r="U47" s="20"/>
      <x:c r="V47" s="20"/>
      <x:c r="W47" s="20" t="str"/>
      <x:c r="X47" s="20"/>
      <x:c r="Y47" s="20"/>
      <x:c r="Z47" s="20"/>
      <x:c r="AA47" s="20"/>
      <x:c r="AB47" s="23" t="str"/>
      <x:c r="AC47" s="23" t="str">
        <x:v>ECI-only row</x:v>
      </x:c>
      <x:c r="AD47" s="23" t="str"/>
      <x:c r="AE47" s="23" t="str">
        <x:v>Parameter row: Regression Data!14</x:v>
      </x:c>
    </x:row>
    <x:row r="48">
      <x:c r="A48" s="17" t="str">
        <x:v>alibaba:qwen-7b</x:v>
      </x:c>
      <x:c r="B48" s="17" t="str">
        <x:v>Qwen-7B</x:v>
      </x:c>
      <x:c r="C48" s="17" t="str">
        <x:v>Alibaba</x:v>
      </x:c>
      <x:c r="D48" s="17" t="str">
        <x:v>lineage:alibaba:qwen-7b</x:v>
      </x:c>
      <x:c r="E48" s="17" t="str">
        <x:v>base:alibaba:qwen-7b</x:v>
      </x:c>
      <x:c r="F48" s="23" t="str"/>
      <x:c r="G48" s="23" t="str"/>
      <x:c r="H48" s="23" t="str">
        <x:v>Qwen-7B</x:v>
      </x:c>
      <x:c r="I48" s="31"/>
      <x:c r="J48" s="31" t="n">
        <x:v>45197</x:v>
      </x:c>
      <x:c r="K48" s="31" t="n">
        <x:v>45197</x:v>
      </x:c>
      <x:c r="L48" s="17" t="str">
        <x:v>ECI exact date</x:v>
      </x:c>
      <x:c r="M48" s="73"/>
      <x:c r="N48" s="20" t="n">
        <x:v>106.56</x:v>
      </x:c>
      <x:c r="O48" s="20" t="n">
        <x:v>93.93</x:v>
      </x:c>
      <x:c r="P48" s="20" t="n">
        <x:v>112.46</x:v>
      </x:c>
      <x:c r="Q48" s="20"/>
      <x:c r="R48" s="20"/>
      <x:c r="S48" s="20"/>
      <x:c r="T48" s="20"/>
      <x:c r="U48" s="20"/>
      <x:c r="V48" s="20"/>
      <x:c r="W48" s="20" t="str"/>
      <x:c r="X48" s="20"/>
      <x:c r="Y48" s="20"/>
      <x:c r="Z48" s="20"/>
      <x:c r="AA48" s="20"/>
      <x:c r="AB48" s="23" t="str"/>
      <x:c r="AC48" s="23" t="str">
        <x:v>ECI-only row</x:v>
      </x:c>
      <x:c r="AD48" s="23" t="str"/>
      <x:c r="AE48" s="23" t="str"/>
    </x:row>
    <x:row r="49">
      <x:c r="A49" s="17" t="str">
        <x:v>mistral:mistral-7b-v0-1</x:v>
      </x:c>
      <x:c r="B49" s="17" t="str">
        <x:v>Mistral 7B v0.1</x:v>
      </x:c>
      <x:c r="C49" s="17" t="str">
        <x:v>Mistral AI</x:v>
      </x:c>
      <x:c r="D49" s="17" t="str">
        <x:v>lineage:mistral:mistral-7b-v0-1</x:v>
      </x:c>
      <x:c r="E49" s="17" t="str">
        <x:v>base:mistral:mistral-7b-v0-1</x:v>
      </x:c>
      <x:c r="F49" s="23" t="str"/>
      <x:c r="G49" s="23" t="str"/>
      <x:c r="H49" s="23" t="str">
        <x:v>Mistral 7B v0.1</x:v>
      </x:c>
      <x:c r="I49" s="31"/>
      <x:c r="J49" s="31" t="n">
        <x:v>45209</x:v>
      </x:c>
      <x:c r="K49" s="31" t="n">
        <x:v>45209</x:v>
      </x:c>
      <x:c r="L49" s="17" t="str">
        <x:v>ECI exact date</x:v>
      </x:c>
      <x:c r="M49" s="73"/>
      <x:c r="N49" s="20" t="n">
        <x:v>111.98</x:v>
      </x:c>
      <x:c r="O49" s="20" t="n">
        <x:v>102.38</x:v>
      </x:c>
      <x:c r="P49" s="20" t="n">
        <x:v>115.99</x:v>
      </x:c>
      <x:c r="Q49" s="20"/>
      <x:c r="R49" s="20"/>
      <x:c r="S49" s="20"/>
      <x:c r="T49" s="20"/>
      <x:c r="U49" s="20"/>
      <x:c r="V49" s="20"/>
      <x:c r="W49" s="20" t="str"/>
      <x:c r="X49" s="20"/>
      <x:c r="Y49" s="20"/>
      <x:c r="Z49" s="20"/>
      <x:c r="AA49" s="20"/>
      <x:c r="AB49" s="23" t="str"/>
      <x:c r="AC49" s="23" t="str">
        <x:v>ECI-only row</x:v>
      </x:c>
      <x:c r="AD49" s="23" t="str"/>
      <x:c r="AE49" s="23" t="str"/>
    </x:row>
    <x:row r="50">
      <x:c r="A50" s="17" t="str">
        <x:v>01-ai:yi-34b</x:v>
      </x:c>
      <x:c r="B50" s="17" t="str">
        <x:v>Yi-34B</x:v>
      </x:c>
      <x:c r="C50" s="17" t="str">
        <x:v>01.AI</x:v>
      </x:c>
      <x:c r="D50" s="17" t="str">
        <x:v>lineage:01-ai:yi-34b</x:v>
      </x:c>
      <x:c r="E50" s="17" t="str">
        <x:v>base:01-ai:yi-34b</x:v>
      </x:c>
      <x:c r="F50" s="23" t="str"/>
      <x:c r="G50" s="23" t="str"/>
      <x:c r="H50" s="23" t="str">
        <x:v>Yi-34B</x:v>
      </x:c>
      <x:c r="I50" s="31"/>
      <x:c r="J50" s="31" t="n">
        <x:v>45232</x:v>
      </x:c>
      <x:c r="K50" s="31" t="n">
        <x:v>45232</x:v>
      </x:c>
      <x:c r="L50" s="17" t="str">
        <x:v>ECI exact date</x:v>
      </x:c>
      <x:c r="M50" s="73"/>
      <x:c r="N50" s="20" t="n">
        <x:v>117.14</x:v>
      </x:c>
      <x:c r="O50" s="20" t="n">
        <x:v>109.02</x:v>
      </x:c>
      <x:c r="P50" s="20" t="n">
        <x:v>120.55</x:v>
      </x:c>
      <x:c r="Q50" s="20"/>
      <x:c r="R50" s="20"/>
      <x:c r="S50" s="20"/>
      <x:c r="T50" s="20" t="n">
        <x:v>34</x:v>
      </x:c>
      <x:c r="U50" s="20"/>
      <x:c r="V50" s="20"/>
      <x:c r="W50" s="20" t="str"/>
      <x:c r="X50" s="20"/>
      <x:c r="Y50" s="20"/>
      <x:c r="Z50" s="20"/>
      <x:c r="AA50" s="20"/>
      <x:c r="AB50" s="23" t="str"/>
      <x:c r="AC50" s="23" t="str">
        <x:v>ECI-only row</x:v>
      </x:c>
      <x:c r="AD50" s="23" t="str"/>
      <x:c r="AE50" s="23" t="str">
        <x:v>Parameter row: Regression Data!15</x:v>
      </x:c>
    </x:row>
    <x:row r="51">
      <x:c r="A51" s="17" t="str">
        <x:v>01-ai:yi-6b</x:v>
      </x:c>
      <x:c r="B51" s="17" t="str">
        <x:v>Yi 6B</x:v>
      </x:c>
      <x:c r="C51" s="17" t="str">
        <x:v>01.AI</x:v>
      </x:c>
      <x:c r="D51" s="17" t="str">
        <x:v>lineage:01-ai:yi-6b</x:v>
      </x:c>
      <x:c r="E51" s="17" t="str">
        <x:v>base:01-ai:yi-6b</x:v>
      </x:c>
      <x:c r="F51" s="23" t="str"/>
      <x:c r="G51" s="23" t="str"/>
      <x:c r="H51" s="23" t="str">
        <x:v>Yi 6B</x:v>
      </x:c>
      <x:c r="I51" s="31"/>
      <x:c r="J51" s="31" t="n">
        <x:v>45232</x:v>
      </x:c>
      <x:c r="K51" s="31" t="n">
        <x:v>45232</x:v>
      </x:c>
      <x:c r="L51" s="17" t="str">
        <x:v>ECI exact date</x:v>
      </x:c>
      <x:c r="M51" s="73"/>
      <x:c r="N51" s="20" t="n">
        <x:v>104.51</x:v>
      </x:c>
      <x:c r="O51" s="20" t="n">
        <x:v>93.1</x:v>
      </x:c>
      <x:c r="P51" s="20" t="n">
        <x:v>110.55</x:v>
      </x:c>
      <x:c r="Q51" s="20"/>
      <x:c r="R51" s="20"/>
      <x:c r="S51" s="20"/>
      <x:c r="T51" s="20"/>
      <x:c r="U51" s="20"/>
      <x:c r="V51" s="20"/>
      <x:c r="W51" s="20" t="str"/>
      <x:c r="X51" s="20"/>
      <x:c r="Y51" s="20"/>
      <x:c r="Z51" s="20"/>
      <x:c r="AA51" s="20"/>
      <x:c r="AB51" s="23" t="str"/>
      <x:c r="AC51" s="23" t="str">
        <x:v>ECI-only row</x:v>
      </x:c>
      <x:c r="AD51" s="23" t="str"/>
      <x:c r="AE51" s="23" t="str"/>
    </x:row>
    <x:row r="52">
      <x:c r="A52" s="17" t="str">
        <x:v>anthropic:claude-2-1</x:v>
      </x:c>
      <x:c r="B52" s="17" t="str">
        <x:v>Claude 2.1</x:v>
      </x:c>
      <x:c r="C52" s="17" t="str">
        <x:v>Anthropic</x:v>
      </x:c>
      <x:c r="D52" s="17" t="str">
        <x:v>lineage:anthropic:claude-2-1</x:v>
      </x:c>
      <x:c r="E52" s="17" t="str">
        <x:v>base:anthropic:claude-2-1</x:v>
      </x:c>
      <x:c r="F52" s="23" t="str"/>
      <x:c r="G52" s="23" t="str"/>
      <x:c r="H52" s="23" t="str">
        <x:v>Claude 2.1</x:v>
      </x:c>
      <x:c r="I52" s="31"/>
      <x:c r="J52" s="31" t="n">
        <x:v>45251</x:v>
      </x:c>
      <x:c r="K52" s="31" t="n">
        <x:v>45251</x:v>
      </x:c>
      <x:c r="L52" s="17" t="str">
        <x:v>ECI exact date</x:v>
      </x:c>
      <x:c r="M52" s="73"/>
      <x:c r="N52" s="20" t="n">
        <x:v>118.37</x:v>
      </x:c>
      <x:c r="O52" s="20" t="n">
        <x:v>109.82</x:v>
      </x:c>
      <x:c r="P52" s="20" t="n">
        <x:v>120.77</x:v>
      </x:c>
      <x:c r="Q52" s="20"/>
      <x:c r="R52" s="20"/>
      <x:c r="S52" s="20"/>
      <x:c r="T52" s="20"/>
      <x:c r="U52" s="20"/>
      <x:c r="V52" s="20"/>
      <x:c r="W52" s="20" t="str"/>
      <x:c r="X52" s="20"/>
      <x:c r="Y52" s="20"/>
      <x:c r="Z52" s="20"/>
      <x:c r="AA52" s="20"/>
      <x:c r="AB52" s="23" t="str"/>
      <x:c r="AC52" s="23" t="str">
        <x:v>ECI-only row</x:v>
      </x:c>
      <x:c r="AD52" s="23" t="str"/>
      <x:c r="AE52" s="23" t="str"/>
    </x:row>
    <x:row r="53">
      <x:c r="A53" s="17" t="str">
        <x:v>unknown:qwen-1-8b</x:v>
      </x:c>
      <x:c r="B53" s="17" t="str">
        <x:v>Qwen-1_8B</x:v>
      </x:c>
      <x:c r="C53" s="17" t="str"/>
      <x:c r="D53" s="17" t="str">
        <x:v>lineage:unknown:qwen-1-8b</x:v>
      </x:c>
      <x:c r="E53" s="17" t="str">
        <x:v>base:unknown:qwen-1-8b</x:v>
      </x:c>
      <x:c r="F53" s="23" t="str"/>
      <x:c r="G53" s="23" t="str"/>
      <x:c r="H53" s="23" t="str">
        <x:v>Qwen-1_8B</x:v>
      </x:c>
      <x:c r="I53" s="31"/>
      <x:c r="J53" s="31" t="n">
        <x:v>45260</x:v>
      </x:c>
      <x:c r="K53" s="31" t="n">
        <x:v>45260</x:v>
      </x:c>
      <x:c r="L53" s="17" t="str">
        <x:v>ECI exact date</x:v>
      </x:c>
      <x:c r="M53" s="73"/>
      <x:c r="N53" s="20" t="n">
        <x:v>92.58</x:v>
      </x:c>
      <x:c r="O53" s="20" t="n">
        <x:v>72.62</x:v>
      </x:c>
      <x:c r="P53" s="20" t="n">
        <x:v>102.47</x:v>
      </x:c>
      <x:c r="Q53" s="20"/>
      <x:c r="R53" s="20"/>
      <x:c r="S53" s="20"/>
      <x:c r="T53" s="20"/>
      <x:c r="U53" s="20"/>
      <x:c r="V53" s="20"/>
      <x:c r="W53" s="20" t="str"/>
      <x:c r="X53" s="20"/>
      <x:c r="Y53" s="20"/>
      <x:c r="Z53" s="20"/>
      <x:c r="AA53" s="20"/>
      <x:c r="AB53" s="23" t="str"/>
      <x:c r="AC53" s="23" t="str">
        <x:v>ECI-only row</x:v>
      </x:c>
      <x:c r="AD53" s="23" t="str"/>
      <x:c r="AE53" s="23" t="str"/>
    </x:row>
    <x:row r="54">
      <x:c r="A54" s="17" t="str">
        <x:v>google:gemini-1-0-pro</x:v>
      </x:c>
      <x:c r="B54" s="17" t="str">
        <x:v>Gemini 1.0 Pro</x:v>
      </x:c>
      <x:c r="C54" s="17" t="str">
        <x:v>Google DeepMind</x:v>
      </x:c>
      <x:c r="D54" s="17" t="str">
        <x:v>lineage:google:gemini-1-0-pro</x:v>
      </x:c>
      <x:c r="E54" s="17" t="str">
        <x:v>base:google:gemini-1-0-pro</x:v>
      </x:c>
      <x:c r="F54" s="23" t="str"/>
      <x:c r="G54" s="23" t="str"/>
      <x:c r="H54" s="23" t="str">
        <x:v>Gemini 1.0 Pro</x:v>
      </x:c>
      <x:c r="I54" s="31"/>
      <x:c r="J54" s="31" t="n">
        <x:v>45266</x:v>
      </x:c>
      <x:c r="K54" s="31" t="n">
        <x:v>45266</x:v>
      </x:c>
      <x:c r="L54" s="17" t="str">
        <x:v>ECI exact date</x:v>
      </x:c>
      <x:c r="M54" s="73"/>
      <x:c r="N54" s="20" t="n">
        <x:v>117</x:v>
      </x:c>
      <x:c r="O54" s="20" t="n">
        <x:v>108.79</x:v>
      </x:c>
      <x:c r="P54" s="20" t="n">
        <x:v>119.86</x:v>
      </x:c>
      <x:c r="Q54" s="20"/>
      <x:c r="R54" s="20"/>
      <x:c r="S54" s="20"/>
      <x:c r="T54" s="20"/>
      <x:c r="U54" s="20"/>
      <x:c r="V54" s="20"/>
      <x:c r="W54" s="20" t="str"/>
      <x:c r="X54" s="20"/>
      <x:c r="Y54" s="20"/>
      <x:c r="Z54" s="20"/>
      <x:c r="AA54" s="20"/>
      <x:c r="AB54" s="23" t="str"/>
      <x:c r="AC54" s="23" t="str">
        <x:v>ECI-only row</x:v>
      </x:c>
      <x:c r="AD54" s="23" t="str"/>
      <x:c r="AE54" s="23" t="str"/>
    </x:row>
    <x:row r="55">
      <x:c r="A55" s="17" t="str">
        <x:v>mistral:mixtral-8x7b</x:v>
      </x:c>
      <x:c r="B55" s="17" t="str">
        <x:v>Mixtral 8x7B</x:v>
      </x:c>
      <x:c r="C55" s="17" t="str">
        <x:v>Mistral AI</x:v>
      </x:c>
      <x:c r="D55" s="17" t="str">
        <x:v>lineage:mistral:mixtral-8x7b</x:v>
      </x:c>
      <x:c r="E55" s="17" t="str">
        <x:v>base:mistral:mixtral-8x7b</x:v>
      </x:c>
      <x:c r="F55" s="23" t="str"/>
      <x:c r="G55" s="23" t="str"/>
      <x:c r="H55" s="23" t="str">
        <x:v>Mixtral 8x7B</x:v>
      </x:c>
      <x:c r="I55" s="31"/>
      <x:c r="J55" s="31" t="n">
        <x:v>45271</x:v>
      </x:c>
      <x:c r="K55" s="31" t="n">
        <x:v>45271</x:v>
      </x:c>
      <x:c r="L55" s="17" t="str">
        <x:v>ECI exact date</x:v>
      </x:c>
      <x:c r="M55" s="73"/>
      <x:c r="N55" s="20" t="n">
        <x:v>118.13</x:v>
      </x:c>
      <x:c r="O55" s="20" t="n">
        <x:v>109.36</x:v>
      </x:c>
      <x:c r="P55" s="20" t="n">
        <x:v>120.78</x:v>
      </x:c>
      <x:c r="Q55" s="20"/>
      <x:c r="R55" s="20"/>
      <x:c r="S55" s="20"/>
      <x:c r="T55" s="20" t="n">
        <x:v>46.7</x:v>
      </x:c>
      <x:c r="U55" s="20"/>
      <x:c r="V55" s="20"/>
      <x:c r="W55" s="20" t="str"/>
      <x:c r="X55" s="20"/>
      <x:c r="Y55" s="20"/>
      <x:c r="Z55" s="20"/>
      <x:c r="AA55" s="20"/>
      <x:c r="AB55" s="23" t="str"/>
      <x:c r="AC55" s="23" t="str">
        <x:v>ECI-only row</x:v>
      </x:c>
      <x:c r="AD55" s="23" t="str"/>
      <x:c r="AE55" s="23" t="str">
        <x:v>Parameter row: Regression Data!16</x:v>
      </x:c>
    </x:row>
    <x:row r="56">
      <x:c r="A56" s="17" t="str">
        <x:v>microsoft:phi-2</x:v>
      </x:c>
      <x:c r="B56" s="17" t="str">
        <x:v>Phi-2</x:v>
      </x:c>
      <x:c r="C56" s="17" t="str">
        <x:v>Microsoft</x:v>
      </x:c>
      <x:c r="D56" s="17" t="str">
        <x:v>lineage:microsoft:phi-2</x:v>
      </x:c>
      <x:c r="E56" s="17" t="str">
        <x:v>base:microsoft:phi-2</x:v>
      </x:c>
      <x:c r="F56" s="23" t="str"/>
      <x:c r="G56" s="23" t="str"/>
      <x:c r="H56" s="23" t="str">
        <x:v>Phi-2</x:v>
      </x:c>
      <x:c r="I56" s="31"/>
      <x:c r="J56" s="31" t="n">
        <x:v>45272</x:v>
      </x:c>
      <x:c r="K56" s="31" t="n">
        <x:v>45272</x:v>
      </x:c>
      <x:c r="L56" s="17" t="str">
        <x:v>ECI exact date</x:v>
      </x:c>
      <x:c r="M56" s="73"/>
      <x:c r="N56" s="20" t="n">
        <x:v>107.66</x:v>
      </x:c>
      <x:c r="O56" s="20" t="n">
        <x:v>85.19</x:v>
      </x:c>
      <x:c r="P56" s="20" t="n">
        <x:v>113.86</x:v>
      </x:c>
      <x:c r="Q56" s="20"/>
      <x:c r="R56" s="20"/>
      <x:c r="S56" s="20"/>
      <x:c r="T56" s="20"/>
      <x:c r="U56" s="20"/>
      <x:c r="V56" s="20"/>
      <x:c r="W56" s="20" t="str"/>
      <x:c r="X56" s="20"/>
      <x:c r="Y56" s="20"/>
      <x:c r="Z56" s="20"/>
      <x:c r="AA56" s="20"/>
      <x:c r="AB56" s="23" t="str"/>
      <x:c r="AC56" s="23" t="str">
        <x:v>ECI-only row</x:v>
      </x:c>
      <x:c r="AD56" s="23" t="str"/>
      <x:c r="AE56" s="23" t="str"/>
    </x:row>
    <x:row r="57">
      <x:c r="A57" s="17" t="str">
        <x:v>deepseek:deepseek-coder-1-3b</x:v>
      </x:c>
      <x:c r="B57" s="17" t="str">
        <x:v>DeepSeek Coder 1.3B</x:v>
      </x:c>
      <x:c r="C57" s="17" t="str">
        <x:v>DeepSeek,Peking University</x:v>
      </x:c>
      <x:c r="D57" s="17" t="str">
        <x:v>lineage:deepseek:deepseek-coder-1-3b</x:v>
      </x:c>
      <x:c r="E57" s="17" t="str">
        <x:v>base:deepseek:deepseek-coder-1-3b</x:v>
      </x:c>
      <x:c r="F57" s="23" t="str"/>
      <x:c r="G57" s="23" t="str"/>
      <x:c r="H57" s="23" t="str">
        <x:v>DeepSeek Coder 1.3B</x:v>
      </x:c>
      <x:c r="I57" s="31"/>
      <x:c r="J57" s="31" t="n">
        <x:v>45316</x:v>
      </x:c>
      <x:c r="K57" s="31" t="n">
        <x:v>45316</x:v>
      </x:c>
      <x:c r="L57" s="17" t="str">
        <x:v>ECI exact date</x:v>
      </x:c>
      <x:c r="M57" s="73"/>
      <x:c r="N57" s="20" t="n">
        <x:v>64.01</x:v>
      </x:c>
      <x:c r="O57" s="20" t="n">
        <x:v>44.11</x:v>
      </x:c>
      <x:c r="P57" s="20" t="n">
        <x:v>79.87</x:v>
      </x:c>
      <x:c r="Q57" s="20"/>
      <x:c r="R57" s="20"/>
      <x:c r="S57" s="20"/>
      <x:c r="T57" s="20"/>
      <x:c r="U57" s="20"/>
      <x:c r="V57" s="20"/>
      <x:c r="W57" s="20" t="str"/>
      <x:c r="X57" s="20"/>
      <x:c r="Y57" s="20"/>
      <x:c r="Z57" s="20"/>
      <x:c r="AA57" s="20"/>
      <x:c r="AB57" s="23" t="str"/>
      <x:c r="AC57" s="23" t="str">
        <x:v>ECI-only row</x:v>
      </x:c>
      <x:c r="AD57" s="23" t="str"/>
      <x:c r="AE57" s="23" t="str"/>
    </x:row>
    <x:row r="58">
      <x:c r="A58" s="17" t="str">
        <x:v>deepseek:deepseek-coder-33b</x:v>
      </x:c>
      <x:c r="B58" s="17" t="str">
        <x:v>DeepSeek Coder 33B</x:v>
      </x:c>
      <x:c r="C58" s="17" t="str">
        <x:v>DeepSeek,Peking University</x:v>
      </x:c>
      <x:c r="D58" s="17" t="str">
        <x:v>lineage:deepseek:deepseek-coder-33b</x:v>
      </x:c>
      <x:c r="E58" s="17" t="str">
        <x:v>base:deepseek:deepseek-coder-33b</x:v>
      </x:c>
      <x:c r="F58" s="23" t="str"/>
      <x:c r="G58" s="23" t="str"/>
      <x:c r="H58" s="23" t="str">
        <x:v>DeepSeek Coder 33B</x:v>
      </x:c>
      <x:c r="I58" s="31"/>
      <x:c r="J58" s="31" t="n">
        <x:v>45316</x:v>
      </x:c>
      <x:c r="K58" s="31" t="n">
        <x:v>45316</x:v>
      </x:c>
      <x:c r="L58" s="17" t="str">
        <x:v>ECI exact date</x:v>
      </x:c>
      <x:c r="M58" s="73"/>
      <x:c r="N58" s="20" t="n">
        <x:v>96.02</x:v>
      </x:c>
      <x:c r="O58" s="20" t="n">
        <x:v>82.39</x:v>
      </x:c>
      <x:c r="P58" s="20" t="n">
        <x:v>103.58</x:v>
      </x:c>
      <x:c r="Q58" s="20"/>
      <x:c r="R58" s="20"/>
      <x:c r="S58" s="20"/>
      <x:c r="T58" s="20" t="n">
        <x:v>33</x:v>
      </x:c>
      <x:c r="U58" s="20"/>
      <x:c r="V58" s="20"/>
      <x:c r="W58" s="20" t="str"/>
      <x:c r="X58" s="20"/>
      <x:c r="Y58" s="20"/>
      <x:c r="Z58" s="20"/>
      <x:c r="AA58" s="20"/>
      <x:c r="AB58" s="23" t="str"/>
      <x:c r="AC58" s="23" t="str">
        <x:v>ECI-only row</x:v>
      </x:c>
      <x:c r="AD58" s="23" t="str"/>
      <x:c r="AE58" s="23" t="str">
        <x:v>Parameter row: Regression Data!17</x:v>
      </x:c>
    </x:row>
    <x:row r="59">
      <x:c r="A59" s="17" t="str">
        <x:v>deepseek:deepseek-coder-6-7b</x:v>
      </x:c>
      <x:c r="B59" s="17" t="str">
        <x:v>DeepSeek Coder 6.7B</x:v>
      </x:c>
      <x:c r="C59" s="17" t="str">
        <x:v>DeepSeek,Peking University</x:v>
      </x:c>
      <x:c r="D59" s="17" t="str">
        <x:v>lineage:deepseek:deepseek-coder-6-7b</x:v>
      </x:c>
      <x:c r="E59" s="17" t="str">
        <x:v>base:deepseek:deepseek-coder-6-7b</x:v>
      </x:c>
      <x:c r="F59" s="23" t="str"/>
      <x:c r="G59" s="23" t="str"/>
      <x:c r="H59" s="23" t="str">
        <x:v>DeepSeek Coder 6.7B</x:v>
      </x:c>
      <x:c r="I59" s="31"/>
      <x:c r="J59" s="31" t="n">
        <x:v>45316</x:v>
      </x:c>
      <x:c r="K59" s="31" t="n">
        <x:v>45316</x:v>
      </x:c>
      <x:c r="L59" s="17" t="str">
        <x:v>ECI exact date</x:v>
      </x:c>
      <x:c r="M59" s="73"/>
      <x:c r="N59" s="20" t="n">
        <x:v>89.32</x:v>
      </x:c>
      <x:c r="O59" s="20" t="n">
        <x:v>72.08</x:v>
      </x:c>
      <x:c r="P59" s="20" t="n">
        <x:v>98.6</x:v>
      </x:c>
      <x:c r="Q59" s="20"/>
      <x:c r="R59" s="20"/>
      <x:c r="S59" s="20"/>
      <x:c r="T59" s="20"/>
      <x:c r="U59" s="20"/>
      <x:c r="V59" s="20"/>
      <x:c r="W59" s="20" t="str"/>
      <x:c r="X59" s="20"/>
      <x:c r="Y59" s="20"/>
      <x:c r="Z59" s="20"/>
      <x:c r="AA59" s="20"/>
      <x:c r="AB59" s="23" t="str"/>
      <x:c r="AC59" s="23" t="str">
        <x:v>ECI-only row</x:v>
      </x:c>
      <x:c r="AD59" s="23" t="str"/>
      <x:c r="AE59" s="23" t="str"/>
    </x:row>
    <x:row r="60">
      <x:c r="A60" s="17" t="str">
        <x:v>google:gemma-2b</x:v>
      </x:c>
      <x:c r="B60" s="17" t="str">
        <x:v>Gemma 2B</x:v>
      </x:c>
      <x:c r="C60" s="17" t="str">
        <x:v>Google DeepMind</x:v>
      </x:c>
      <x:c r="D60" s="17" t="str">
        <x:v>lineage:google:gemma-2b</x:v>
      </x:c>
      <x:c r="E60" s="17" t="str">
        <x:v>base:google:gemma-2b</x:v>
      </x:c>
      <x:c r="F60" s="23" t="str"/>
      <x:c r="G60" s="23" t="str"/>
      <x:c r="H60" s="23" t="str">
        <x:v>Gemma 2B</x:v>
      </x:c>
      <x:c r="I60" s="31"/>
      <x:c r="J60" s="31" t="n">
        <x:v>45343</x:v>
      </x:c>
      <x:c r="K60" s="31" t="n">
        <x:v>45343</x:v>
      </x:c>
      <x:c r="L60" s="17" t="str">
        <x:v>ECI exact date</x:v>
      </x:c>
      <x:c r="M60" s="73"/>
      <x:c r="N60" s="20" t="n">
        <x:v>93.91</x:v>
      </x:c>
      <x:c r="O60" s="20" t="n">
        <x:v>81</x:v>
      </x:c>
      <x:c r="P60" s="20" t="n">
        <x:v>101.27</x:v>
      </x:c>
      <x:c r="Q60" s="20"/>
      <x:c r="R60" s="20"/>
      <x:c r="S60" s="20"/>
      <x:c r="T60" s="20"/>
      <x:c r="U60" s="20"/>
      <x:c r="V60" s="20"/>
      <x:c r="W60" s="20" t="str"/>
      <x:c r="X60" s="20"/>
      <x:c r="Y60" s="20"/>
      <x:c r="Z60" s="20"/>
      <x:c r="AA60" s="20"/>
      <x:c r="AB60" s="23" t="str"/>
      <x:c r="AC60" s="23" t="str">
        <x:v>ECI-only row</x:v>
      </x:c>
      <x:c r="AD60" s="23" t="str"/>
      <x:c r="AE60" s="23" t="str"/>
    </x:row>
    <x:row r="61">
      <x:c r="A61" s="17" t="str">
        <x:v>google:gemma-7b</x:v>
      </x:c>
      <x:c r="B61" s="17" t="str">
        <x:v>Gemma 7B</x:v>
      </x:c>
      <x:c r="C61" s="17" t="str">
        <x:v>Google DeepMind</x:v>
      </x:c>
      <x:c r="D61" s="17" t="str">
        <x:v>lineage:google:gemma-7b</x:v>
      </x:c>
      <x:c r="E61" s="17" t="str">
        <x:v>base:google:gemma-7b</x:v>
      </x:c>
      <x:c r="F61" s="23" t="str"/>
      <x:c r="G61" s="23" t="str"/>
      <x:c r="H61" s="23" t="str">
        <x:v>Gemma 7B</x:v>
      </x:c>
      <x:c r="I61" s="31"/>
      <x:c r="J61" s="31" t="n">
        <x:v>45343</x:v>
      </x:c>
      <x:c r="K61" s="31" t="n">
        <x:v>45343</x:v>
      </x:c>
      <x:c r="L61" s="17" t="str">
        <x:v>ECI exact date</x:v>
      </x:c>
      <x:c r="M61" s="73"/>
      <x:c r="N61" s="20" t="n">
        <x:v>111.76</x:v>
      </x:c>
      <x:c r="O61" s="20" t="n">
        <x:v>103.06</x:v>
      </x:c>
      <x:c r="P61" s="20" t="n">
        <x:v>116.41</x:v>
      </x:c>
      <x:c r="Q61" s="20"/>
      <x:c r="R61" s="20"/>
      <x:c r="S61" s="20"/>
      <x:c r="T61" s="20"/>
      <x:c r="U61" s="20"/>
      <x:c r="V61" s="20"/>
      <x:c r="W61" s="20" t="str"/>
      <x:c r="X61" s="20"/>
      <x:c r="Y61" s="20"/>
      <x:c r="Z61" s="20"/>
      <x:c r="AA61" s="20"/>
      <x:c r="AB61" s="23" t="str"/>
      <x:c r="AC61" s="23" t="str">
        <x:v>ECI-only row</x:v>
      </x:c>
      <x:c r="AD61" s="23" t="str"/>
      <x:c r="AE61" s="23" t="str"/>
    </x:row>
    <x:row r="62">
      <x:c r="A62" s="17" t="str">
        <x:v>mistral:mistral-large</x:v>
      </x:c>
      <x:c r="B62" s="17" t="str">
        <x:v>Mistral Large</x:v>
      </x:c>
      <x:c r="C62" s="17" t="str">
        <x:v>Mistral AI</x:v>
      </x:c>
      <x:c r="D62" s="17" t="str">
        <x:v>lineage:mistral:mistral-large</x:v>
      </x:c>
      <x:c r="E62" s="17" t="str">
        <x:v>base:mistral:mistral-large</x:v>
      </x:c>
      <x:c r="F62" s="23" t="str"/>
      <x:c r="G62" s="23" t="str"/>
      <x:c r="H62" s="23" t="str">
        <x:v>Mistral Large</x:v>
      </x:c>
      <x:c r="I62" s="31"/>
      <x:c r="J62" s="31" t="n">
        <x:v>45348</x:v>
      </x:c>
      <x:c r="K62" s="31" t="n">
        <x:v>45348</x:v>
      </x:c>
      <x:c r="L62" s="17" t="str">
        <x:v>ECI exact date</x:v>
      </x:c>
      <x:c r="M62" s="73"/>
      <x:c r="N62" s="20" t="n">
        <x:v>121.01</x:v>
      </x:c>
      <x:c r="O62" s="20" t="n">
        <x:v>112.49</x:v>
      </x:c>
      <x:c r="P62" s="20" t="n">
        <x:v>123.7</x:v>
      </x:c>
      <x:c r="Q62" s="20"/>
      <x:c r="R62" s="20"/>
      <x:c r="S62" s="20"/>
      <x:c r="T62" s="20"/>
      <x:c r="U62" s="20"/>
      <x:c r="V62" s="20"/>
      <x:c r="W62" s="20" t="str"/>
      <x:c r="X62" s="20"/>
      <x:c r="Y62" s="20"/>
      <x:c r="Z62" s="20"/>
      <x:c r="AA62" s="20"/>
      <x:c r="AB62" s="23" t="str"/>
      <x:c r="AC62" s="23" t="str">
        <x:v>ECI-only row</x:v>
      </x:c>
      <x:c r="AD62" s="23" t="str"/>
      <x:c r="AE62" s="23" t="str"/>
    </x:row>
    <x:row r="63">
      <x:c r="A63" s="17" t="str">
        <x:v>nvidia:nemotron-4-15b</x:v>
      </x:c>
      <x:c r="B63" s="17" t="str">
        <x:v>Nemotron-4 15B</x:v>
      </x:c>
      <x:c r="C63" s="17" t="str">
        <x:v>NVIDIA</x:v>
      </x:c>
      <x:c r="D63" s="17" t="str">
        <x:v>lineage:nvidia:nemotron-4-15b</x:v>
      </x:c>
      <x:c r="E63" s="17" t="str">
        <x:v>base:nvidia:nemotron-4-15b</x:v>
      </x:c>
      <x:c r="F63" s="23" t="str"/>
      <x:c r="G63" s="23" t="str"/>
      <x:c r="H63" s="23" t="str">
        <x:v>Nemotron-4 15B</x:v>
      </x:c>
      <x:c r="I63" s="31"/>
      <x:c r="J63" s="31" t="n">
        <x:v>45349</x:v>
      </x:c>
      <x:c r="K63" s="31" t="n">
        <x:v>45349</x:v>
      </x:c>
      <x:c r="L63" s="17" t="str">
        <x:v>ECI exact date</x:v>
      </x:c>
      <x:c r="M63" s="73"/>
      <x:c r="N63" s="20" t="n">
        <x:v>107.48</x:v>
      </x:c>
      <x:c r="O63" s="20" t="n">
        <x:v>96.93</x:v>
      </x:c>
      <x:c r="P63" s="20" t="n">
        <x:v>113.63</x:v>
      </x:c>
      <x:c r="Q63" s="20"/>
      <x:c r="R63" s="20"/>
      <x:c r="S63" s="20"/>
      <x:c r="T63" s="20"/>
      <x:c r="U63" s="20"/>
      <x:c r="V63" s="20"/>
      <x:c r="W63" s="20" t="str"/>
      <x:c r="X63" s="20"/>
      <x:c r="Y63" s="20"/>
      <x:c r="Z63" s="20"/>
      <x:c r="AA63" s="20"/>
      <x:c r="AB63" s="23" t="str"/>
      <x:c r="AC63" s="23" t="str">
        <x:v>ECI-only row</x:v>
      </x:c>
      <x:c r="AD63" s="23" t="str"/>
      <x:c r="AE63" s="23" t="str"/>
    </x:row>
    <x:row r="64">
      <x:c r="A64" s="17" t="str">
        <x:v>hugging-face-servicenow-nvidia-bigcode:starcoder-2-15b</x:v>
      </x:c>
      <x:c r="B64" s="17" t="str">
        <x:v>StarCoder 2 15B</x:v>
      </x:c>
      <x:c r="C64" s="17" t="str">
        <x:v>Hugging Face,ServiceNow,NVIDIA,BigCode</x:v>
      </x:c>
      <x:c r="D64" s="17" t="str">
        <x:v>lineage:hugging-face-servicenow-nvidia-bigcode:starcoder-2-15b</x:v>
      </x:c>
      <x:c r="E64" s="17" t="str">
        <x:v>base:hugging-face-servicenow-nvidia-bigcode:starcoder-2-15b</x:v>
      </x:c>
      <x:c r="F64" s="23" t="str"/>
      <x:c r="G64" s="23" t="str"/>
      <x:c r="H64" s="23" t="str">
        <x:v>StarCoder 2 15B</x:v>
      </x:c>
      <x:c r="I64" s="31"/>
      <x:c r="J64" s="31" t="n">
        <x:v>45351</x:v>
      </x:c>
      <x:c r="K64" s="31" t="n">
        <x:v>45351</x:v>
      </x:c>
      <x:c r="L64" s="17" t="str">
        <x:v>ECI exact date</x:v>
      </x:c>
      <x:c r="M64" s="73"/>
      <x:c r="N64" s="20" t="n">
        <x:v>104.74</x:v>
      </x:c>
      <x:c r="O64" s="20" t="n">
        <x:v>92.4</x:v>
      </x:c>
      <x:c r="P64" s="20" t="n">
        <x:v>112.13</x:v>
      </x:c>
      <x:c r="Q64" s="20"/>
      <x:c r="R64" s="20"/>
      <x:c r="S64" s="20"/>
      <x:c r="T64" s="20" t="n">
        <x:v>15</x:v>
      </x:c>
      <x:c r="U64" s="20"/>
      <x:c r="V64" s="20"/>
      <x:c r="W64" s="20" t="str"/>
      <x:c r="X64" s="20"/>
      <x:c r="Y64" s="20"/>
      <x:c r="Z64" s="20"/>
      <x:c r="AA64" s="20"/>
      <x:c r="AB64" s="23" t="str"/>
      <x:c r="AC64" s="23" t="str">
        <x:v>ECI-only row</x:v>
      </x:c>
      <x:c r="AD64" s="23" t="str"/>
      <x:c r="AE64" s="23" t="str">
        <x:v>Parameter row: Regression Data!18</x:v>
      </x:c>
    </x:row>
    <x:row r="65">
      <x:c r="A65" s="17" t="str">
        <x:v>hugging-face-servicenow-nvidia-bigcode:starcoder-2-3b</x:v>
      </x:c>
      <x:c r="B65" s="17" t="str">
        <x:v>StarCoder 2 3B</x:v>
      </x:c>
      <x:c r="C65" s="17" t="str">
        <x:v>Hugging Face,ServiceNow,NVIDIA,BigCode</x:v>
      </x:c>
      <x:c r="D65" s="17" t="str">
        <x:v>lineage:hugging-face-servicenow-nvidia-bigcode:starcoder-2-3b</x:v>
      </x:c>
      <x:c r="E65" s="17" t="str">
        <x:v>base:hugging-face-servicenow-nvidia-bigcode:starcoder-2-3b</x:v>
      </x:c>
      <x:c r="F65" s="23" t="str"/>
      <x:c r="G65" s="23" t="str"/>
      <x:c r="H65" s="23" t="str">
        <x:v>StarCoder 2 3B</x:v>
      </x:c>
      <x:c r="I65" s="31"/>
      <x:c r="J65" s="31" t="n">
        <x:v>45351</x:v>
      </x:c>
      <x:c r="K65" s="31" t="n">
        <x:v>45351</x:v>
      </x:c>
      <x:c r="L65" s="17" t="str">
        <x:v>ECI exact date</x:v>
      </x:c>
      <x:c r="M65" s="73"/>
      <x:c r="N65" s="20" t="n">
        <x:v>88.47</x:v>
      </x:c>
      <x:c r="O65" s="20" t="n">
        <x:v>73.81</x:v>
      </x:c>
      <x:c r="P65" s="20" t="n">
        <x:v>98.03</x:v>
      </x:c>
      <x:c r="Q65" s="20"/>
      <x:c r="R65" s="20"/>
      <x:c r="S65" s="20"/>
      <x:c r="T65" s="20"/>
      <x:c r="U65" s="20"/>
      <x:c r="V65" s="20"/>
      <x:c r="W65" s="20" t="str"/>
      <x:c r="X65" s="20"/>
      <x:c r="Y65" s="20"/>
      <x:c r="Z65" s="20"/>
      <x:c r="AA65" s="20"/>
      <x:c r="AB65" s="23" t="str"/>
      <x:c r="AC65" s="23" t="str">
        <x:v>ECI-only row</x:v>
      </x:c>
      <x:c r="AD65" s="23" t="str"/>
      <x:c r="AE65" s="23" t="str"/>
    </x:row>
    <x:row r="66">
      <x:c r="A66" s="17" t="str">
        <x:v>hugging-face-servicenow-nvidia-bigcode:starcoder-2-7b</x:v>
      </x:c>
      <x:c r="B66" s="17" t="str">
        <x:v>StarCoder 2 7B</x:v>
      </x:c>
      <x:c r="C66" s="17" t="str">
        <x:v>Hugging Face,ServiceNow,NVIDIA,BigCode</x:v>
      </x:c>
      <x:c r="D66" s="17" t="str">
        <x:v>lineage:hugging-face-servicenow-nvidia-bigcode:starcoder-2-7b</x:v>
      </x:c>
      <x:c r="E66" s="17" t="str">
        <x:v>base:hugging-face-servicenow-nvidia-bigcode:starcoder-2-7b</x:v>
      </x:c>
      <x:c r="F66" s="23" t="str"/>
      <x:c r="G66" s="23" t="str"/>
      <x:c r="H66" s="23" t="str">
        <x:v>StarCoder 2 7B</x:v>
      </x:c>
      <x:c r="I66" s="31"/>
      <x:c r="J66" s="31" t="n">
        <x:v>45351</x:v>
      </x:c>
      <x:c r="K66" s="31" t="n">
        <x:v>45351</x:v>
      </x:c>
      <x:c r="L66" s="17" t="str">
        <x:v>ECI exact date</x:v>
      </x:c>
      <x:c r="M66" s="73"/>
      <x:c r="N66" s="20" t="n">
        <x:v>93.25</x:v>
      </x:c>
      <x:c r="O66" s="20" t="n">
        <x:v>76.05</x:v>
      </x:c>
      <x:c r="P66" s="20" t="n">
        <x:v>102.02</x:v>
      </x:c>
      <x:c r="Q66" s="20"/>
      <x:c r="R66" s="20"/>
      <x:c r="S66" s="20"/>
      <x:c r="T66" s="20"/>
      <x:c r="U66" s="20"/>
      <x:c r="V66" s="20"/>
      <x:c r="W66" s="20" t="str"/>
      <x:c r="X66" s="20"/>
      <x:c r="Y66" s="20"/>
      <x:c r="Z66" s="20"/>
      <x:c r="AA66" s="20"/>
      <x:c r="AB66" s="23" t="str"/>
      <x:c r="AC66" s="23" t="str">
        <x:v>ECI-only row</x:v>
      </x:c>
      <x:c r="AD66" s="23" t="str"/>
      <x:c r="AE66" s="23" t="str"/>
    </x:row>
    <x:row r="67">
      <x:c r="A67" s="17" t="str">
        <x:v>unknown:yi-9b</x:v>
      </x:c>
      <x:c r="B67" s="17" t="str">
        <x:v>Yi-9B</x:v>
      </x:c>
      <x:c r="C67" s="17" t="str"/>
      <x:c r="D67" s="17" t="str">
        <x:v>lineage:unknown:yi-9b</x:v>
      </x:c>
      <x:c r="E67" s="17" t="str">
        <x:v>base:unknown:yi-9b</x:v>
      </x:c>
      <x:c r="F67" s="23" t="str"/>
      <x:c r="G67" s="23" t="str"/>
      <x:c r="H67" s="23" t="str">
        <x:v>Yi-9B</x:v>
      </x:c>
      <x:c r="I67" s="31"/>
      <x:c r="J67" s="31" t="n">
        <x:v>45352</x:v>
      </x:c>
      <x:c r="K67" s="31" t="n">
        <x:v>45352</x:v>
      </x:c>
      <x:c r="L67" s="17" t="str">
        <x:v>ECI exact date</x:v>
      </x:c>
      <x:c r="M67" s="73"/>
      <x:c r="N67" s="20" t="n">
        <x:v>107.38</x:v>
      </x:c>
      <x:c r="O67" s="20" t="n">
        <x:v>96.48</x:v>
      </x:c>
      <x:c r="P67" s="20" t="n">
        <x:v>115.19</x:v>
      </x:c>
      <x:c r="Q67" s="20"/>
      <x:c r="R67" s="20"/>
      <x:c r="S67" s="20"/>
      <x:c r="T67" s="20"/>
      <x:c r="U67" s="20"/>
      <x:c r="V67" s="20"/>
      <x:c r="W67" s="20" t="str"/>
      <x:c r="X67" s="20"/>
      <x:c r="Y67" s="20"/>
      <x:c r="Z67" s="20"/>
      <x:c r="AA67" s="20"/>
      <x:c r="AB67" s="23" t="str"/>
      <x:c r="AC67" s="23" t="str">
        <x:v>ECI-only row</x:v>
      </x:c>
      <x:c r="AD67" s="23" t="str"/>
      <x:c r="AE67" s="23" t="str"/>
    </x:row>
    <x:row r="68">
      <x:c r="A68" s="17" t="str">
        <x:v>anthropic:claude-3-haiku</x:v>
      </x:c>
      <x:c r="B68" s="17" t="str">
        <x:v>Claude 3 Haiku</x:v>
      </x:c>
      <x:c r="C68" s="17" t="str">
        <x:v>Anthropic</x:v>
      </x:c>
      <x:c r="D68" s="17" t="str">
        <x:v>lineage:anthropic:claude-3-haiku</x:v>
      </x:c>
      <x:c r="E68" s="17" t="str">
        <x:v>base:anthropic:claude-3-haiku</x:v>
      </x:c>
      <x:c r="F68" s="23" t="str"/>
      <x:c r="G68" s="23" t="str"/>
      <x:c r="H68" s="23" t="str">
        <x:v>Claude 3 Haiku</x:v>
      </x:c>
      <x:c r="I68" s="31"/>
      <x:c r="J68" s="31" t="n">
        <x:v>45355</x:v>
      </x:c>
      <x:c r="K68" s="31" t="n">
        <x:v>45355</x:v>
      </x:c>
      <x:c r="L68" s="17" t="str">
        <x:v>ECI exact date</x:v>
      </x:c>
      <x:c r="M68" s="73"/>
      <x:c r="N68" s="20" t="n">
        <x:v>117.64</x:v>
      </x:c>
      <x:c r="O68" s="20" t="n">
        <x:v>108.61</x:v>
      </x:c>
      <x:c r="P68" s="20" t="n">
        <x:v>121.01</x:v>
      </x:c>
      <x:c r="Q68" s="20"/>
      <x:c r="R68" s="20"/>
      <x:c r="S68" s="20"/>
      <x:c r="T68" s="20"/>
      <x:c r="U68" s="20"/>
      <x:c r="V68" s="20"/>
      <x:c r="W68" s="20" t="str"/>
      <x:c r="X68" s="20"/>
      <x:c r="Y68" s="20"/>
      <x:c r="Z68" s="20"/>
      <x:c r="AA68" s="20"/>
      <x:c r="AB68" s="23" t="str"/>
      <x:c r="AC68" s="23" t="str">
        <x:v>ECI-only row</x:v>
      </x:c>
      <x:c r="AD68" s="23" t="str"/>
      <x:c r="AE68" s="23" t="str"/>
    </x:row>
    <x:row r="69">
      <x:c r="A69" s="17" t="str">
        <x:v>anthropic:claude-3-opus</x:v>
      </x:c>
      <x:c r="B69" s="17" t="str">
        <x:v>Claude 3 Opus</x:v>
      </x:c>
      <x:c r="C69" s="17" t="str">
        <x:v>Anthropic</x:v>
      </x:c>
      <x:c r="D69" s="17" t="str">
        <x:v>lineage:anthropic:claude-3-opus</x:v>
      </x:c>
      <x:c r="E69" s="17" t="str">
        <x:v>base:anthropic:claude-3-opus</x:v>
      </x:c>
      <x:c r="F69" s="23" t="str"/>
      <x:c r="G69" s="23" t="str"/>
      <x:c r="H69" s="23" t="str">
        <x:v>Claude 3 Opus</x:v>
      </x:c>
      <x:c r="I69" s="31"/>
      <x:c r="J69" s="31" t="n">
        <x:v>45355</x:v>
      </x:c>
      <x:c r="K69" s="31" t="n">
        <x:v>45355</x:v>
      </x:c>
      <x:c r="L69" s="17" t="str">
        <x:v>ECI exact date</x:v>
      </x:c>
      <x:c r="M69" s="73"/>
      <x:c r="N69" s="20" t="n">
        <x:v>126.92</x:v>
      </x:c>
      <x:c r="O69" s="20" t="n">
        <x:v>121.31</x:v>
      </x:c>
      <x:c r="P69" s="20" t="n">
        <x:v>129.83</x:v>
      </x:c>
      <x:c r="Q69" s="20"/>
      <x:c r="R69" s="20"/>
      <x:c r="S69" s="20"/>
      <x:c r="T69" s="20"/>
      <x:c r="U69" s="20"/>
      <x:c r="V69" s="20"/>
      <x:c r="W69" s="20" t="str"/>
      <x:c r="X69" s="20"/>
      <x:c r="Y69" s="20"/>
      <x:c r="Z69" s="20"/>
      <x:c r="AA69" s="20"/>
      <x:c r="AB69" s="23" t="str"/>
      <x:c r="AC69" s="23" t="str">
        <x:v>ECI-only row</x:v>
      </x:c>
      <x:c r="AD69" s="23" t="str"/>
      <x:c r="AE69" s="23" t="str"/>
    </x:row>
    <x:row r="70">
      <x:c r="A70" s="17" t="str">
        <x:v>anthropic:claude-3-sonnet</x:v>
      </x:c>
      <x:c r="B70" s="17" t="str">
        <x:v>Claude 3 Sonnet</x:v>
      </x:c>
      <x:c r="C70" s="17" t="str">
        <x:v>Anthropic</x:v>
      </x:c>
      <x:c r="D70" s="17" t="str">
        <x:v>lineage:anthropic:claude-3-sonnet</x:v>
      </x:c>
      <x:c r="E70" s="17" t="str">
        <x:v>base:anthropic:claude-3-sonnet</x:v>
      </x:c>
      <x:c r="F70" s="23" t="str"/>
      <x:c r="G70" s="23" t="str"/>
      <x:c r="H70" s="23" t="str">
        <x:v>Claude 3 Sonnet</x:v>
      </x:c>
      <x:c r="I70" s="31"/>
      <x:c r="J70" s="31" t="n">
        <x:v>45355</x:v>
      </x:c>
      <x:c r="K70" s="31" t="n">
        <x:v>45355</x:v>
      </x:c>
      <x:c r="L70" s="17" t="str">
        <x:v>ECI exact date</x:v>
      </x:c>
      <x:c r="M70" s="73"/>
      <x:c r="N70" s="20" t="n">
        <x:v>119.9</x:v>
      </x:c>
      <x:c r="O70" s="20" t="n">
        <x:v>111.74</x:v>
      </x:c>
      <x:c r="P70" s="20" t="n">
        <x:v>122.91</x:v>
      </x:c>
      <x:c r="Q70" s="20"/>
      <x:c r="R70" s="20"/>
      <x:c r="S70" s="20"/>
      <x:c r="T70" s="20"/>
      <x:c r="U70" s="20"/>
      <x:c r="V70" s="20"/>
      <x:c r="W70" s="20" t="str"/>
      <x:c r="X70" s="20"/>
      <x:c r="Y70" s="20"/>
      <x:c r="Z70" s="20"/>
      <x:c r="AA70" s="20"/>
      <x:c r="AB70" s="23" t="str"/>
      <x:c r="AC70" s="23" t="str">
        <x:v>ECI-only row</x:v>
      </x:c>
      <x:c r="AD70" s="23" t="str"/>
      <x:c r="AE70" s="23" t="str"/>
    </x:row>
    <x:row r="71">
      <x:c r="A71" s="17" t="str">
        <x:v>openai:gpt-4-turbo-apr-2024</x:v>
      </x:c>
      <x:c r="B71" s="17" t="str">
        <x:v>GPT-4 Turbo (Apr 2024)</x:v>
      </x:c>
      <x:c r="C71" s="17" t="str">
        <x:v>OpenAI</x:v>
      </x:c>
      <x:c r="D71" s="17" t="str">
        <x:v>lineage:openai:gpt-4-turbo-apr-2024</x:v>
      </x:c>
      <x:c r="E71" s="17" t="str">
        <x:v>base:openai:gpt-4-turbo-apr-2024</x:v>
      </x:c>
      <x:c r="F71" s="23" t="str"/>
      <x:c r="G71" s="23" t="str">
        <x:v>GPT-4 Turbo</x:v>
      </x:c>
      <x:c r="H71" s="23" t="str">
        <x:v>GPT-4 Turbo (Apr 2024)</x:v>
      </x:c>
      <x:c r="I71" s="31" t="n">
        <x:v>45383</x:v>
      </x:c>
      <x:c r="J71" s="31" t="n">
        <x:v>45391</x:v>
      </x:c>
      <x:c r="K71" s="31" t="n">
        <x:v>45391</x:v>
      </x:c>
      <x:c r="L71" s="17" t="str">
        <x:v>ECI exact date</x:v>
      </x:c>
      <x:c r="M71" s="73" t="n">
        <x:v>8</x:v>
      </x:c>
      <x:c r="N71" s="20" t="n">
        <x:v>127.59</x:v>
      </x:c>
      <x:c r="O71" s="20" t="n">
        <x:v>121.74</x:v>
      </x:c>
      <x:c r="P71" s="20" t="n">
        <x:v>129</x:v>
      </x:c>
      <x:c r="Q71" s="20"/>
      <x:c r="R71" s="20"/>
      <x:c r="S71" s="20"/>
      <x:c r="T71" s="20"/>
      <x:c r="U71" s="20"/>
      <x:c r="V71" s="20"/>
      <x:c r="W71" s="20" t="str"/>
      <x:c r="X71" s="20" t="n">
        <x:v>0.8</x:v>
      </x:c>
      <x:c r="Y71" s="20"/>
      <x:c r="Z71" s="20" t="n">
        <x:v>0.06</x:v>
      </x:c>
      <x:c r="AA71" s="20" t="n">
        <x:v>0.91</x:v>
      </x:c>
      <x:c r="AB71" s="23" t="str">
        <x:v>Paper frontier</x:v>
      </x:c>
      <x:c r="AC71" s="23" t="str">
        <x:v>Manual exact ECI join</x:v>
      </x:c>
      <x:c r="AD71" s="23" t="str"/>
      <x:c r="AE71" s="23" t="str"/>
    </x:row>
    <x:row r="72">
      <x:c r="A72" s="17" t="str">
        <x:v>unknown:codeqwen1-5-7b</x:v>
      </x:c>
      <x:c r="B72" s="17" t="str">
        <x:v>CodeQwen1.5-7B</x:v>
      </x:c>
      <x:c r="C72" s="17" t="str"/>
      <x:c r="D72" s="17" t="str">
        <x:v>lineage:unknown:codeqwen1-5-7b</x:v>
      </x:c>
      <x:c r="E72" s="17" t="str">
        <x:v>base:unknown:codeqwen1-5-7b</x:v>
      </x:c>
      <x:c r="F72" s="23" t="str"/>
      <x:c r="G72" s="23" t="str"/>
      <x:c r="H72" s="23" t="str">
        <x:v>CodeQwen1.5-7B</x:v>
      </x:c>
      <x:c r="I72" s="31"/>
      <x:c r="J72" s="31" t="n">
        <x:v>45397</x:v>
      </x:c>
      <x:c r="K72" s="31" t="n">
        <x:v>45397</x:v>
      </x:c>
      <x:c r="L72" s="17" t="str">
        <x:v>ECI exact date</x:v>
      </x:c>
      <x:c r="M72" s="73"/>
      <x:c r="N72" s="20" t="n">
        <x:v>94.56</x:v>
      </x:c>
      <x:c r="O72" s="20" t="n">
        <x:v>81.18</x:v>
      </x:c>
      <x:c r="P72" s="20" t="n">
        <x:v>102.94</x:v>
      </x:c>
      <x:c r="Q72" s="20"/>
      <x:c r="R72" s="20"/>
      <x:c r="S72" s="20"/>
      <x:c r="T72" s="20"/>
      <x:c r="U72" s="20"/>
      <x:c r="V72" s="20"/>
      <x:c r="W72" s="20" t="str"/>
      <x:c r="X72" s="20"/>
      <x:c r="Y72" s="20"/>
      <x:c r="Z72" s="20"/>
      <x:c r="AA72" s="20"/>
      <x:c r="AB72" s="23" t="str"/>
      <x:c r="AC72" s="23" t="str">
        <x:v>ECI-only row</x:v>
      </x:c>
      <x:c r="AD72" s="23" t="str"/>
      <x:c r="AE72" s="23" t="str"/>
    </x:row>
    <x:row r="73">
      <x:c r="A73" s="17" t="str">
        <x:v>mistral:mixtral-8x22b</x:v>
      </x:c>
      <x:c r="B73" s="17" t="str">
        <x:v>Mixtral 8x22B</x:v>
      </x:c>
      <x:c r="C73" s="17" t="str">
        <x:v>Mistral AI</x:v>
      </x:c>
      <x:c r="D73" s="17" t="str">
        <x:v>lineage:mistral:mixtral-8x22b</x:v>
      </x:c>
      <x:c r="E73" s="17" t="str">
        <x:v>base:mistral:mixtral-8x22b</x:v>
      </x:c>
      <x:c r="F73" s="23" t="str"/>
      <x:c r="G73" s="23" t="str"/>
      <x:c r="H73" s="23" t="str">
        <x:v>Mixtral 8x22B</x:v>
      </x:c>
      <x:c r="I73" s="31"/>
      <x:c r="J73" s="31" t="n">
        <x:v>45399</x:v>
      </x:c>
      <x:c r="K73" s="31" t="n">
        <x:v>45399</x:v>
      </x:c>
      <x:c r="L73" s="17" t="str">
        <x:v>ECI exact date</x:v>
      </x:c>
      <x:c r="M73" s="73"/>
      <x:c r="N73" s="20" t="n">
        <x:v>121.28</x:v>
      </x:c>
      <x:c r="O73" s="20" t="n">
        <x:v>112.48</x:v>
      </x:c>
      <x:c r="P73" s="20" t="n">
        <x:v>123.4</x:v>
      </x:c>
      <x:c r="Q73" s="20"/>
      <x:c r="R73" s="20"/>
      <x:c r="S73" s="20"/>
      <x:c r="T73" s="20" t="n">
        <x:v>141</x:v>
      </x:c>
      <x:c r="U73" s="20"/>
      <x:c r="V73" s="20"/>
      <x:c r="W73" s="20" t="str"/>
      <x:c r="X73" s="20"/>
      <x:c r="Y73" s="20"/>
      <x:c r="Z73" s="20"/>
      <x:c r="AA73" s="20"/>
      <x:c r="AB73" s="23" t="str"/>
      <x:c r="AC73" s="23" t="str">
        <x:v>ECI-only row</x:v>
      </x:c>
      <x:c r="AD73" s="23" t="str"/>
      <x:c r="AE73" s="23" t="str">
        <x:v>Parameter row: Regression Data!19</x:v>
      </x:c>
    </x:row>
    <x:row r="74">
      <x:c r="A74" s="17" t="str">
        <x:v>meta:llama-3-70b</x:v>
      </x:c>
      <x:c r="B74" s="17" t="str">
        <x:v>Llama 3-70B</x:v>
      </x:c>
      <x:c r="C74" s="17" t="str">
        <x:v>Meta AI</x:v>
      </x:c>
      <x:c r="D74" s="17" t="str">
        <x:v>lineage:meta:llama-3-70b</x:v>
      </x:c>
      <x:c r="E74" s="17" t="str">
        <x:v>base:meta:llama-3-70b</x:v>
      </x:c>
      <x:c r="F74" s="23" t="str"/>
      <x:c r="G74" s="23" t="str"/>
      <x:c r="H74" s="23" t="str">
        <x:v>Llama 3-70B</x:v>
      </x:c>
      <x:c r="I74" s="31"/>
      <x:c r="J74" s="31" t="n">
        <x:v>45400</x:v>
      </x:c>
      <x:c r="K74" s="31" t="n">
        <x:v>45400</x:v>
      </x:c>
      <x:c r="L74" s="17" t="str">
        <x:v>ECI exact date</x:v>
      </x:c>
      <x:c r="M74" s="73"/>
      <x:c r="N74" s="20" t="n">
        <x:v>122.61</x:v>
      </x:c>
      <x:c r="O74" s="20" t="n">
        <x:v>115.79</x:v>
      </x:c>
      <x:c r="P74" s="20" t="n">
        <x:v>125.52</x:v>
      </x:c>
      <x:c r="Q74" s="20"/>
      <x:c r="R74" s="20"/>
      <x:c r="S74" s="20"/>
      <x:c r="T74" s="20" t="n">
        <x:v>70</x:v>
      </x:c>
      <x:c r="U74" s="20"/>
      <x:c r="V74" s="20"/>
      <x:c r="W74" s="20" t="str"/>
      <x:c r="X74" s="20"/>
      <x:c r="Y74" s="20"/>
      <x:c r="Z74" s="20"/>
      <x:c r="AA74" s="20"/>
      <x:c r="AB74" s="23" t="str"/>
      <x:c r="AC74" s="23" t="str">
        <x:v>ECI-only row</x:v>
      </x:c>
      <x:c r="AD74" s="23" t="str"/>
      <x:c r="AE74" s="23" t="str">
        <x:v>Parameter row: Regression Data!20</x:v>
      </x:c>
    </x:row>
    <x:row r="75">
      <x:c r="A75" s="17" t="str">
        <x:v>meta:llama-3-8b</x:v>
      </x:c>
      <x:c r="B75" s="17" t="str">
        <x:v>Llama 3-8B</x:v>
      </x:c>
      <x:c r="C75" s="17" t="str">
        <x:v>Meta AI</x:v>
      </x:c>
      <x:c r="D75" s="17" t="str">
        <x:v>lineage:meta:llama-3-8b</x:v>
      </x:c>
      <x:c r="E75" s="17" t="str">
        <x:v>base:meta:llama-3-8b</x:v>
      </x:c>
      <x:c r="F75" s="23" t="str"/>
      <x:c r="G75" s="23" t="str">
        <x:v>Llama 3 8B Instruct</x:v>
      </x:c>
      <x:c r="H75" s="23" t="str">
        <x:v>Llama 3-8B</x:v>
      </x:c>
      <x:c r="I75" s="31" t="n">
        <x:v>45383</x:v>
      </x:c>
      <x:c r="J75" s="31" t="n">
        <x:v>45400</x:v>
      </x:c>
      <x:c r="K75" s="31" t="n">
        <x:v>45400</x:v>
      </x:c>
      <x:c r="L75" s="17" t="str">
        <x:v>ECI exact date</x:v>
      </x:c>
      <x:c r="M75" s="73" t="n">
        <x:v>17</x:v>
      </x:c>
      <x:c r="N75" s="20" t="n">
        <x:v>116.43</x:v>
      </x:c>
      <x:c r="O75" s="20" t="n">
        <x:v>107.42</x:v>
      </x:c>
      <x:c r="P75" s="20" t="n">
        <x:v>119.25</x:v>
      </x:c>
      <x:c r="Q75" s="20"/>
      <x:c r="R75" s="20" t="n">
        <x:v>8</x:v>
      </x:c>
      <x:c r="S75" s="20" t="n">
        <x:v>8</x:v>
      </x:c>
      <x:c r="T75" s="20"/>
      <x:c r="U75" s="20"/>
      <x:c r="V75" s="20" t="n">
        <x:v>32</x:v>
      </x:c>
      <x:c r="W75" s="20" t="str">
        <x:v>Dense</x:v>
      </x:c>
      <x:c r="X75" s="20" t="n">
        <x:v>0.177</x:v>
      </x:c>
      <x:c r="Y75" s="20" t="n">
        <x:v>0.075</x:v>
      </x:c>
      <x:c r="Z75" s="20" t="n">
        <x:v>0</x:v>
      </x:c>
      <x:c r="AA75" s="20" t="n">
        <x:v>0.344</x:v>
      </x:c>
      <x:c r="AB75" s="23" t="str">
        <x:v>Paper open-weight</x:v>
      </x:c>
      <x:c r="AC75" s="23" t="str">
        <x:v>Manual exact ECI join</x:v>
      </x:c>
      <x:c r="AD75" s="23" t="str"/>
      <x:c r="AE75" s="23" t="str"/>
    </x:row>
    <x:row r="76">
      <x:c r="A76" s="17" t="str">
        <x:v>microsoft:phi-3-medium-14b</x:v>
      </x:c>
      <x:c r="B76" s="17" t="str">
        <x:v>phi-3-medium 14B</x:v>
      </x:c>
      <x:c r="C76" s="17" t="str">
        <x:v>Microsoft</x:v>
      </x:c>
      <x:c r="D76" s="17" t="str">
        <x:v>lineage:microsoft:phi-3-medium-14b</x:v>
      </x:c>
      <x:c r="E76" s="17" t="str">
        <x:v>base:microsoft:phi-3-medium-14b</x:v>
      </x:c>
      <x:c r="F76" s="23" t="str"/>
      <x:c r="G76" s="23" t="str"/>
      <x:c r="H76" s="23" t="str">
        <x:v>phi-3-medium 14B</x:v>
      </x:c>
      <x:c r="I76" s="31"/>
      <x:c r="J76" s="31" t="n">
        <x:v>45405</x:v>
      </x:c>
      <x:c r="K76" s="31" t="n">
        <x:v>45405</x:v>
      </x:c>
      <x:c r="L76" s="17" t="str">
        <x:v>ECI exact date</x:v>
      </x:c>
      <x:c r="M76" s="73"/>
      <x:c r="N76" s="20" t="n">
        <x:v>121.07</x:v>
      </x:c>
      <x:c r="O76" s="20" t="n">
        <x:v>113.81</x:v>
      </x:c>
      <x:c r="P76" s="20" t="n">
        <x:v>123.74</x:v>
      </x:c>
      <x:c r="Q76" s="20"/>
      <x:c r="R76" s="20"/>
      <x:c r="S76" s="20"/>
      <x:c r="T76" s="20" t="n">
        <x:v>14</x:v>
      </x:c>
      <x:c r="U76" s="20"/>
      <x:c r="V76" s="20"/>
      <x:c r="W76" s="20" t="str"/>
      <x:c r="X76" s="20"/>
      <x:c r="Y76" s="20"/>
      <x:c r="Z76" s="20"/>
      <x:c r="AA76" s="20"/>
      <x:c r="AB76" s="23" t="str"/>
      <x:c r="AC76" s="23" t="str">
        <x:v>ECI-only row</x:v>
      </x:c>
      <x:c r="AD76" s="23" t="str"/>
      <x:c r="AE76" s="23" t="str">
        <x:v>Parameter row: Regression Data!21</x:v>
      </x:c>
    </x:row>
    <x:row r="77">
      <x:c r="A77" s="17" t="str">
        <x:v>microsoft:phi-3-mini-3-8b</x:v>
      </x:c>
      <x:c r="B77" s="17" t="str">
        <x:v>phi-3-mini 3.8B</x:v>
      </x:c>
      <x:c r="C77" s="17" t="str">
        <x:v>Microsoft</x:v>
      </x:c>
      <x:c r="D77" s="17" t="str">
        <x:v>lineage:microsoft:phi-3-mini-3-8b</x:v>
      </x:c>
      <x:c r="E77" s="17" t="str">
        <x:v>base:microsoft:phi-3-mini-3-8b</x:v>
      </x:c>
      <x:c r="F77" s="23" t="str"/>
      <x:c r="G77" s="23" t="str"/>
      <x:c r="H77" s="23" t="str">
        <x:v>phi-3-mini 3.8B</x:v>
      </x:c>
      <x:c r="I77" s="31"/>
      <x:c r="J77" s="31" t="n">
        <x:v>45405</x:v>
      </x:c>
      <x:c r="K77" s="31" t="n">
        <x:v>45405</x:v>
      </x:c>
      <x:c r="L77" s="17" t="str">
        <x:v>ECI exact date</x:v>
      </x:c>
      <x:c r="M77" s="73"/>
      <x:c r="N77" s="20" t="n">
        <x:v>117.14</x:v>
      </x:c>
      <x:c r="O77" s="20" t="n">
        <x:v>107.43</x:v>
      </x:c>
      <x:c r="P77" s="20" t="n">
        <x:v>120.17</x:v>
      </x:c>
      <x:c r="Q77" s="20"/>
      <x:c r="R77" s="20"/>
      <x:c r="S77" s="20"/>
      <x:c r="T77" s="20"/>
      <x:c r="U77" s="20"/>
      <x:c r="V77" s="20"/>
      <x:c r="W77" s="20" t="str"/>
      <x:c r="X77" s="20"/>
      <x:c r="Y77" s="20"/>
      <x:c r="Z77" s="20"/>
      <x:c r="AA77" s="20"/>
      <x:c r="AB77" s="23" t="str"/>
      <x:c r="AC77" s="23" t="str">
        <x:v>ECI-only row</x:v>
      </x:c>
      <x:c r="AD77" s="23" t="str"/>
      <x:c r="AE77" s="23" t="str"/>
    </x:row>
    <x:row r="78">
      <x:c r="A78" s="17" t="str">
        <x:v>microsoft:phi-3-small-7-4b</x:v>
      </x:c>
      <x:c r="B78" s="17" t="str">
        <x:v>phi-3-small 7.4B</x:v>
      </x:c>
      <x:c r="C78" s="17" t="str">
        <x:v>Microsoft</x:v>
      </x:c>
      <x:c r="D78" s="17" t="str">
        <x:v>lineage:microsoft:phi-3-small-7-4b</x:v>
      </x:c>
      <x:c r="E78" s="17" t="str">
        <x:v>base:microsoft:phi-3-small-7-4b</x:v>
      </x:c>
      <x:c r="F78" s="23" t="str"/>
      <x:c r="G78" s="23" t="str"/>
      <x:c r="H78" s="23" t="str">
        <x:v>phi-3-small 7.4B</x:v>
      </x:c>
      <x:c r="I78" s="31"/>
      <x:c r="J78" s="31" t="n">
        <x:v>45405</x:v>
      </x:c>
      <x:c r="K78" s="31" t="n">
        <x:v>45405</x:v>
      </x:c>
      <x:c r="L78" s="17" t="str">
        <x:v>ECI exact date</x:v>
      </x:c>
      <x:c r="M78" s="73"/>
      <x:c r="N78" s="20" t="n">
        <x:v>121.64</x:v>
      </x:c>
      <x:c r="O78" s="20" t="n">
        <x:v>113.57</x:v>
      </x:c>
      <x:c r="P78" s="20" t="n">
        <x:v>124.38</x:v>
      </x:c>
      <x:c r="Q78" s="20"/>
      <x:c r="R78" s="20"/>
      <x:c r="S78" s="20"/>
      <x:c r="T78" s="20"/>
      <x:c r="U78" s="20"/>
      <x:c r="V78" s="20"/>
      <x:c r="W78" s="20" t="str"/>
      <x:c r="X78" s="20"/>
      <x:c r="Y78" s="20"/>
      <x:c r="Z78" s="20"/>
      <x:c r="AA78" s="20"/>
      <x:c r="AB78" s="23" t="str"/>
      <x:c r="AC78" s="23" t="str">
        <x:v>ECI-only row</x:v>
      </x:c>
      <x:c r="AD78" s="23" t="str"/>
      <x:c r="AE78" s="23" t="str"/>
    </x:row>
    <x:row r="79">
      <x:c r="A79" s="17" t="str">
        <x:v>deepseek:deepseek-v2-moe-236b-may-2024</x:v>
      </x:c>
      <x:c r="B79" s="17" t="str">
        <x:v>DeepSeek-V2 (MoE-236B, May 2024)</x:v>
      </x:c>
      <x:c r="C79" s="17" t="str">
        <x:v>DeepSeek</x:v>
      </x:c>
      <x:c r="D79" s="17" t="str">
        <x:v>lineage:deepseek:deepseek-v2-moe-236b-may-2024</x:v>
      </x:c>
      <x:c r="E79" s="17" t="str">
        <x:v>base:deepseek:deepseek-v2-moe-236b-may-2024</x:v>
      </x:c>
      <x:c r="F79" s="23" t="str"/>
      <x:c r="G79" s="23" t="str"/>
      <x:c r="H79" s="23" t="str">
        <x:v>DeepSeek-V2 (MoE-236B, May 2024)</x:v>
      </x:c>
      <x:c r="I79" s="31"/>
      <x:c r="J79" s="31" t="n">
        <x:v>45419</x:v>
      </x:c>
      <x:c r="K79" s="31" t="n">
        <x:v>45419</x:v>
      </x:c>
      <x:c r="L79" s="17" t="str">
        <x:v>ECI exact date</x:v>
      </x:c>
      <x:c r="M79" s="73"/>
      <x:c r="N79" s="20" t="n">
        <x:v>124.58</x:v>
      </x:c>
      <x:c r="O79" s="20" t="n">
        <x:v>117.97</x:v>
      </x:c>
      <x:c r="P79" s="20" t="n">
        <x:v>127.63</x:v>
      </x:c>
      <x:c r="Q79" s="20"/>
      <x:c r="R79" s="20"/>
      <x:c r="S79" s="20"/>
      <x:c r="T79" s="20"/>
      <x:c r="U79" s="20"/>
      <x:c r="V79" s="20"/>
      <x:c r="W79" s="20" t="str"/>
      <x:c r="X79" s="20"/>
      <x:c r="Y79" s="20"/>
      <x:c r="Z79" s="20"/>
      <x:c r="AA79" s="20"/>
      <x:c r="AB79" s="23" t="str"/>
      <x:c r="AC79" s="23" t="str">
        <x:v>ECI-only row</x:v>
      </x:c>
      <x:c r="AD79" s="23" t="str"/>
      <x:c r="AE79" s="23" t="str"/>
    </x:row>
    <x:row r="80">
      <x:c r="A80" s="17" t="str">
        <x:v>technology-innovation-institute:falcon-2-11b</x:v>
      </x:c>
      <x:c r="B80" s="17" t="str">
        <x:v>Falcon 2 11B</x:v>
      </x:c>
      <x:c r="C80" s="17" t="str">
        <x:v>Technology Innovation Institute</x:v>
      </x:c>
      <x:c r="D80" s="17" t="str">
        <x:v>lineage:technology-innovation-institute:falcon-2-11b</x:v>
      </x:c>
      <x:c r="E80" s="17" t="str">
        <x:v>base:technology-innovation-institute:falcon-2-11b</x:v>
      </x:c>
      <x:c r="F80" s="23" t="str"/>
      <x:c r="G80" s="23" t="str"/>
      <x:c r="H80" s="23" t="str">
        <x:v>Falcon 2 11B</x:v>
      </x:c>
      <x:c r="I80" s="31"/>
      <x:c r="J80" s="31" t="n">
        <x:v>45421</x:v>
      </x:c>
      <x:c r="K80" s="31" t="n">
        <x:v>45421</x:v>
      </x:c>
      <x:c r="L80" s="17" t="str">
        <x:v>ECI exact date</x:v>
      </x:c>
      <x:c r="M80" s="73"/>
      <x:c r="N80" s="20" t="n">
        <x:v>109.3</x:v>
      </x:c>
      <x:c r="O80" s="20" t="n">
        <x:v>99.71</x:v>
      </x:c>
      <x:c r="P80" s="20" t="n">
        <x:v>115.81</x:v>
      </x:c>
      <x:c r="Q80" s="20"/>
      <x:c r="R80" s="20"/>
      <x:c r="S80" s="20"/>
      <x:c r="T80" s="20" t="n">
        <x:v>11</x:v>
      </x:c>
      <x:c r="U80" s="20"/>
      <x:c r="V80" s="20"/>
      <x:c r="W80" s="20" t="str"/>
      <x:c r="X80" s="20"/>
      <x:c r="Y80" s="20"/>
      <x:c r="Z80" s="20"/>
      <x:c r="AA80" s="20"/>
      <x:c r="AB80" s="23" t="str"/>
      <x:c r="AC80" s="23" t="str">
        <x:v>ECI-only row</x:v>
      </x:c>
      <x:c r="AD80" s="23" t="str"/>
      <x:c r="AE80" s="23" t="str">
        <x:v>Parameter row: Regression Data!22</x:v>
      </x:c>
    </x:row>
    <x:row r="81">
      <x:c r="A81" s="17" t="str">
        <x:v>google:gemini-1-5-flash-may-2024</x:v>
      </x:c>
      <x:c r="B81" s="17" t="str">
        <x:v>Gemini 1.5 Flash (May 2024)</x:v>
      </x:c>
      <x:c r="C81" s="17" t="str">
        <x:v>Google DeepMind</x:v>
      </x:c>
      <x:c r="D81" s="17" t="str">
        <x:v>lineage:google:gemini-1-5-flash-may-2024</x:v>
      </x:c>
      <x:c r="E81" s="17" t="str">
        <x:v>base:google:gemini-1-5-flash-may-2024</x:v>
      </x:c>
      <x:c r="F81" s="23" t="str"/>
      <x:c r="G81" s="23" t="str"/>
      <x:c r="H81" s="23" t="str">
        <x:v>Gemini 1.5 Flash (May 2024)</x:v>
      </x:c>
      <x:c r="I81" s="31"/>
      <x:c r="J81" s="31" t="n">
        <x:v>45422</x:v>
      </x:c>
      <x:c r="K81" s="31" t="n">
        <x:v>45422</x:v>
      </x:c>
      <x:c r="L81" s="17" t="str">
        <x:v>ECI exact date</x:v>
      </x:c>
      <x:c r="M81" s="73"/>
      <x:c r="N81" s="20" t="n">
        <x:v>122.54</x:v>
      </x:c>
      <x:c r="O81" s="20" t="n">
        <x:v>115.28</x:v>
      </x:c>
      <x:c r="P81" s="20" t="n">
        <x:v>124.46</x:v>
      </x:c>
      <x:c r="Q81" s="20"/>
      <x:c r="R81" s="20"/>
      <x:c r="S81" s="20"/>
      <x:c r="T81" s="20"/>
      <x:c r="U81" s="20"/>
      <x:c r="V81" s="20"/>
      <x:c r="W81" s="20" t="str"/>
      <x:c r="X81" s="20"/>
      <x:c r="Y81" s="20"/>
      <x:c r="Z81" s="20"/>
      <x:c r="AA81" s="20"/>
      <x:c r="AB81" s="23" t="str"/>
      <x:c r="AC81" s="23" t="str">
        <x:v>ECI-only row</x:v>
      </x:c>
      <x:c r="AD81" s="23" t="str"/>
      <x:c r="AE81" s="23" t="str"/>
    </x:row>
    <x:row r="82">
      <x:c r="A82" s="17" t="str">
        <x:v>google:gemini-1-5-flash-sep-2024</x:v>
      </x:c>
      <x:c r="B82" s="17" t="str">
        <x:v>Gemini 1.5 Flash (Sep 2024)</x:v>
      </x:c>
      <x:c r="C82" s="17" t="str">
        <x:v>Google DeepMind</x:v>
      </x:c>
      <x:c r="D82" s="17" t="str">
        <x:v>lineage:google:gemini-1-5-flash-sep-2024</x:v>
      </x:c>
      <x:c r="E82" s="17" t="str">
        <x:v>base:google:gemini-1-5-flash-sep-2024</x:v>
      </x:c>
      <x:c r="F82" s="23" t="str"/>
      <x:c r="G82" s="23" t="str"/>
      <x:c r="H82" s="23" t="str">
        <x:v>Gemini 1.5 Flash (Sep 2024)</x:v>
      </x:c>
      <x:c r="I82" s="31"/>
      <x:c r="J82" s="31" t="n">
        <x:v>45422</x:v>
      </x:c>
      <x:c r="K82" s="31" t="n">
        <x:v>45422</x:v>
      </x:c>
      <x:c r="L82" s="17" t="str">
        <x:v>ECI exact date</x:v>
      </x:c>
      <x:c r="M82" s="73"/>
      <x:c r="N82" s="20" t="n">
        <x:v>130.39</x:v>
      </x:c>
      <x:c r="O82" s="20" t="n">
        <x:v>123.54</x:v>
      </x:c>
      <x:c r="P82" s="20" t="n">
        <x:v>132.06</x:v>
      </x:c>
      <x:c r="Q82" s="20"/>
      <x:c r="R82" s="20"/>
      <x:c r="S82" s="20"/>
      <x:c r="T82" s="20"/>
      <x:c r="U82" s="20"/>
      <x:c r="V82" s="20"/>
      <x:c r="W82" s="20" t="str"/>
      <x:c r="X82" s="20"/>
      <x:c r="Y82" s="20"/>
      <x:c r="Z82" s="20"/>
      <x:c r="AA82" s="20"/>
      <x:c r="AB82" s="23" t="str"/>
      <x:c r="AC82" s="23" t="str">
        <x:v>ECI-only row</x:v>
      </x:c>
      <x:c r="AD82" s="23" t="str"/>
      <x:c r="AE82" s="23" t="str"/>
    </x:row>
    <x:row r="83">
      <x:c r="A83" s="17" t="str">
        <x:v>openai:gpt-4o-aug-2024</x:v>
      </x:c>
      <x:c r="B83" s="17" t="str">
        <x:v>GPT-4o (Aug 2024)</x:v>
      </x:c>
      <x:c r="C83" s="17" t="str">
        <x:v>OpenAI</x:v>
      </x:c>
      <x:c r="D83" s="17" t="str">
        <x:v>lineage:openai:gpt-4o-aug-2024</x:v>
      </x:c>
      <x:c r="E83" s="17" t="str">
        <x:v>base:openai:gpt-4o-aug-2024</x:v>
      </x:c>
      <x:c r="F83" s="23" t="str"/>
      <x:c r="G83" s="23" t="str"/>
      <x:c r="H83" s="23" t="str">
        <x:v>GPT-4o (Aug 2024)</x:v>
      </x:c>
      <x:c r="I83" s="31"/>
      <x:c r="J83" s="31" t="n">
        <x:v>45425</x:v>
      </x:c>
      <x:c r="K83" s="31" t="n">
        <x:v>45425</x:v>
      </x:c>
      <x:c r="L83" s="17" t="str">
        <x:v>ECI exact date</x:v>
      </x:c>
      <x:c r="M83" s="73"/>
      <x:c r="N83" s="20" t="n">
        <x:v>129.16</x:v>
      </x:c>
      <x:c r="O83" s="20" t="n">
        <x:v>123.4</x:v>
      </x:c>
      <x:c r="P83" s="20" t="n">
        <x:v>130.88</x:v>
      </x:c>
      <x:c r="Q83" s="20"/>
      <x:c r="R83" s="20"/>
      <x:c r="S83" s="20"/>
      <x:c r="T83" s="20"/>
      <x:c r="U83" s="20"/>
      <x:c r="V83" s="20"/>
      <x:c r="W83" s="20" t="str"/>
      <x:c r="X83" s="20"/>
      <x:c r="Y83" s="20"/>
      <x:c r="Z83" s="20"/>
      <x:c r="AA83" s="20"/>
      <x:c r="AB83" s="23" t="str"/>
      <x:c r="AC83" s="23" t="str">
        <x:v>ECI-only row</x:v>
      </x:c>
      <x:c r="AD83" s="23" t="str"/>
      <x:c r="AE83" s="23" t="str"/>
    </x:row>
    <x:row r="84">
      <x:c r="A84" s="17" t="str">
        <x:v>openai:gpt-4o-may-2024</x:v>
      </x:c>
      <x:c r="B84" s="17" t="str">
        <x:v>GPT-4o (May 2024)</x:v>
      </x:c>
      <x:c r="C84" s="17" t="str">
        <x:v>OpenAI</x:v>
      </x:c>
      <x:c r="D84" s="17" t="str">
        <x:v>lineage:openai:gpt-4o-may-2024</x:v>
      </x:c>
      <x:c r="E84" s="17" t="str">
        <x:v>base:openai:gpt-4o-may-2024</x:v>
      </x:c>
      <x:c r="F84" s="23" t="str"/>
      <x:c r="G84" s="23" t="str">
        <x:v>GPT-4o</x:v>
      </x:c>
      <x:c r="H84" s="23" t="str">
        <x:v>GPT-4o (May 2024)</x:v>
      </x:c>
      <x:c r="I84" s="31" t="n">
        <x:v>45413</x:v>
      </x:c>
      <x:c r="J84" s="31" t="n">
        <x:v>45425</x:v>
      </x:c>
      <x:c r="K84" s="31" t="n">
        <x:v>45425</x:v>
      </x:c>
      <x:c r="L84" s="17" t="str">
        <x:v>ECI exact date</x:v>
      </x:c>
      <x:c r="M84" s="73" t="n">
        <x:v>12</x:v>
      </x:c>
      <x:c r="N84" s="20" t="n">
        <x:v>128.83</x:v>
      </x:c>
      <x:c r="O84" s="20" t="n">
        <x:v>123.33</x:v>
      </x:c>
      <x:c r="P84" s="20" t="n">
        <x:v>130.68</x:v>
      </x:c>
      <x:c r="Q84" s="20"/>
      <x:c r="R84" s="20"/>
      <x:c r="S84" s="20"/>
      <x:c r="T84" s="20"/>
      <x:c r="U84" s="20"/>
      <x:c r="V84" s="20"/>
      <x:c r="W84" s="20" t="str"/>
      <x:c r="X84" s="20" t="n">
        <x:v>0.8</x:v>
      </x:c>
      <x:c r="Y84" s="20"/>
      <x:c r="Z84" s="20" t="n">
        <x:v>0.03</x:v>
      </x:c>
      <x:c r="AA84" s="20" t="n">
        <x:v>0.92</x:v>
      </x:c>
      <x:c r="AB84" s="23" t="str">
        <x:v>Paper frontier</x:v>
      </x:c>
      <x:c r="AC84" s="23" t="str">
        <x:v>Manual exact ECI join</x:v>
      </x:c>
      <x:c r="AD84" s="23" t="str"/>
      <x:c r="AE84" s="23" t="str"/>
    </x:row>
    <x:row r="85">
      <x:c r="A85" s="17" t="str">
        <x:v>openai:gpt-4o-nov-2024</x:v>
      </x:c>
      <x:c r="B85" s="17" t="str">
        <x:v>GPT-4o (Nov 2024)</x:v>
      </x:c>
      <x:c r="C85" s="17" t="str">
        <x:v>OpenAI</x:v>
      </x:c>
      <x:c r="D85" s="17" t="str">
        <x:v>lineage:openai:gpt-4o-nov-2024</x:v>
      </x:c>
      <x:c r="E85" s="17" t="str">
        <x:v>base:openai:gpt-4o-nov-2024</x:v>
      </x:c>
      <x:c r="F85" s="23" t="str"/>
      <x:c r="G85" s="23" t="str"/>
      <x:c r="H85" s="23" t="str">
        <x:v>GPT-4o (Nov 2024)</x:v>
      </x:c>
      <x:c r="I85" s="31"/>
      <x:c r="J85" s="31" t="n">
        <x:v>45425</x:v>
      </x:c>
      <x:c r="K85" s="31" t="n">
        <x:v>45425</x:v>
      </x:c>
      <x:c r="L85" s="17" t="str">
        <x:v>ECI exact date</x:v>
      </x:c>
      <x:c r="M85" s="73"/>
      <x:c r="N85" s="20" t="n">
        <x:v>129.31</x:v>
      </x:c>
      <x:c r="O85" s="20" t="n">
        <x:v>124.23</x:v>
      </x:c>
      <x:c r="P85" s="20" t="n">
        <x:v>131.64</x:v>
      </x:c>
      <x:c r="Q85" s="20"/>
      <x:c r="R85" s="20"/>
      <x:c r="S85" s="20"/>
      <x:c r="T85" s="20"/>
      <x:c r="U85" s="20"/>
      <x:c r="V85" s="20"/>
      <x:c r="W85" s="20" t="str"/>
      <x:c r="X85" s="20"/>
      <x:c r="Y85" s="20"/>
      <x:c r="Z85" s="20"/>
      <x:c r="AA85" s="20"/>
      <x:c r="AB85" s="23" t="str"/>
      <x:c r="AC85" s="23" t="str">
        <x:v>ECI-only row</x:v>
      </x:c>
      <x:c r="AD85" s="23" t="str"/>
      <x:c r="AE85" s="23" t="str"/>
    </x:row>
    <x:row r="86">
      <x:c r="A86" s="17" t="str">
        <x:v>google:gemini-1-5-pro-may-2024</x:v>
      </x:c>
      <x:c r="B86" s="17" t="str">
        <x:v>Gemini 1.5 Pro (May 2024)</x:v>
      </x:c>
      <x:c r="C86" s="17" t="str">
        <x:v>Google DeepMind</x:v>
      </x:c>
      <x:c r="D86" s="17" t="str">
        <x:v>lineage:google:gemini-1-5-pro-may-2024</x:v>
      </x:c>
      <x:c r="E86" s="17" t="str">
        <x:v>base:google:gemini-1-5-pro-may-2024</x:v>
      </x:c>
      <x:c r="F86" s="23" t="str"/>
      <x:c r="G86" s="23" t="str"/>
      <x:c r="H86" s="23" t="str">
        <x:v>Gemini 1.5 Pro (May 2024)</x:v>
      </x:c>
      <x:c r="I86" s="31"/>
      <x:c r="J86" s="31" t="n">
        <x:v>45426</x:v>
      </x:c>
      <x:c r="K86" s="31" t="n">
        <x:v>45426</x:v>
      </x:c>
      <x:c r="L86" s="17" t="str">
        <x:v>ECI exact date</x:v>
      </x:c>
      <x:c r="M86" s="73"/>
      <x:c r="N86" s="20" t="n">
        <x:v>127.2</x:v>
      </x:c>
      <x:c r="O86" s="20" t="n">
        <x:v>121.34</x:v>
      </x:c>
      <x:c r="P86" s="20" t="n">
        <x:v>129.39</x:v>
      </x:c>
      <x:c r="Q86" s="20"/>
      <x:c r="R86" s="20"/>
      <x:c r="S86" s="20"/>
      <x:c r="T86" s="20"/>
      <x:c r="U86" s="20"/>
      <x:c r="V86" s="20"/>
      <x:c r="W86" s="20" t="str"/>
      <x:c r="X86" s="20"/>
      <x:c r="Y86" s="20"/>
      <x:c r="Z86" s="20"/>
      <x:c r="AA86" s="20"/>
      <x:c r="AB86" s="23" t="str"/>
      <x:c r="AC86" s="23" t="str">
        <x:v>ECI-only row</x:v>
      </x:c>
      <x:c r="AD86" s="23" t="str"/>
      <x:c r="AE86" s="23" t="str"/>
    </x:row>
    <x:row r="87">
      <x:c r="A87" s="17" t="str">
        <x:v>alibaba:qwen2-72b</x:v>
      </x:c>
      <x:c r="B87" s="17" t="str">
        <x:v>Qwen2-72B</x:v>
      </x:c>
      <x:c r="C87" s="17" t="str">
        <x:v>Alibaba</x:v>
      </x:c>
      <x:c r="D87" s="17" t="str">
        <x:v>lineage:alibaba:qwen2-72b</x:v>
      </x:c>
      <x:c r="E87" s="17" t="str">
        <x:v>base:alibaba:qwen2-72b</x:v>
      </x:c>
      <x:c r="F87" s="23" t="str"/>
      <x:c r="G87" s="23" t="str"/>
      <x:c r="H87" s="23" t="str">
        <x:v>Qwen2-72B</x:v>
      </x:c>
      <x:c r="I87" s="31"/>
      <x:c r="J87" s="31" t="n">
        <x:v>45450</x:v>
      </x:c>
      <x:c r="K87" s="31" t="n">
        <x:v>45450</x:v>
      </x:c>
      <x:c r="L87" s="17" t="str">
        <x:v>ECI exact date</x:v>
      </x:c>
      <x:c r="M87" s="73"/>
      <x:c r="N87" s="20" t="n">
        <x:v>125.49</x:v>
      </x:c>
      <x:c r="O87" s="20" t="n">
        <x:v>119.09</x:v>
      </x:c>
      <x:c r="P87" s="20" t="n">
        <x:v>127.01</x:v>
      </x:c>
      <x:c r="Q87" s="20"/>
      <x:c r="R87" s="20"/>
      <x:c r="S87" s="20"/>
      <x:c r="T87" s="20" t="n">
        <x:v>72.71</x:v>
      </x:c>
      <x:c r="U87" s="20"/>
      <x:c r="V87" s="20"/>
      <x:c r="W87" s="20" t="str"/>
      <x:c r="X87" s="20"/>
      <x:c r="Y87" s="20"/>
      <x:c r="Z87" s="20"/>
      <x:c r="AA87" s="20"/>
      <x:c r="AB87" s="23" t="str"/>
      <x:c r="AC87" s="23" t="str">
        <x:v>ECI-only row</x:v>
      </x:c>
      <x:c r="AD87" s="23" t="str"/>
      <x:c r="AE87" s="23" t="str">
        <x:v>Parameter row: Regression Data!23</x:v>
      </x:c>
    </x:row>
    <x:row r="88">
      <x:c r="A88" s="17" t="str">
        <x:v>unknown:deepseek-coder-v2-lite-base</x:v>
      </x:c>
      <x:c r="B88" s="17" t="str">
        <x:v>DeepSeek-Coder-V2-Lite-Base</x:v>
      </x:c>
      <x:c r="C88" s="17" t="str"/>
      <x:c r="D88" s="17" t="str">
        <x:v>lineage:unknown:deepseek-coder-v2-lite-base</x:v>
      </x:c>
      <x:c r="E88" s="17" t="str">
        <x:v>base:unknown:deepseek-coder-v2-lite-base</x:v>
      </x:c>
      <x:c r="F88" s="23" t="str"/>
      <x:c r="G88" s="23" t="str"/>
      <x:c r="H88" s="23" t="str">
        <x:v>DeepSeek-Coder-V2-Lite-Base</x:v>
      </x:c>
      <x:c r="I88" s="31"/>
      <x:c r="J88" s="31" t="n">
        <x:v>45456</x:v>
      </x:c>
      <x:c r="K88" s="31" t="n">
        <x:v>45456</x:v>
      </x:c>
      <x:c r="L88" s="17" t="str">
        <x:v>ECI exact date</x:v>
      </x:c>
      <x:c r="M88" s="73"/>
      <x:c r="N88" s="20" t="n">
        <x:v>108.64</x:v>
      </x:c>
      <x:c r="O88" s="20" t="n">
        <x:v>98.31</x:v>
      </x:c>
      <x:c r="P88" s="20" t="n">
        <x:v>113.9</x:v>
      </x:c>
      <x:c r="Q88" s="20"/>
      <x:c r="R88" s="20"/>
      <x:c r="S88" s="20"/>
      <x:c r="T88" s="20"/>
      <x:c r="U88" s="20"/>
      <x:c r="V88" s="20"/>
      <x:c r="W88" s="20" t="str"/>
      <x:c r="X88" s="20"/>
      <x:c r="Y88" s="20"/>
      <x:c r="Z88" s="20"/>
      <x:c r="AA88" s="20"/>
      <x:c r="AB88" s="23" t="str"/>
      <x:c r="AC88" s="23" t="str">
        <x:v>ECI-only row</x:v>
      </x:c>
      <x:c r="AD88" s="23" t="str"/>
      <x:c r="AE88" s="23" t="str"/>
    </x:row>
    <x:row r="89">
      <x:c r="A89" s="17" t="str">
        <x:v>anthropic:claude-3-5-sonnet</x:v>
      </x:c>
      <x:c r="B89" s="17" t="str">
        <x:v>Claude 3.5 Sonnet</x:v>
      </x:c>
      <x:c r="C89" s="17" t="str">
        <x:v>Anthropic</x:v>
      </x:c>
      <x:c r="D89" s="17" t="str">
        <x:v>lineage:anthropic:claude-3-5-sonnet</x:v>
      </x:c>
      <x:c r="E89" s="17" t="str">
        <x:v>base:anthropic:claude-3-5-sonnet</x:v>
      </x:c>
      <x:c r="F89" s="23" t="str"/>
      <x:c r="G89" s="23" t="str"/>
      <x:c r="H89" s="23" t="str">
        <x:v>Claude 3.5 Sonnet</x:v>
      </x:c>
      <x:c r="I89" s="31"/>
      <x:c r="J89" s="31" t="n">
        <x:v>45463</x:v>
      </x:c>
      <x:c r="K89" s="31" t="n">
        <x:v>45463</x:v>
      </x:c>
      <x:c r="L89" s="17" t="str">
        <x:v>ECI exact date</x:v>
      </x:c>
      <x:c r="M89" s="73"/>
      <x:c r="N89" s="20" t="n">
        <x:v>130</x:v>
      </x:c>
      <x:c r="O89" s="20"/>
      <x:c r="P89" s="20"/>
      <x:c r="Q89" s="20"/>
      <x:c r="R89" s="20"/>
      <x:c r="S89" s="20"/>
      <x:c r="T89" s="20"/>
      <x:c r="U89" s="20"/>
      <x:c r="V89" s="20"/>
      <x:c r="W89" s="20" t="str"/>
      <x:c r="X89" s="20"/>
      <x:c r="Y89" s="20"/>
      <x:c r="Z89" s="20"/>
      <x:c r="AA89" s="20"/>
      <x:c r="AB89" s="23" t="str"/>
      <x:c r="AC89" s="23" t="str">
        <x:v>ECI-only row</x:v>
      </x:c>
      <x:c r="AD89" s="23" t="str"/>
      <x:c r="AE89" s="23" t="str"/>
    </x:row>
    <x:row r="90">
      <x:c r="A90" s="17" t="str">
        <x:v>google:gemma-2-27b</x:v>
      </x:c>
      <x:c r="B90" s="17" t="str">
        <x:v>Gemma 2 27B</x:v>
      </x:c>
      <x:c r="C90" s="17" t="str">
        <x:v>Google DeepMind</x:v>
      </x:c>
      <x:c r="D90" s="17" t="str">
        <x:v>lineage:google:gemma-2-27b</x:v>
      </x:c>
      <x:c r="E90" s="17" t="str">
        <x:v>base:google:gemma-2-27b</x:v>
      </x:c>
      <x:c r="F90" s="23" t="str"/>
      <x:c r="G90" s="23" t="str"/>
      <x:c r="H90" s="23" t="str">
        <x:v>Gemma 2 27B</x:v>
      </x:c>
      <x:c r="I90" s="31"/>
      <x:c r="J90" s="31" t="n">
        <x:v>45467</x:v>
      </x:c>
      <x:c r="K90" s="31" t="n">
        <x:v>45467</x:v>
      </x:c>
      <x:c r="L90" s="17" t="str">
        <x:v>ECI exact date</x:v>
      </x:c>
      <x:c r="M90" s="73"/>
      <x:c r="N90" s="20" t="n">
        <x:v>122.47</x:v>
      </x:c>
      <x:c r="O90" s="20" t="n">
        <x:v>115.04</x:v>
      </x:c>
      <x:c r="P90" s="20" t="n">
        <x:v>124.23</x:v>
      </x:c>
      <x:c r="Q90" s="20"/>
      <x:c r="R90" s="20"/>
      <x:c r="S90" s="20"/>
      <x:c r="T90" s="20" t="n">
        <x:v>27</x:v>
      </x:c>
      <x:c r="U90" s="20"/>
      <x:c r="V90" s="20"/>
      <x:c r="W90" s="20" t="str"/>
      <x:c r="X90" s="20"/>
      <x:c r="Y90" s="20"/>
      <x:c r="Z90" s="20"/>
      <x:c r="AA90" s="20"/>
      <x:c r="AB90" s="23" t="str"/>
      <x:c r="AC90" s="23" t="str">
        <x:v>ECI-only row</x:v>
      </x:c>
      <x:c r="AD90" s="23" t="str"/>
      <x:c r="AE90" s="23" t="str">
        <x:v>Parameter row: Regression Data!24</x:v>
      </x:c>
    </x:row>
    <x:row r="91">
      <x:c r="A91" s="17" t="str">
        <x:v>google:gemma-2-9b</x:v>
      </x:c>
      <x:c r="B91" s="17" t="str">
        <x:v>Gemma 2 9B</x:v>
      </x:c>
      <x:c r="C91" s="17" t="str">
        <x:v>Google DeepMind</x:v>
      </x:c>
      <x:c r="D91" s="17" t="str">
        <x:v>lineage:google:gemma-2-9b</x:v>
      </x:c>
      <x:c r="E91" s="17" t="str">
        <x:v>base:google:gemma-2-9b</x:v>
      </x:c>
      <x:c r="F91" s="23" t="str"/>
      <x:c r="G91" s="23" t="str"/>
      <x:c r="H91" s="23" t="str">
        <x:v>Gemma 2 9B</x:v>
      </x:c>
      <x:c r="I91" s="31"/>
      <x:c r="J91" s="31" t="n">
        <x:v>45467</x:v>
      </x:c>
      <x:c r="K91" s="31" t="n">
        <x:v>45467</x:v>
      </x:c>
      <x:c r="L91" s="17" t="str">
        <x:v>ECI exact date</x:v>
      </x:c>
      <x:c r="M91" s="73"/>
      <x:c r="N91" s="20" t="n">
        <x:v>119.58</x:v>
      </x:c>
      <x:c r="O91" s="20" t="n">
        <x:v>111.3</x:v>
      </x:c>
      <x:c r="P91" s="20" t="n">
        <x:v>122.38</x:v>
      </x:c>
      <x:c r="Q91" s="20"/>
      <x:c r="R91" s="20"/>
      <x:c r="S91" s="20"/>
      <x:c r="T91" s="20"/>
      <x:c r="U91" s="20"/>
      <x:c r="V91" s="20"/>
      <x:c r="W91" s="20" t="str"/>
      <x:c r="X91" s="20"/>
      <x:c r="Y91" s="20"/>
      <x:c r="Z91" s="20"/>
      <x:c r="AA91" s="20"/>
      <x:c r="AB91" s="23" t="str"/>
      <x:c r="AC91" s="23" t="str">
        <x:v>ECI-only row</x:v>
      </x:c>
      <x:c r="AD91" s="23" t="str"/>
      <x:c r="AE91" s="23" t="str"/>
    </x:row>
    <x:row r="92">
      <x:c r="A92" s="17" t="str">
        <x:v>mistral:mistral-nemo</x:v>
      </x:c>
      <x:c r="B92" s="17" t="str">
        <x:v>Mistral NeMo</x:v>
      </x:c>
      <x:c r="C92" s="17" t="str">
        <x:v>Mistral AI</x:v>
      </x:c>
      <x:c r="D92" s="17" t="str">
        <x:v>lineage:mistral:mistral-nemo</x:v>
      </x:c>
      <x:c r="E92" s="17" t="str">
        <x:v>base:mistral:mistral-nemo</x:v>
      </x:c>
      <x:c r="F92" s="23" t="str"/>
      <x:c r="G92" s="23" t="str">
        <x:v>Mistral Nemo 12B</x:v>
      </x:c>
      <x:c r="H92" s="23" t="str">
        <x:v>Mistral NeMo</x:v>
      </x:c>
      <x:c r="I92" s="31" t="n">
        <x:v>45474</x:v>
      </x:c>
      <x:c r="J92" s="31" t="n">
        <x:v>45491</x:v>
      </x:c>
      <x:c r="K92" s="31" t="n">
        <x:v>45491</x:v>
      </x:c>
      <x:c r="L92" s="17" t="str">
        <x:v>ECI exact date</x:v>
      </x:c>
      <x:c r="M92" s="73" t="n">
        <x:v>17</x:v>
      </x:c>
      <x:c r="N92" s="20" t="n">
        <x:v>118.38</x:v>
      </x:c>
      <x:c r="O92" s="20" t="n">
        <x:v>109.85</x:v>
      </x:c>
      <x:c r="P92" s="20" t="n">
        <x:v>121.76</x:v>
      </x:c>
      <x:c r="Q92" s="20"/>
      <x:c r="R92" s="20" t="n">
        <x:v>12</x:v>
      </x:c>
      <x:c r="S92" s="20" t="n">
        <x:v>12</x:v>
      </x:c>
      <x:c r="T92" s="20" t="n">
        <x:v>12</x:v>
      </x:c>
      <x:c r="U92" s="20"/>
      <x:c r="V92" s="20" t="n">
        <x:v>40</x:v>
      </x:c>
      <x:c r="W92" s="20" t="str">
        <x:v>Dense</x:v>
      </x:c>
      <x:c r="X92" s="20" t="n">
        <x:v>0.126</x:v>
      </x:c>
      <x:c r="Y92" s="20" t="n">
        <x:v>0.048</x:v>
      </x:c>
      <x:c r="Z92" s="20" t="n">
        <x:v>0.002</x:v>
      </x:c>
      <x:c r="AA92" s="20" t="n">
        <x:v>0.3</x:v>
      </x:c>
      <x:c r="AB92" s="23" t="str">
        <x:v>Paper open-weight</x:v>
      </x:c>
      <x:c r="AC92" s="23" t="str">
        <x:v>Manual exact ECI join</x:v>
      </x:c>
      <x:c r="AD92" s="23" t="str"/>
      <x:c r="AE92" s="23" t="str">
        <x:v>Parameter row: Regression Data!25</x:v>
      </x:c>
    </x:row>
    <x:row r="93">
      <x:c r="A93" s="17" t="str">
        <x:v>openai:gpt-4o-mini</x:v>
      </x:c>
      <x:c r="B93" s="17" t="str">
        <x:v>GPT-4o mini</x:v>
      </x:c>
      <x:c r="C93" s="17" t="str">
        <x:v>OpenAI</x:v>
      </x:c>
      <x:c r="D93" s="17" t="str">
        <x:v>lineage:openai:gpt-4o-mini</x:v>
      </x:c>
      <x:c r="E93" s="17" t="str">
        <x:v>base:openai:gpt-4o-mini</x:v>
      </x:c>
      <x:c r="F93" s="23" t="str"/>
      <x:c r="G93" s="23" t="str"/>
      <x:c r="H93" s="23" t="str">
        <x:v>GPT-4o mini</x:v>
      </x:c>
      <x:c r="I93" s="31"/>
      <x:c r="J93" s="31" t="n">
        <x:v>45491</x:v>
      </x:c>
      <x:c r="K93" s="31" t="n">
        <x:v>45491</x:v>
      </x:c>
      <x:c r="L93" s="17" t="str">
        <x:v>ECI exact date</x:v>
      </x:c>
      <x:c r="M93" s="73"/>
      <x:c r="N93" s="20" t="n">
        <x:v>126.94</x:v>
      </x:c>
      <x:c r="O93" s="20" t="n">
        <x:v>120.2</x:v>
      </x:c>
      <x:c r="P93" s="20" t="n">
        <x:v>129.11</x:v>
      </x:c>
      <x:c r="Q93" s="20"/>
      <x:c r="R93" s="20"/>
      <x:c r="S93" s="20"/>
      <x:c r="T93" s="20"/>
      <x:c r="U93" s="20"/>
      <x:c r="V93" s="20"/>
      <x:c r="W93" s="20" t="str"/>
      <x:c r="X93" s="20"/>
      <x:c r="Y93" s="20"/>
      <x:c r="Z93" s="20"/>
      <x:c r="AA93" s="20"/>
      <x:c r="AB93" s="23" t="str"/>
      <x:c r="AC93" s="23" t="str">
        <x:v>ECI-only row</x:v>
      </x:c>
      <x:c r="AD93" s="23" t="str"/>
      <x:c r="AE93" s="23" t="str"/>
    </x:row>
    <x:row r="94">
      <x:c r="A94" s="17" t="str">
        <x:v>meta:llama-3-1-405b</x:v>
      </x:c>
      <x:c r="B94" s="17" t="str">
        <x:v>Llama 3.1-405B</x:v>
      </x:c>
      <x:c r="C94" s="17" t="str">
        <x:v>Meta AI</x:v>
      </x:c>
      <x:c r="D94" s="17" t="str">
        <x:v>lineage:meta:llama-3-1-405b</x:v>
      </x:c>
      <x:c r="E94" s="17" t="str">
        <x:v>base:meta:llama-3-1-405b</x:v>
      </x:c>
      <x:c r="F94" s="23" t="str"/>
      <x:c r="G94" s="23" t="str"/>
      <x:c r="H94" s="23" t="str">
        <x:v>Llama 3.1-405B</x:v>
      </x:c>
      <x:c r="I94" s="31"/>
      <x:c r="J94" s="31" t="n">
        <x:v>45496</x:v>
      </x:c>
      <x:c r="K94" s="31" t="n">
        <x:v>45496</x:v>
      </x:c>
      <x:c r="L94" s="17" t="str">
        <x:v>ECI exact date</x:v>
      </x:c>
      <x:c r="M94" s="73"/>
      <x:c r="N94" s="20" t="n">
        <x:v>128.99</x:v>
      </x:c>
      <x:c r="O94" s="20" t="n">
        <x:v>123.59</x:v>
      </x:c>
      <x:c r="P94" s="20" t="n">
        <x:v>130.73</x:v>
      </x:c>
      <x:c r="Q94" s="20"/>
      <x:c r="R94" s="20"/>
      <x:c r="S94" s="20"/>
      <x:c r="T94" s="20" t="n">
        <x:v>405</x:v>
      </x:c>
      <x:c r="U94" s="20"/>
      <x:c r="V94" s="20"/>
      <x:c r="W94" s="20" t="str"/>
      <x:c r="X94" s="20"/>
      <x:c r="Y94" s="20"/>
      <x:c r="Z94" s="20"/>
      <x:c r="AA94" s="20"/>
      <x:c r="AB94" s="23" t="str"/>
      <x:c r="AC94" s="23" t="str">
        <x:v>ECI-only row</x:v>
      </x:c>
      <x:c r="AD94" s="23" t="str"/>
      <x:c r="AE94" s="23" t="str">
        <x:v>Parameter row: Regression Data!26</x:v>
      </x:c>
    </x:row>
    <x:row r="95">
      <x:c r="A95" s="17" t="str">
        <x:v>meta:llama-3-1-70b</x:v>
      </x:c>
      <x:c r="B95" s="17" t="str">
        <x:v>Llama 3.1-70B</x:v>
      </x:c>
      <x:c r="C95" s="17" t="str">
        <x:v>Meta AI</x:v>
      </x:c>
      <x:c r="D95" s="17" t="str">
        <x:v>lineage:meta:llama-3-1-70b</x:v>
      </x:c>
      <x:c r="E95" s="17" t="str">
        <x:v>base:meta:llama-3-1-70b</x:v>
      </x:c>
      <x:c r="F95" s="23" t="str"/>
      <x:c r="G95" s="23" t="str">
        <x:v>Llama 3.1 70B Instruct</x:v>
      </x:c>
      <x:c r="H95" s="23" t="str">
        <x:v>Llama 3.1-70B</x:v>
      </x:c>
      <x:c r="I95" s="31" t="n">
        <x:v>45474</x:v>
      </x:c>
      <x:c r="J95" s="31" t="n">
        <x:v>45496</x:v>
      </x:c>
      <x:c r="K95" s="31" t="n">
        <x:v>45496</x:v>
      </x:c>
      <x:c r="L95" s="17" t="str">
        <x:v>ECI exact date</x:v>
      </x:c>
      <x:c r="M95" s="73" t="n">
        <x:v>22</x:v>
      </x:c>
      <x:c r="N95" s="20" t="n">
        <x:v>125.53</x:v>
      </x:c>
      <x:c r="O95" s="20" t="n">
        <x:v>118.91</x:v>
      </x:c>
      <x:c r="P95" s="20" t="n">
        <x:v>127.47</x:v>
      </x:c>
      <x:c r="Q95" s="20"/>
      <x:c r="R95" s="20" t="n">
        <x:v>70</x:v>
      </x:c>
      <x:c r="S95" s="20" t="n">
        <x:v>70</x:v>
      </x:c>
      <x:c r="T95" s="20" t="n">
        <x:v>70</x:v>
      </x:c>
      <x:c r="U95" s="20"/>
      <x:c r="V95" s="20" t="n">
        <x:v>80</x:v>
      </x:c>
      <x:c r="W95" s="20" t="str">
        <x:v>Dense</x:v>
      </x:c>
      <x:c r="X95" s="20" t="n">
        <x:v>0.407</x:v>
      </x:c>
      <x:c r="Y95" s="20" t="n">
        <x:v>0.195</x:v>
      </x:c>
      <x:c r="Z95" s="20" t="n">
        <x:v>0.022</x:v>
      </x:c>
      <x:c r="AA95" s="20" t="n">
        <x:v>0.762</x:v>
      </x:c>
      <x:c r="AB95" s="23" t="str">
        <x:v>Paper open-weight</x:v>
      </x:c>
      <x:c r="AC95" s="23" t="str">
        <x:v>Manual exact ECI join</x:v>
      </x:c>
      <x:c r="AD95" s="23" t="str"/>
      <x:c r="AE95" s="23" t="str">
        <x:v>Parameter row: Regression Data!27</x:v>
      </x:c>
    </x:row>
    <x:row r="96">
      <x:c r="A96" s="17" t="str">
        <x:v>meta:llama-3-1-8b</x:v>
      </x:c>
      <x:c r="B96" s="17" t="str">
        <x:v>Llama 3.1-8B</x:v>
      </x:c>
      <x:c r="C96" s="17" t="str">
        <x:v>Meta AI</x:v>
      </x:c>
      <x:c r="D96" s="17" t="str">
        <x:v>lineage:meta:llama-3-1-8b</x:v>
      </x:c>
      <x:c r="E96" s="17" t="str">
        <x:v>base:meta:llama-3-1-8b</x:v>
      </x:c>
      <x:c r="F96" s="23" t="str"/>
      <x:c r="G96" s="23" t="str">
        <x:v>Llama 3.1 8B Instruct</x:v>
      </x:c>
      <x:c r="H96" s="23" t="str">
        <x:v>Llama 3.1-8B</x:v>
      </x:c>
      <x:c r="I96" s="31" t="n">
        <x:v>45474</x:v>
      </x:c>
      <x:c r="J96" s="31" t="n">
        <x:v>45496</x:v>
      </x:c>
      <x:c r="K96" s="31" t="n">
        <x:v>45496</x:v>
      </x:c>
      <x:c r="L96" s="17" t="str">
        <x:v>ECI exact date</x:v>
      </x:c>
      <x:c r="M96" s="73" t="n">
        <x:v>22</x:v>
      </x:c>
      <x:c r="N96" s="20" t="n">
        <x:v>115.45</x:v>
      </x:c>
      <x:c r="O96" s="20" t="n">
        <x:v>103.85</x:v>
      </x:c>
      <x:c r="P96" s="20" t="n">
        <x:v>121.29</x:v>
      </x:c>
      <x:c r="Q96" s="20"/>
      <x:c r="R96" s="20" t="n">
        <x:v>8</x:v>
      </x:c>
      <x:c r="S96" s="20" t="n">
        <x:v>8</x:v>
      </x:c>
      <x:c r="T96" s="20"/>
      <x:c r="U96" s="20"/>
      <x:c r="V96" s="20" t="n">
        <x:v>32</x:v>
      </x:c>
      <x:c r="W96" s="20" t="str">
        <x:v>Dense</x:v>
      </x:c>
      <x:c r="X96" s="20" t="n">
        <x:v>0.097</x:v>
      </x:c>
      <x:c r="Y96" s="20" t="n">
        <x:v>0.034</x:v>
      </x:c>
      <x:c r="Z96" s="20" t="n">
        <x:v>0</x:v>
      </x:c>
      <x:c r="AA96" s="20" t="n">
        <x:v>0.279</x:v>
      </x:c>
      <x:c r="AB96" s="23" t="str">
        <x:v>Paper open-weight</x:v>
      </x:c>
      <x:c r="AC96" s="23" t="str">
        <x:v>Manual exact ECI join</x:v>
      </x:c>
      <x:c r="AD96" s="23" t="str"/>
      <x:c r="AE96" s="23" t="str"/>
    </x:row>
    <x:row r="97">
      <x:c r="A97" s="17" t="str">
        <x:v>mistral:mistral-large-2-jul-2024</x:v>
      </x:c>
      <x:c r="B97" s="17" t="str">
        <x:v>Mistral Large 2 (Jul 2024)</x:v>
      </x:c>
      <x:c r="C97" s="17" t="str">
        <x:v>Mistral AI</x:v>
      </x:c>
      <x:c r="D97" s="17" t="str">
        <x:v>lineage:mistral:mistral-large-2-jul-2024</x:v>
      </x:c>
      <x:c r="E97" s="17" t="str">
        <x:v>base:mistral:mistral-large-2-jul-2024</x:v>
      </x:c>
      <x:c r="F97" s="23" t="str"/>
      <x:c r="G97" s="23" t="str"/>
      <x:c r="H97" s="23" t="str">
        <x:v>Mistral Large 2 (Jul 2024)</x:v>
      </x:c>
      <x:c r="I97" s="31"/>
      <x:c r="J97" s="31" t="n">
        <x:v>45497</x:v>
      </x:c>
      <x:c r="K97" s="31" t="n">
        <x:v>45497</x:v>
      </x:c>
      <x:c r="L97" s="17" t="str">
        <x:v>ECI exact date</x:v>
      </x:c>
      <x:c r="M97" s="73"/>
      <x:c r="N97" s="20" t="n">
        <x:v>127.53</x:v>
      </x:c>
      <x:c r="O97" s="20" t="n">
        <x:v>121.93</x:v>
      </x:c>
      <x:c r="P97" s="20" t="n">
        <x:v>129.33</x:v>
      </x:c>
      <x:c r="Q97" s="20"/>
      <x:c r="R97" s="20"/>
      <x:c r="S97" s="20"/>
      <x:c r="T97" s="20"/>
      <x:c r="U97" s="20"/>
      <x:c r="V97" s="20"/>
      <x:c r="W97" s="20" t="str"/>
      <x:c r="X97" s="20"/>
      <x:c r="Y97" s="20"/>
      <x:c r="Z97" s="20"/>
      <x:c r="AA97" s="20"/>
      <x:c r="AB97" s="23" t="str"/>
      <x:c r="AC97" s="23" t="str">
        <x:v>ECI-only row</x:v>
      </x:c>
      <x:c r="AD97" s="23" t="str"/>
      <x:c r="AE97" s="23" t="str"/>
    </x:row>
    <x:row r="98">
      <x:c r="A98" s="17" t="str">
        <x:v>mistral:mistral-large-2-nov-2024</x:v>
      </x:c>
      <x:c r="B98" s="17" t="str">
        <x:v>Mistral Large 2 (Nov 2024)</x:v>
      </x:c>
      <x:c r="C98" s="17" t="str">
        <x:v>Mistral AI</x:v>
      </x:c>
      <x:c r="D98" s="17" t="str">
        <x:v>lineage:mistral:mistral-large-2-nov-2024</x:v>
      </x:c>
      <x:c r="E98" s="17" t="str">
        <x:v>base:mistral:mistral-large-2-nov-2024</x:v>
      </x:c>
      <x:c r="F98" s="23" t="str"/>
      <x:c r="G98" s="23" t="str"/>
      <x:c r="H98" s="23" t="str">
        <x:v>Mistral Large 2 (Nov 2024)</x:v>
      </x:c>
      <x:c r="I98" s="31"/>
      <x:c r="J98" s="31" t="n">
        <x:v>45497</x:v>
      </x:c>
      <x:c r="K98" s="31" t="n">
        <x:v>45497</x:v>
      </x:c>
      <x:c r="L98" s="17" t="str">
        <x:v>ECI exact date</x:v>
      </x:c>
      <x:c r="M98" s="73"/>
      <x:c r="N98" s="20" t="n">
        <x:v>128.81</x:v>
      </x:c>
      <x:c r="O98" s="20" t="n">
        <x:v>123.59</x:v>
      </x:c>
      <x:c r="P98" s="20" t="n">
        <x:v>130.68</x:v>
      </x:c>
      <x:c r="Q98" s="20"/>
      <x:c r="R98" s="20"/>
      <x:c r="S98" s="20"/>
      <x:c r="T98" s="20"/>
      <x:c r="U98" s="20"/>
      <x:c r="V98" s="20"/>
      <x:c r="W98" s="20" t="str"/>
      <x:c r="X98" s="20"/>
      <x:c r="Y98" s="20"/>
      <x:c r="Z98" s="20"/>
      <x:c r="AA98" s="20"/>
      <x:c r="AB98" s="23" t="str"/>
      <x:c r="AC98" s="23" t="str">
        <x:v>ECI-only row</x:v>
      </x:c>
      <x:c r="AD98" s="23" t="str"/>
      <x:c r="AE98" s="23" t="str"/>
    </x:row>
    <x:row r="99">
      <x:c r="A99" s="17" t="str">
        <x:v>xai:grok-2-dec-2024</x:v>
      </x:c>
      <x:c r="B99" s="17" t="str">
        <x:v>Grok-2 (Dec 2024)</x:v>
      </x:c>
      <x:c r="C99" s="17" t="str">
        <x:v>xAI</x:v>
      </x:c>
      <x:c r="D99" s="17" t="str">
        <x:v>lineage:xai:grok-2-dec-2024</x:v>
      </x:c>
      <x:c r="E99" s="17" t="str">
        <x:v>base:xai:grok-2-dec-2024</x:v>
      </x:c>
      <x:c r="F99" s="23" t="str"/>
      <x:c r="G99" s="23" t="str"/>
      <x:c r="H99" s="23" t="str">
        <x:v>Grok-2 (Dec 2024)</x:v>
      </x:c>
      <x:c r="I99" s="31"/>
      <x:c r="J99" s="31" t="n">
        <x:v>45517</x:v>
      </x:c>
      <x:c r="K99" s="31" t="n">
        <x:v>45517</x:v>
      </x:c>
      <x:c r="L99" s="17" t="str">
        <x:v>ECI exact date</x:v>
      </x:c>
      <x:c r="M99" s="73"/>
      <x:c r="N99" s="20" t="n">
        <x:v>130.78</x:v>
      </x:c>
      <x:c r="O99" s="20" t="n">
        <x:v>124.85</x:v>
      </x:c>
      <x:c r="P99" s="20" t="n">
        <x:v>131.99</x:v>
      </x:c>
      <x:c r="Q99" s="20"/>
      <x:c r="R99" s="20"/>
      <x:c r="S99" s="20"/>
      <x:c r="T99" s="20"/>
      <x:c r="U99" s="20"/>
      <x:c r="V99" s="20"/>
      <x:c r="W99" s="20" t="str"/>
      <x:c r="X99" s="20"/>
      <x:c r="Y99" s="20"/>
      <x:c r="Z99" s="20"/>
      <x:c r="AA99" s="20"/>
      <x:c r="AB99" s="23" t="str"/>
      <x:c r="AC99" s="23" t="str">
        <x:v>ECI-only row</x:v>
      </x:c>
      <x:c r="AD99" s="23" t="str"/>
      <x:c r="AE99" s="23" t="str"/>
    </x:row>
    <x:row r="100">
      <x:c r="A100" s="17" t="str">
        <x:v>meta:llama-3-2-1b-instruct</x:v>
      </x:c>
      <x:c r="B100" s="17" t="str">
        <x:v>Llama 3.2 1B Instruct</x:v>
      </x:c>
      <x:c r="C100" s="17" t="str">
        <x:v>Meta AI</x:v>
      </x:c>
      <x:c r="D100" s="17" t="str">
        <x:v>lineage:meta:llama-3-2-1b-instruct</x:v>
      </x:c>
      <x:c r="E100" s="17" t="str">
        <x:v>base:meta:llama-3-2-1b-instruct</x:v>
      </x:c>
      <x:c r="F100" s="23" t="str"/>
      <x:c r="G100" s="23" t="str">
        <x:v>Llama 3.2 1B Instruct</x:v>
      </x:c>
      <x:c r="H100" s="23" t="str"/>
      <x:c r="I100" s="31" t="n">
        <x:v>45536</x:v>
      </x:c>
      <x:c r="J100" s="31"/>
      <x:c r="K100" s="31" t="n">
        <x:v>45536</x:v>
      </x:c>
      <x:c r="L100" s="17" t="str">
        <x:v>Paper month only</x:v>
      </x:c>
      <x:c r="M100" s="73"/>
      <x:c r="N100" s="20"/>
      <x:c r="O100" s="20"/>
      <x:c r="P100" s="20"/>
      <x:c r="Q100" s="20"/>
      <x:c r="R100" s="20" t="n">
        <x:v>1</x:v>
      </x:c>
      <x:c r="S100" s="20" t="n">
        <x:v>1</x:v>
      </x:c>
      <x:c r="T100" s="20"/>
      <x:c r="U100" s="20"/>
      <x:c r="V100" s="20" t="n">
        <x:v>16</x:v>
      </x:c>
      <x:c r="W100" s="20" t="str">
        <x:v>Dense</x:v>
      </x:c>
      <x:c r="X100" s="20" t="n">
        <x:v>0.055</x:v>
      </x:c>
      <x:c r="Y100" s="20" t="n">
        <x:v>0.021</x:v>
      </x:c>
      <x:c r="Z100" s="20" t="n">
        <x:v>0</x:v>
      </x:c>
      <x:c r="AA100" s="20" t="n">
        <x:v>0.084</x:v>
      </x:c>
      <x:c r="AB100" s="23" t="str">
        <x:v>Paper open-weight</x:v>
      </x:c>
      <x:c r="AC100" s="23" t="str">
        <x:v>No exact ECI checkpoint</x:v>
      </x:c>
      <x:c r="AD100" s="23" t="str"/>
      <x:c r="AE100" s="23" t="str"/>
    </x:row>
    <x:row r="101">
      <x:c r="A101" s="17" t="str">
        <x:v>meta:llama-3-2-3b-instruct</x:v>
      </x:c>
      <x:c r="B101" s="17" t="str">
        <x:v>Llama 3.2 3B Instruct</x:v>
      </x:c>
      <x:c r="C101" s="17" t="str">
        <x:v>Meta AI</x:v>
      </x:c>
      <x:c r="D101" s="17" t="str">
        <x:v>lineage:meta:llama-3-2-3b-instruct</x:v>
      </x:c>
      <x:c r="E101" s="17" t="str">
        <x:v>base:meta:llama-3-2-3b-instruct</x:v>
      </x:c>
      <x:c r="F101" s="23" t="str"/>
      <x:c r="G101" s="23" t="str">
        <x:v>Llama 3.2 3B Instruct</x:v>
      </x:c>
      <x:c r="H101" s="23" t="str"/>
      <x:c r="I101" s="31" t="n">
        <x:v>45536</x:v>
      </x:c>
      <x:c r="J101" s="31"/>
      <x:c r="K101" s="31" t="n">
        <x:v>45536</x:v>
      </x:c>
      <x:c r="L101" s="17" t="str">
        <x:v>Paper month only</x:v>
      </x:c>
      <x:c r="M101" s="73"/>
      <x:c r="N101" s="20"/>
      <x:c r="O101" s="20"/>
      <x:c r="P101" s="20"/>
      <x:c r="Q101" s="20"/>
      <x:c r="R101" s="20" t="n">
        <x:v>3</x:v>
      </x:c>
      <x:c r="S101" s="20" t="n">
        <x:v>3</x:v>
      </x:c>
      <x:c r="T101" s="20"/>
      <x:c r="U101" s="20"/>
      <x:c r="V101" s="20" t="n">
        <x:v>28</x:v>
      </x:c>
      <x:c r="W101" s="20" t="str">
        <x:v>Dense</x:v>
      </x:c>
      <x:c r="X101" s="20" t="n">
        <x:v>0.146</x:v>
      </x:c>
      <x:c r="Y101" s="20" t="n">
        <x:v>0.06</x:v>
      </x:c>
      <x:c r="Z101" s="20" t="n">
        <x:v>0</x:v>
      </x:c>
      <x:c r="AA101" s="20" t="n">
        <x:v>0.297</x:v>
      </x:c>
      <x:c r="AB101" s="23" t="str">
        <x:v>Paper open-weight</x:v>
      </x:c>
      <x:c r="AC101" s="23" t="str">
        <x:v>No exact ECI checkpoint</x:v>
      </x:c>
      <x:c r="AD101" s="23" t="str"/>
      <x:c r="AE101" s="23" t="str"/>
    </x:row>
    <x:row r="102">
      <x:c r="A102" s="17" t="str">
        <x:v>openai:o1-mini</x:v>
      </x:c>
      <x:c r="B102" s="17" t="str">
        <x:v>o1-mini</x:v>
      </x:c>
      <x:c r="C102" s="17" t="str">
        <x:v>OpenAI</x:v>
      </x:c>
      <x:c r="D102" s="17" t="str">
        <x:v>lineage:openai:o1-mini</x:v>
      </x:c>
      <x:c r="E102" s="17" t="str">
        <x:v>base:openai:o1-mini</x:v>
      </x:c>
      <x:c r="F102" s="23" t="str"/>
      <x:c r="G102" s="23" t="str"/>
      <x:c r="H102" s="23" t="str">
        <x:v>o1-mini</x:v>
      </x:c>
      <x:c r="I102" s="31"/>
      <x:c r="J102" s="31" t="n">
        <x:v>45547</x:v>
      </x:c>
      <x:c r="K102" s="31" t="n">
        <x:v>45547</x:v>
      </x:c>
      <x:c r="L102" s="17" t="str">
        <x:v>ECI exact date</x:v>
      </x:c>
      <x:c r="M102" s="73"/>
      <x:c r="N102" s="20" t="n">
        <x:v>136.56</x:v>
      </x:c>
      <x:c r="O102" s="20" t="n">
        <x:v>132.78</x:v>
      </x:c>
      <x:c r="P102" s="20" t="n">
        <x:v>138</x:v>
      </x:c>
      <x:c r="Q102" s="20"/>
      <x:c r="R102" s="20"/>
      <x:c r="S102" s="20"/>
      <x:c r="T102" s="20"/>
      <x:c r="U102" s="20"/>
      <x:c r="V102" s="20"/>
      <x:c r="W102" s="20" t="str"/>
      <x:c r="X102" s="20"/>
      <x:c r="Y102" s="20"/>
      <x:c r="Z102" s="20"/>
      <x:c r="AA102" s="20"/>
      <x:c r="AB102" s="23" t="str"/>
      <x:c r="AC102" s="23" t="str">
        <x:v>ECI-only row</x:v>
      </x:c>
      <x:c r="AD102" s="23" t="str"/>
      <x:c r="AE102" s="23" t="str"/>
    </x:row>
    <x:row r="103">
      <x:c r="A103" s="17" t="str">
        <x:v>openai:o1-preview</x:v>
      </x:c>
      <x:c r="B103" s="17" t="str">
        <x:v>o1-preview</x:v>
      </x:c>
      <x:c r="C103" s="17" t="str">
        <x:v>OpenAI</x:v>
      </x:c>
      <x:c r="D103" s="17" t="str">
        <x:v>lineage:openai:o1-preview</x:v>
      </x:c>
      <x:c r="E103" s="17" t="str">
        <x:v>base:openai:o1-preview</x:v>
      </x:c>
      <x:c r="F103" s="23" t="str"/>
      <x:c r="G103" s="23" t="str"/>
      <x:c r="H103" s="23" t="str">
        <x:v>o1-preview</x:v>
      </x:c>
      <x:c r="I103" s="31"/>
      <x:c r="J103" s="31" t="n">
        <x:v>45547</x:v>
      </x:c>
      <x:c r="K103" s="31" t="n">
        <x:v>45547</x:v>
      </x:c>
      <x:c r="L103" s="17" t="str">
        <x:v>ECI exact date</x:v>
      </x:c>
      <x:c r="M103" s="73"/>
      <x:c r="N103" s="20" t="n">
        <x:v>135.81</x:v>
      </x:c>
      <x:c r="O103" s="20" t="n">
        <x:v>132.17</x:v>
      </x:c>
      <x:c r="P103" s="20" t="n">
        <x:v>139.39</x:v>
      </x:c>
      <x:c r="Q103" s="20"/>
      <x:c r="R103" s="20"/>
      <x:c r="S103" s="20"/>
      <x:c r="T103" s="20"/>
      <x:c r="U103" s="20"/>
      <x:c r="V103" s="20"/>
      <x:c r="W103" s="20" t="str"/>
      <x:c r="X103" s="20"/>
      <x:c r="Y103" s="20"/>
      <x:c r="Z103" s="20"/>
      <x:c r="AA103" s="20"/>
      <x:c r="AB103" s="23" t="str"/>
      <x:c r="AC103" s="23" t="str">
        <x:v>ECI-only row</x:v>
      </x:c>
      <x:c r="AD103" s="23" t="str"/>
      <x:c r="AE103" s="23" t="str"/>
    </x:row>
    <x:row r="104">
      <x:c r="A104" s="17" t="str">
        <x:v>alibaba:qwen2-5-coder-1-5b</x:v>
      </x:c>
      <x:c r="B104" s="17" t="str">
        <x:v>Qwen2.5-Coder (1.5B)</x:v>
      </x:c>
      <x:c r="C104" s="17" t="str">
        <x:v>Alibaba</x:v>
      </x:c>
      <x:c r="D104" s="17" t="str">
        <x:v>lineage:alibaba:qwen2-5-coder-1-5b</x:v>
      </x:c>
      <x:c r="E104" s="17" t="str">
        <x:v>base:alibaba:qwen2-5-coder-1-5b</x:v>
      </x:c>
      <x:c r="F104" s="23" t="str"/>
      <x:c r="G104" s="23" t="str"/>
      <x:c r="H104" s="23" t="str">
        <x:v>Qwen2.5-Coder (1.5B)</x:v>
      </x:c>
      <x:c r="I104" s="31"/>
      <x:c r="J104" s="31" t="n">
        <x:v>45553</x:v>
      </x:c>
      <x:c r="K104" s="31" t="n">
        <x:v>45553</x:v>
      </x:c>
      <x:c r="L104" s="17" t="str">
        <x:v>ECI exact date</x:v>
      </x:c>
      <x:c r="M104" s="73"/>
      <x:c r="N104" s="20" t="n">
        <x:v>102.72</x:v>
      </x:c>
      <x:c r="O104" s="20" t="n">
        <x:v>86.18</x:v>
      </x:c>
      <x:c r="P104" s="20" t="n">
        <x:v>110.55</x:v>
      </x:c>
      <x:c r="Q104" s="20"/>
      <x:c r="R104" s="20"/>
      <x:c r="S104" s="20"/>
      <x:c r="T104" s="20"/>
      <x:c r="U104" s="20"/>
      <x:c r="V104" s="20"/>
      <x:c r="W104" s="20" t="str"/>
      <x:c r="X104" s="20"/>
      <x:c r="Y104" s="20"/>
      <x:c r="Z104" s="20"/>
      <x:c r="AA104" s="20"/>
      <x:c r="AB104" s="23" t="str"/>
      <x:c r="AC104" s="23" t="str">
        <x:v>ECI-only row</x:v>
      </x:c>
      <x:c r="AD104" s="23" t="str"/>
      <x:c r="AE104" s="23" t="str"/>
    </x:row>
    <x:row r="105">
      <x:c r="A105" s="17" t="str">
        <x:v>alibaba:qwen2-5-coder-32b</x:v>
      </x:c>
      <x:c r="B105" s="17" t="str">
        <x:v>Qwen2.5-Coder-32B</x:v>
      </x:c>
      <x:c r="C105" s="17" t="str">
        <x:v>Alibaba</x:v>
      </x:c>
      <x:c r="D105" s="17" t="str">
        <x:v>lineage:alibaba:qwen2-5-coder-32b</x:v>
      </x:c>
      <x:c r="E105" s="17" t="str">
        <x:v>base:alibaba:qwen2-5-coder-32b</x:v>
      </x:c>
      <x:c r="F105" s="23" t="str"/>
      <x:c r="G105" s="23" t="str"/>
      <x:c r="H105" s="23" t="str">
        <x:v>Qwen2.5-Coder-32B</x:v>
      </x:c>
      <x:c r="I105" s="31"/>
      <x:c r="J105" s="31" t="n">
        <x:v>45553</x:v>
      </x:c>
      <x:c r="K105" s="31" t="n">
        <x:v>45553</x:v>
      </x:c>
      <x:c r="L105" s="17" t="str">
        <x:v>ECI exact date</x:v>
      </x:c>
      <x:c r="M105" s="73"/>
      <x:c r="N105" s="20" t="n">
        <x:v>119.27</x:v>
      </x:c>
      <x:c r="O105" s="20" t="n">
        <x:v>110.01</x:v>
      </x:c>
      <x:c r="P105" s="20" t="n">
        <x:v>124.64</x:v>
      </x:c>
      <x:c r="Q105" s="20"/>
      <x:c r="R105" s="20"/>
      <x:c r="S105" s="20"/>
      <x:c r="T105" s="20" t="n">
        <x:v>32.5</x:v>
      </x:c>
      <x:c r="U105" s="20"/>
      <x:c r="V105" s="20"/>
      <x:c r="W105" s="20" t="str"/>
      <x:c r="X105" s="20"/>
      <x:c r="Y105" s="20"/>
      <x:c r="Z105" s="20"/>
      <x:c r="AA105" s="20"/>
      <x:c r="AB105" s="23" t="str"/>
      <x:c r="AC105" s="23" t="str">
        <x:v>ECI-only row</x:v>
      </x:c>
      <x:c r="AD105" s="23" t="str"/>
      <x:c r="AE105" s="23" t="str">
        <x:v>Parameter row: Regression Data!28</x:v>
      </x:c>
    </x:row>
    <x:row r="106">
      <x:c r="A106" s="17" t="str">
        <x:v>alibaba:qwen2-5-coder-7b</x:v>
      </x:c>
      <x:c r="B106" s="17" t="str">
        <x:v>Qwen2.5-Coder (7B)</x:v>
      </x:c>
      <x:c r="C106" s="17" t="str">
        <x:v>Alibaba</x:v>
      </x:c>
      <x:c r="D106" s="17" t="str">
        <x:v>lineage:alibaba:qwen2-5-coder-7b</x:v>
      </x:c>
      <x:c r="E106" s="17" t="str">
        <x:v>base:alibaba:qwen2-5-coder-7b</x:v>
      </x:c>
      <x:c r="F106" s="23" t="str"/>
      <x:c r="G106" s="23" t="str"/>
      <x:c r="H106" s="23" t="str">
        <x:v>Qwen2.5-Coder (7B)</x:v>
      </x:c>
      <x:c r="I106" s="31"/>
      <x:c r="J106" s="31" t="n">
        <x:v>45553</x:v>
      </x:c>
      <x:c r="K106" s="31" t="n">
        <x:v>45553</x:v>
      </x:c>
      <x:c r="L106" s="17" t="str">
        <x:v>ECI exact date</x:v>
      </x:c>
      <x:c r="M106" s="73"/>
      <x:c r="N106" s="20" t="n">
        <x:v>112.91</x:v>
      </x:c>
      <x:c r="O106" s="20" t="n">
        <x:v>102.1</x:v>
      </x:c>
      <x:c r="P106" s="20" t="n">
        <x:v>118.64</x:v>
      </x:c>
      <x:c r="Q106" s="20"/>
      <x:c r="R106" s="20"/>
      <x:c r="S106" s="20"/>
      <x:c r="T106" s="20"/>
      <x:c r="U106" s="20"/>
      <x:c r="V106" s="20"/>
      <x:c r="W106" s="20" t="str"/>
      <x:c r="X106" s="20"/>
      <x:c r="Y106" s="20"/>
      <x:c r="Z106" s="20"/>
      <x:c r="AA106" s="20"/>
      <x:c r="AB106" s="23" t="str"/>
      <x:c r="AC106" s="23" t="str">
        <x:v>ECI-only row</x:v>
      </x:c>
      <x:c r="AD106" s="23" t="str"/>
      <x:c r="AE106" s="23" t="str"/>
    </x:row>
    <x:row r="107">
      <x:c r="A107" s="17" t="str">
        <x:v>unknown:qwen2-5-coder-0-5b</x:v>
      </x:c>
      <x:c r="B107" s="17" t="str">
        <x:v>Qwen2.5-Coder-0.5B</x:v>
      </x:c>
      <x:c r="C107" s="17" t="str"/>
      <x:c r="D107" s="17" t="str">
        <x:v>lineage:unknown:qwen2-5-coder-0-5b</x:v>
      </x:c>
      <x:c r="E107" s="17" t="str">
        <x:v>base:unknown:qwen2-5-coder-0-5b</x:v>
      </x:c>
      <x:c r="F107" s="23" t="str"/>
      <x:c r="G107" s="23" t="str"/>
      <x:c r="H107" s="23" t="str">
        <x:v>Qwen2.5-Coder-0.5B</x:v>
      </x:c>
      <x:c r="I107" s="31"/>
      <x:c r="J107" s="31" t="n">
        <x:v>45553</x:v>
      </x:c>
      <x:c r="K107" s="31" t="n">
        <x:v>45553</x:v>
      </x:c>
      <x:c r="L107" s="17" t="str">
        <x:v>ECI exact date</x:v>
      </x:c>
      <x:c r="M107" s="73"/>
      <x:c r="N107" s="20" t="n">
        <x:v>87.88</x:v>
      </x:c>
      <x:c r="O107" s="20" t="n">
        <x:v>63.22</x:v>
      </x:c>
      <x:c r="P107" s="20" t="n">
        <x:v>100.04</x:v>
      </x:c>
      <x:c r="Q107" s="20"/>
      <x:c r="R107" s="20"/>
      <x:c r="S107" s="20"/>
      <x:c r="T107" s="20"/>
      <x:c r="U107" s="20"/>
      <x:c r="V107" s="20"/>
      <x:c r="W107" s="20" t="str"/>
      <x:c r="X107" s="20"/>
      <x:c r="Y107" s="20"/>
      <x:c r="Z107" s="20"/>
      <x:c r="AA107" s="20"/>
      <x:c r="AB107" s="23" t="str"/>
      <x:c r="AC107" s="23" t="str">
        <x:v>ECI-only row</x:v>
      </x:c>
      <x:c r="AD107" s="23" t="str"/>
      <x:c r="AE107" s="23" t="str"/>
    </x:row>
    <x:row r="108">
      <x:c r="A108" s="17" t="str">
        <x:v>unknown:qwen2-5-coder-14b</x:v>
      </x:c>
      <x:c r="B108" s="17" t="str">
        <x:v>Qwen2.5-Coder-14B</x:v>
      </x:c>
      <x:c r="C108" s="17" t="str"/>
      <x:c r="D108" s="17" t="str">
        <x:v>lineage:unknown:qwen2-5-coder-14b</x:v>
      </x:c>
      <x:c r="E108" s="17" t="str">
        <x:v>base:unknown:qwen2-5-coder-14b</x:v>
      </x:c>
      <x:c r="F108" s="23" t="str"/>
      <x:c r="G108" s="23" t="str"/>
      <x:c r="H108" s="23" t="str">
        <x:v>Qwen2.5-Coder-14B</x:v>
      </x:c>
      <x:c r="I108" s="31"/>
      <x:c r="J108" s="31" t="n">
        <x:v>45553</x:v>
      </x:c>
      <x:c r="K108" s="31" t="n">
        <x:v>45553</x:v>
      </x:c>
      <x:c r="L108" s="17" t="str">
        <x:v>ECI exact date</x:v>
      </x:c>
      <x:c r="M108" s="73"/>
      <x:c r="N108" s="20" t="n">
        <x:v>116.18</x:v>
      </x:c>
      <x:c r="O108" s="20" t="n">
        <x:v>106.11</x:v>
      </x:c>
      <x:c r="P108" s="20" t="n">
        <x:v>122.03</x:v>
      </x:c>
      <x:c r="Q108" s="20"/>
      <x:c r="R108" s="20"/>
      <x:c r="S108" s="20"/>
      <x:c r="T108" s="20"/>
      <x:c r="U108" s="20"/>
      <x:c r="V108" s="20"/>
      <x:c r="W108" s="20" t="str"/>
      <x:c r="X108" s="20"/>
      <x:c r="Y108" s="20"/>
      <x:c r="Z108" s="20"/>
      <x:c r="AA108" s="20"/>
      <x:c r="AB108" s="23" t="str"/>
      <x:c r="AC108" s="23" t="str">
        <x:v>ECI-only row</x:v>
      </x:c>
      <x:c r="AD108" s="23" t="str"/>
      <x:c r="AE108" s="23" t="str"/>
    </x:row>
    <x:row r="109">
      <x:c r="A109" s="17" t="str">
        <x:v>unknown:qwen2-5-coder-3b</x:v>
      </x:c>
      <x:c r="B109" s="17" t="str">
        <x:v>Qwen2.5-Coder-3B</x:v>
      </x:c>
      <x:c r="C109" s="17" t="str"/>
      <x:c r="D109" s="17" t="str">
        <x:v>lineage:unknown:qwen2-5-coder-3b</x:v>
      </x:c>
      <x:c r="E109" s="17" t="str">
        <x:v>base:unknown:qwen2-5-coder-3b</x:v>
      </x:c>
      <x:c r="F109" s="23" t="str"/>
      <x:c r="G109" s="23" t="str"/>
      <x:c r="H109" s="23" t="str">
        <x:v>Qwen2.5-Coder-3B</x:v>
      </x:c>
      <x:c r="I109" s="31"/>
      <x:c r="J109" s="31" t="n">
        <x:v>45553</x:v>
      </x:c>
      <x:c r="K109" s="31" t="n">
        <x:v>45553</x:v>
      </x:c>
      <x:c r="L109" s="17" t="str">
        <x:v>ECI exact date</x:v>
      </x:c>
      <x:c r="M109" s="73"/>
      <x:c r="N109" s="20" t="n">
        <x:v>107.5</x:v>
      </x:c>
      <x:c r="O109" s="20" t="n">
        <x:v>94.63</x:v>
      </x:c>
      <x:c r="P109" s="20" t="n">
        <x:v>115.24</x:v>
      </x:c>
      <x:c r="Q109" s="20"/>
      <x:c r="R109" s="20"/>
      <x:c r="S109" s="20"/>
      <x:c r="T109" s="20"/>
      <x:c r="U109" s="20"/>
      <x:c r="V109" s="20"/>
      <x:c r="W109" s="20" t="str"/>
      <x:c r="X109" s="20"/>
      <x:c r="Y109" s="20"/>
      <x:c r="Z109" s="20"/>
      <x:c r="AA109" s="20"/>
      <x:c r="AB109" s="23" t="str"/>
      <x:c r="AC109" s="23" t="str">
        <x:v>ECI-only row</x:v>
      </x:c>
      <x:c r="AD109" s="23" t="str"/>
      <x:c r="AE109" s="23" t="str"/>
    </x:row>
    <x:row r="110">
      <x:c r="A110" s="17" t="str">
        <x:v>alibaba:qwen2-5-72b</x:v>
      </x:c>
      <x:c r="B110" s="17" t="str">
        <x:v>Qwen2.5-72B</x:v>
      </x:c>
      <x:c r="C110" s="17" t="str">
        <x:v>Alibaba</x:v>
      </x:c>
      <x:c r="D110" s="17" t="str">
        <x:v>lineage:alibaba:qwen2-5-72b</x:v>
      </x:c>
      <x:c r="E110" s="17" t="str">
        <x:v>base:alibaba:qwen2-5-72b</x:v>
      </x:c>
      <x:c r="F110" s="23" t="str"/>
      <x:c r="G110" s="23" t="str"/>
      <x:c r="H110" s="23" t="str">
        <x:v>Qwen2.5-72B</x:v>
      </x:c>
      <x:c r="I110" s="31"/>
      <x:c r="J110" s="31" t="n">
        <x:v>45554</x:v>
      </x:c>
      <x:c r="K110" s="31" t="n">
        <x:v>45554</x:v>
      </x:c>
      <x:c r="L110" s="17" t="str">
        <x:v>ECI exact date</x:v>
      </x:c>
      <x:c r="M110" s="73"/>
      <x:c r="N110" s="20" t="n">
        <x:v>129.12</x:v>
      </x:c>
      <x:c r="O110" s="20" t="n">
        <x:v>122.2</x:v>
      </x:c>
      <x:c r="P110" s="20" t="n">
        <x:v>130.91</x:v>
      </x:c>
      <x:c r="Q110" s="20"/>
      <x:c r="R110" s="20"/>
      <x:c r="S110" s="20"/>
      <x:c r="T110" s="20" t="n">
        <x:v>72.7</x:v>
      </x:c>
      <x:c r="U110" s="20"/>
      <x:c r="V110" s="20"/>
      <x:c r="W110" s="20" t="str"/>
      <x:c r="X110" s="20"/>
      <x:c r="Y110" s="20"/>
      <x:c r="Z110" s="20"/>
      <x:c r="AA110" s="20"/>
      <x:c r="AB110" s="23" t="str"/>
      <x:c r="AC110" s="23" t="str">
        <x:v>ECI-only row</x:v>
      </x:c>
      <x:c r="AD110" s="23" t="str"/>
      <x:c r="AE110" s="23" t="str">
        <x:v>Parameter row: Regression Data!29</x:v>
      </x:c>
    </x:row>
    <x:row r="111">
      <x:c r="A111" s="17" t="str">
        <x:v>google:gemini-1-5-pro-sept-2024</x:v>
      </x:c>
      <x:c r="B111" s="17" t="str">
        <x:v>Gemini 1.5 Pro (Sept 2024)</x:v>
      </x:c>
      <x:c r="C111" s="17" t="str">
        <x:v>Google DeepMind</x:v>
      </x:c>
      <x:c r="D111" s="17" t="str">
        <x:v>lineage:google:gemini-1-5-pro-sept-2024</x:v>
      </x:c>
      <x:c r="E111" s="17" t="str">
        <x:v>base:google:gemini-1-5-pro-sept-2024</x:v>
      </x:c>
      <x:c r="F111" s="23" t="str"/>
      <x:c r="G111" s="23" t="str"/>
      <x:c r="H111" s="23" t="str">
        <x:v>Gemini 1.5 Pro (Sept 2024)</x:v>
      </x:c>
      <x:c r="I111" s="31"/>
      <x:c r="J111" s="31" t="n">
        <x:v>45559</x:v>
      </x:c>
      <x:c r="K111" s="31" t="n">
        <x:v>45559</x:v>
      </x:c>
      <x:c r="L111" s="17" t="str">
        <x:v>ECI exact date</x:v>
      </x:c>
      <x:c r="M111" s="73"/>
      <x:c r="N111" s="20" t="n">
        <x:v>132.7</x:v>
      </x:c>
      <x:c r="O111" s="20" t="n">
        <x:v>127.97</x:v>
      </x:c>
      <x:c r="P111" s="20" t="n">
        <x:v>133.93</x:v>
      </x:c>
      <x:c r="Q111" s="20"/>
      <x:c r="R111" s="20"/>
      <x:c r="S111" s="20"/>
      <x:c r="T111" s="20"/>
      <x:c r="U111" s="20"/>
      <x:c r="V111" s="20"/>
      <x:c r="W111" s="20" t="str"/>
      <x:c r="X111" s="20"/>
      <x:c r="Y111" s="20"/>
      <x:c r="Z111" s="20"/>
      <x:c r="AA111" s="20"/>
      <x:c r="AB111" s="23" t="str"/>
      <x:c r="AC111" s="23" t="str">
        <x:v>ECI-only row</x:v>
      </x:c>
      <x:c r="AD111" s="23" t="str"/>
      <x:c r="AE111" s="23" t="str"/>
    </x:row>
    <x:row r="112">
      <x:c r="A112" s="17" t="str">
        <x:v>meta:llama-3-2-90b</x:v>
      </x:c>
      <x:c r="B112" s="17" t="str">
        <x:v>Llama 3.2 90B</x:v>
      </x:c>
      <x:c r="C112" s="17" t="str">
        <x:v>Meta AI</x:v>
      </x:c>
      <x:c r="D112" s="17" t="str">
        <x:v>lineage:meta:llama-3-2-90b</x:v>
      </x:c>
      <x:c r="E112" s="17" t="str">
        <x:v>base:meta:llama-3-2-90b</x:v>
      </x:c>
      <x:c r="F112" s="23" t="str"/>
      <x:c r="G112" s="23" t="str"/>
      <x:c r="H112" s="23" t="str">
        <x:v>Llama 3.2 90B</x:v>
      </x:c>
      <x:c r="I112" s="31"/>
      <x:c r="J112" s="31" t="n">
        <x:v>45559</x:v>
      </x:c>
      <x:c r="K112" s="31" t="n">
        <x:v>45559</x:v>
      </x:c>
      <x:c r="L112" s="17" t="str">
        <x:v>ECI exact date</x:v>
      </x:c>
      <x:c r="M112" s="73"/>
      <x:c r="N112" s="20" t="n">
        <x:v>125.71</x:v>
      </x:c>
      <x:c r="O112" s="20" t="n">
        <x:v>119.36</x:v>
      </x:c>
      <x:c r="P112" s="20" t="n">
        <x:v>127.43</x:v>
      </x:c>
      <x:c r="Q112" s="20"/>
      <x:c r="R112" s="20"/>
      <x:c r="S112" s="20"/>
      <x:c r="T112" s="20" t="n">
        <x:v>88.6</x:v>
      </x:c>
      <x:c r="U112" s="20"/>
      <x:c r="V112" s="20"/>
      <x:c r="W112" s="20" t="str"/>
      <x:c r="X112" s="20"/>
      <x:c r="Y112" s="20"/>
      <x:c r="Z112" s="20"/>
      <x:c r="AA112" s="20"/>
      <x:c r="AB112" s="23" t="str"/>
      <x:c r="AC112" s="23" t="str">
        <x:v>ECI-only row</x:v>
      </x:c>
      <x:c r="AD112" s="23" t="str"/>
      <x:c r="AE112" s="23" t="str">
        <x:v>Parameter row: Regression Data!30</x:v>
      </x:c>
    </x:row>
    <x:row r="113">
      <x:c r="A113" s="17" t="str">
        <x:v>anthropic:claude-3-5-haiku</x:v>
      </x:c>
      <x:c r="B113" s="17" t="str">
        <x:v>Claude 3.5 Haiku</x:v>
      </x:c>
      <x:c r="C113" s="17" t="str">
        <x:v>Anthropic</x:v>
      </x:c>
      <x:c r="D113" s="17" t="str">
        <x:v>lineage:anthropic:claude-3-5-haiku</x:v>
      </x:c>
      <x:c r="E113" s="17" t="str">
        <x:v>base:anthropic:claude-3-5-haiku</x:v>
      </x:c>
      <x:c r="F113" s="23" t="str"/>
      <x:c r="G113" s="23" t="str"/>
      <x:c r="H113" s="23" t="str">
        <x:v>Claude 3.5 Haiku</x:v>
      </x:c>
      <x:c r="I113" s="31"/>
      <x:c r="J113" s="31" t="n">
        <x:v>45587</x:v>
      </x:c>
      <x:c r="K113" s="31" t="n">
        <x:v>45587</x:v>
      </x:c>
      <x:c r="L113" s="17" t="str">
        <x:v>ECI exact date</x:v>
      </x:c>
      <x:c r="M113" s="73"/>
      <x:c r="N113" s="20" t="n">
        <x:v>127.5</x:v>
      </x:c>
      <x:c r="O113" s="20" t="n">
        <x:v>119.27</x:v>
      </x:c>
      <x:c r="P113" s="20" t="n">
        <x:v>130.1</x:v>
      </x:c>
      <x:c r="Q113" s="20"/>
      <x:c r="R113" s="20"/>
      <x:c r="S113" s="20"/>
      <x:c r="T113" s="20"/>
      <x:c r="U113" s="20"/>
      <x:c r="V113" s="20"/>
      <x:c r="W113" s="20" t="str"/>
      <x:c r="X113" s="20"/>
      <x:c r="Y113" s="20"/>
      <x:c r="Z113" s="20"/>
      <x:c r="AA113" s="20"/>
      <x:c r="AB113" s="23" t="str"/>
      <x:c r="AC113" s="23" t="str">
        <x:v>ECI-only row</x:v>
      </x:c>
      <x:c r="AD113" s="23" t="str"/>
      <x:c r="AE113" s="23" t="str"/>
    </x:row>
    <x:row r="114">
      <x:c r="A114" s="17" t="str">
        <x:v>anthropic:claude-3-5-sonnet-october-2024</x:v>
      </x:c>
      <x:c r="B114" s="17" t="str">
        <x:v>Claude 3.5 Sonnet (October 2024)</x:v>
      </x:c>
      <x:c r="C114" s="17" t="str">
        <x:v>Anthropic</x:v>
      </x:c>
      <x:c r="D114" s="17" t="str">
        <x:v>lineage:anthropic:claude-3-5-sonnet-october-2024</x:v>
      </x:c>
      <x:c r="E114" s="17" t="str">
        <x:v>base:anthropic:claude-3-5-sonnet-october-2024</x:v>
      </x:c>
      <x:c r="F114" s="23" t="str"/>
      <x:c r="G114" s="23" t="str"/>
      <x:c r="H114" s="23" t="str">
        <x:v>Claude 3.5 Sonnet (October 2024)</x:v>
      </x:c>
      <x:c r="I114" s="31"/>
      <x:c r="J114" s="31" t="n">
        <x:v>45587</x:v>
      </x:c>
      <x:c r="K114" s="31" t="n">
        <x:v>45587</x:v>
      </x:c>
      <x:c r="L114" s="17" t="str">
        <x:v>ECI exact date</x:v>
      </x:c>
      <x:c r="M114" s="73"/>
      <x:c r="N114" s="20" t="n">
        <x:v>134.28</x:v>
      </x:c>
      <x:c r="O114" s="20" t="n">
        <x:v>129.48</x:v>
      </x:c>
      <x:c r="P114" s="20" t="n">
        <x:v>138.92</x:v>
      </x:c>
      <x:c r="Q114" s="20"/>
      <x:c r="R114" s="20"/>
      <x:c r="S114" s="20"/>
      <x:c r="T114" s="20"/>
      <x:c r="U114" s="20"/>
      <x:c r="V114" s="20"/>
      <x:c r="W114" s="20" t="str"/>
      <x:c r="X114" s="20"/>
      <x:c r="Y114" s="20"/>
      <x:c r="Z114" s="20"/>
      <x:c r="AA114" s="20"/>
      <x:c r="AB114" s="23" t="str"/>
      <x:c r="AC114" s="23" t="str">
        <x:v>ECI-only row</x:v>
      </x:c>
      <x:c r="AD114" s="23" t="str"/>
      <x:c r="AE114" s="23" t="str"/>
    </x:row>
    <x:row r="115">
      <x:c r="A115" s="17" t="str">
        <x:v>prime-intellect-hugging-face-arcee-ai:intellect-1</x:v>
      </x:c>
      <x:c r="B115" s="17" t="str">
        <x:v>INTELLECT-1</x:v>
      </x:c>
      <x:c r="C115" s="17" t="str">
        <x:v>Prime Intellect,Hugging Face,Arcee AI</x:v>
      </x:c>
      <x:c r="D115" s="17" t="str">
        <x:v>lineage:prime-intellect-hugging-face-arcee-ai:intellect-1</x:v>
      </x:c>
      <x:c r="E115" s="17" t="str">
        <x:v>base:prime-intellect-hugging-face-arcee-ai:intellect-1</x:v>
      </x:c>
      <x:c r="F115" s="23" t="str"/>
      <x:c r="G115" s="23" t="str"/>
      <x:c r="H115" s="23" t="str">
        <x:v>INTELLECT-1</x:v>
      </x:c>
      <x:c r="I115" s="31"/>
      <x:c r="J115" s="31" t="n">
        <x:v>45625</x:v>
      </x:c>
      <x:c r="K115" s="31" t="n">
        <x:v>45625</x:v>
      </x:c>
      <x:c r="L115" s="17" t="str">
        <x:v>ECI exact date</x:v>
      </x:c>
      <x:c r="M115" s="73"/>
      <x:c r="N115" s="20" t="n">
        <x:v>100.58</x:v>
      </x:c>
      <x:c r="O115" s="20" t="n">
        <x:v>88.56</x:v>
      </x:c>
      <x:c r="P115" s="20" t="n">
        <x:v>107.05</x:v>
      </x:c>
      <x:c r="Q115" s="20"/>
      <x:c r="R115" s="20"/>
      <x:c r="S115" s="20"/>
      <x:c r="T115" s="20"/>
      <x:c r="U115" s="20"/>
      <x:c r="V115" s="20"/>
      <x:c r="W115" s="20" t="str"/>
      <x:c r="X115" s="20"/>
      <x:c r="Y115" s="20"/>
      <x:c r="Z115" s="20"/>
      <x:c r="AA115" s="20"/>
      <x:c r="AB115" s="23" t="str"/>
      <x:c r="AC115" s="23" t="str">
        <x:v>ECI-only row</x:v>
      </x:c>
      <x:c r="AD115" s="23" t="str"/>
      <x:c r="AE115" s="23" t="str"/>
    </x:row>
    <x:row r="116">
      <x:c r="A116" s="17" t="str">
        <x:v>amazon:amazon-nova-pro</x:v>
      </x:c>
      <x:c r="B116" s="17" t="str">
        <x:v>Amazon Nova Pro</x:v>
      </x:c>
      <x:c r="C116" s="17" t="str">
        <x:v>Amazon</x:v>
      </x:c>
      <x:c r="D116" s="17" t="str">
        <x:v>lineage:amazon:amazon-nova-pro</x:v>
      </x:c>
      <x:c r="E116" s="17" t="str">
        <x:v>base:amazon:amazon-nova-pro</x:v>
      </x:c>
      <x:c r="F116" s="23" t="str"/>
      <x:c r="G116" s="23" t="str"/>
      <x:c r="H116" s="23" t="str">
        <x:v>Amazon Nova Pro</x:v>
      </x:c>
      <x:c r="I116" s="31"/>
      <x:c r="J116" s="31" t="n">
        <x:v>45629</x:v>
      </x:c>
      <x:c r="K116" s="31" t="n">
        <x:v>45629</x:v>
      </x:c>
      <x:c r="L116" s="17" t="str">
        <x:v>ECI exact date</x:v>
      </x:c>
      <x:c r="M116" s="73"/>
      <x:c r="N116" s="20" t="n">
        <x:v>123.88</x:v>
      </x:c>
      <x:c r="O116" s="20" t="n">
        <x:v>110.76</x:v>
      </x:c>
      <x:c r="P116" s="20" t="n">
        <x:v>126.58</x:v>
      </x:c>
      <x:c r="Q116" s="20"/>
      <x:c r="R116" s="20"/>
      <x:c r="S116" s="20"/>
      <x:c r="T116" s="20"/>
      <x:c r="U116" s="20"/>
      <x:c r="V116" s="20"/>
      <x:c r="W116" s="20" t="str"/>
      <x:c r="X116" s="20"/>
      <x:c r="Y116" s="20"/>
      <x:c r="Z116" s="20"/>
      <x:c r="AA116" s="20"/>
      <x:c r="AB116" s="23" t="str"/>
      <x:c r="AC116" s="23" t="str">
        <x:v>ECI-only row</x:v>
      </x:c>
      <x:c r="AD116" s="23" t="str"/>
      <x:c r="AE116" s="23" t="str"/>
    </x:row>
    <x:row r="117">
      <x:c r="A117" s="17" t="str">
        <x:v>openai:o1</x:v>
      </x:c>
      <x:c r="B117" s="17" t="str">
        <x:v>o1</x:v>
      </x:c>
      <x:c r="C117" s="17" t="str">
        <x:v>OpenAI</x:v>
      </x:c>
      <x:c r="D117" s="17" t="str">
        <x:v>lineage:openai:o1</x:v>
      </x:c>
      <x:c r="E117" s="17" t="str">
        <x:v>base:openai:o1</x:v>
      </x:c>
      <x:c r="F117" s="23" t="str"/>
      <x:c r="G117" s="23" t="str"/>
      <x:c r="H117" s="23" t="str">
        <x:v>o1</x:v>
      </x:c>
      <x:c r="I117" s="31"/>
      <x:c r="J117" s="31" t="n">
        <x:v>45631</x:v>
      </x:c>
      <x:c r="K117" s="31" t="n">
        <x:v>45631</x:v>
      </x:c>
      <x:c r="L117" s="17" t="str">
        <x:v>ECI exact date</x:v>
      </x:c>
      <x:c r="M117" s="73"/>
      <x:c r="N117" s="20" t="n">
        <x:v>142.69</x:v>
      </x:c>
      <x:c r="O117" s="20" t="n">
        <x:v>140.88</x:v>
      </x:c>
      <x:c r="P117" s="20" t="n">
        <x:v>143.81</x:v>
      </x:c>
      <x:c r="Q117" s="20"/>
      <x:c r="R117" s="20"/>
      <x:c r="S117" s="20"/>
      <x:c r="T117" s="20"/>
      <x:c r="U117" s="20"/>
      <x:c r="V117" s="20"/>
      <x:c r="W117" s="20" t="str"/>
      <x:c r="X117" s="20"/>
      <x:c r="Y117" s="20"/>
      <x:c r="Z117" s="20"/>
      <x:c r="AA117" s="20"/>
      <x:c r="AB117" s="23" t="str"/>
      <x:c r="AC117" s="23" t="str">
        <x:v>ECI-only row</x:v>
      </x:c>
      <x:c r="AD117" s="23" t="str"/>
      <x:c r="AE117" s="23" t="str"/>
    </x:row>
    <x:row r="118">
      <x:c r="A118" s="17" t="str">
        <x:v>meta:llama-3-3-70b</x:v>
      </x:c>
      <x:c r="B118" s="17" t="str">
        <x:v>Llama 3.3 70B</x:v>
      </x:c>
      <x:c r="C118" s="17" t="str">
        <x:v>Meta AI</x:v>
      </x:c>
      <x:c r="D118" s="17" t="str">
        <x:v>lineage:meta:llama-3-3-70b</x:v>
      </x:c>
      <x:c r="E118" s="17" t="str">
        <x:v>base:meta:llama-3-3-70b</x:v>
      </x:c>
      <x:c r="F118" s="23" t="str"/>
      <x:c r="G118" s="23" t="str">
        <x:v>Llama 3.3 70B Instruct</x:v>
      </x:c>
      <x:c r="H118" s="23" t="str">
        <x:v>Llama 3.3 70B</x:v>
      </x:c>
      <x:c r="I118" s="31" t="n">
        <x:v>45627</x:v>
      </x:c>
      <x:c r="J118" s="31" t="n">
        <x:v>45632</x:v>
      </x:c>
      <x:c r="K118" s="31" t="n">
        <x:v>45632</x:v>
      </x:c>
      <x:c r="L118" s="17" t="str">
        <x:v>ECI exact date</x:v>
      </x:c>
      <x:c r="M118" s="73" t="n">
        <x:v>5</x:v>
      </x:c>
      <x:c r="N118" s="20" t="n">
        <x:v>127.5</x:v>
      </x:c>
      <x:c r="O118" s="20" t="n">
        <x:v>122.01</x:v>
      </x:c>
      <x:c r="P118" s="20" t="n">
        <x:v>129.87</x:v>
      </x:c>
      <x:c r="Q118" s="20"/>
      <x:c r="R118" s="20" t="n">
        <x:v>70</x:v>
      </x:c>
      <x:c r="S118" s="20" t="n">
        <x:v>70</x:v>
      </x:c>
      <x:c r="T118" s="20" t="n">
        <x:v>70</x:v>
      </x:c>
      <x:c r="U118" s="20"/>
      <x:c r="V118" s="20" t="n">
        <x:v>80</x:v>
      </x:c>
      <x:c r="W118" s="20" t="str">
        <x:v>Dense</x:v>
      </x:c>
      <x:c r="X118" s="20" t="n">
        <x:v>0.513</x:v>
      </x:c>
      <x:c r="Y118" s="20" t="n">
        <x:v>0.263</x:v>
      </x:c>
      <x:c r="Z118" s="20" t="n">
        <x:v>0.012</x:v>
      </x:c>
      <x:c r="AA118" s="20" t="n">
        <x:v>0.861</x:v>
      </x:c>
      <x:c r="AB118" s="23" t="str">
        <x:v>Paper open-weight</x:v>
      </x:c>
      <x:c r="AC118" s="23" t="str">
        <x:v>Manual exact ECI join</x:v>
      </x:c>
      <x:c r="AD118" s="23" t="str"/>
      <x:c r="AE118" s="23" t="str">
        <x:v>Parameter row: Regression Data!31</x:v>
      </x:c>
    </x:row>
    <x:row r="119">
      <x:c r="A119" s="17" t="str">
        <x:v>google:gemini-2-0-flash-dec-2024</x:v>
      </x:c>
      <x:c r="B119" s="17" t="str">
        <x:v>Gemini 2.0 Flash (Dec 2024)</x:v>
      </x:c>
      <x:c r="C119" s="17" t="str">
        <x:v>Google DeepMind,Google</x:v>
      </x:c>
      <x:c r="D119" s="17" t="str">
        <x:v>lineage:google:gemini-2-0-flash-dec-2024</x:v>
      </x:c>
      <x:c r="E119" s="17" t="str">
        <x:v>base:google:gemini-2-0-flash-dec-2024</x:v>
      </x:c>
      <x:c r="F119" s="23" t="str"/>
      <x:c r="G119" s="23" t="str"/>
      <x:c r="H119" s="23" t="str">
        <x:v>Gemini 2.0 Flash (Dec 2024)</x:v>
      </x:c>
      <x:c r="I119" s="31"/>
      <x:c r="J119" s="31" t="n">
        <x:v>45637</x:v>
      </x:c>
      <x:c r="K119" s="31" t="n">
        <x:v>45637</x:v>
      </x:c>
      <x:c r="L119" s="17" t="str">
        <x:v>ECI exact date</x:v>
      </x:c>
      <x:c r="M119" s="73"/>
      <x:c r="N119" s="20" t="n">
        <x:v>135.06</x:v>
      </x:c>
      <x:c r="O119" s="20" t="n">
        <x:v>123.87</x:v>
      </x:c>
      <x:c r="P119" s="20" t="n">
        <x:v>136.77</x:v>
      </x:c>
      <x:c r="Q119" s="20"/>
      <x:c r="R119" s="20"/>
      <x:c r="S119" s="20"/>
      <x:c r="T119" s="20"/>
      <x:c r="U119" s="20"/>
      <x:c r="V119" s="20"/>
      <x:c r="W119" s="20" t="str"/>
      <x:c r="X119" s="20"/>
      <x:c r="Y119" s="20"/>
      <x:c r="Z119" s="20"/>
      <x:c r="AA119" s="20"/>
      <x:c r="AB119" s="23" t="str"/>
      <x:c r="AC119" s="23" t="str">
        <x:v>ECI-only row</x:v>
      </x:c>
      <x:c r="AD119" s="23" t="str"/>
      <x:c r="AE119" s="23" t="str"/>
    </x:row>
    <x:row r="120">
      <x:c r="A120" s="17" t="str">
        <x:v>google:gemini-2-0-flash-feb-2025</x:v>
      </x:c>
      <x:c r="B120" s="17" t="str">
        <x:v>Gemini 2.0 Flash (Feb 2025)</x:v>
      </x:c>
      <x:c r="C120" s="17" t="str">
        <x:v>Google DeepMind,Google</x:v>
      </x:c>
      <x:c r="D120" s="17" t="str">
        <x:v>lineage:google:gemini-2-0-flash-feb-2025</x:v>
      </x:c>
      <x:c r="E120" s="17" t="str">
        <x:v>base:google:gemini-2-0-flash-feb-2025</x:v>
      </x:c>
      <x:c r="F120" s="23" t="str"/>
      <x:c r="G120" s="23" t="str"/>
      <x:c r="H120" s="23" t="str">
        <x:v>Gemini 2.0 Flash (Feb 2025)</x:v>
      </x:c>
      <x:c r="I120" s="31"/>
      <x:c r="J120" s="31" t="n">
        <x:v>45637</x:v>
      </x:c>
      <x:c r="K120" s="31" t="n">
        <x:v>45637</x:v>
      </x:c>
      <x:c r="L120" s="17" t="str">
        <x:v>ECI exact date</x:v>
      </x:c>
      <x:c r="M120" s="73"/>
      <x:c r="N120" s="20" t="n">
        <x:v>135.79</x:v>
      </x:c>
      <x:c r="O120" s="20" t="n">
        <x:v>132.35</x:v>
      </x:c>
      <x:c r="P120" s="20" t="n">
        <x:v>137.51</x:v>
      </x:c>
      <x:c r="Q120" s="20"/>
      <x:c r="R120" s="20"/>
      <x:c r="S120" s="20"/>
      <x:c r="T120" s="20"/>
      <x:c r="U120" s="20"/>
      <x:c r="V120" s="20"/>
      <x:c r="W120" s="20" t="str"/>
      <x:c r="X120" s="20"/>
      <x:c r="Y120" s="20"/>
      <x:c r="Z120" s="20"/>
      <x:c r="AA120" s="20"/>
      <x:c r="AB120" s="23" t="str"/>
      <x:c r="AC120" s="23" t="str">
        <x:v>ECI-only row</x:v>
      </x:c>
      <x:c r="AD120" s="23" t="str"/>
      <x:c r="AE120" s="23" t="str"/>
    </x:row>
    <x:row r="121">
      <x:c r="A121" s="17" t="str">
        <x:v>google:gemini-2-0-pro</x:v>
      </x:c>
      <x:c r="B121" s="17" t="str">
        <x:v>Gemini 2.0 Pro</x:v>
      </x:c>
      <x:c r="C121" s="17" t="str">
        <x:v>Google DeepMind</x:v>
      </x:c>
      <x:c r="D121" s="17" t="str">
        <x:v>lineage:google:gemini-2-0-pro</x:v>
      </x:c>
      <x:c r="E121" s="17" t="str">
        <x:v>base:google:gemini-2-0-pro</x:v>
      </x:c>
      <x:c r="F121" s="23" t="str"/>
      <x:c r="G121" s="23" t="str"/>
      <x:c r="H121" s="23" t="str">
        <x:v>Gemini 2.0 Pro</x:v>
      </x:c>
      <x:c r="I121" s="31"/>
      <x:c r="J121" s="31" t="n">
        <x:v>45637</x:v>
      </x:c>
      <x:c r="K121" s="31" t="n">
        <x:v>45637</x:v>
      </x:c>
      <x:c r="L121" s="17" t="str">
        <x:v>ECI exact date</x:v>
      </x:c>
      <x:c r="M121" s="73"/>
      <x:c r="N121" s="20" t="n">
        <x:v>135.62</x:v>
      </x:c>
      <x:c r="O121" s="20" t="n">
        <x:v>131.84</x:v>
      </x:c>
      <x:c r="P121" s="20" t="n">
        <x:v>137.18</x:v>
      </x:c>
      <x:c r="Q121" s="20"/>
      <x:c r="R121" s="20"/>
      <x:c r="S121" s="20"/>
      <x:c r="T121" s="20"/>
      <x:c r="U121" s="20"/>
      <x:c r="V121" s="20"/>
      <x:c r="W121" s="20" t="str"/>
      <x:c r="X121" s="20"/>
      <x:c r="Y121" s="20"/>
      <x:c r="Z121" s="20"/>
      <x:c r="AA121" s="20"/>
      <x:c r="AB121" s="23" t="str"/>
      <x:c r="AC121" s="23" t="str">
        <x:v>ECI-only row</x:v>
      </x:c>
      <x:c r="AD121" s="23" t="str"/>
      <x:c r="AE121" s="23" t="str"/>
    </x:row>
    <x:row r="122">
      <x:c r="A122" s="17" t="str">
        <x:v>microsoft-research:phi-4</x:v>
      </x:c>
      <x:c r="B122" s="17" t="str">
        <x:v>Phi-4</x:v>
      </x:c>
      <x:c r="C122" s="17" t="str">
        <x:v>Microsoft Research</x:v>
      </x:c>
      <x:c r="D122" s="17" t="str">
        <x:v>lineage:microsoft-research:phi-4</x:v>
      </x:c>
      <x:c r="E122" s="17" t="str">
        <x:v>base:microsoft-research:phi-4</x:v>
      </x:c>
      <x:c r="F122" s="23" t="str"/>
      <x:c r="G122" s="23" t="str"/>
      <x:c r="H122" s="23" t="str">
        <x:v>Phi-4</x:v>
      </x:c>
      <x:c r="I122" s="31"/>
      <x:c r="J122" s="31" t="n">
        <x:v>45638</x:v>
      </x:c>
      <x:c r="K122" s="31" t="n">
        <x:v>45638</x:v>
      </x:c>
      <x:c r="L122" s="17" t="str">
        <x:v>ECI exact date</x:v>
      </x:c>
      <x:c r="M122" s="73"/>
      <x:c r="N122" s="20" t="n">
        <x:v>131.05</x:v>
      </x:c>
      <x:c r="O122" s="20" t="n">
        <x:v>123.6</x:v>
      </x:c>
      <x:c r="P122" s="20" t="n">
        <x:v>132.36</x:v>
      </x:c>
      <x:c r="Q122" s="20"/>
      <x:c r="R122" s="20"/>
      <x:c r="S122" s="20"/>
      <x:c r="T122" s="20" t="n">
        <x:v>14</x:v>
      </x:c>
      <x:c r="U122" s="20"/>
      <x:c r="V122" s="20"/>
      <x:c r="W122" s="20" t="str"/>
      <x:c r="X122" s="20"/>
      <x:c r="Y122" s="20"/>
      <x:c r="Z122" s="20"/>
      <x:c r="AA122" s="20"/>
      <x:c r="AB122" s="23" t="str"/>
      <x:c r="AC122" s="23" t="str">
        <x:v>ECI-only row</x:v>
      </x:c>
      <x:c r="AD122" s="23" t="str"/>
      <x:c r="AE122" s="23" t="str">
        <x:v>Parameter row: Regression Data!32</x:v>
      </x:c>
    </x:row>
    <x:row r="123">
      <x:c r="A123" s="17" t="str">
        <x:v>openai:o3</x:v>
      </x:c>
      <x:c r="B123" s="17" t="str">
        <x:v>o3</x:v>
      </x:c>
      <x:c r="C123" s="17" t="str">
        <x:v>OpenAI</x:v>
      </x:c>
      <x:c r="D123" s="17" t="str">
        <x:v>lineage:openai:o3</x:v>
      </x:c>
      <x:c r="E123" s="17" t="str">
        <x:v>base:openai:o3</x:v>
      </x:c>
      <x:c r="F123" s="23" t="str"/>
      <x:c r="G123" s="23" t="str"/>
      <x:c r="H123" s="23" t="str">
        <x:v>o3</x:v>
      </x:c>
      <x:c r="I123" s="31"/>
      <x:c r="J123" s="31" t="n">
        <x:v>45646</x:v>
      </x:c>
      <x:c r="K123" s="31" t="n">
        <x:v>45646</x:v>
      </x:c>
      <x:c r="L123" s="17" t="str">
        <x:v>ECI exact date</x:v>
      </x:c>
      <x:c r="M123" s="73"/>
      <x:c r="N123" s="20" t="n">
        <x:v>147.05</x:v>
      </x:c>
      <x:c r="O123" s="20" t="n">
        <x:v>145.11</x:v>
      </x:c>
      <x:c r="P123" s="20" t="n">
        <x:v>148.38</x:v>
      </x:c>
      <x:c r="Q123" s="20"/>
      <x:c r="R123" s="20"/>
      <x:c r="S123" s="20"/>
      <x:c r="T123" s="20"/>
      <x:c r="U123" s="20"/>
      <x:c r="V123" s="20"/>
      <x:c r="W123" s="20" t="str"/>
      <x:c r="X123" s="20"/>
      <x:c r="Y123" s="20"/>
      <x:c r="Z123" s="20"/>
      <x:c r="AA123" s="20"/>
      <x:c r="AB123" s="23" t="str"/>
      <x:c r="AC123" s="23" t="str">
        <x:v>ECI-only row</x:v>
      </x:c>
      <x:c r="AD123" s="23" t="str"/>
      <x:c r="AE123" s="23" t="str"/>
    </x:row>
    <x:row r="124">
      <x:c r="A124" s="17" t="str">
        <x:v>deepseek:deepseek-v3</x:v>
      </x:c>
      <x:c r="B124" s="17" t="str">
        <x:v>DeepSeek-V3</x:v>
      </x:c>
      <x:c r="C124" s="17" t="str">
        <x:v>DeepSeek</x:v>
      </x:c>
      <x:c r="D124" s="17" t="str">
        <x:v>lineage:deepseek:deepseek-v3</x:v>
      </x:c>
      <x:c r="E124" s="17" t="str">
        <x:v>base:deepseek:deepseek-v3</x:v>
      </x:c>
      <x:c r="F124" s="23" t="str"/>
      <x:c r="G124" s="23" t="str"/>
      <x:c r="H124" s="23" t="str">
        <x:v>DeepSeek-V3</x:v>
      </x:c>
      <x:c r="I124" s="31"/>
      <x:c r="J124" s="31" t="n">
        <x:v>45650</x:v>
      </x:c>
      <x:c r="K124" s="31" t="n">
        <x:v>45650</x:v>
      </x:c>
      <x:c r="L124" s="17" t="str">
        <x:v>ECI exact date</x:v>
      </x:c>
      <x:c r="M124" s="73"/>
      <x:c r="N124" s="20" t="n">
        <x:v>132.99</x:v>
      </x:c>
      <x:c r="O124" s="20" t="n">
        <x:v>127.9</x:v>
      </x:c>
      <x:c r="P124" s="20" t="n">
        <x:v>135.76</x:v>
      </x:c>
      <x:c r="Q124" s="20"/>
      <x:c r="R124" s="20"/>
      <x:c r="S124" s="20"/>
      <x:c r="T124" s="20" t="n">
        <x:v>671</x:v>
      </x:c>
      <x:c r="U124" s="20"/>
      <x:c r="V124" s="20"/>
      <x:c r="W124" s="20" t="str"/>
      <x:c r="X124" s="20"/>
      <x:c r="Y124" s="20"/>
      <x:c r="Z124" s="20"/>
      <x:c r="AA124" s="20"/>
      <x:c r="AB124" s="23" t="str"/>
      <x:c r="AC124" s="23" t="str">
        <x:v>ECI-only row</x:v>
      </x:c>
      <x:c r="AD124" s="23" t="str"/>
      <x:c r="AE124" s="23" t="str">
        <x:v>Parameter row: Regression Data!33</x:v>
      </x:c>
    </x:row>
    <x:row r="125">
      <x:c r="A125" s="17" t="str">
        <x:v>deepseek:deepseek-r1</x:v>
      </x:c>
      <x:c r="B125" s="17" t="str">
        <x:v>DeepSeek-R1</x:v>
      </x:c>
      <x:c r="C125" s="17" t="str">
        <x:v>DeepSeek</x:v>
      </x:c>
      <x:c r="D125" s="17" t="str">
        <x:v>lineage:deepseek:deepseek-r1</x:v>
      </x:c>
      <x:c r="E125" s="17" t="str">
        <x:v>base:deepseek:deepseek-r1</x:v>
      </x:c>
      <x:c r="F125" s="23" t="str"/>
      <x:c r="G125" s="23" t="str"/>
      <x:c r="H125" s="23" t="str">
        <x:v>DeepSeek-R1</x:v>
      </x:c>
      <x:c r="I125" s="31"/>
      <x:c r="J125" s="31" t="n">
        <x:v>45677</x:v>
      </x:c>
      <x:c r="K125" s="31" t="n">
        <x:v>45677</x:v>
      </x:c>
      <x:c r="L125" s="17" t="str">
        <x:v>ECI exact date</x:v>
      </x:c>
      <x:c r="M125" s="73"/>
      <x:c r="N125" s="20" t="n">
        <x:v>139.67</x:v>
      </x:c>
      <x:c r="O125" s="20" t="n">
        <x:v>136.9</x:v>
      </x:c>
      <x:c r="P125" s="20" t="n">
        <x:v>140.9</x:v>
      </x:c>
      <x:c r="Q125" s="20"/>
      <x:c r="R125" s="20"/>
      <x:c r="S125" s="20"/>
      <x:c r="T125" s="20" t="n">
        <x:v>671</x:v>
      </x:c>
      <x:c r="U125" s="20"/>
      <x:c r="V125" s="20"/>
      <x:c r="W125" s="20" t="str"/>
      <x:c r="X125" s="20"/>
      <x:c r="Y125" s="20"/>
      <x:c r="Z125" s="20"/>
      <x:c r="AA125" s="20"/>
      <x:c r="AB125" s="23" t="str"/>
      <x:c r="AC125" s="23" t="str">
        <x:v>ECI-only row</x:v>
      </x:c>
      <x:c r="AD125" s="23" t="str"/>
      <x:c r="AE125" s="23" t="str">
        <x:v>Parameter row: Regression Data!34</x:v>
      </x:c>
    </x:row>
    <x:row r="126">
      <x:c r="A126" s="17" t="str">
        <x:v>google:gemini-2-0-flash-thinking-jan-2025</x:v>
      </x:c>
      <x:c r="B126" s="17" t="str">
        <x:v>Gemini 2.0 Flash Thinking (Jan 2025)</x:v>
      </x:c>
      <x:c r="C126" s="17" t="str">
        <x:v>Google DeepMind,Google</x:v>
      </x:c>
      <x:c r="D126" s="17" t="str">
        <x:v>lineage:google:gemini-2-0-flash-thinking-jan-2025</x:v>
      </x:c>
      <x:c r="E126" s="17" t="str">
        <x:v>base:google:gemini-2-0-flash-thinking-jan-2025</x:v>
      </x:c>
      <x:c r="F126" s="23" t="str"/>
      <x:c r="G126" s="23" t="str"/>
      <x:c r="H126" s="23" t="str">
        <x:v>Gemini 2.0 Flash Thinking (Jan 2025)</x:v>
      </x:c>
      <x:c r="I126" s="31"/>
      <x:c r="J126" s="31" t="n">
        <x:v>45678</x:v>
      </x:c>
      <x:c r="K126" s="31" t="n">
        <x:v>45678</x:v>
      </x:c>
      <x:c r="L126" s="17" t="str">
        <x:v>ECI exact date</x:v>
      </x:c>
      <x:c r="M126" s="73"/>
      <x:c r="N126" s="20" t="n">
        <x:v>136.23</x:v>
      </x:c>
      <x:c r="O126" s="20" t="n">
        <x:v>130.57</x:v>
      </x:c>
      <x:c r="P126" s="20" t="n">
        <x:v>139</x:v>
      </x:c>
      <x:c r="Q126" s="20"/>
      <x:c r="R126" s="20"/>
      <x:c r="S126" s="20"/>
      <x:c r="T126" s="20"/>
      <x:c r="U126" s="20"/>
      <x:c r="V126" s="20"/>
      <x:c r="W126" s="20" t="str"/>
      <x:c r="X126" s="20"/>
      <x:c r="Y126" s="20"/>
      <x:c r="Z126" s="20"/>
      <x:c r="AA126" s="20"/>
      <x:c r="AB126" s="23" t="str"/>
      <x:c r="AC126" s="23" t="str">
        <x:v>ECI-only row</x:v>
      </x:c>
      <x:c r="AD126" s="23" t="str"/>
      <x:c r="AE126" s="23" t="str"/>
    </x:row>
    <x:row r="127">
      <x:c r="A127" s="17" t="str">
        <x:v>alibaba:qwen2-5-max</x:v>
      </x:c>
      <x:c r="B127" s="17" t="str">
        <x:v>Qwen2.5-Max</x:v>
      </x:c>
      <x:c r="C127" s="17" t="str">
        <x:v>Alibaba</x:v>
      </x:c>
      <x:c r="D127" s="17" t="str">
        <x:v>lineage:alibaba:qwen2-5-max</x:v>
      </x:c>
      <x:c r="E127" s="17" t="str">
        <x:v>base:alibaba:qwen2-5-max</x:v>
      </x:c>
      <x:c r="F127" s="23" t="str"/>
      <x:c r="G127" s="23" t="str"/>
      <x:c r="H127" s="23" t="str">
        <x:v>Qwen2.5-Max</x:v>
      </x:c>
      <x:c r="I127" s="31"/>
      <x:c r="J127" s="31" t="n">
        <x:v>45682</x:v>
      </x:c>
      <x:c r="K127" s="31" t="n">
        <x:v>45682</x:v>
      </x:c>
      <x:c r="L127" s="17" t="str">
        <x:v>ECI exact date</x:v>
      </x:c>
      <x:c r="M127" s="73"/>
      <x:c r="N127" s="20" t="n">
        <x:v>133.41</x:v>
      </x:c>
      <x:c r="O127" s="20" t="n">
        <x:v>129.19</x:v>
      </x:c>
      <x:c r="P127" s="20" t="n">
        <x:v>136.34</x:v>
      </x:c>
      <x:c r="Q127" s="20"/>
      <x:c r="R127" s="20"/>
      <x:c r="S127" s="20"/>
      <x:c r="T127" s="20"/>
      <x:c r="U127" s="20"/>
      <x:c r="V127" s="20"/>
      <x:c r="W127" s="20" t="str"/>
      <x:c r="X127" s="20"/>
      <x:c r="Y127" s="20"/>
      <x:c r="Z127" s="20"/>
      <x:c r="AA127" s="20"/>
      <x:c r="AB127" s="23" t="str"/>
      <x:c r="AC127" s="23" t="str">
        <x:v>ECI-only row</x:v>
      </x:c>
      <x:c r="AD127" s="23" t="str"/>
      <x:c r="AE127" s="23" t="str"/>
    </x:row>
    <x:row r="128">
      <x:c r="A128" s="17" t="str">
        <x:v>openai:o3-mini</x:v>
      </x:c>
      <x:c r="B128" s="17" t="str">
        <x:v>o3-mini</x:v>
      </x:c>
      <x:c r="C128" s="17" t="str">
        <x:v>OpenAI</x:v>
      </x:c>
      <x:c r="D128" s="17" t="str">
        <x:v>lineage:openai:o3-mini</x:v>
      </x:c>
      <x:c r="E128" s="17" t="str">
        <x:v>base:openai:o3-mini</x:v>
      </x:c>
      <x:c r="F128" s="23" t="str"/>
      <x:c r="G128" s="23" t="str"/>
      <x:c r="H128" s="23" t="str">
        <x:v>o3-mini</x:v>
      </x:c>
      <x:c r="I128" s="31"/>
      <x:c r="J128" s="31" t="n">
        <x:v>45688</x:v>
      </x:c>
      <x:c r="K128" s="31" t="n">
        <x:v>45688</x:v>
      </x:c>
      <x:c r="L128" s="17" t="str">
        <x:v>ECI exact date</x:v>
      </x:c>
      <x:c r="M128" s="73"/>
      <x:c r="N128" s="20" t="n">
        <x:v>141.41</x:v>
      </x:c>
      <x:c r="O128" s="20" t="n">
        <x:v>137.82</x:v>
      </x:c>
      <x:c r="P128" s="20" t="n">
        <x:v>142.81</x:v>
      </x:c>
      <x:c r="Q128" s="20"/>
      <x:c r="R128" s="20"/>
      <x:c r="S128" s="20"/>
      <x:c r="T128" s="20"/>
      <x:c r="U128" s="20"/>
      <x:c r="V128" s="20"/>
      <x:c r="W128" s="20" t="str"/>
      <x:c r="X128" s="20"/>
      <x:c r="Y128" s="20"/>
      <x:c r="Z128" s="20"/>
      <x:c r="AA128" s="20"/>
      <x:c r="AB128" s="23" t="str"/>
      <x:c r="AC128" s="23" t="str">
        <x:v>ECI-only row</x:v>
      </x:c>
      <x:c r="AD128" s="23" t="str"/>
      <x:c r="AE128" s="23" t="str"/>
    </x:row>
    <x:row r="129">
      <x:c r="A129" s="17" t="str">
        <x:v>xai:grok-3</x:v>
      </x:c>
      <x:c r="B129" s="17" t="str">
        <x:v>Grok 3</x:v>
      </x:c>
      <x:c r="C129" s="17" t="str">
        <x:v>xAI</x:v>
      </x:c>
      <x:c r="D129" s="17" t="str">
        <x:v>lineage:xai:grok-3</x:v>
      </x:c>
      <x:c r="E129" s="17" t="str">
        <x:v>base:xai:grok-3</x:v>
      </x:c>
      <x:c r="F129" s="23" t="str"/>
      <x:c r="G129" s="23" t="str"/>
      <x:c r="H129" s="23" t="str">
        <x:v>Grok 3</x:v>
      </x:c>
      <x:c r="I129" s="31"/>
      <x:c r="J129" s="31" t="n">
        <x:v>45705</x:v>
      </x:c>
      <x:c r="K129" s="31" t="n">
        <x:v>45705</x:v>
      </x:c>
      <x:c r="L129" s="17" t="str">
        <x:v>ECI exact date</x:v>
      </x:c>
      <x:c r="M129" s="73"/>
      <x:c r="N129" s="20" t="n">
        <x:v>139.02</x:v>
      </x:c>
      <x:c r="O129" s="20" t="n">
        <x:v>136.17</x:v>
      </x:c>
      <x:c r="P129" s="20" t="n">
        <x:v>140.24</x:v>
      </x:c>
      <x:c r="Q129" s="20"/>
      <x:c r="R129" s="20"/>
      <x:c r="S129" s="20"/>
      <x:c r="T129" s="20"/>
      <x:c r="U129" s="20"/>
      <x:c r="V129" s="20"/>
      <x:c r="W129" s="20" t="str"/>
      <x:c r="X129" s="20"/>
      <x:c r="Y129" s="20"/>
      <x:c r="Z129" s="20"/>
      <x:c r="AA129" s="20"/>
      <x:c r="AB129" s="23" t="str"/>
      <x:c r="AC129" s="23" t="str">
        <x:v>ECI-only row</x:v>
      </x:c>
      <x:c r="AD129" s="23" t="str"/>
      <x:c r="AE129" s="23" t="str"/>
    </x:row>
    <x:row r="130">
      <x:c r="A130" s="17" t="str">
        <x:v>xai:grok-3-mini</x:v>
      </x:c>
      <x:c r="B130" s="17" t="str">
        <x:v>Grok-3 mini</x:v>
      </x:c>
      <x:c r="C130" s="17" t="str">
        <x:v>xAI</x:v>
      </x:c>
      <x:c r="D130" s="17" t="str">
        <x:v>lineage:xai:grok-3-mini</x:v>
      </x:c>
      <x:c r="E130" s="17" t="str">
        <x:v>base:xai:grok-3-mini</x:v>
      </x:c>
      <x:c r="F130" s="23" t="str"/>
      <x:c r="G130" s="23" t="str"/>
      <x:c r="H130" s="23" t="str">
        <x:v>Grok-3 mini</x:v>
      </x:c>
      <x:c r="I130" s="31"/>
      <x:c r="J130" s="31" t="n">
        <x:v>45707</x:v>
      </x:c>
      <x:c r="K130" s="31" t="n">
        <x:v>45707</x:v>
      </x:c>
      <x:c r="L130" s="17" t="str">
        <x:v>ECI exact date</x:v>
      </x:c>
      <x:c r="M130" s="73"/>
      <x:c r="N130" s="20" t="n">
        <x:v>141.01</x:v>
      </x:c>
      <x:c r="O130" s="20" t="n">
        <x:v>137.89</x:v>
      </x:c>
      <x:c r="P130" s="20" t="n">
        <x:v>142.63</x:v>
      </x:c>
      <x:c r="Q130" s="20"/>
      <x:c r="R130" s="20"/>
      <x:c r="S130" s="20"/>
      <x:c r="T130" s="20"/>
      <x:c r="U130" s="20"/>
      <x:c r="V130" s="20"/>
      <x:c r="W130" s="20" t="str"/>
      <x:c r="X130" s="20"/>
      <x:c r="Y130" s="20"/>
      <x:c r="Z130" s="20"/>
      <x:c r="AA130" s="20"/>
      <x:c r="AB130" s="23" t="str"/>
      <x:c r="AC130" s="23" t="str">
        <x:v>ECI-only row</x:v>
      </x:c>
      <x:c r="AD130" s="23" t="str"/>
      <x:c r="AE130" s="23" t="str"/>
    </x:row>
    <x:row r="131">
      <x:c r="A131" s="17" t="str">
        <x:v>anthropic:claude-3-7-sonnet</x:v>
      </x:c>
      <x:c r="B131" s="17" t="str">
        <x:v>Claude 3.7 Sonnet</x:v>
      </x:c>
      <x:c r="C131" s="17" t="str">
        <x:v>Anthropic</x:v>
      </x:c>
      <x:c r="D131" s="17" t="str">
        <x:v>lineage:anthropic:claude-3-7-sonnet</x:v>
      </x:c>
      <x:c r="E131" s="17" t="str">
        <x:v>base:anthropic:claude-3-7-sonnet</x:v>
      </x:c>
      <x:c r="F131" s="23" t="str"/>
      <x:c r="G131" s="23" t="str">
        <x:v>Sonnet 3.7</x:v>
      </x:c>
      <x:c r="H131" s="23" t="str">
        <x:v>Claude 3.7 Sonnet</x:v>
      </x:c>
      <x:c r="I131" s="31" t="n">
        <x:v>45689</x:v>
      </x:c>
      <x:c r="J131" s="31" t="n">
        <x:v>45712</x:v>
      </x:c>
      <x:c r="K131" s="31" t="n">
        <x:v>45712</x:v>
      </x:c>
      <x:c r="L131" s="17" t="str">
        <x:v>ECI exact date</x:v>
      </x:c>
      <x:c r="M131" s="73" t="n">
        <x:v>23</x:v>
      </x:c>
      <x:c r="N131" s="20" t="n">
        <x:v>141.7</x:v>
      </x:c>
      <x:c r="O131" s="20" t="n">
        <x:v>139.28</x:v>
      </x:c>
      <x:c r="P131" s="20" t="n">
        <x:v>143.27</x:v>
      </x:c>
      <x:c r="Q131" s="20"/>
      <x:c r="R131" s="20"/>
      <x:c r="S131" s="20"/>
      <x:c r="T131" s="20"/>
      <x:c r="U131" s="20"/>
      <x:c r="V131" s="20"/>
      <x:c r="W131" s="20" t="str"/>
      <x:c r="X131" s="20" t="n">
        <x:v>1.1</x:v>
      </x:c>
      <x:c r="Y131" s="20"/>
      <x:c r="Z131" s="20" t="n">
        <x:v>0.26</x:v>
      </x:c>
      <x:c r="AA131" s="20" t="n">
        <x:v>1.3</x:v>
      </x:c>
      <x:c r="AB131" s="23" t="str">
        <x:v>Paper frontier</x:v>
      </x:c>
      <x:c r="AC131" s="23" t="str">
        <x:v>Manual exact ECI join</x:v>
      </x:c>
      <x:c r="AD131" s="23" t="str"/>
      <x:c r="AE131" s="23" t="str"/>
    </x:row>
    <x:row r="132">
      <x:c r="A132" s="17" t="str">
        <x:v>openai:gpt-4-5</x:v>
      </x:c>
      <x:c r="B132" s="17" t="str">
        <x:v>GPT-4.5</x:v>
      </x:c>
      <x:c r="C132" s="17" t="str">
        <x:v>OpenAI</x:v>
      </x:c>
      <x:c r="D132" s="17" t="str">
        <x:v>lineage:openai:gpt-4-5</x:v>
      </x:c>
      <x:c r="E132" s="17" t="str">
        <x:v>base:openai:gpt-4-5</x:v>
      </x:c>
      <x:c r="F132" s="23" t="str"/>
      <x:c r="G132" s="23" t="str"/>
      <x:c r="H132" s="23" t="str">
        <x:v>GPT-4.5</x:v>
      </x:c>
      <x:c r="I132" s="31"/>
      <x:c r="J132" s="31" t="n">
        <x:v>45715</x:v>
      </x:c>
      <x:c r="K132" s="31" t="n">
        <x:v>45715</x:v>
      </x:c>
      <x:c r="L132" s="17" t="str">
        <x:v>ECI exact date</x:v>
      </x:c>
      <x:c r="M132" s="73"/>
      <x:c r="N132" s="20" t="n">
        <x:v>137.54</x:v>
      </x:c>
      <x:c r="O132" s="20" t="n">
        <x:v>134.46</x:v>
      </x:c>
      <x:c r="P132" s="20" t="n">
        <x:v>139.14</x:v>
      </x:c>
      <x:c r="Q132" s="20"/>
      <x:c r="R132" s="20"/>
      <x:c r="S132" s="20"/>
      <x:c r="T132" s="20"/>
      <x:c r="U132" s="20"/>
      <x:c r="V132" s="20"/>
      <x:c r="W132" s="20" t="str"/>
      <x:c r="X132" s="20"/>
      <x:c r="Y132" s="20"/>
      <x:c r="Z132" s="20"/>
      <x:c r="AA132" s="20"/>
      <x:c r="AB132" s="23" t="str"/>
      <x:c r="AC132" s="23" t="str">
        <x:v>ECI-only row</x:v>
      </x:c>
      <x:c r="AD132" s="23" t="str"/>
      <x:c r="AE132" s="23" t="str"/>
    </x:row>
    <x:row r="133">
      <x:c r="A133" s="17" t="str">
        <x:v>google:gemma-3-12b-it</x:v>
      </x:c>
      <x:c r="B133" s="17" t="str">
        <x:v>Gemma 3 12B IT</x:v>
      </x:c>
      <x:c r="C133" s="17" t="str">
        <x:v>Google DeepMind</x:v>
      </x:c>
      <x:c r="D133" s="17" t="str">
        <x:v>lineage:google:gemma-3-12b-it</x:v>
      </x:c>
      <x:c r="E133" s="17" t="str">
        <x:v>base:google:gemma-3-12b-it</x:v>
      </x:c>
      <x:c r="F133" s="23" t="str"/>
      <x:c r="G133" s="23" t="str">
        <x:v>Gemma 3 12B IT</x:v>
      </x:c>
      <x:c r="H133" s="23" t="str"/>
      <x:c r="I133" s="31" t="n">
        <x:v>45717</x:v>
      </x:c>
      <x:c r="J133" s="31"/>
      <x:c r="K133" s="31" t="n">
        <x:v>45717</x:v>
      </x:c>
      <x:c r="L133" s="17" t="str">
        <x:v>Paper month only</x:v>
      </x:c>
      <x:c r="M133" s="73"/>
      <x:c r="N133" s="20"/>
      <x:c r="O133" s="20"/>
      <x:c r="P133" s="20"/>
      <x:c r="Q133" s="20"/>
      <x:c r="R133" s="20" t="n">
        <x:v>12</x:v>
      </x:c>
      <x:c r="S133" s="20" t="n">
        <x:v>12</x:v>
      </x:c>
      <x:c r="T133" s="20"/>
      <x:c r="U133" s="20"/>
      <x:c r="V133" s="20" t="n">
        <x:v>48</x:v>
      </x:c>
      <x:c r="W133" s="20" t="str">
        <x:v>Dense</x:v>
      </x:c>
      <x:c r="X133" s="20" t="n">
        <x:v>0.322</x:v>
      </x:c>
      <x:c r="Y133" s="20" t="n">
        <x:v>0.15</x:v>
      </x:c>
      <x:c r="Z133" s="20" t="n">
        <x:v>0.006</x:v>
      </x:c>
      <x:c r="AA133" s="20" t="n">
        <x:v>0.52</x:v>
      </x:c>
      <x:c r="AB133" s="23" t="str">
        <x:v>Paper open-weight</x:v>
      </x:c>
      <x:c r="AC133" s="23" t="str">
        <x:v>No exact ECI checkpoint</x:v>
      </x:c>
      <x:c r="AD133" s="23" t="str"/>
      <x:c r="AE133" s="23" t="str"/>
    </x:row>
    <x:row r="134">
      <x:c r="A134" s="17" t="str">
        <x:v>google:gemma-3-4b-it</x:v>
      </x:c>
      <x:c r="B134" s="17" t="str">
        <x:v>Gemma 3 4B IT</x:v>
      </x:c>
      <x:c r="C134" s="17" t="str">
        <x:v>Google DeepMind</x:v>
      </x:c>
      <x:c r="D134" s="17" t="str">
        <x:v>lineage:google:gemma-3-4b-it</x:v>
      </x:c>
      <x:c r="E134" s="17" t="str">
        <x:v>base:google:gemma-3-4b-it</x:v>
      </x:c>
      <x:c r="F134" s="23" t="str"/>
      <x:c r="G134" s="23" t="str">
        <x:v>Gemma 3 4B IT</x:v>
      </x:c>
      <x:c r="H134" s="23" t="str"/>
      <x:c r="I134" s="31" t="n">
        <x:v>45717</x:v>
      </x:c>
      <x:c r="J134" s="31"/>
      <x:c r="K134" s="31" t="n">
        <x:v>45717</x:v>
      </x:c>
      <x:c r="L134" s="17" t="str">
        <x:v>Paper month only</x:v>
      </x:c>
      <x:c r="M134" s="73"/>
      <x:c r="N134" s="20"/>
      <x:c r="O134" s="20"/>
      <x:c r="P134" s="20"/>
      <x:c r="Q134" s="20"/>
      <x:c r="R134" s="20" t="n">
        <x:v>4</x:v>
      </x:c>
      <x:c r="S134" s="20" t="n">
        <x:v>4</x:v>
      </x:c>
      <x:c r="T134" s="20"/>
      <x:c r="U134" s="20"/>
      <x:c r="V134" s="20" t="n">
        <x:v>34</x:v>
      </x:c>
      <x:c r="W134" s="20" t="str">
        <x:v>Dense</x:v>
      </x:c>
      <x:c r="X134" s="20" t="n">
        <x:v>0.154</x:v>
      </x:c>
      <x:c r="Y134" s="20" t="n">
        <x:v>0.063</x:v>
      </x:c>
      <x:c r="Z134" s="20" t="n">
        <x:v>0</x:v>
      </x:c>
      <x:c r="AA134" s="20" t="n">
        <x:v>0.305</x:v>
      </x:c>
      <x:c r="AB134" s="23" t="str">
        <x:v>Paper open-weight</x:v>
      </x:c>
      <x:c r="AC134" s="23" t="str">
        <x:v>No exact ECI checkpoint</x:v>
      </x:c>
      <x:c r="AD134" s="23" t="str"/>
      <x:c r="AE134" s="23" t="str"/>
    </x:row>
    <x:row r="135">
      <x:c r="A135" s="17" t="str">
        <x:v>google:gemma-3-27b</x:v>
      </x:c>
      <x:c r="B135" s="17" t="str">
        <x:v>Gemma 3 27B</x:v>
      </x:c>
      <x:c r="C135" s="17" t="str">
        <x:v>Google DeepMind</x:v>
      </x:c>
      <x:c r="D135" s="17" t="str">
        <x:v>lineage:google:gemma-3-27b</x:v>
      </x:c>
      <x:c r="E135" s="17" t="str">
        <x:v>base:google:gemma-3-27b</x:v>
      </x:c>
      <x:c r="F135" s="23" t="str"/>
      <x:c r="G135" s="23" t="str">
        <x:v>Gemma 3 27B IT</x:v>
      </x:c>
      <x:c r="H135" s="23" t="str">
        <x:v>Gemma 3 27B</x:v>
      </x:c>
      <x:c r="I135" s="31" t="n">
        <x:v>45717</x:v>
      </x:c>
      <x:c r="J135" s="31" t="n">
        <x:v>45728</x:v>
      </x:c>
      <x:c r="K135" s="31" t="n">
        <x:v>45728</x:v>
      </x:c>
      <x:c r="L135" s="17" t="str">
        <x:v>ECI exact date</x:v>
      </x:c>
      <x:c r="M135" s="73" t="n">
        <x:v>11</x:v>
      </x:c>
      <x:c r="N135" s="20" t="n">
        <x:v>131.08</x:v>
      </x:c>
      <x:c r="O135" s="20" t="n">
        <x:v>124.84</x:v>
      </x:c>
      <x:c r="P135" s="20" t="n">
        <x:v>133.28</x:v>
      </x:c>
      <x:c r="Q135" s="20"/>
      <x:c r="R135" s="20" t="n">
        <x:v>27</x:v>
      </x:c>
      <x:c r="S135" s="20" t="n">
        <x:v>27</x:v>
      </x:c>
      <x:c r="T135" s="20" t="n">
        <x:v>27</x:v>
      </x:c>
      <x:c r="U135" s="20"/>
      <x:c r="V135" s="20" t="n">
        <x:v>62</x:v>
      </x:c>
      <x:c r="W135" s="20" t="str">
        <x:v>Dense</x:v>
      </x:c>
      <x:c r="X135" s="20" t="n">
        <x:v>0.512</x:v>
      </x:c>
      <x:c r="Y135" s="20" t="n">
        <x:v>0.264</x:v>
      </x:c>
      <x:c r="Z135" s="20" t="n">
        <x:v>0.025</x:v>
      </x:c>
      <x:c r="AA135" s="20" t="n">
        <x:v>0.761</x:v>
      </x:c>
      <x:c r="AB135" s="23" t="str">
        <x:v>Paper open-weight</x:v>
      </x:c>
      <x:c r="AC135" s="23" t="str">
        <x:v>Manual exact ECI join</x:v>
      </x:c>
      <x:c r="AD135" s="23" t="str"/>
      <x:c r="AE135" s="23" t="str">
        <x:v>Parameter row: Regression Data!35</x:v>
      </x:c>
    </x:row>
    <x:row r="136">
      <x:c r="A136" s="17" t="str">
        <x:v>mistral:mistral-small-3-1</x:v>
      </x:c>
      <x:c r="B136" s="17" t="str">
        <x:v>Mistral Small 3.1</x:v>
      </x:c>
      <x:c r="C136" s="17" t="str">
        <x:v>Mistral AI</x:v>
      </x:c>
      <x:c r="D136" s="17" t="str">
        <x:v>lineage:mistral:mistral-small-3-1</x:v>
      </x:c>
      <x:c r="E136" s="17" t="str">
        <x:v>base:mistral:mistral-small-3-1</x:v>
      </x:c>
      <x:c r="F136" s="23" t="str"/>
      <x:c r="G136" s="23" t="str"/>
      <x:c r="H136" s="23" t="str">
        <x:v>Mistral Small 3.1</x:v>
      </x:c>
      <x:c r="I136" s="31"/>
      <x:c r="J136" s="31" t="n">
        <x:v>45733</x:v>
      </x:c>
      <x:c r="K136" s="31" t="n">
        <x:v>45733</x:v>
      </x:c>
      <x:c r="L136" s="17" t="str">
        <x:v>ECI exact date</x:v>
      </x:c>
      <x:c r="M136" s="73"/>
      <x:c r="N136" s="20" t="n">
        <x:v>127.75</x:v>
      </x:c>
      <x:c r="O136" s="20" t="n">
        <x:v>121.89</x:v>
      </x:c>
      <x:c r="P136" s="20" t="n">
        <x:v>129.38</x:v>
      </x:c>
      <x:c r="Q136" s="20"/>
      <x:c r="R136" s="20"/>
      <x:c r="S136" s="20"/>
      <x:c r="T136" s="20" t="n">
        <x:v>24</x:v>
      </x:c>
      <x:c r="U136" s="20"/>
      <x:c r="V136" s="20"/>
      <x:c r="W136" s="20" t="str"/>
      <x:c r="X136" s="20"/>
      <x:c r="Y136" s="20"/>
      <x:c r="Z136" s="20"/>
      <x:c r="AA136" s="20"/>
      <x:c r="AB136" s="23" t="str"/>
      <x:c r="AC136" s="23" t="str">
        <x:v>ECI-only row</x:v>
      </x:c>
      <x:c r="AD136" s="23" t="str"/>
      <x:c r="AE136" s="23" t="str">
        <x:v>Parameter row: Regression Data!36</x:v>
      </x:c>
    </x:row>
    <x:row r="137">
      <x:c r="A137" s="17" t="str">
        <x:v>deepseek:deepseek-v3-mar-2025</x:v>
      </x:c>
      <x:c r="B137" s="17" t="str">
        <x:v>DeepSeek-V3 (Mar 2025)</x:v>
      </x:c>
      <x:c r="C137" s="17" t="str">
        <x:v>DeepSeek</x:v>
      </x:c>
      <x:c r="D137" s="17" t="str">
        <x:v>lineage:deepseek:deepseek-v3-mar-2025</x:v>
      </x:c>
      <x:c r="E137" s="17" t="str">
        <x:v>base:deepseek:deepseek-v3-mar-2025</x:v>
      </x:c>
      <x:c r="F137" s="23" t="str"/>
      <x:c r="G137" s="23" t="str">
        <x:v>DeepSeek V3 (0324)</x:v>
      </x:c>
      <x:c r="H137" s="23" t="str">
        <x:v>DeepSeek-V3 (Mar 2025)</x:v>
      </x:c>
      <x:c r="I137" s="31" t="n">
        <x:v>45717</x:v>
      </x:c>
      <x:c r="J137" s="31" t="n">
        <x:v>45740</x:v>
      </x:c>
      <x:c r="K137" s="31" t="n">
        <x:v>45740</x:v>
      </x:c>
      <x:c r="L137" s="17" t="str">
        <x:v>ECI exact date</x:v>
      </x:c>
      <x:c r="M137" s="73" t="n">
        <x:v>23</x:v>
      </x:c>
      <x:c r="N137" s="20" t="n">
        <x:v>137.04</x:v>
      </x:c>
      <x:c r="O137" s="20" t="n">
        <x:v>133.64</x:v>
      </x:c>
      <x:c r="P137" s="20" t="n">
        <x:v>138.66</x:v>
      </x:c>
      <x:c r="Q137" s="20"/>
      <x:c r="R137" s="20" t="n">
        <x:v>671</x:v>
      </x:c>
      <x:c r="S137" s="20" t="n">
        <x:v>37</x:v>
      </x:c>
      <x:c r="T137" s="20" t="n">
        <x:v>671</x:v>
      </x:c>
      <x:c r="U137" s="20"/>
      <x:c r="V137" s="20" t="n">
        <x:v>61</x:v>
      </x:c>
      <x:c r="W137" s="20" t="str">
        <x:v>MoE</x:v>
      </x:c>
      <x:c r="X137" s="20" t="n">
        <x:v>0.746</x:v>
      </x:c>
      <x:c r="Y137" s="20" t="n">
        <x:v>0.429</x:v>
      </x:c>
      <x:c r="Z137" s="20" t="n">
        <x:v>0.08</x:v>
      </x:c>
      <x:c r="AA137" s="20" t="n">
        <x:v>1.064</x:v>
      </x:c>
      <x:c r="AB137" s="23" t="str">
        <x:v>Paper open-weight</x:v>
      </x:c>
      <x:c r="AC137" s="23" t="str">
        <x:v>Manual exact ECI join</x:v>
      </x:c>
      <x:c r="AD137" s="23" t="str"/>
      <x:c r="AE137" s="23" t="str">
        <x:v>Parameter row: Regression Data!37</x:v>
      </x:c>
    </x:row>
    <x:row r="138">
      <x:c r="A138" s="17" t="str">
        <x:v>google:gemini-2-5-pro-mar-2025</x:v>
      </x:c>
      <x:c r="B138" s="17" t="str">
        <x:v>Gemini 2.5 Pro (Mar 2025)</x:v>
      </x:c>
      <x:c r="C138" s="17" t="str">
        <x:v>Google DeepMind</x:v>
      </x:c>
      <x:c r="D138" s="17" t="str">
        <x:v>lineage:google:gemini-2-5-pro-mar-2025</x:v>
      </x:c>
      <x:c r="E138" s="17" t="str">
        <x:v>base:google:gemini-2-5-pro-mar-2025</x:v>
      </x:c>
      <x:c r="F138" s="23" t="str"/>
      <x:c r="G138" s="23" t="str"/>
      <x:c r="H138" s="23" t="str">
        <x:v>Gemini 2.5 Pro (Mar 2025)</x:v>
      </x:c>
      <x:c r="I138" s="31"/>
      <x:c r="J138" s="31" t="n">
        <x:v>45741</x:v>
      </x:c>
      <x:c r="K138" s="31" t="n">
        <x:v>45741</x:v>
      </x:c>
      <x:c r="L138" s="17" t="str">
        <x:v>ECI exact date</x:v>
      </x:c>
      <x:c r="M138" s="73"/>
      <x:c r="N138" s="20" t="n">
        <x:v>144.84</x:v>
      </x:c>
      <x:c r="O138" s="20" t="n">
        <x:v>142.71</x:v>
      </x:c>
      <x:c r="P138" s="20" t="n">
        <x:v>147.18</x:v>
      </x:c>
      <x:c r="Q138" s="20"/>
      <x:c r="R138" s="20"/>
      <x:c r="S138" s="20"/>
      <x:c r="T138" s="20"/>
      <x:c r="U138" s="20"/>
      <x:c r="V138" s="20"/>
      <x:c r="W138" s="20" t="str"/>
      <x:c r="X138" s="20"/>
      <x:c r="Y138" s="20"/>
      <x:c r="Z138" s="20"/>
      <x:c r="AA138" s="20"/>
      <x:c r="AB138" s="23" t="str"/>
      <x:c r="AC138" s="23" t="str">
        <x:v>ECI-only row</x:v>
      </x:c>
      <x:c r="AD138" s="23" t="str"/>
      <x:c r="AE138" s="23" t="str"/>
    </x:row>
    <x:row r="139">
      <x:c r="A139" s="17" t="str">
        <x:v>alibaba:qwen-3-14b</x:v>
      </x:c>
      <x:c r="B139" s="17" t="str">
        <x:v>Qwen 3 14B</x:v>
      </x:c>
      <x:c r="C139" s="17" t="str">
        <x:v>Alibaba</x:v>
      </x:c>
      <x:c r="D139" s="17" t="str">
        <x:v>lineage:alibaba:qwen-3-14b</x:v>
      </x:c>
      <x:c r="E139" s="17" t="str">
        <x:v>base:alibaba:qwen-3-14b</x:v>
      </x:c>
      <x:c r="F139" s="23" t="str"/>
      <x:c r="G139" s="23" t="str">
        <x:v>Qwen 3 14B</x:v>
      </x:c>
      <x:c r="H139" s="23" t="str"/>
      <x:c r="I139" s="31" t="n">
        <x:v>45748</x:v>
      </x:c>
      <x:c r="J139" s="31"/>
      <x:c r="K139" s="31" t="n">
        <x:v>45748</x:v>
      </x:c>
      <x:c r="L139" s="17" t="str">
        <x:v>Paper month only</x:v>
      </x:c>
      <x:c r="M139" s="73"/>
      <x:c r="N139" s="20"/>
      <x:c r="O139" s="20"/>
      <x:c r="P139" s="20"/>
      <x:c r="Q139" s="20"/>
      <x:c r="R139" s="20" t="n">
        <x:v>14</x:v>
      </x:c>
      <x:c r="S139" s="20" t="n">
        <x:v>14</x:v>
      </x:c>
      <x:c r="T139" s="20"/>
      <x:c r="U139" s="20"/>
      <x:c r="V139" s="20" t="n">
        <x:v>40</x:v>
      </x:c>
      <x:c r="W139" s="20" t="str">
        <x:v>Dense</x:v>
      </x:c>
      <x:c r="X139" s="20" t="n">
        <x:v>0.258</x:v>
      </x:c>
      <x:c r="Y139" s="20" t="n">
        <x:v>0.117</x:v>
      </x:c>
      <x:c r="Z139" s="20" t="n">
        <x:v>0.005</x:v>
      </x:c>
      <x:c r="AA139" s="20" t="n">
        <x:v>0.436</x:v>
      </x:c>
      <x:c r="AB139" s="23" t="str">
        <x:v>Paper open-weight</x:v>
      </x:c>
      <x:c r="AC139" s="23" t="str">
        <x:v>No exact ECI checkpoint</x:v>
      </x:c>
      <x:c r="AD139" s="23" t="str"/>
      <x:c r="AE139" s="23" t="str"/>
    </x:row>
    <x:row r="140">
      <x:c r="A140" s="17" t="str">
        <x:v>alibaba:qwen-3-32b</x:v>
      </x:c>
      <x:c r="B140" s="17" t="str">
        <x:v>Qwen 3 32B</x:v>
      </x:c>
      <x:c r="C140" s="17" t="str">
        <x:v>Alibaba</x:v>
      </x:c>
      <x:c r="D140" s="17" t="str">
        <x:v>lineage:alibaba:qwen-3-32b</x:v>
      </x:c>
      <x:c r="E140" s="17" t="str">
        <x:v>base:alibaba:qwen-3-32b</x:v>
      </x:c>
      <x:c r="F140" s="23" t="str"/>
      <x:c r="G140" s="23" t="str">
        <x:v>Qwen 3 32B</x:v>
      </x:c>
      <x:c r="H140" s="23" t="str"/>
      <x:c r="I140" s="31" t="n">
        <x:v>45748</x:v>
      </x:c>
      <x:c r="J140" s="31"/>
      <x:c r="K140" s="31" t="n">
        <x:v>45748</x:v>
      </x:c>
      <x:c r="L140" s="17" t="str">
        <x:v>Paper month only</x:v>
      </x:c>
      <x:c r="M140" s="73"/>
      <x:c r="N140" s="20"/>
      <x:c r="O140" s="20"/>
      <x:c r="P140" s="20"/>
      <x:c r="Q140" s="20"/>
      <x:c r="R140" s="20" t="n">
        <x:v>32</x:v>
      </x:c>
      <x:c r="S140" s="20" t="n">
        <x:v>32</x:v>
      </x:c>
      <x:c r="T140" s="20"/>
      <x:c r="U140" s="20"/>
      <x:c r="V140" s="20" t="n">
        <x:v>64</x:v>
      </x:c>
      <x:c r="W140" s="20" t="str">
        <x:v>Dense</x:v>
      </x:c>
      <x:c r="X140" s="20" t="n">
        <x:v>0.346</x:v>
      </x:c>
      <x:c r="Y140" s="20" t="n">
        <x:v>0.164</x:v>
      </x:c>
      <x:c r="Z140" s="20" t="n">
        <x:v>0.013</x:v>
      </x:c>
      <x:c r="AA140" s="20" t="n">
        <x:v>0.531</x:v>
      </x:c>
      <x:c r="AB140" s="23" t="str">
        <x:v>Paper open-weight</x:v>
      </x:c>
      <x:c r="AC140" s="23" t="str">
        <x:v>No exact ECI checkpoint</x:v>
      </x:c>
      <x:c r="AD140" s="23" t="str"/>
      <x:c r="AE140" s="23" t="str"/>
    </x:row>
    <x:row r="141">
      <x:c r="A141" s="17" t="str">
        <x:v>alibaba:qwen-3-8b</x:v>
      </x:c>
      <x:c r="B141" s="17" t="str">
        <x:v>Qwen 3 8B</x:v>
      </x:c>
      <x:c r="C141" s="17" t="str">
        <x:v>Alibaba</x:v>
      </x:c>
      <x:c r="D141" s="17" t="str">
        <x:v>lineage:alibaba:qwen-3-8b</x:v>
      </x:c>
      <x:c r="E141" s="17" t="str">
        <x:v>base:alibaba:qwen-3-8b</x:v>
      </x:c>
      <x:c r="F141" s="23" t="str"/>
      <x:c r="G141" s="23" t="str">
        <x:v>Qwen 3 8B</x:v>
      </x:c>
      <x:c r="H141" s="23" t="str"/>
      <x:c r="I141" s="31" t="n">
        <x:v>45748</x:v>
      </x:c>
      <x:c r="J141" s="31"/>
      <x:c r="K141" s="31" t="n">
        <x:v>45748</x:v>
      </x:c>
      <x:c r="L141" s="17" t="str">
        <x:v>Paper month only</x:v>
      </x:c>
      <x:c r="M141" s="73"/>
      <x:c r="N141" s="20"/>
      <x:c r="O141" s="20"/>
      <x:c r="P141" s="20"/>
      <x:c r="Q141" s="20"/>
      <x:c r="R141" s="20" t="n">
        <x:v>8</x:v>
      </x:c>
      <x:c r="S141" s="20" t="n">
        <x:v>8</x:v>
      </x:c>
      <x:c r="T141" s="20"/>
      <x:c r="U141" s="20"/>
      <x:c r="V141" s="20" t="n">
        <x:v>36</x:v>
      </x:c>
      <x:c r="W141" s="20" t="str">
        <x:v>Dense</x:v>
      </x:c>
      <x:c r="X141" s="20" t="n">
        <x:v>0.23</x:v>
      </x:c>
      <x:c r="Y141" s="20" t="n">
        <x:v>0.101</x:v>
      </x:c>
      <x:c r="Z141" s="20" t="n">
        <x:v>0.001</x:v>
      </x:c>
      <x:c r="AA141" s="20" t="n">
        <x:v>0.377</x:v>
      </x:c>
      <x:c r="AB141" s="23" t="str">
        <x:v>Paper open-weight</x:v>
      </x:c>
      <x:c r="AC141" s="23" t="str">
        <x:v>No exact ECI checkpoint</x:v>
      </x:c>
      <x:c r="AD141" s="23" t="str"/>
      <x:c r="AE141" s="23" t="str"/>
    </x:row>
    <x:row r="142">
      <x:c r="A142" s="17" t="str">
        <x:v>meta:llama-4-maverick</x:v>
      </x:c>
      <x:c r="B142" s="17" t="str">
        <x:v>Llama 4 Maverick</x:v>
      </x:c>
      <x:c r="C142" s="17" t="str">
        <x:v>Meta AI</x:v>
      </x:c>
      <x:c r="D142" s="17" t="str">
        <x:v>lineage:meta:llama-4-maverick</x:v>
      </x:c>
      <x:c r="E142" s="17" t="str">
        <x:v>base:meta:llama-4-maverick</x:v>
      </x:c>
      <x:c r="F142" s="23" t="str"/>
      <x:c r="G142" s="23" t="str">
        <x:v>Llama 4 Maverick</x:v>
      </x:c>
      <x:c r="H142" s="23" t="str">
        <x:v>Llama 4 Maverick</x:v>
      </x:c>
      <x:c r="I142" s="31" t="n">
        <x:v>45748</x:v>
      </x:c>
      <x:c r="J142" s="31" t="n">
        <x:v>45752</x:v>
      </x:c>
      <x:c r="K142" s="31" t="n">
        <x:v>45752</x:v>
      </x:c>
      <x:c r="L142" s="17" t="str">
        <x:v>ECI exact date</x:v>
      </x:c>
      <x:c r="M142" s="73" t="n">
        <x:v>4</x:v>
      </x:c>
      <x:c r="N142" s="20" t="n">
        <x:v>133.04</x:v>
      </x:c>
      <x:c r="O142" s="20" t="n">
        <x:v>128.11</x:v>
      </x:c>
      <x:c r="P142" s="20" t="n">
        <x:v>135.12</x:v>
      </x:c>
      <x:c r="Q142" s="20"/>
      <x:c r="R142" s="20" t="n">
        <x:v>400</x:v>
      </x:c>
      <x:c r="S142" s="20" t="n">
        <x:v>17</x:v>
      </x:c>
      <x:c r="T142" s="20" t="n">
        <x:v>400</x:v>
      </x:c>
      <x:c r="U142" s="20"/>
      <x:c r="V142" s="20" t="n">
        <x:v>48</x:v>
      </x:c>
      <x:c r="W142" s="20" t="str">
        <x:v>MoE</x:v>
      </x:c>
      <x:c r="X142" s="20" t="n">
        <x:v>0.391</x:v>
      </x:c>
      <x:c r="Y142" s="20" t="n">
        <x:v>0.19</x:v>
      </x:c>
      <x:c r="Z142" s="20" t="n">
        <x:v>0.004</x:v>
      </x:c>
      <x:c r="AA142" s="20" t="n">
        <x:v>0.732</x:v>
      </x:c>
      <x:c r="AB142" s="23" t="str">
        <x:v>Paper open-weight</x:v>
      </x:c>
      <x:c r="AC142" s="23" t="str">
        <x:v>Manual exact ECI join</x:v>
      </x:c>
      <x:c r="AD142" s="23" t="str"/>
      <x:c r="AE142" s="23" t="str">
        <x:v>Parameter row: Regression Data!38</x:v>
      </x:c>
    </x:row>
    <x:row r="143">
      <x:c r="A143" s="17" t="str">
        <x:v>meta:llama-4-scout</x:v>
      </x:c>
      <x:c r="B143" s="17" t="str">
        <x:v>Llama 4 Scout</x:v>
      </x:c>
      <x:c r="C143" s="17" t="str">
        <x:v>Meta AI</x:v>
      </x:c>
      <x:c r="D143" s="17" t="str">
        <x:v>lineage:meta:llama-4-scout</x:v>
      </x:c>
      <x:c r="E143" s="17" t="str">
        <x:v>base:meta:llama-4-scout</x:v>
      </x:c>
      <x:c r="F143" s="23" t="str"/>
      <x:c r="G143" s="23" t="str">
        <x:v>Llama 4 Scout</x:v>
      </x:c>
      <x:c r="H143" s="23" t="str">
        <x:v>Llama 4 Scout</x:v>
      </x:c>
      <x:c r="I143" s="31" t="n">
        <x:v>45748</x:v>
      </x:c>
      <x:c r="J143" s="31" t="n">
        <x:v>45752</x:v>
      </x:c>
      <x:c r="K143" s="31" t="n">
        <x:v>45752</x:v>
      </x:c>
      <x:c r="L143" s="17" t="str">
        <x:v>ECI exact date</x:v>
      </x:c>
      <x:c r="M143" s="73" t="n">
        <x:v>4</x:v>
      </x:c>
      <x:c r="N143" s="20" t="n">
        <x:v>130.56</x:v>
      </x:c>
      <x:c r="O143" s="20" t="n">
        <x:v>125.67</x:v>
      </x:c>
      <x:c r="P143" s="20" t="n">
        <x:v>132.06</x:v>
      </x:c>
      <x:c r="Q143" s="20"/>
      <x:c r="R143" s="20" t="n">
        <x:v>109</x:v>
      </x:c>
      <x:c r="S143" s="20" t="n">
        <x:v>17</x:v>
      </x:c>
      <x:c r="T143" s="20" t="n">
        <x:v>109</x:v>
      </x:c>
      <x:c r="U143" s="20"/>
      <x:c r="V143" s="20" t="n">
        <x:v>48</x:v>
      </x:c>
      <x:c r="W143" s="20" t="str">
        <x:v>MoE</x:v>
      </x:c>
      <x:c r="X143" s="20" t="n">
        <x:v>0.102</x:v>
      </x:c>
      <x:c r="Y143" s="20" t="n">
        <x:v>0.037</x:v>
      </x:c>
      <x:c r="Z143" s="20" t="n">
        <x:v>0.001</x:v>
      </x:c>
      <x:c r="AA143" s="20" t="n">
        <x:v>0.231</x:v>
      </x:c>
      <x:c r="AB143" s="23" t="str">
        <x:v>Paper open-weight</x:v>
      </x:c>
      <x:c r="AC143" s="23" t="str">
        <x:v>Manual exact ECI join</x:v>
      </x:c>
      <x:c r="AD143" s="23" t="str"/>
      <x:c r="AE143" s="23" t="str">
        <x:v>Parameter row: Regression Data!39</x:v>
      </x:c>
    </x:row>
    <x:row r="144">
      <x:c r="A144" s="17" t="str">
        <x:v>openai:gpt-4-1</x:v>
      </x:c>
      <x:c r="B144" s="17" t="str">
        <x:v>GPT-4.1</x:v>
      </x:c>
      <x:c r="C144" s="17" t="str">
        <x:v>OpenAI</x:v>
      </x:c>
      <x:c r="D144" s="17" t="str">
        <x:v>lineage:openai:gpt-4-1</x:v>
      </x:c>
      <x:c r="E144" s="17" t="str">
        <x:v>base:openai:gpt-4-1</x:v>
      </x:c>
      <x:c r="F144" s="23" t="str"/>
      <x:c r="G144" s="23" t="str"/>
      <x:c r="H144" s="23" t="str">
        <x:v>GPT-4.1</x:v>
      </x:c>
      <x:c r="I144" s="31"/>
      <x:c r="J144" s="31" t="n">
        <x:v>45761</x:v>
      </x:c>
      <x:c r="K144" s="31" t="n">
        <x:v>45761</x:v>
      </x:c>
      <x:c r="L144" s="17" t="str">
        <x:v>ECI exact date</x:v>
      </x:c>
      <x:c r="M144" s="73"/>
      <x:c r="N144" s="20" t="n">
        <x:v>137.46</x:v>
      </x:c>
      <x:c r="O144" s="20" t="n">
        <x:v>134.54</x:v>
      </x:c>
      <x:c r="P144" s="20" t="n">
        <x:v>139.14</x:v>
      </x:c>
      <x:c r="Q144" s="20"/>
      <x:c r="R144" s="20"/>
      <x:c r="S144" s="20"/>
      <x:c r="T144" s="20"/>
      <x:c r="U144" s="20"/>
      <x:c r="V144" s="20"/>
      <x:c r="W144" s="20" t="str"/>
      <x:c r="X144" s="20"/>
      <x:c r="Y144" s="20"/>
      <x:c r="Z144" s="20"/>
      <x:c r="AA144" s="20"/>
      <x:c r="AB144" s="23" t="str"/>
      <x:c r="AC144" s="23" t="str">
        <x:v>ECI-only row</x:v>
      </x:c>
      <x:c r="AD144" s="23" t="str"/>
      <x:c r="AE144" s="23" t="str"/>
    </x:row>
    <x:row r="145">
      <x:c r="A145" s="17" t="str">
        <x:v>openai:gpt-4-1-mini</x:v>
      </x:c>
      <x:c r="B145" s="17" t="str">
        <x:v>GPT-4.1 mini</x:v>
      </x:c>
      <x:c r="C145" s="17" t="str">
        <x:v>OpenAI</x:v>
      </x:c>
      <x:c r="D145" s="17" t="str">
        <x:v>lineage:openai:gpt-4-1-mini</x:v>
      </x:c>
      <x:c r="E145" s="17" t="str">
        <x:v>base:openai:gpt-4-1-mini</x:v>
      </x:c>
      <x:c r="F145" s="23" t="str"/>
      <x:c r="G145" s="23" t="str"/>
      <x:c r="H145" s="23" t="str">
        <x:v>GPT-4.1 mini</x:v>
      </x:c>
      <x:c r="I145" s="31"/>
      <x:c r="J145" s="31" t="n">
        <x:v>45761</x:v>
      </x:c>
      <x:c r="K145" s="31" t="n">
        <x:v>45761</x:v>
      </x:c>
      <x:c r="L145" s="17" t="str">
        <x:v>ECI exact date</x:v>
      </x:c>
      <x:c r="M145" s="73"/>
      <x:c r="N145" s="20" t="n">
        <x:v>135.79</x:v>
      </x:c>
      <x:c r="O145" s="20" t="n">
        <x:v>131.28</x:v>
      </x:c>
      <x:c r="P145" s="20" t="n">
        <x:v>137.58</x:v>
      </x:c>
      <x:c r="Q145" s="20"/>
      <x:c r="R145" s="20"/>
      <x:c r="S145" s="20"/>
      <x:c r="T145" s="20"/>
      <x:c r="U145" s="20"/>
      <x:c r="V145" s="20"/>
      <x:c r="W145" s="20" t="str"/>
      <x:c r="X145" s="20"/>
      <x:c r="Y145" s="20"/>
      <x:c r="Z145" s="20"/>
      <x:c r="AA145" s="20"/>
      <x:c r="AB145" s="23" t="str"/>
      <x:c r="AC145" s="23" t="str">
        <x:v>ECI-only row</x:v>
      </x:c>
      <x:c r="AD145" s="23" t="str"/>
      <x:c r="AE145" s="23" t="str"/>
    </x:row>
    <x:row r="146">
      <x:c r="A146" s="17" t="str">
        <x:v>openai:gpt-4-1-nano</x:v>
      </x:c>
      <x:c r="B146" s="17" t="str">
        <x:v>GPT-4.1 nano</x:v>
      </x:c>
      <x:c r="C146" s="17" t="str">
        <x:v>OpenAI</x:v>
      </x:c>
      <x:c r="D146" s="17" t="str">
        <x:v>lineage:openai:gpt-4-1-nano</x:v>
      </x:c>
      <x:c r="E146" s="17" t="str">
        <x:v>base:openai:gpt-4-1-nano</x:v>
      </x:c>
      <x:c r="F146" s="23" t="str"/>
      <x:c r="G146" s="23" t="str"/>
      <x:c r="H146" s="23" t="str">
        <x:v>GPT-4.1 nano</x:v>
      </x:c>
      <x:c r="I146" s="31"/>
      <x:c r="J146" s="31" t="n">
        <x:v>45761</x:v>
      </x:c>
      <x:c r="K146" s="31" t="n">
        <x:v>45761</x:v>
      </x:c>
      <x:c r="L146" s="17" t="str">
        <x:v>ECI exact date</x:v>
      </x:c>
      <x:c r="M146" s="73"/>
      <x:c r="N146" s="20" t="n">
        <x:v>130.88</x:v>
      </x:c>
      <x:c r="O146" s="20" t="n">
        <x:v>125.17</x:v>
      </x:c>
      <x:c r="P146" s="20" t="n">
        <x:v>133.34</x:v>
      </x:c>
      <x:c r="Q146" s="20"/>
      <x:c r="R146" s="20"/>
      <x:c r="S146" s="20"/>
      <x:c r="T146" s="20"/>
      <x:c r="U146" s="20"/>
      <x:c r="V146" s="20"/>
      <x:c r="W146" s="20" t="str"/>
      <x:c r="X146" s="20"/>
      <x:c r="Y146" s="20"/>
      <x:c r="Z146" s="20"/>
      <x:c r="AA146" s="20"/>
      <x:c r="AB146" s="23" t="str"/>
      <x:c r="AC146" s="23" t="str">
        <x:v>ECI-only row</x:v>
      </x:c>
      <x:c r="AD146" s="23" t="str"/>
      <x:c r="AE146" s="23" t="str"/>
    </x:row>
    <x:row r="147">
      <x:c r="A147" s="17" t="str">
        <x:v>openai:o4-mini</x:v>
      </x:c>
      <x:c r="B147" s="17" t="str">
        <x:v>o4-mini</x:v>
      </x:c>
      <x:c r="C147" s="17" t="str">
        <x:v>OpenAI</x:v>
      </x:c>
      <x:c r="D147" s="17" t="str">
        <x:v>lineage:openai:o4-mini</x:v>
      </x:c>
      <x:c r="E147" s="17" t="str">
        <x:v>base:openai:o4-mini</x:v>
      </x:c>
      <x:c r="F147" s="23" t="str"/>
      <x:c r="G147" s="23" t="str"/>
      <x:c r="H147" s="23" t="str">
        <x:v>o4-mini</x:v>
      </x:c>
      <x:c r="I147" s="31"/>
      <x:c r="J147" s="31" t="n">
        <x:v>45763</x:v>
      </x:c>
      <x:c r="K147" s="31" t="n">
        <x:v>45763</x:v>
      </x:c>
      <x:c r="L147" s="17" t="str">
        <x:v>ECI exact date</x:v>
      </x:c>
      <x:c r="M147" s="73"/>
      <x:c r="N147" s="20" t="n">
        <x:v>146.54</x:v>
      </x:c>
      <x:c r="O147" s="20" t="n">
        <x:v>144.05</x:v>
      </x:c>
      <x:c r="P147" s="20" t="n">
        <x:v>147.85</x:v>
      </x:c>
      <x:c r="Q147" s="20"/>
      <x:c r="R147" s="20"/>
      <x:c r="S147" s="20"/>
      <x:c r="T147" s="20"/>
      <x:c r="U147" s="20"/>
      <x:c r="V147" s="20"/>
      <x:c r="W147" s="20" t="str"/>
      <x:c r="X147" s="20"/>
      <x:c r="Y147" s="20"/>
      <x:c r="Z147" s="20"/>
      <x:c r="AA147" s="20"/>
      <x:c r="AB147" s="23" t="str"/>
      <x:c r="AC147" s="23" t="str">
        <x:v>ECI-only row</x:v>
      </x:c>
      <x:c r="AD147" s="23" t="str"/>
      <x:c r="AE147" s="23" t="str"/>
    </x:row>
    <x:row r="148">
      <x:c r="A148" s="17" t="str">
        <x:v>google:gemini-2-5-flash-apr-2025</x:v>
      </x:c>
      <x:c r="B148" s="17" t="str">
        <x:v>Gemini 2.5 Flash (Apr 2025)</x:v>
      </x:c>
      <x:c r="C148" s="17" t="str">
        <x:v>Google DeepMind</x:v>
      </x:c>
      <x:c r="D148" s="17" t="str">
        <x:v>lineage:google:gemini-2-5-flash-apr-2025</x:v>
      </x:c>
      <x:c r="E148" s="17" t="str">
        <x:v>base:google:gemini-2-5-flash-apr-2025</x:v>
      </x:c>
      <x:c r="F148" s="23" t="str"/>
      <x:c r="G148" s="23" t="str"/>
      <x:c r="H148" s="23" t="str">
        <x:v>Gemini 2.5 Flash (Apr 2025)</x:v>
      </x:c>
      <x:c r="I148" s="31"/>
      <x:c r="J148" s="31" t="n">
        <x:v>45764</x:v>
      </x:c>
      <x:c r="K148" s="31" t="n">
        <x:v>45764</x:v>
      </x:c>
      <x:c r="L148" s="17" t="str">
        <x:v>ECI exact date</x:v>
      </x:c>
      <x:c r="M148" s="73"/>
      <x:c r="N148" s="20" t="n">
        <x:v>140.61</x:v>
      </x:c>
      <x:c r="O148" s="20" t="n">
        <x:v>135.95</x:v>
      </x:c>
      <x:c r="P148" s="20" t="n">
        <x:v>142.64</x:v>
      </x:c>
      <x:c r="Q148" s="20"/>
      <x:c r="R148" s="20"/>
      <x:c r="S148" s="20"/>
      <x:c r="T148" s="20"/>
      <x:c r="U148" s="20"/>
      <x:c r="V148" s="20"/>
      <x:c r="W148" s="20" t="str"/>
      <x:c r="X148" s="20"/>
      <x:c r="Y148" s="20"/>
      <x:c r="Z148" s="20"/>
      <x:c r="AA148" s="20"/>
      <x:c r="AB148" s="23" t="str"/>
      <x:c r="AC148" s="23" t="str">
        <x:v>ECI-only row</x:v>
      </x:c>
      <x:c r="AD148" s="23" t="str"/>
      <x:c r="AE148" s="23" t="str"/>
    </x:row>
    <x:row r="149">
      <x:c r="A149" s="17" t="str">
        <x:v>alibaba:qwen3-235b-a22b</x:v>
      </x:c>
      <x:c r="B149" s="17" t="str">
        <x:v>Qwen3-235B-A22B</x:v>
      </x:c>
      <x:c r="C149" s="17" t="str">
        <x:v>Alibaba</x:v>
      </x:c>
      <x:c r="D149" s="17" t="str">
        <x:v>lineage:alibaba:qwen3-235b-a22b</x:v>
      </x:c>
      <x:c r="E149" s="17" t="str">
        <x:v>base:alibaba:qwen3-235b-a22b</x:v>
      </x:c>
      <x:c r="F149" s="23" t="str"/>
      <x:c r="G149" s="23" t="str"/>
      <x:c r="H149" s="23" t="str">
        <x:v>Qwen3-235B-A22B</x:v>
      </x:c>
      <x:c r="I149" s="31"/>
      <x:c r="J149" s="31" t="n">
        <x:v>45775</x:v>
      </x:c>
      <x:c r="K149" s="31" t="n">
        <x:v>45775</x:v>
      </x:c>
      <x:c r="L149" s="17" t="str">
        <x:v>ECI exact date</x:v>
      </x:c>
      <x:c r="M149" s="73"/>
      <x:c r="N149" s="20" t="n">
        <x:v>139.58</x:v>
      </x:c>
      <x:c r="O149" s="20" t="n">
        <x:v>134.79</x:v>
      </x:c>
      <x:c r="P149" s="20" t="n">
        <x:v>141.08</x:v>
      </x:c>
      <x:c r="Q149" s="20"/>
      <x:c r="R149" s="20"/>
      <x:c r="S149" s="20"/>
      <x:c r="T149" s="20" t="n">
        <x:v>235</x:v>
      </x:c>
      <x:c r="U149" s="20"/>
      <x:c r="V149" s="20"/>
      <x:c r="W149" s="20" t="str"/>
      <x:c r="X149" s="20"/>
      <x:c r="Y149" s="20"/>
      <x:c r="Z149" s="20"/>
      <x:c r="AA149" s="20"/>
      <x:c r="AB149" s="23" t="str"/>
      <x:c r="AC149" s="23" t="str">
        <x:v>ECI-only row</x:v>
      </x:c>
      <x:c r="AD149" s="23" t="str"/>
      <x:c r="AE149" s="23" t="str">
        <x:v>Parameter row: Regression Data!40</x:v>
      </x:c>
    </x:row>
    <x:row r="150">
      <x:c r="A150" s="17" t="str">
        <x:v>google:gemini-2-5-pro-may-2025</x:v>
      </x:c>
      <x:c r="B150" s="17" t="str">
        <x:v>Gemini 2.5 Pro (May 2025)</x:v>
      </x:c>
      <x:c r="C150" s="17" t="str">
        <x:v>Google DeepMind</x:v>
      </x:c>
      <x:c r="D150" s="17" t="str">
        <x:v>lineage:google:gemini-2-5-pro-may-2025</x:v>
      </x:c>
      <x:c r="E150" s="17" t="str">
        <x:v>base:google:gemini-2-5-pro-may-2025</x:v>
      </x:c>
      <x:c r="F150" s="23" t="str"/>
      <x:c r="G150" s="23" t="str"/>
      <x:c r="H150" s="23" t="str">
        <x:v>Gemini 2.5 Pro (May 2025)</x:v>
      </x:c>
      <x:c r="I150" s="31"/>
      <x:c r="J150" s="31" t="n">
        <x:v>45783</x:v>
      </x:c>
      <x:c r="K150" s="31" t="n">
        <x:v>45783</x:v>
      </x:c>
      <x:c r="L150" s="17" t="str">
        <x:v>ECI exact date</x:v>
      </x:c>
      <x:c r="M150" s="73"/>
      <x:c r="N150" s="20" t="n">
        <x:v>142.83</x:v>
      </x:c>
      <x:c r="O150" s="20" t="n">
        <x:v>139.38</x:v>
      </x:c>
      <x:c r="P150" s="20" t="n">
        <x:v>145.35</x:v>
      </x:c>
      <x:c r="Q150" s="20"/>
      <x:c r="R150" s="20"/>
      <x:c r="S150" s="20"/>
      <x:c r="T150" s="20"/>
      <x:c r="U150" s="20"/>
      <x:c r="V150" s="20"/>
      <x:c r="W150" s="20" t="str"/>
      <x:c r="X150" s="20"/>
      <x:c r="Y150" s="20"/>
      <x:c r="Z150" s="20"/>
      <x:c r="AA150" s="20"/>
      <x:c r="AB150" s="23" t="str"/>
      <x:c r="AC150" s="23" t="str">
        <x:v>ECI-only row</x:v>
      </x:c>
      <x:c r="AD150" s="23" t="str"/>
      <x:c r="AE150" s="23" t="str"/>
    </x:row>
    <x:row r="151">
      <x:c r="A151" s="17" t="str">
        <x:v>mistral:mistral-medium-3</x:v>
      </x:c>
      <x:c r="B151" s="17" t="str">
        <x:v>Mistral Medium 3</x:v>
      </x:c>
      <x:c r="C151" s="17" t="str">
        <x:v>Mistral AI</x:v>
      </x:c>
      <x:c r="D151" s="17" t="str">
        <x:v>lineage:mistral:mistral-medium-3</x:v>
      </x:c>
      <x:c r="E151" s="17" t="str">
        <x:v>base:mistral:mistral-medium-3</x:v>
      </x:c>
      <x:c r="F151" s="23" t="str"/>
      <x:c r="G151" s="23" t="str"/>
      <x:c r="H151" s="23" t="str">
        <x:v>Mistral Medium 3</x:v>
      </x:c>
      <x:c r="I151" s="31"/>
      <x:c r="J151" s="31" t="n">
        <x:v>45784</x:v>
      </x:c>
      <x:c r="K151" s="31" t="n">
        <x:v>45784</x:v>
      </x:c>
      <x:c r="L151" s="17" t="str">
        <x:v>ECI exact date</x:v>
      </x:c>
      <x:c r="M151" s="73"/>
      <x:c r="N151" s="20" t="n">
        <x:v>135.28</x:v>
      </x:c>
      <x:c r="O151" s="20" t="n">
        <x:v>131.52</x:v>
      </x:c>
      <x:c r="P151" s="20" t="n">
        <x:v>136.44</x:v>
      </x:c>
      <x:c r="Q151" s="20"/>
      <x:c r="R151" s="20"/>
      <x:c r="S151" s="20"/>
      <x:c r="T151" s="20"/>
      <x:c r="U151" s="20"/>
      <x:c r="V151" s="20"/>
      <x:c r="W151" s="20" t="str"/>
      <x:c r="X151" s="20"/>
      <x:c r="Y151" s="20"/>
      <x:c r="Z151" s="20"/>
      <x:c r="AA151" s="20"/>
      <x:c r="AB151" s="23" t="str"/>
      <x:c r="AC151" s="23" t="str">
        <x:v>ECI-only row</x:v>
      </x:c>
      <x:c r="AD151" s="23" t="str"/>
      <x:c r="AE151" s="23" t="str"/>
    </x:row>
    <x:row r="152">
      <x:c r="A152" s="17" t="str">
        <x:v>google:gemini-2-5-flash-may-2025</x:v>
      </x:c>
      <x:c r="B152" s="17" t="str">
        <x:v>Gemini 2.5 Flash (May 2025)</x:v>
      </x:c>
      <x:c r="C152" s="17" t="str">
        <x:v>Google DeepMind</x:v>
      </x:c>
      <x:c r="D152" s="17" t="str">
        <x:v>lineage:google:gemini-2-5-flash-may-2025</x:v>
      </x:c>
      <x:c r="E152" s="17" t="str">
        <x:v>base:google:gemini-2-5-flash-may-2025</x:v>
      </x:c>
      <x:c r="F152" s="23" t="str"/>
      <x:c r="G152" s="23" t="str"/>
      <x:c r="H152" s="23" t="str">
        <x:v>Gemini 2.5 Flash (May 2025)</x:v>
      </x:c>
      <x:c r="I152" s="31"/>
      <x:c r="J152" s="31" t="n">
        <x:v>45797</x:v>
      </x:c>
      <x:c r="K152" s="31" t="n">
        <x:v>45797</x:v>
      </x:c>
      <x:c r="L152" s="17" t="str">
        <x:v>ECI exact date</x:v>
      </x:c>
      <x:c r="M152" s="73"/>
      <x:c r="N152" s="20" t="n">
        <x:v>142.24</x:v>
      </x:c>
      <x:c r="O152" s="20" t="n">
        <x:v>139.89</x:v>
      </x:c>
      <x:c r="P152" s="20" t="n">
        <x:v>143.54</x:v>
      </x:c>
      <x:c r="Q152" s="20"/>
      <x:c r="R152" s="20"/>
      <x:c r="S152" s="20"/>
      <x:c r="T152" s="20"/>
      <x:c r="U152" s="20"/>
      <x:c r="V152" s="20"/>
      <x:c r="W152" s="20" t="str"/>
      <x:c r="X152" s="20"/>
      <x:c r="Y152" s="20"/>
      <x:c r="Z152" s="20"/>
      <x:c r="AA152" s="20"/>
      <x:c r="AB152" s="23" t="str"/>
      <x:c r="AC152" s="23" t="str">
        <x:v>ECI-only row</x:v>
      </x:c>
      <x:c r="AD152" s="23" t="str"/>
      <x:c r="AE152" s="23" t="str"/>
    </x:row>
    <x:row r="153">
      <x:c r="A153" s="17" t="str">
        <x:v>anthropic:claude-opus-4</x:v>
      </x:c>
      <x:c r="B153" s="17" t="str">
        <x:v>Claude Opus 4</x:v>
      </x:c>
      <x:c r="C153" s="17" t="str">
        <x:v>Anthropic</x:v>
      </x:c>
      <x:c r="D153" s="17" t="str">
        <x:v>lineage:anthropic:claude-opus-4</x:v>
      </x:c>
      <x:c r="E153" s="17" t="str">
        <x:v>base:anthropic:claude-opus-4</x:v>
      </x:c>
      <x:c r="F153" s="23" t="str"/>
      <x:c r="G153" s="23" t="str">
        <x:v>Opus 4</x:v>
      </x:c>
      <x:c r="H153" s="23" t="str">
        <x:v>Claude Opus 4</x:v>
      </x:c>
      <x:c r="I153" s="31" t="n">
        <x:v>45778</x:v>
      </x:c>
      <x:c r="J153" s="31" t="n">
        <x:v>45799</x:v>
      </x:c>
      <x:c r="K153" s="31" t="n">
        <x:v>45799</x:v>
      </x:c>
      <x:c r="L153" s="17" t="str">
        <x:v>ECI exact date</x:v>
      </x:c>
      <x:c r="M153" s="73" t="n">
        <x:v>21</x:v>
      </x:c>
      <x:c r="N153" s="20" t="n">
        <x:v>142.89</x:v>
      </x:c>
      <x:c r="O153" s="20" t="n">
        <x:v>140.36</x:v>
      </x:c>
      <x:c r="P153" s="20" t="n">
        <x:v>144.3</x:v>
      </x:c>
      <x:c r="Q153" s="20"/>
      <x:c r="R153" s="20"/>
      <x:c r="S153" s="20"/>
      <x:c r="T153" s="20"/>
      <x:c r="U153" s="20"/>
      <x:c r="V153" s="20"/>
      <x:c r="W153" s="20" t="str"/>
      <x:c r="X153" s="20" t="n">
        <x:v>1.2</x:v>
      </x:c>
      <x:c r="Y153" s="20"/>
      <x:c r="Z153" s="20" t="n">
        <x:v>0.34</x:v>
      </x:c>
      <x:c r="AA153" s="20" t="n">
        <x:v>1.4</x:v>
      </x:c>
      <x:c r="AB153" s="23" t="str">
        <x:v>Paper frontier</x:v>
      </x:c>
      <x:c r="AC153" s="23" t="str">
        <x:v>Manual exact ECI join</x:v>
      </x:c>
      <x:c r="AD153" s="23" t="str"/>
      <x:c r="AE153" s="23" t="str"/>
    </x:row>
    <x:row r="154">
      <x:c r="A154" s="17" t="str">
        <x:v>anthropic:claude-sonnet-4</x:v>
      </x:c>
      <x:c r="B154" s="17" t="str">
        <x:v>Claude Sonnet 4</x:v>
      </x:c>
      <x:c r="C154" s="17" t="str">
        <x:v>Anthropic</x:v>
      </x:c>
      <x:c r="D154" s="17" t="str">
        <x:v>lineage:anthropic:claude-sonnet-4</x:v>
      </x:c>
      <x:c r="E154" s="17" t="str">
        <x:v>base:anthropic:claude-sonnet-4</x:v>
      </x:c>
      <x:c r="F154" s="23" t="str"/>
      <x:c r="G154" s="23" t="str"/>
      <x:c r="H154" s="23" t="str">
        <x:v>Claude Sonnet 4</x:v>
      </x:c>
      <x:c r="I154" s="31"/>
      <x:c r="J154" s="31" t="n">
        <x:v>45799</x:v>
      </x:c>
      <x:c r="K154" s="31" t="n">
        <x:v>45799</x:v>
      </x:c>
      <x:c r="L154" s="17" t="str">
        <x:v>ECI exact date</x:v>
      </x:c>
      <x:c r="M154" s="73"/>
      <x:c r="N154" s="20" t="n">
        <x:v>142.15</x:v>
      </x:c>
      <x:c r="O154" s="20" t="n">
        <x:v>139.04</x:v>
      </x:c>
      <x:c r="P154" s="20" t="n">
        <x:v>143.61</x:v>
      </x:c>
      <x:c r="Q154" s="20"/>
      <x:c r="R154" s="20"/>
      <x:c r="S154" s="20"/>
      <x:c r="T154" s="20"/>
      <x:c r="U154" s="20"/>
      <x:c r="V154" s="20"/>
      <x:c r="W154" s="20" t="str"/>
      <x:c r="X154" s="20"/>
      <x:c r="Y154" s="20"/>
      <x:c r="Z154" s="20"/>
      <x:c r="AA154" s="20"/>
      <x:c r="AB154" s="23" t="str"/>
      <x:c r="AC154" s="23" t="str">
        <x:v>ECI-only row</x:v>
      </x:c>
      <x:c r="AD154" s="23" t="str"/>
      <x:c r="AE154" s="23" t="str"/>
    </x:row>
    <x:row r="155">
      <x:c r="A155" s="17" t="str">
        <x:v>deepseek:deepseek-r1-may-2025</x:v>
      </x:c>
      <x:c r="B155" s="17" t="str">
        <x:v>DeepSeek-R1 (May 2025)</x:v>
      </x:c>
      <x:c r="C155" s="17" t="str">
        <x:v>DeepSeek</x:v>
      </x:c>
      <x:c r="D155" s="17" t="str">
        <x:v>lineage:deepseek:deepseek-r1-may-2025</x:v>
      </x:c>
      <x:c r="E155" s="17" t="str">
        <x:v>base:deepseek:deepseek-r1-may-2025</x:v>
      </x:c>
      <x:c r="F155" s="23" t="str"/>
      <x:c r="G155" s="23" t="str"/>
      <x:c r="H155" s="23" t="str">
        <x:v>DeepSeek-R1 (May 2025)</x:v>
      </x:c>
      <x:c r="I155" s="31"/>
      <x:c r="J155" s="31" t="n">
        <x:v>45805</x:v>
      </x:c>
      <x:c r="K155" s="31" t="n">
        <x:v>45805</x:v>
      </x:c>
      <x:c r="L155" s="17" t="str">
        <x:v>ECI exact date</x:v>
      </x:c>
      <x:c r="M155" s="73"/>
      <x:c r="N155" s="20" t="n">
        <x:v>142</x:v>
      </x:c>
      <x:c r="O155" s="20" t="n">
        <x:v>139.66</x:v>
      </x:c>
      <x:c r="P155" s="20" t="n">
        <x:v>143.43</x:v>
      </x:c>
      <x:c r="Q155" s="20"/>
      <x:c r="R155" s="20"/>
      <x:c r="S155" s="20"/>
      <x:c r="T155" s="20" t="n">
        <x:v>671</x:v>
      </x:c>
      <x:c r="U155" s="20"/>
      <x:c r="V155" s="20"/>
      <x:c r="W155" s="20" t="str"/>
      <x:c r="X155" s="20"/>
      <x:c r="Y155" s="20"/>
      <x:c r="Z155" s="20"/>
      <x:c r="AA155" s="20"/>
      <x:c r="AB155" s="23" t="str"/>
      <x:c r="AC155" s="23" t="str">
        <x:v>ECI-only row</x:v>
      </x:c>
      <x:c r="AD155" s="23" t="str"/>
      <x:c r="AE155" s="23" t="str">
        <x:v>Parameter row: Regression Data!41</x:v>
      </x:c>
    </x:row>
    <x:row r="156">
      <x:c r="A156" s="17" t="str">
        <x:v>google:gemini-2-5-pro-jun-2025</x:v>
      </x:c>
      <x:c r="B156" s="17" t="str">
        <x:v>Gemini 2.5 Pro (Jun 2025)</x:v>
      </x:c>
      <x:c r="C156" s="17" t="str">
        <x:v>Google DeepMind</x:v>
      </x:c>
      <x:c r="D156" s="17" t="str">
        <x:v>lineage:google:gemini-2-5-pro-jun-2025</x:v>
      </x:c>
      <x:c r="E156" s="17" t="str">
        <x:v>base:google:gemini-2-5-pro-jun-2025</x:v>
      </x:c>
      <x:c r="F156" s="23" t="str"/>
      <x:c r="G156" s="23" t="str"/>
      <x:c r="H156" s="23" t="str">
        <x:v>Gemini 2.5 Pro (Jun 2025)</x:v>
      </x:c>
      <x:c r="I156" s="31"/>
      <x:c r="J156" s="31" t="n">
        <x:v>45813</x:v>
      </x:c>
      <x:c r="K156" s="31" t="n">
        <x:v>45813</x:v>
      </x:c>
      <x:c r="L156" s="17" t="str">
        <x:v>ECI exact date</x:v>
      </x:c>
      <x:c r="M156" s="73"/>
      <x:c r="N156" s="20" t="n">
        <x:v>146.08</x:v>
      </x:c>
      <x:c r="O156" s="20" t="n">
        <x:v>144.33</x:v>
      </x:c>
      <x:c r="P156" s="20" t="n">
        <x:v>147.72</x:v>
      </x:c>
      <x:c r="Q156" s="20"/>
      <x:c r="R156" s="20"/>
      <x:c r="S156" s="20"/>
      <x:c r="T156" s="20"/>
      <x:c r="U156" s="20"/>
      <x:c r="V156" s="20"/>
      <x:c r="W156" s="20" t="str"/>
      <x:c r="X156" s="20"/>
      <x:c r="Y156" s="20"/>
      <x:c r="Z156" s="20"/>
      <x:c r="AA156" s="20"/>
      <x:c r="AB156" s="23" t="str"/>
      <x:c r="AC156" s="23" t="str">
        <x:v>ECI-only row</x:v>
      </x:c>
      <x:c r="AD156" s="23" t="str"/>
      <x:c r="AE156" s="23" t="str"/>
    </x:row>
    <x:row r="157">
      <x:c r="A157" s="17" t="str">
        <x:v>mistral:magistral-small-1-1</x:v>
      </x:c>
      <x:c r="B157" s="17" t="str">
        <x:v>Magistral Small 1.1</x:v>
      </x:c>
      <x:c r="C157" s="17" t="str">
        <x:v>Mistral AI</x:v>
      </x:c>
      <x:c r="D157" s="17" t="str">
        <x:v>lineage:mistral:magistral-small-1-1</x:v>
      </x:c>
      <x:c r="E157" s="17" t="str">
        <x:v>base:mistral:magistral-small-1-1</x:v>
      </x:c>
      <x:c r="F157" s="23" t="str"/>
      <x:c r="G157" s="23" t="str"/>
      <x:c r="H157" s="23" t="str">
        <x:v>Magistral Small 1.1</x:v>
      </x:c>
      <x:c r="I157" s="31"/>
      <x:c r="J157" s="31" t="n">
        <x:v>45818</x:v>
      </x:c>
      <x:c r="K157" s="31" t="n">
        <x:v>45818</x:v>
      </x:c>
      <x:c r="L157" s="17" t="str">
        <x:v>ECI exact date</x:v>
      </x:c>
      <x:c r="M157" s="73"/>
      <x:c r="N157" s="20" t="n">
        <x:v>133.07</x:v>
      </x:c>
      <x:c r="O157" s="20" t="n">
        <x:v>127.02</x:v>
      </x:c>
      <x:c r="P157" s="20" t="n">
        <x:v>135.4</x:v>
      </x:c>
      <x:c r="Q157" s="20"/>
      <x:c r="R157" s="20"/>
      <x:c r="S157" s="20"/>
      <x:c r="T157" s="20" t="n">
        <x:v>24</x:v>
      </x:c>
      <x:c r="U157" s="20"/>
      <x:c r="V157" s="20"/>
      <x:c r="W157" s="20" t="str"/>
      <x:c r="X157" s="20"/>
      <x:c r="Y157" s="20"/>
      <x:c r="Z157" s="20"/>
      <x:c r="AA157" s="20"/>
      <x:c r="AB157" s="23" t="str"/>
      <x:c r="AC157" s="23" t="str">
        <x:v>ECI-only row</x:v>
      </x:c>
      <x:c r="AD157" s="23" t="str"/>
      <x:c r="AE157" s="23" t="str">
        <x:v>Parameter row: Regression Data!42</x:v>
      </x:c>
    </x:row>
    <x:row r="158">
      <x:c r="A158" s="17" t="str">
        <x:v>openai:o3-pro</x:v>
      </x:c>
      <x:c r="B158" s="17" t="str">
        <x:v>o3-pro</x:v>
      </x:c>
      <x:c r="C158" s="17" t="str">
        <x:v>OpenAI</x:v>
      </x:c>
      <x:c r="D158" s="17" t="str">
        <x:v>lineage:openai:o3-pro</x:v>
      </x:c>
      <x:c r="E158" s="17" t="str">
        <x:v>base:openai:o3-pro</x:v>
      </x:c>
      <x:c r="F158" s="23" t="str"/>
      <x:c r="G158" s="23" t="str"/>
      <x:c r="H158" s="23" t="str">
        <x:v>o3-pro</x:v>
      </x:c>
      <x:c r="I158" s="31"/>
      <x:c r="J158" s="31" t="n">
        <x:v>45818</x:v>
      </x:c>
      <x:c r="K158" s="31" t="n">
        <x:v>45818</x:v>
      </x:c>
      <x:c r="L158" s="17" t="str">
        <x:v>ECI exact date</x:v>
      </x:c>
      <x:c r="M158" s="73"/>
      <x:c r="N158" s="20" t="n">
        <x:v>147.92</x:v>
      </x:c>
      <x:c r="O158" s="20" t="n">
        <x:v>146.24</x:v>
      </x:c>
      <x:c r="P158" s="20" t="n">
        <x:v>150.45</x:v>
      </x:c>
      <x:c r="Q158" s="20"/>
      <x:c r="R158" s="20"/>
      <x:c r="S158" s="20"/>
      <x:c r="T158" s="20"/>
      <x:c r="U158" s="20"/>
      <x:c r="V158" s="20"/>
      <x:c r="W158" s="20" t="str"/>
      <x:c r="X158" s="20"/>
      <x:c r="Y158" s="20"/>
      <x:c r="Z158" s="20"/>
      <x:c r="AA158" s="20"/>
      <x:c r="AB158" s="23" t="str"/>
      <x:c r="AC158" s="23" t="str">
        <x:v>ECI-only row</x:v>
      </x:c>
      <x:c r="AD158" s="23" t="str"/>
      <x:c r="AE158" s="23" t="str"/>
    </x:row>
    <x:row r="159">
      <x:c r="A159" s="17" t="str">
        <x:v>google:gemini-2-5-flash-jun-2025</x:v>
      </x:c>
      <x:c r="B159" s="17" t="str">
        <x:v>Gemini 2.5 Flash (Jun 2025)</x:v>
      </x:c>
      <x:c r="C159" s="17" t="str">
        <x:v>Google DeepMind</x:v>
      </x:c>
      <x:c r="D159" s="17" t="str">
        <x:v>lineage:google:gemini-2-5-flash-jun-2025</x:v>
      </x:c>
      <x:c r="E159" s="17" t="str">
        <x:v>base:google:gemini-2-5-flash-jun-2025</x:v>
      </x:c>
      <x:c r="F159" s="23" t="str"/>
      <x:c r="G159" s="23" t="str"/>
      <x:c r="H159" s="23" t="str">
        <x:v>Gemini 2.5 Flash (Jun 2025)</x:v>
      </x:c>
      <x:c r="I159" s="31"/>
      <x:c r="J159" s="31" t="n">
        <x:v>45825</x:v>
      </x:c>
      <x:c r="K159" s="31" t="n">
        <x:v>45825</x:v>
      </x:c>
      <x:c r="L159" s="17" t="str">
        <x:v>ECI exact date</x:v>
      </x:c>
      <x:c r="M159" s="73"/>
      <x:c r="N159" s="20" t="n">
        <x:v>140.26</x:v>
      </x:c>
      <x:c r="O159" s="20" t="n">
        <x:v>136.94</x:v>
      </x:c>
      <x:c r="P159" s="20" t="n">
        <x:v>142</x:v>
      </x:c>
      <x:c r="Q159" s="20"/>
      <x:c r="R159" s="20"/>
      <x:c r="S159" s="20"/>
      <x:c r="T159" s="20"/>
      <x:c r="U159" s="20"/>
      <x:c r="V159" s="20"/>
      <x:c r="W159" s="20" t="str"/>
      <x:c r="X159" s="20"/>
      <x:c r="Y159" s="20"/>
      <x:c r="Z159" s="20"/>
      <x:c r="AA159" s="20"/>
      <x:c r="AB159" s="23" t="str"/>
      <x:c r="AC159" s="23" t="str">
        <x:v>ECI-only row</x:v>
      </x:c>
      <x:c r="AD159" s="23" t="str"/>
      <x:c r="AE159" s="23" t="str"/>
    </x:row>
    <x:row r="160">
      <x:c r="A160" s="17" t="str">
        <x:v>alibaba:qwen-3-30b-a3b-2507</x:v>
      </x:c>
      <x:c r="B160" s="17" t="str">
        <x:v>Qwen 3 30B-A3B (2507)</x:v>
      </x:c>
      <x:c r="C160" s="17" t="str">
        <x:v>Alibaba</x:v>
      </x:c>
      <x:c r="D160" s="17" t="str">
        <x:v>lineage:alibaba:qwen-3-30b-a3b-2507</x:v>
      </x:c>
      <x:c r="E160" s="17" t="str">
        <x:v>base:alibaba:qwen-3-30b-a3b-2507</x:v>
      </x:c>
      <x:c r="F160" s="23" t="str"/>
      <x:c r="G160" s="23" t="str">
        <x:v>Qwen 3 30B-A3B (2507)</x:v>
      </x:c>
      <x:c r="H160" s="23" t="str"/>
      <x:c r="I160" s="31" t="n">
        <x:v>45839</x:v>
      </x:c>
      <x:c r="J160" s="31"/>
      <x:c r="K160" s="31" t="n">
        <x:v>45839</x:v>
      </x:c>
      <x:c r="L160" s="17" t="str">
        <x:v>Paper month only</x:v>
      </x:c>
      <x:c r="M160" s="73"/>
      <x:c r="N160" s="20"/>
      <x:c r="O160" s="20"/>
      <x:c r="P160" s="20"/>
      <x:c r="Q160" s="20"/>
      <x:c r="R160" s="20" t="n">
        <x:v>30</x:v>
      </x:c>
      <x:c r="S160" s="20" t="n">
        <x:v>3</x:v>
      </x:c>
      <x:c r="T160" s="20"/>
      <x:c r="U160" s="20"/>
      <x:c r="V160" s="20" t="n">
        <x:v>48</x:v>
      </x:c>
      <x:c r="W160" s="20" t="str">
        <x:v>MoE</x:v>
      </x:c>
      <x:c r="X160" s="20" t="n">
        <x:v>0.384</x:v>
      </x:c>
      <x:c r="Y160" s="20" t="n">
        <x:v>0.186</x:v>
      </x:c>
      <x:c r="Z160" s="20" t="n">
        <x:v>0.006</x:v>
      </x:c>
      <x:c r="AA160" s="20" t="n">
        <x:v>0.663</x:v>
      </x:c>
      <x:c r="AB160" s="23" t="str">
        <x:v>Paper open-weight</x:v>
      </x:c>
      <x:c r="AC160" s="23" t="str">
        <x:v>No exact ECI checkpoint</x:v>
      </x:c>
      <x:c r="AD160" s="23" t="str"/>
      <x:c r="AE160" s="23" t="str"/>
    </x:row>
    <x:row r="161">
      <x:c r="A161" s="17" t="str">
        <x:v>xai:grok-4</x:v>
      </x:c>
      <x:c r="B161" s="17" t="str">
        <x:v>Grok 4</x:v>
      </x:c>
      <x:c r="C161" s="17" t="str">
        <x:v>xAI</x:v>
      </x:c>
      <x:c r="D161" s="17" t="str">
        <x:v>lineage:xai:grok-4</x:v>
      </x:c>
      <x:c r="E161" s="17" t="str">
        <x:v>base:xai:grok-4</x:v>
      </x:c>
      <x:c r="F161" s="23" t="str"/>
      <x:c r="G161" s="23" t="str"/>
      <x:c r="H161" s="23" t="str">
        <x:v>Grok 4</x:v>
      </x:c>
      <x:c r="I161" s="31"/>
      <x:c r="J161" s="31" t="n">
        <x:v>45847</x:v>
      </x:c>
      <x:c r="K161" s="31" t="n">
        <x:v>45847</x:v>
      </x:c>
      <x:c r="L161" s="17" t="str">
        <x:v>ECI exact date</x:v>
      </x:c>
      <x:c r="M161" s="73"/>
      <x:c r="N161" s="20" t="n">
        <x:v>147.04</x:v>
      </x:c>
      <x:c r="O161" s="20" t="n">
        <x:v>144.92</x:v>
      </x:c>
      <x:c r="P161" s="20" t="n">
        <x:v>148.75</x:v>
      </x:c>
      <x:c r="Q161" s="20"/>
      <x:c r="R161" s="20"/>
      <x:c r="S161" s="20"/>
      <x:c r="T161" s="20"/>
      <x:c r="U161" s="20"/>
      <x:c r="V161" s="20"/>
      <x:c r="W161" s="20" t="str"/>
      <x:c r="X161" s="20"/>
      <x:c r="Y161" s="20"/>
      <x:c r="Z161" s="20"/>
      <x:c r="AA161" s="20"/>
      <x:c r="AB161" s="23" t="str"/>
      <x:c r="AC161" s="23" t="str">
        <x:v>ECI-only row</x:v>
      </x:c>
      <x:c r="AD161" s="23" t="str"/>
      <x:c r="AE161" s="23" t="str"/>
    </x:row>
    <x:row r="162">
      <x:c r="A162" s="17" t="str">
        <x:v>moonshot:kimi-k2-jul-2025</x:v>
      </x:c>
      <x:c r="B162" s="17" t="str">
        <x:v>Kimi K2 (Jul 2025)</x:v>
      </x:c>
      <x:c r="C162" s="17" t="str">
        <x:v>Moonshot</x:v>
      </x:c>
      <x:c r="D162" s="17" t="str">
        <x:v>lineage:moonshot-kimi-k2</x:v>
      </x:c>
      <x:c r="E162" s="17" t="str">
        <x:v>base:moonshot:kimi-k2-jul-2025</x:v>
      </x:c>
      <x:c r="F162" s="23" t="str"/>
      <x:c r="G162" s="23" t="str"/>
      <x:c r="H162" s="23" t="str">
        <x:v>Kimi K2 (Jul 2025)</x:v>
      </x:c>
      <x:c r="I162" s="31"/>
      <x:c r="J162" s="31" t="n">
        <x:v>45849</x:v>
      </x:c>
      <x:c r="K162" s="31" t="n">
        <x:v>45849</x:v>
      </x:c>
      <x:c r="L162" s="17" t="str">
        <x:v>ECI exact date</x:v>
      </x:c>
      <x:c r="M162" s="73"/>
      <x:c r="N162" s="20" t="n">
        <x:v>140.45</x:v>
      </x:c>
      <x:c r="O162" s="20" t="n">
        <x:v>137</x:v>
      </x:c>
      <x:c r="P162" s="20" t="n">
        <x:v>142.06</x:v>
      </x:c>
      <x:c r="Q162" s="20"/>
      <x:c r="R162" s="20"/>
      <x:c r="S162" s="20"/>
      <x:c r="T162" s="20"/>
      <x:c r="U162" s="20"/>
      <x:c r="V162" s="20"/>
      <x:c r="W162" s="20" t="str"/>
      <x:c r="X162" s="20"/>
      <x:c r="Y162" s="20"/>
      <x:c r="Z162" s="20"/>
      <x:c r="AA162" s="20"/>
      <x:c r="AB162" s="23" t="str"/>
      <x:c r="AC162" s="23" t="str">
        <x:v>ECI-only row</x:v>
      </x:c>
      <x:c r="AD162" s="23" t="str"/>
      <x:c r="AE162" s="23" t="str"/>
    </x:row>
    <x:row r="163">
      <x:c r="A163" s="17" t="str">
        <x:v>moonshot:kimi-k2-sep-2025</x:v>
      </x:c>
      <x:c r="B163" s="17" t="str">
        <x:v>Kimi K2 (Sep 2025)</x:v>
      </x:c>
      <x:c r="C163" s="17" t="str">
        <x:v>Moonshot</x:v>
      </x:c>
      <x:c r="D163" s="17" t="str">
        <x:v>lineage:moonshot-kimi-k2</x:v>
      </x:c>
      <x:c r="E163" s="17" t="str">
        <x:v>base:moonshot:kimi-k2-sep-2025</x:v>
      </x:c>
      <x:c r="F163" s="23" t="str"/>
      <x:c r="G163" s="23" t="str">
        <x:v>Kimi K2-0905</x:v>
      </x:c>
      <x:c r="H163" s="23" t="str">
        <x:v>Kimi K2 (Sep 2025)</x:v>
      </x:c>
      <x:c r="I163" s="31" t="n">
        <x:v>45901</x:v>
      </x:c>
      <x:c r="J163" s="31" t="n">
        <x:v>45849</x:v>
      </x:c>
      <x:c r="K163" s="31" t="n">
        <x:v>45849</x:v>
      </x:c>
      <x:c r="L163" s="17" t="str">
        <x:v>ECI exact date</x:v>
      </x:c>
      <x:c r="M163" s="73" t="n">
        <x:v>-52</x:v>
      </x:c>
      <x:c r="N163" s="20" t="n">
        <x:v>140.98</x:v>
      </x:c>
      <x:c r="O163" s="20" t="n">
        <x:v>138.39</x:v>
      </x:c>
      <x:c r="P163" s="20" t="n">
        <x:v>142.27</x:v>
      </x:c>
      <x:c r="Q163" s="20"/>
      <x:c r="R163" s="20" t="n">
        <x:v>1000</x:v>
      </x:c>
      <x:c r="S163" s="20" t="n">
        <x:v>32</x:v>
      </x:c>
      <x:c r="T163" s="20"/>
      <x:c r="U163" s="20"/>
      <x:c r="V163" s="20" t="n">
        <x:v>61</x:v>
      </x:c>
      <x:c r="W163" s="20" t="str">
        <x:v>MoE</x:v>
      </x:c>
      <x:c r="X163" s="20" t="n">
        <x:v>0.724</x:v>
      </x:c>
      <x:c r="Y163" s="20" t="n">
        <x:v>0.417</x:v>
      </x:c>
      <x:c r="Z163" s="20" t="n">
        <x:v>0.087</x:v>
      </x:c>
      <x:c r="AA163" s="20" t="n">
        <x:v>1.071</x:v>
      </x:c>
      <x:c r="AB163" s="23" t="str">
        <x:v>Paper open-weight</x:v>
      </x:c>
      <x:c r="AC163" s="23" t="str">
        <x:v>Manual exact ECI join</x:v>
      </x:c>
      <x:c r="AD163" s="23" t="str">
        <x:v>Release conflict -52d</x:v>
      </x:c>
      <x:c r="AE163" s="23" t="str"/>
    </x:row>
    <x:row r="164">
      <x:c r="A164" s="17" t="str">
        <x:v>alibaba:qwen3-235b-a22b-instruct-jul-2025</x:v>
      </x:c>
      <x:c r="B164" s="17" t="str">
        <x:v>Qwen3-235B-A22B-Instruct (Jul 2025)</x:v>
      </x:c>
      <x:c r="C164" s="17" t="str">
        <x:v>Alibaba</x:v>
      </x:c>
      <x:c r="D164" s="17" t="str">
        <x:v>lineage:alibaba:qwen3-235b-a22b-instruct-jul-2025</x:v>
      </x:c>
      <x:c r="E164" s="17" t="str">
        <x:v>base:alibaba:qwen3-235b-a22b-instruct-jul-2025</x:v>
      </x:c>
      <x:c r="F164" s="23" t="str"/>
      <x:c r="G164" s="23" t="str">
        <x:v>Qwen 3 235B-A22B (2507)</x:v>
      </x:c>
      <x:c r="H164" s="23" t="str">
        <x:v>Qwen3-235B-A22B-Instruct (Jul 2025)</x:v>
      </x:c>
      <x:c r="I164" s="31" t="n">
        <x:v>45839</x:v>
      </x:c>
      <x:c r="J164" s="31" t="n">
        <x:v>45863</x:v>
      </x:c>
      <x:c r="K164" s="31" t="n">
        <x:v>45863</x:v>
      </x:c>
      <x:c r="L164" s="17" t="str">
        <x:v>ECI exact date</x:v>
      </x:c>
      <x:c r="M164" s="73" t="n">
        <x:v>24</x:v>
      </x:c>
      <x:c r="N164" s="20" t="n">
        <x:v>138.96</x:v>
      </x:c>
      <x:c r="O164" s="20" t="n">
        <x:v>135.35</x:v>
      </x:c>
      <x:c r="P164" s="20" t="n">
        <x:v>140.84</x:v>
      </x:c>
      <x:c r="Q164" s="20"/>
      <x:c r="R164" s="20" t="n">
        <x:v>235</x:v>
      </x:c>
      <x:c r="S164" s="20" t="n">
        <x:v>22</x:v>
      </x:c>
      <x:c r="T164" s="20" t="n">
        <x:v>235</x:v>
      </x:c>
      <x:c r="U164" s="20"/>
      <x:c r="V164" s="20" t="n">
        <x:v>94</x:v>
      </x:c>
      <x:c r="W164" s="20" t="str">
        <x:v>MoE</x:v>
      </x:c>
      <x:c r="X164" s="20" t="n">
        <x:v>0.988</x:v>
      </x:c>
      <x:c r="Y164" s="20" t="n">
        <x:v>0.612</x:v>
      </x:c>
      <x:c r="Z164" s="20" t="n">
        <x:v>0.132</x:v>
      </x:c>
      <x:c r="AA164" s="20" t="n">
        <x:v>1.43</x:v>
      </x:c>
      <x:c r="AB164" s="23" t="str">
        <x:v>Paper open-weight</x:v>
      </x:c>
      <x:c r="AC164" s="23" t="str">
        <x:v>Manual exact ECI join</x:v>
      </x:c>
      <x:c r="AD164" s="23" t="str"/>
      <x:c r="AE164" s="23" t="str">
        <x:v>Parameter row: Regression Data!43</x:v>
      </x:c>
    </x:row>
    <x:row r="165">
      <x:c r="A165" s="17" t="str">
        <x:v>alibaba:qwen3-235b-a22b-thinking-jul-2025</x:v>
      </x:c>
      <x:c r="B165" s="17" t="str">
        <x:v>Qwen3-235B-A22B-Thinking (Jul 2025)</x:v>
      </x:c>
      <x:c r="C165" s="17" t="str">
        <x:v>Alibaba</x:v>
      </x:c>
      <x:c r="D165" s="17" t="str">
        <x:v>lineage:alibaba:qwen3-235b-a22b-thinking-jul-2025</x:v>
      </x:c>
      <x:c r="E165" s="17" t="str">
        <x:v>base:alibaba:qwen3-235b-a22b-thinking-jul-2025</x:v>
      </x:c>
      <x:c r="F165" s="23" t="str"/>
      <x:c r="G165" s="23" t="str"/>
      <x:c r="H165" s="23" t="str">
        <x:v>Qwen3-235B-A22B-Thinking (Jul 2025)</x:v>
      </x:c>
      <x:c r="I165" s="31"/>
      <x:c r="J165" s="31" t="n">
        <x:v>45863</x:v>
      </x:c>
      <x:c r="K165" s="31" t="n">
        <x:v>45863</x:v>
      </x:c>
      <x:c r="L165" s="17" t="str">
        <x:v>ECI exact date</x:v>
      </x:c>
      <x:c r="M165" s="73"/>
      <x:c r="N165" s="20" t="n">
        <x:v>144.78</x:v>
      </x:c>
      <x:c r="O165" s="20" t="n">
        <x:v>142.35</x:v>
      </x:c>
      <x:c r="P165" s="20" t="n">
        <x:v>147.4</x:v>
      </x:c>
      <x:c r="Q165" s="20"/>
      <x:c r="R165" s="20"/>
      <x:c r="S165" s="20"/>
      <x:c r="T165" s="20" t="n">
        <x:v>235</x:v>
      </x:c>
      <x:c r="U165" s="20"/>
      <x:c r="V165" s="20"/>
      <x:c r="W165" s="20" t="str"/>
      <x:c r="X165" s="20"/>
      <x:c r="Y165" s="20"/>
      <x:c r="Z165" s="20"/>
      <x:c r="AA165" s="20"/>
      <x:c r="AB165" s="23" t="str"/>
      <x:c r="AC165" s="23" t="str">
        <x:v>ECI-only row</x:v>
      </x:c>
      <x:c r="AD165" s="23" t="str"/>
      <x:c r="AE165" s="23" t="str">
        <x:v>Parameter row: Regression Data!44</x:v>
      </x:c>
    </x:row>
    <x:row r="166">
      <x:c r="A166" s="17" t="str">
        <x:v>anthropic:claude-opus-4-1</x:v>
      </x:c>
      <x:c r="B166" s="17" t="str">
        <x:v>Claude Opus 4.1</x:v>
      </x:c>
      <x:c r="C166" s="17" t="str">
        <x:v>Anthropic</x:v>
      </x:c>
      <x:c r="D166" s="17" t="str">
        <x:v>lineage:anthropic:claude-opus-4-1</x:v>
      </x:c>
      <x:c r="E166" s="17" t="str">
        <x:v>base:anthropic:claude-opus-4-1</x:v>
      </x:c>
      <x:c r="F166" s="23" t="str"/>
      <x:c r="G166" s="23" t="str">
        <x:v>Opus 4.1</x:v>
      </x:c>
      <x:c r="H166" s="23" t="str">
        <x:v>Claude Opus 4.1</x:v>
      </x:c>
      <x:c r="I166" s="31" t="n">
        <x:v>45870</x:v>
      </x:c>
      <x:c r="J166" s="31" t="n">
        <x:v>45874</x:v>
      </x:c>
      <x:c r="K166" s="31" t="n">
        <x:v>45874</x:v>
      </x:c>
      <x:c r="L166" s="17" t="str">
        <x:v>ECI exact date</x:v>
      </x:c>
      <x:c r="M166" s="73" t="n">
        <x:v>4</x:v>
      </x:c>
      <x:c r="N166" s="20" t="n">
        <x:v>144.21</x:v>
      </x:c>
      <x:c r="O166" s="20" t="n">
        <x:v>141.74</x:v>
      </x:c>
      <x:c r="P166" s="20" t="n">
        <x:v>146.36</x:v>
      </x:c>
      <x:c r="Q166" s="20"/>
      <x:c r="R166" s="20"/>
      <x:c r="S166" s="20"/>
      <x:c r="T166" s="20"/>
      <x:c r="U166" s="20"/>
      <x:c r="V166" s="20"/>
      <x:c r="W166" s="20" t="str"/>
      <x:c r="X166" s="20" t="n">
        <x:v>1.4</x:v>
      </x:c>
      <x:c r="Y166" s="20"/>
      <x:c r="Z166" s="20" t="n">
        <x:v>0.44</x:v>
      </x:c>
      <x:c r="AA166" s="20" t="n">
        <x:v>1.7</x:v>
      </x:c>
      <x:c r="AB166" s="23" t="str">
        <x:v>Paper frontier</x:v>
      </x:c>
      <x:c r="AC166" s="23" t="str">
        <x:v>Manual exact ECI join</x:v>
      </x:c>
      <x:c r="AD166" s="23" t="str"/>
      <x:c r="AE166" s="23" t="str"/>
    </x:row>
    <x:row r="167">
      <x:c r="A167" s="17" t="str">
        <x:v>openai:gpt-oss-120b</x:v>
      </x:c>
      <x:c r="B167" s="17" t="str">
        <x:v>gpt-oss-120b</x:v>
      </x:c>
      <x:c r="C167" s="17" t="str">
        <x:v>OpenAI</x:v>
      </x:c>
      <x:c r="D167" s="17" t="str">
        <x:v>lineage:openai:gpt-oss-120b</x:v>
      </x:c>
      <x:c r="E167" s="17" t="str">
        <x:v>base:openai:gpt-oss-120b</x:v>
      </x:c>
      <x:c r="F167" s="23" t="str"/>
      <x:c r="G167" s="23" t="str"/>
      <x:c r="H167" s="23" t="str">
        <x:v>gpt-oss-120b</x:v>
      </x:c>
      <x:c r="I167" s="31"/>
      <x:c r="J167" s="31" t="n">
        <x:v>45874</x:v>
      </x:c>
      <x:c r="K167" s="31" t="n">
        <x:v>45874</x:v>
      </x:c>
      <x:c r="L167" s="17" t="str">
        <x:v>ECI exact date</x:v>
      </x:c>
      <x:c r="M167" s="73"/>
      <x:c r="N167" s="20" t="n">
        <x:v>140.57</x:v>
      </x:c>
      <x:c r="O167" s="20" t="n">
        <x:v>136.18</x:v>
      </x:c>
      <x:c r="P167" s="20" t="n">
        <x:v>143.08</x:v>
      </x:c>
      <x:c r="Q167" s="20"/>
      <x:c r="R167" s="20"/>
      <x:c r="S167" s="20"/>
      <x:c r="T167" s="20" t="n">
        <x:v>116.83</x:v>
      </x:c>
      <x:c r="U167" s="20"/>
      <x:c r="V167" s="20"/>
      <x:c r="W167" s="20" t="str"/>
      <x:c r="X167" s="20"/>
      <x:c r="Y167" s="20"/>
      <x:c r="Z167" s="20"/>
      <x:c r="AA167" s="20"/>
      <x:c r="AB167" s="23" t="str"/>
      <x:c r="AC167" s="23" t="str">
        <x:v>ECI-only row</x:v>
      </x:c>
      <x:c r="AD167" s="23" t="str"/>
      <x:c r="AE167" s="23" t="str">
        <x:v>Parameter row: Regression Data!45</x:v>
      </x:c>
    </x:row>
    <x:row r="168">
      <x:c r="A168" s="17" t="str">
        <x:v>openai:gpt-5</x:v>
      </x:c>
      <x:c r="B168" s="17" t="str">
        <x:v>GPT-5</x:v>
      </x:c>
      <x:c r="C168" s="17" t="str">
        <x:v>OpenAI</x:v>
      </x:c>
      <x:c r="D168" s="17" t="str">
        <x:v>lineage:openai-gpt-5</x:v>
      </x:c>
      <x:c r="E168" s="17" t="str">
        <x:v>base:openai-gpt-5-shared</x:v>
      </x:c>
      <x:c r="F168" s="23" t="str"/>
      <x:c r="G168" s="23" t="str"/>
      <x:c r="H168" s="23" t="str">
        <x:v>GPT-5</x:v>
      </x:c>
      <x:c r="I168" s="31"/>
      <x:c r="J168" s="31" t="n">
        <x:v>45876</x:v>
      </x:c>
      <x:c r="K168" s="31" t="n">
        <x:v>45876</x:v>
      </x:c>
      <x:c r="L168" s="17" t="str">
        <x:v>ECI exact date</x:v>
      </x:c>
      <x:c r="M168" s="73"/>
      <x:c r="N168" s="20" t="n">
        <x:v>150</x:v>
      </x:c>
      <x:c r="O168" s="20"/>
      <x:c r="P168" s="20"/>
      <x:c r="Q168" s="20"/>
      <x:c r="R168" s="20"/>
      <x:c r="S168" s="20"/>
      <x:c r="T168" s="20"/>
      <x:c r="U168" s="20"/>
      <x:c r="V168" s="20"/>
      <x:c r="W168" s="20" t="str"/>
      <x:c r="X168" s="20"/>
      <x:c r="Y168" s="20"/>
      <x:c r="Z168" s="20"/>
      <x:c r="AA168" s="20"/>
      <x:c r="AB168" s="23" t="str"/>
      <x:c r="AC168" s="23" t="str">
        <x:v>ECI-only row</x:v>
      </x:c>
      <x:c r="AD168" s="23" t="str"/>
      <x:c r="AE168" s="23" t="str"/>
    </x:row>
    <x:row r="169">
      <x:c r="A169" s="17" t="str">
        <x:v>openai:gpt-5-mini</x:v>
      </x:c>
      <x:c r="B169" s="17" t="str">
        <x:v>GPT-5 mini</x:v>
      </x:c>
      <x:c r="C169" s="17" t="str">
        <x:v>OpenAI</x:v>
      </x:c>
      <x:c r="D169" s="17" t="str">
        <x:v>lineage:openai:gpt-5-mini</x:v>
      </x:c>
      <x:c r="E169" s="17" t="str">
        <x:v>base:openai:gpt-5-mini</x:v>
      </x:c>
      <x:c r="F169" s="23" t="str"/>
      <x:c r="G169" s="23" t="str"/>
      <x:c r="H169" s="23" t="str">
        <x:v>GPT-5 mini</x:v>
      </x:c>
      <x:c r="I169" s="31"/>
      <x:c r="J169" s="31" t="n">
        <x:v>45876</x:v>
      </x:c>
      <x:c r="K169" s="31" t="n">
        <x:v>45876</x:v>
      </x:c>
      <x:c r="L169" s="17" t="str">
        <x:v>ECI exact date</x:v>
      </x:c>
      <x:c r="M169" s="73"/>
      <x:c r="N169" s="20" t="n">
        <x:v>145.79</x:v>
      </x:c>
      <x:c r="O169" s="20" t="n">
        <x:v>143.69</x:v>
      </x:c>
      <x:c r="P169" s="20" t="n">
        <x:v>147.21</x:v>
      </x:c>
      <x:c r="Q169" s="20"/>
      <x:c r="R169" s="20"/>
      <x:c r="S169" s="20"/>
      <x:c r="T169" s="20"/>
      <x:c r="U169" s="20"/>
      <x:c r="V169" s="20"/>
      <x:c r="W169" s="20" t="str"/>
      <x:c r="X169" s="20"/>
      <x:c r="Y169" s="20"/>
      <x:c r="Z169" s="20"/>
      <x:c r="AA169" s="20"/>
      <x:c r="AB169" s="23" t="str"/>
      <x:c r="AC169" s="23" t="str">
        <x:v>ECI-only row</x:v>
      </x:c>
      <x:c r="AD169" s="23" t="str"/>
      <x:c r="AE169" s="23" t="str"/>
    </x:row>
    <x:row r="170">
      <x:c r="A170" s="17" t="str">
        <x:v>openai:gpt-5-nano</x:v>
      </x:c>
      <x:c r="B170" s="17" t="str">
        <x:v>GPT-5 nano</x:v>
      </x:c>
      <x:c r="C170" s="17" t="str">
        <x:v>OpenAI</x:v>
      </x:c>
      <x:c r="D170" s="17" t="str">
        <x:v>lineage:openai:gpt-5-nano</x:v>
      </x:c>
      <x:c r="E170" s="17" t="str">
        <x:v>base:openai:gpt-5-nano</x:v>
      </x:c>
      <x:c r="F170" s="23" t="str"/>
      <x:c r="G170" s="23" t="str"/>
      <x:c r="H170" s="23" t="str">
        <x:v>GPT-5 nano</x:v>
      </x:c>
      <x:c r="I170" s="31"/>
      <x:c r="J170" s="31" t="n">
        <x:v>45876</x:v>
      </x:c>
      <x:c r="K170" s="31" t="n">
        <x:v>45876</x:v>
      </x:c>
      <x:c r="L170" s="17" t="str">
        <x:v>ECI exact date</x:v>
      </x:c>
      <x:c r="M170" s="73"/>
      <x:c r="N170" s="20" t="n">
        <x:v>140.85</x:v>
      </x:c>
      <x:c r="O170" s="20" t="n">
        <x:v>136.43</x:v>
      </x:c>
      <x:c r="P170" s="20" t="n">
        <x:v>142.54</x:v>
      </x:c>
      <x:c r="Q170" s="20"/>
      <x:c r="R170" s="20"/>
      <x:c r="S170" s="20"/>
      <x:c r="T170" s="20"/>
      <x:c r="U170" s="20"/>
      <x:c r="V170" s="20"/>
      <x:c r="W170" s="20" t="str"/>
      <x:c r="X170" s="20"/>
      <x:c r="Y170" s="20"/>
      <x:c r="Z170" s="20"/>
      <x:c r="AA170" s="20"/>
      <x:c r="AB170" s="23" t="str"/>
      <x:c r="AC170" s="23" t="str">
        <x:v>ECI-only row</x:v>
      </x:c>
      <x:c r="AD170" s="23" t="str"/>
      <x:c r="AE170" s="23" t="str"/>
    </x:row>
    <x:row r="171">
      <x:c r="A171" s="17" t="str">
        <x:v>deepseek:deepseek-v3-1</x:v>
      </x:c>
      <x:c r="B171" s="17" t="str">
        <x:v>DeepSeek-V3.1</x:v>
      </x:c>
      <x:c r="C171" s="17" t="str">
        <x:v>DeepSeek</x:v>
      </x:c>
      <x:c r="D171" s="17" t="str">
        <x:v>lineage:deepseek:deepseek-v3-1</x:v>
      </x:c>
      <x:c r="E171" s="17" t="str">
        <x:v>base:deepseek:deepseek-v3-1</x:v>
      </x:c>
      <x:c r="F171" s="23" t="str"/>
      <x:c r="G171" s="23" t="str"/>
      <x:c r="H171" s="23" t="str">
        <x:v>DeepSeek-V3.1</x:v>
      </x:c>
      <x:c r="I171" s="31"/>
      <x:c r="J171" s="31" t="n">
        <x:v>45890</x:v>
      </x:c>
      <x:c r="K171" s="31" t="n">
        <x:v>45890</x:v>
      </x:c>
      <x:c r="L171" s="17" t="str">
        <x:v>ECI exact date</x:v>
      </x:c>
      <x:c r="M171" s="73"/>
      <x:c r="N171" s="20" t="n">
        <x:v>138.68</x:v>
      </x:c>
      <x:c r="O171" s="20" t="n">
        <x:v>135.73</x:v>
      </x:c>
      <x:c r="P171" s="20" t="n">
        <x:v>142.57</x:v>
      </x:c>
      <x:c r="Q171" s="20"/>
      <x:c r="R171" s="20"/>
      <x:c r="S171" s="20"/>
      <x:c r="T171" s="20" t="n">
        <x:v>671</x:v>
      </x:c>
      <x:c r="U171" s="20"/>
      <x:c r="V171" s="20"/>
      <x:c r="W171" s="20" t="str"/>
      <x:c r="X171" s="20"/>
      <x:c r="Y171" s="20"/>
      <x:c r="Z171" s="20"/>
      <x:c r="AA171" s="20"/>
      <x:c r="AB171" s="23" t="str"/>
      <x:c r="AC171" s="23" t="str">
        <x:v>ECI-only row</x:v>
      </x:c>
      <x:c r="AD171" s="23" t="str"/>
      <x:c r="AE171" s="23" t="str">
        <x:v>Parameter row: Regression Data!46</x:v>
      </x:c>
    </x:row>
    <x:row r="172">
      <x:c r="A172" s="17" t="str">
        <x:v>alibaba:qwen-3-next-80b-a3b</x:v>
      </x:c>
      <x:c r="B172" s="17" t="str">
        <x:v>Qwen 3-Next 80B-A3B</x:v>
      </x:c>
      <x:c r="C172" s="17" t="str">
        <x:v>Alibaba</x:v>
      </x:c>
      <x:c r="D172" s="17" t="str">
        <x:v>lineage:alibaba:qwen-3-next-80b-a3b</x:v>
      </x:c>
      <x:c r="E172" s="17" t="str">
        <x:v>base:alibaba:qwen-3-next-80b-a3b</x:v>
      </x:c>
      <x:c r="F172" s="23" t="str"/>
      <x:c r="G172" s="23" t="str">
        <x:v>Qwen 3-Next 80B-A3B</x:v>
      </x:c>
      <x:c r="H172" s="23" t="str"/>
      <x:c r="I172" s="31" t="n">
        <x:v>45901</x:v>
      </x:c>
      <x:c r="J172" s="31"/>
      <x:c r="K172" s="31" t="n">
        <x:v>45901</x:v>
      </x:c>
      <x:c r="L172" s="17" t="str">
        <x:v>Paper month only</x:v>
      </x:c>
      <x:c r="M172" s="73"/>
      <x:c r="N172" s="20"/>
      <x:c r="O172" s="20"/>
      <x:c r="P172" s="20"/>
      <x:c r="Q172" s="20"/>
      <x:c r="R172" s="20" t="n">
        <x:v>80</x:v>
      </x:c>
      <x:c r="S172" s="20" t="n">
        <x:v>3</x:v>
      </x:c>
      <x:c r="T172" s="20"/>
      <x:c r="U172" s="20"/>
      <x:c r="V172" s="20" t="n">
        <x:v>48</x:v>
      </x:c>
      <x:c r="W172" s="20" t="str">
        <x:v>MoE</x:v>
      </x:c>
      <x:c r="X172" s="20" t="n">
        <x:v>0.702</x:v>
      </x:c>
      <x:c r="Y172" s="20" t="n">
        <x:v>0.405</x:v>
      </x:c>
      <x:c r="Z172" s="20" t="n">
        <x:v>0.04</x:v>
      </x:c>
      <x:c r="AA172" s="20" t="n">
        <x:v>1.137</x:v>
      </x:c>
      <x:c r="AB172" s="23" t="str">
        <x:v>Paper open-weight</x:v>
      </x:c>
      <x:c r="AC172" s="23" t="str">
        <x:v>No exact ECI checkpoint</x:v>
      </x:c>
      <x:c r="AD172" s="23" t="str"/>
      <x:c r="AE172" s="23" t="str"/>
    </x:row>
    <x:row r="173">
      <x:c r="A173" s="17" t="str">
        <x:v>deepseek:deepseek-v3-1-terminus</x:v>
      </x:c>
      <x:c r="B173" s="17" t="str">
        <x:v>DeepSeek V3.1-terminus</x:v>
      </x:c>
      <x:c r="C173" s="17" t="str">
        <x:v>DeepSeek</x:v>
      </x:c>
      <x:c r="D173" s="17" t="str">
        <x:v>lineage:deepseek:deepseek-v3-1-terminus</x:v>
      </x:c>
      <x:c r="E173" s="17" t="str">
        <x:v>base:deepseek:deepseek-v3-1-terminus</x:v>
      </x:c>
      <x:c r="F173" s="23" t="str"/>
      <x:c r="G173" s="23" t="str">
        <x:v>DeepSeek V3.1-terminus</x:v>
      </x:c>
      <x:c r="H173" s="23" t="str"/>
      <x:c r="I173" s="31" t="n">
        <x:v>45901</x:v>
      </x:c>
      <x:c r="J173" s="31"/>
      <x:c r="K173" s="31" t="n">
        <x:v>45901</x:v>
      </x:c>
      <x:c r="L173" s="17" t="str">
        <x:v>Paper month only</x:v>
      </x:c>
      <x:c r="M173" s="73"/>
      <x:c r="N173" s="20"/>
      <x:c r="O173" s="20"/>
      <x:c r="P173" s="20"/>
      <x:c r="Q173" s="20"/>
      <x:c r="R173" s="20" t="n">
        <x:v>671</x:v>
      </x:c>
      <x:c r="S173" s="20" t="n">
        <x:v>37</x:v>
      </x:c>
      <x:c r="T173" s="20"/>
      <x:c r="U173" s="20"/>
      <x:c r="V173" s="20" t="n">
        <x:v>61</x:v>
      </x:c>
      <x:c r="W173" s="20" t="str">
        <x:v>MoE</x:v>
      </x:c>
      <x:c r="X173" s="20" t="n">
        <x:v>0.954</x:v>
      </x:c>
      <x:c r="Y173" s="20" t="n">
        <x:v>0.599</x:v>
      </x:c>
      <x:c r="Z173" s="20" t="n">
        <x:v>0.148</x:v>
      </x:c>
      <x:c r="AA173" s="20" t="n">
        <x:v>1.346</x:v>
      </x:c>
      <x:c r="AB173" s="23" t="str">
        <x:v>Paper open-weight</x:v>
      </x:c>
      <x:c r="AC173" s="23" t="str">
        <x:v>No exact ECI checkpoint</x:v>
      </x:c>
      <x:c r="AD173" s="23" t="str"/>
      <x:c r="AE173" s="23" t="str"/>
    </x:row>
    <x:row r="174">
      <x:c r="A174" s="17" t="str">
        <x:v>alibaba:qwen3-max</x:v>
      </x:c>
      <x:c r="B174" s="17" t="str">
        <x:v>Qwen3-Max</x:v>
      </x:c>
      <x:c r="C174" s="17" t="str">
        <x:v>Alibaba</x:v>
      </x:c>
      <x:c r="D174" s="17" t="str">
        <x:v>lineage:alibaba:qwen3-max</x:v>
      </x:c>
      <x:c r="E174" s="17" t="str">
        <x:v>base:alibaba:qwen3-max</x:v>
      </x:c>
      <x:c r="F174" s="23" t="str"/>
      <x:c r="G174" s="23" t="str"/>
      <x:c r="H174" s="23" t="str">
        <x:v>Qwen3-Max</x:v>
      </x:c>
      <x:c r="I174" s="31"/>
      <x:c r="J174" s="31" t="n">
        <x:v>45905</x:v>
      </x:c>
      <x:c r="K174" s="31" t="n">
        <x:v>45905</x:v>
      </x:c>
      <x:c r="L174" s="17" t="str">
        <x:v>ECI exact date</x:v>
      </x:c>
      <x:c r="M174" s="73"/>
      <x:c r="N174" s="20" t="n">
        <x:v>143.95</x:v>
      </x:c>
      <x:c r="O174" s="20" t="n">
        <x:v>140.4</x:v>
      </x:c>
      <x:c r="P174" s="20" t="n">
        <x:v>155.83</x:v>
      </x:c>
      <x:c r="Q174" s="20"/>
      <x:c r="R174" s="20"/>
      <x:c r="S174" s="20"/>
      <x:c r="T174" s="20"/>
      <x:c r="U174" s="20"/>
      <x:c r="V174" s="20"/>
      <x:c r="W174" s="20" t="str"/>
      <x:c r="X174" s="20"/>
      <x:c r="Y174" s="20"/>
      <x:c r="Z174" s="20"/>
      <x:c r="AA174" s="20"/>
      <x:c r="AB174" s="23" t="str"/>
      <x:c r="AC174" s="23" t="str">
        <x:v>ECI-only row</x:v>
      </x:c>
      <x:c r="AD174" s="23" t="str"/>
      <x:c r="AE174" s="23" t="str"/>
    </x:row>
    <x:row r="175">
      <x:c r="A175" s="17" t="str">
        <x:v>xai:grok-4-fast</x:v>
      </x:c>
      <x:c r="B175" s="17" t="str">
        <x:v>Grok 4 Fast</x:v>
      </x:c>
      <x:c r="C175" s="17" t="str">
        <x:v>xAI</x:v>
      </x:c>
      <x:c r="D175" s="17" t="str">
        <x:v>lineage:xai:grok-4-fast</x:v>
      </x:c>
      <x:c r="E175" s="17" t="str">
        <x:v>base:xai:grok-4-fast</x:v>
      </x:c>
      <x:c r="F175" s="23" t="str"/>
      <x:c r="G175" s="23" t="str"/>
      <x:c r="H175" s="23" t="str">
        <x:v>Grok 4 Fast</x:v>
      </x:c>
      <x:c r="I175" s="31"/>
      <x:c r="J175" s="31" t="n">
        <x:v>45919</x:v>
      </x:c>
      <x:c r="K175" s="31" t="n">
        <x:v>45919</x:v>
      </x:c>
      <x:c r="L175" s="17" t="str">
        <x:v>ECI exact date</x:v>
      </x:c>
      <x:c r="M175" s="73"/>
      <x:c r="N175" s="20" t="n">
        <x:v>144.62</x:v>
      </x:c>
      <x:c r="O175" s="20" t="n">
        <x:v>141.49</x:v>
      </x:c>
      <x:c r="P175" s="20" t="n">
        <x:v>147.06</x:v>
      </x:c>
      <x:c r="Q175" s="20"/>
      <x:c r="R175" s="20"/>
      <x:c r="S175" s="20"/>
      <x:c r="T175" s="20"/>
      <x:c r="U175" s="20"/>
      <x:c r="V175" s="20"/>
      <x:c r="W175" s="20" t="str"/>
      <x:c r="X175" s="20"/>
      <x:c r="Y175" s="20"/>
      <x:c r="Z175" s="20"/>
      <x:c r="AA175" s="20"/>
      <x:c r="AB175" s="23" t="str"/>
      <x:c r="AC175" s="23" t="str">
        <x:v>ECI-only row</x:v>
      </x:c>
      <x:c r="AD175" s="23" t="str"/>
      <x:c r="AE175" s="23" t="str"/>
    </x:row>
    <x:row r="176">
      <x:c r="A176" s="17" t="str">
        <x:v>google:gemini-2-5-flash-sep-2025</x:v>
      </x:c>
      <x:c r="B176" s="17" t="str">
        <x:v>Gemini 2.5 Flash (Sep 2025)</x:v>
      </x:c>
      <x:c r="C176" s="17" t="str">
        <x:v>Google DeepMind</x:v>
      </x:c>
      <x:c r="D176" s="17" t="str">
        <x:v>lineage:google:gemini-2-5-flash-sep-2025</x:v>
      </x:c>
      <x:c r="E176" s="17" t="str">
        <x:v>base:google:gemini-2-5-flash-sep-2025</x:v>
      </x:c>
      <x:c r="F176" s="23" t="str"/>
      <x:c r="G176" s="23" t="str"/>
      <x:c r="H176" s="23" t="str">
        <x:v>Gemini 2.5 Flash (Sep 2025)</x:v>
      </x:c>
      <x:c r="I176" s="31"/>
      <x:c r="J176" s="31" t="n">
        <x:v>45925</x:v>
      </x:c>
      <x:c r="K176" s="31" t="n">
        <x:v>45925</x:v>
      </x:c>
      <x:c r="L176" s="17" t="str">
        <x:v>ECI exact date</x:v>
      </x:c>
      <x:c r="M176" s="73"/>
      <x:c r="N176" s="20" t="n">
        <x:v>143.1</x:v>
      </x:c>
      <x:c r="O176" s="20" t="n">
        <x:v>138.81</x:v>
      </x:c>
      <x:c r="P176" s="20" t="n">
        <x:v>146.24</x:v>
      </x:c>
      <x:c r="Q176" s="20"/>
      <x:c r="R176" s="20"/>
      <x:c r="S176" s="20"/>
      <x:c r="T176" s="20"/>
      <x:c r="U176" s="20"/>
      <x:c r="V176" s="20"/>
      <x:c r="W176" s="20" t="str"/>
      <x:c r="X176" s="20"/>
      <x:c r="Y176" s="20"/>
      <x:c r="Z176" s="20"/>
      <x:c r="AA176" s="20"/>
      <x:c r="AB176" s="23" t="str"/>
      <x:c r="AC176" s="23" t="str">
        <x:v>ECI-only row</x:v>
      </x:c>
      <x:c r="AD176" s="23" t="str"/>
      <x:c r="AE176" s="23" t="str"/>
    </x:row>
    <x:row r="177">
      <x:c r="A177" s="17" t="str">
        <x:v>anthropic:claude-sonnet-4-5</x:v>
      </x:c>
      <x:c r="B177" s="17" t="str">
        <x:v>Claude Sonnet 4.5</x:v>
      </x:c>
      <x:c r="C177" s="17" t="str">
        <x:v>Anthropic</x:v>
      </x:c>
      <x:c r="D177" s="17" t="str">
        <x:v>lineage:anthropic:claude-sonnet-4-5</x:v>
      </x:c>
      <x:c r="E177" s="17" t="str">
        <x:v>base:anthropic:claude-sonnet-4-5</x:v>
      </x:c>
      <x:c r="F177" s="23" t="str"/>
      <x:c r="G177" s="23" t="str"/>
      <x:c r="H177" s="23" t="str">
        <x:v>Claude Sonnet 4.5</x:v>
      </x:c>
      <x:c r="I177" s="31"/>
      <x:c r="J177" s="31" t="n">
        <x:v>45929</x:v>
      </x:c>
      <x:c r="K177" s="31" t="n">
        <x:v>45929</x:v>
      </x:c>
      <x:c r="L177" s="17" t="str">
        <x:v>ECI exact date</x:v>
      </x:c>
      <x:c r="M177" s="73"/>
      <x:c r="N177" s="20" t="n">
        <x:v>146.75</x:v>
      </x:c>
      <x:c r="O177" s="20" t="n">
        <x:v>144.71</x:v>
      </x:c>
      <x:c r="P177" s="20" t="n">
        <x:v>148.07</x:v>
      </x:c>
      <x:c r="Q177" s="20"/>
      <x:c r="R177" s="20"/>
      <x:c r="S177" s="20"/>
      <x:c r="T177" s="20"/>
      <x:c r="U177" s="20"/>
      <x:c r="V177" s="20"/>
      <x:c r="W177" s="20" t="str"/>
      <x:c r="X177" s="20"/>
      <x:c r="Y177" s="20"/>
      <x:c r="Z177" s="20"/>
      <x:c r="AA177" s="20"/>
      <x:c r="AB177" s="23" t="str"/>
      <x:c r="AC177" s="23" t="str">
        <x:v>ECI-only row</x:v>
      </x:c>
      <x:c r="AD177" s="23" t="str"/>
      <x:c r="AE177" s="23" t="str"/>
    </x:row>
    <x:row r="178">
      <x:c r="A178" s="17" t="str">
        <x:v>deepseek:deepseek-v3-2-exp</x:v>
      </x:c>
      <x:c r="B178" s="17" t="str">
        <x:v>DeepSeek-V3.2-Exp</x:v>
      </x:c>
      <x:c r="C178" s="17" t="str">
        <x:v>DeepSeek</x:v>
      </x:c>
      <x:c r="D178" s="17" t="str">
        <x:v>lineage:deepseek:deepseek-v3-2-exp</x:v>
      </x:c>
      <x:c r="E178" s="17" t="str">
        <x:v>base:deepseek:deepseek-v3-2-exp</x:v>
      </x:c>
      <x:c r="F178" s="23" t="str"/>
      <x:c r="G178" s="23" t="str"/>
      <x:c r="H178" s="23" t="str">
        <x:v>DeepSeek-V3.2-Exp</x:v>
      </x:c>
      <x:c r="I178" s="31"/>
      <x:c r="J178" s="31" t="n">
        <x:v>45929</x:v>
      </x:c>
      <x:c r="K178" s="31" t="n">
        <x:v>45929</x:v>
      </x:c>
      <x:c r="L178" s="17" t="str">
        <x:v>ECI exact date</x:v>
      </x:c>
      <x:c r="M178" s="73"/>
      <x:c r="N178" s="20" t="n">
        <x:v>144.86</x:v>
      </x:c>
      <x:c r="O178" s="20" t="n">
        <x:v>141.79</x:v>
      </x:c>
      <x:c r="P178" s="20" t="n">
        <x:v>146.71</x:v>
      </x:c>
      <x:c r="Q178" s="20"/>
      <x:c r="R178" s="20"/>
      <x:c r="S178" s="20"/>
      <x:c r="T178" s="20" t="n">
        <x:v>671</x:v>
      </x:c>
      <x:c r="U178" s="20"/>
      <x:c r="V178" s="20"/>
      <x:c r="W178" s="20" t="str"/>
      <x:c r="X178" s="20"/>
      <x:c r="Y178" s="20"/>
      <x:c r="Z178" s="20"/>
      <x:c r="AA178" s="20"/>
      <x:c r="AB178" s="23" t="str"/>
      <x:c r="AC178" s="23" t="str">
        <x:v>ECI-only row</x:v>
      </x:c>
      <x:c r="AD178" s="23" t="str"/>
      <x:c r="AE178" s="23" t="str">
        <x:v>Parameter row: Regression Data!47</x:v>
      </x:c>
    </x:row>
    <x:row r="179">
      <x:c r="A179" s="17" t="str">
        <x:v>z-ai-zhipu-ai-tsinghua-university:glm-4-6</x:v>
      </x:c>
      <x:c r="B179" s="17" t="str">
        <x:v>GLM-4.6</x:v>
      </x:c>
      <x:c r="C179" s="17" t="str">
        <x:v>Z.ai (Zhipu AI),Tsinghua University</x:v>
      </x:c>
      <x:c r="D179" s="17" t="str">
        <x:v>lineage:z-ai-zhipu-ai-tsinghua-university:glm-4-6</x:v>
      </x:c>
      <x:c r="E179" s="17" t="str">
        <x:v>base:z-ai-zhipu-ai-tsinghua-university:glm-4-6</x:v>
      </x:c>
      <x:c r="F179" s="23" t="str"/>
      <x:c r="G179" s="23" t="str"/>
      <x:c r="H179" s="23" t="str">
        <x:v>GLM-4.6</x:v>
      </x:c>
      <x:c r="I179" s="31"/>
      <x:c r="J179" s="31" t="n">
        <x:v>45930</x:v>
      </x:c>
      <x:c r="K179" s="31" t="n">
        <x:v>45930</x:v>
      </x:c>
      <x:c r="L179" s="17" t="str">
        <x:v>ECI exact date</x:v>
      </x:c>
      <x:c r="M179" s="73"/>
      <x:c r="N179" s="20" t="n">
        <x:v>140.95</x:v>
      </x:c>
      <x:c r="O179" s="20" t="n">
        <x:v>136.28</x:v>
      </x:c>
      <x:c r="P179" s="20" t="n">
        <x:v>142.51</x:v>
      </x:c>
      <x:c r="Q179" s="20"/>
      <x:c r="R179" s="20"/>
      <x:c r="S179" s="20"/>
      <x:c r="T179" s="20" t="n">
        <x:v>357</x:v>
      </x:c>
      <x:c r="U179" s="20"/>
      <x:c r="V179" s="20"/>
      <x:c r="W179" s="20" t="str"/>
      <x:c r="X179" s="20"/>
      <x:c r="Y179" s="20"/>
      <x:c r="Z179" s="20"/>
      <x:c r="AA179" s="20"/>
      <x:c r="AB179" s="23" t="str"/>
      <x:c r="AC179" s="23" t="str">
        <x:v>ECI-only row</x:v>
      </x:c>
      <x:c r="AD179" s="23" t="str"/>
      <x:c r="AE179" s="23" t="str">
        <x:v>Parameter row: Regression Data!48</x:v>
      </x:c>
    </x:row>
    <x:row r="180">
      <x:c r="A180" s="17" t="str">
        <x:v>openai:gpt-5-pro</x:v>
      </x:c>
      <x:c r="B180" s="17" t="str">
        <x:v>GPT-5 Pro</x:v>
      </x:c>
      <x:c r="C180" s="17" t="str">
        <x:v>OpenAI</x:v>
      </x:c>
      <x:c r="D180" s="17" t="str">
        <x:v>lineage:openai:gpt-5-pro</x:v>
      </x:c>
      <x:c r="E180" s="17" t="str">
        <x:v>base:openai:gpt-5-pro</x:v>
      </x:c>
      <x:c r="F180" s="23" t="str"/>
      <x:c r="G180" s="23" t="str"/>
      <x:c r="H180" s="23" t="str">
        <x:v>GPT-5 Pro</x:v>
      </x:c>
      <x:c r="I180" s="31"/>
      <x:c r="J180" s="31" t="n">
        <x:v>45937</x:v>
      </x:c>
      <x:c r="K180" s="31" t="n">
        <x:v>45937</x:v>
      </x:c>
      <x:c r="L180" s="17" t="str">
        <x:v>ECI exact date</x:v>
      </x:c>
      <x:c r="M180" s="73"/>
      <x:c r="N180" s="20" t="n">
        <x:v>150.43</x:v>
      </x:c>
      <x:c r="O180" s="20" t="n">
        <x:v>148.94</x:v>
      </x:c>
      <x:c r="P180" s="20" t="n">
        <x:v>152.05</x:v>
      </x:c>
      <x:c r="Q180" s="20"/>
      <x:c r="R180" s="20"/>
      <x:c r="S180" s="20"/>
      <x:c r="T180" s="20"/>
      <x:c r="U180" s="20"/>
      <x:c r="V180" s="20"/>
      <x:c r="W180" s="20" t="str"/>
      <x:c r="X180" s="20"/>
      <x:c r="Y180" s="20"/>
      <x:c r="Z180" s="20"/>
      <x:c r="AA180" s="20"/>
      <x:c r="AB180" s="23" t="str"/>
      <x:c r="AC180" s="23" t="str">
        <x:v>ECI-only row</x:v>
      </x:c>
      <x:c r="AD180" s="23" t="str"/>
      <x:c r="AE180" s="23" t="str"/>
    </x:row>
    <x:row r="181">
      <x:c r="A181" s="17" t="str">
        <x:v>anthropic:claude-haiku-4-5</x:v>
      </x:c>
      <x:c r="B181" s="17" t="str">
        <x:v>Claude Haiku 4.5</x:v>
      </x:c>
      <x:c r="C181" s="17" t="str">
        <x:v>Anthropic</x:v>
      </x:c>
      <x:c r="D181" s="17" t="str">
        <x:v>lineage:anthropic:claude-haiku-4-5</x:v>
      </x:c>
      <x:c r="E181" s="17" t="str">
        <x:v>base:anthropic:claude-haiku-4-5</x:v>
      </x:c>
      <x:c r="F181" s="23" t="str"/>
      <x:c r="G181" s="23" t="str"/>
      <x:c r="H181" s="23" t="str">
        <x:v>Claude Haiku 4.5</x:v>
      </x:c>
      <x:c r="I181" s="31"/>
      <x:c r="J181" s="31" t="n">
        <x:v>45945</x:v>
      </x:c>
      <x:c r="K181" s="31" t="n">
        <x:v>45945</x:v>
      </x:c>
      <x:c r="L181" s="17" t="str">
        <x:v>ECI exact date</x:v>
      </x:c>
      <x:c r="M181" s="73"/>
      <x:c r="N181" s="20" t="n">
        <x:v>142.86</x:v>
      </x:c>
      <x:c r="O181" s="20" t="n">
        <x:v>139.6</x:v>
      </x:c>
      <x:c r="P181" s="20" t="n">
        <x:v>144.62</x:v>
      </x:c>
      <x:c r="Q181" s="20"/>
      <x:c r="R181" s="20"/>
      <x:c r="S181" s="20"/>
      <x:c r="T181" s="20"/>
      <x:c r="U181" s="20"/>
      <x:c r="V181" s="20"/>
      <x:c r="W181" s="20" t="str"/>
      <x:c r="X181" s="20"/>
      <x:c r="Y181" s="20"/>
      <x:c r="Z181" s="20"/>
      <x:c r="AA181" s="20"/>
      <x:c r="AB181" s="23" t="str"/>
      <x:c r="AC181" s="23" t="str">
        <x:v>ECI-only row</x:v>
      </x:c>
      <x:c r="AD181" s="23" t="str"/>
      <x:c r="AE181" s="23" t="str"/>
    </x:row>
    <x:row r="182">
      <x:c r="A182" s="17" t="str">
        <x:v>moonshot:kimi-k2-thinking</x:v>
      </x:c>
      <x:c r="B182" s="17" t="str">
        <x:v>Kimi K2 Thinking</x:v>
      </x:c>
      <x:c r="C182" s="17" t="str">
        <x:v>Moonshot</x:v>
      </x:c>
      <x:c r="D182" s="17" t="str">
        <x:v>lineage:moonshot-kimi-k2</x:v>
      </x:c>
      <x:c r="E182" s="17" t="str">
        <x:v>base:moonshot:kimi-k2-thinking</x:v>
      </x:c>
      <x:c r="F182" s="23" t="str"/>
      <x:c r="G182" s="23" t="str"/>
      <x:c r="H182" s="23" t="str">
        <x:v>Kimi K2 Thinking</x:v>
      </x:c>
      <x:c r="I182" s="31"/>
      <x:c r="J182" s="31" t="n">
        <x:v>45967</x:v>
      </x:c>
      <x:c r="K182" s="31" t="n">
        <x:v>45967</x:v>
      </x:c>
      <x:c r="L182" s="17" t="str">
        <x:v>ECI exact date</x:v>
      </x:c>
      <x:c r="M182" s="73"/>
      <x:c r="N182" s="20" t="n">
        <x:v>146.01</x:v>
      </x:c>
      <x:c r="O182" s="20" t="n">
        <x:v>143.68</x:v>
      </x:c>
      <x:c r="P182" s="20" t="n">
        <x:v>147.44</x:v>
      </x:c>
      <x:c r="Q182" s="20"/>
      <x:c r="R182" s="20"/>
      <x:c r="S182" s="20"/>
      <x:c r="T182" s="20" t="n">
        <x:v>1000</x:v>
      </x:c>
      <x:c r="U182" s="20"/>
      <x:c r="V182" s="20"/>
      <x:c r="W182" s="20" t="str"/>
      <x:c r="X182" s="20"/>
      <x:c r="Y182" s="20"/>
      <x:c r="Z182" s="20"/>
      <x:c r="AA182" s="20"/>
      <x:c r="AB182" s="23" t="str"/>
      <x:c r="AC182" s="23" t="str">
        <x:v>ECI-only row</x:v>
      </x:c>
      <x:c r="AD182" s="23" t="str"/>
      <x:c r="AE182" s="23" t="str">
        <x:v>Parameter row: Regression Data!49</x:v>
      </x:c>
    </x:row>
    <x:row r="183">
      <x:c r="A183" s="17" t="str">
        <x:v>openai:gpt-5-1</x:v>
      </x:c>
      <x:c r="B183" s="17" t="str">
        <x:v>GPT-5.1</x:v>
      </x:c>
      <x:c r="C183" s="17" t="str">
        <x:v>OpenAI</x:v>
      </x:c>
      <x:c r="D183" s="17" t="str">
        <x:v>lineage:openai-gpt-5</x:v>
      </x:c>
      <x:c r="E183" s="17" t="str">
        <x:v>base:openai-gpt-5-shared</x:v>
      </x:c>
      <x:c r="F183" s="23" t="str"/>
      <x:c r="G183" s="23" t="str"/>
      <x:c r="H183" s="23" t="str">
        <x:v>GPT-5.1</x:v>
      </x:c>
      <x:c r="I183" s="31"/>
      <x:c r="J183" s="31" t="n">
        <x:v>45974</x:v>
      </x:c>
      <x:c r="K183" s="31" t="n">
        <x:v>45974</x:v>
      </x:c>
      <x:c r="L183" s="17" t="str">
        <x:v>ECI exact date</x:v>
      </x:c>
      <x:c r="M183" s="73"/>
      <x:c r="N183" s="20" t="n">
        <x:v>149.72</x:v>
      </x:c>
      <x:c r="O183" s="20" t="n">
        <x:v>148.31</x:v>
      </x:c>
      <x:c r="P183" s="20" t="n">
        <x:v>151.01</x:v>
      </x:c>
      <x:c r="Q183" s="20"/>
      <x:c r="R183" s="20"/>
      <x:c r="S183" s="20"/>
      <x:c r="T183" s="20"/>
      <x:c r="U183" s="20"/>
      <x:c r="V183" s="20"/>
      <x:c r="W183" s="20" t="str"/>
      <x:c r="X183" s="20"/>
      <x:c r="Y183" s="20"/>
      <x:c r="Z183" s="20"/>
      <x:c r="AA183" s="20"/>
      <x:c r="AB183" s="23" t="str"/>
      <x:c r="AC183" s="23" t="str">
        <x:v>ECI-only row</x:v>
      </x:c>
      <x:c r="AD183" s="23" t="str"/>
      <x:c r="AE183" s="23" t="str"/>
    </x:row>
    <x:row r="184">
      <x:c r="A184" s="17" t="str">
        <x:v>google:gemini-3-pro</x:v>
      </x:c>
      <x:c r="B184" s="17" t="str">
        <x:v>Gemini 3 Pro</x:v>
      </x:c>
      <x:c r="C184" s="17" t="str">
        <x:v>Google DeepMind</x:v>
      </x:c>
      <x:c r="D184" s="17" t="str">
        <x:v>lineage:google:gemini-3-pro</x:v>
      </x:c>
      <x:c r="E184" s="17" t="str">
        <x:v>base:google:gemini-3-pro</x:v>
      </x:c>
      <x:c r="F184" s="23" t="str"/>
      <x:c r="G184" s="23" t="str"/>
      <x:c r="H184" s="23" t="str">
        <x:v>Gemini 3 Pro</x:v>
      </x:c>
      <x:c r="I184" s="31"/>
      <x:c r="J184" s="31" t="n">
        <x:v>45979</x:v>
      </x:c>
      <x:c r="K184" s="31" t="n">
        <x:v>45979</x:v>
      </x:c>
      <x:c r="L184" s="17" t="str">
        <x:v>ECI exact date</x:v>
      </x:c>
      <x:c r="M184" s="73"/>
      <x:c r="N184" s="20" t="n">
        <x:v>153.24</x:v>
      </x:c>
      <x:c r="O184" s="20" t="n">
        <x:v>151.34</x:v>
      </x:c>
      <x:c r="P184" s="20" t="n">
        <x:v>155.77</x:v>
      </x:c>
      <x:c r="Q184" s="20"/>
      <x:c r="R184" s="20"/>
      <x:c r="S184" s="20"/>
      <x:c r="T184" s="20"/>
      <x:c r="U184" s="20"/>
      <x:c r="V184" s="20"/>
      <x:c r="W184" s="20" t="str"/>
      <x:c r="X184" s="20"/>
      <x:c r="Y184" s="20"/>
      <x:c r="Z184" s="20"/>
      <x:c r="AA184" s="20"/>
      <x:c r="AB184" s="23" t="str"/>
      <x:c r="AC184" s="23" t="str">
        <x:v>ECI-only row</x:v>
      </x:c>
      <x:c r="AD184" s="23" t="str"/>
      <x:c r="AE184" s="23" t="str"/>
    </x:row>
    <x:row r="185">
      <x:c r="A185" s="17" t="str">
        <x:v>anthropic:claude-opus-4-5</x:v>
      </x:c>
      <x:c r="B185" s="17" t="str">
        <x:v>Claude Opus 4.5</x:v>
      </x:c>
      <x:c r="C185" s="17" t="str">
        <x:v>Anthropic</x:v>
      </x:c>
      <x:c r="D185" s="17" t="str">
        <x:v>lineage:anthropic-opus-4-5plus</x:v>
      </x:c>
      <x:c r="E185" s="17" t="str">
        <x:v>base:anthropic-opus-4-5plus</x:v>
      </x:c>
      <x:c r="F185" s="23" t="str"/>
      <x:c r="G185" s="23" t="str">
        <x:v>Opus 4.5</x:v>
      </x:c>
      <x:c r="H185" s="23" t="str">
        <x:v>Claude Opus 4.5</x:v>
      </x:c>
      <x:c r="I185" s="31" t="n">
        <x:v>45962</x:v>
      </x:c>
      <x:c r="J185" s="31" t="n">
        <x:v>45985</x:v>
      </x:c>
      <x:c r="K185" s="31" t="n">
        <x:v>45985</x:v>
      </x:c>
      <x:c r="L185" s="17" t="str">
        <x:v>ECI exact date</x:v>
      </x:c>
      <x:c r="M185" s="73" t="n">
        <x:v>23</x:v>
      </x:c>
      <x:c r="N185" s="20" t="n">
        <x:v>149.53</x:v>
      </x:c>
      <x:c r="O185" s="20" t="n">
        <x:v>147.66</x:v>
      </x:c>
      <x:c r="P185" s="20" t="n">
        <x:v>151.99</x:v>
      </x:c>
      <x:c r="Q185" s="20"/>
      <x:c r="R185" s="20"/>
      <x:c r="S185" s="20"/>
      <x:c r="T185" s="20"/>
      <x:c r="U185" s="20"/>
      <x:c r="V185" s="20"/>
      <x:c r="W185" s="20" t="str"/>
      <x:c r="X185" s="20" t="n">
        <x:v>2.4</x:v>
      </x:c>
      <x:c r="Y185" s="20"/>
      <x:c r="Z185" s="20" t="n">
        <x:v>0.39</x:v>
      </x:c>
      <x:c r="AA185" s="20" t="n">
        <x:v>94</x:v>
      </x:c>
      <x:c r="AB185" s="23" t="str">
        <x:v>Paper frontier</x:v>
      </x:c>
      <x:c r="AC185" s="23" t="str">
        <x:v>Manual exact ECI join</x:v>
      </x:c>
      <x:c r="AD185" s="23" t="str"/>
      <x:c r="AE185" s="23" t="str"/>
    </x:row>
    <x:row r="186">
      <x:c r="A186" s="17" t="str">
        <x:v>deepseek:deepseek-v3-2</x:v>
      </x:c>
      <x:c r="B186" s="17" t="str">
        <x:v>DeepSeek-V3.2</x:v>
      </x:c>
      <x:c r="C186" s="17" t="str">
        <x:v>DeepSeek</x:v>
      </x:c>
      <x:c r="D186" s="17" t="str">
        <x:v>lineage:deepseek:deepseek-v3-2</x:v>
      </x:c>
      <x:c r="E186" s="17" t="str">
        <x:v>base:deepseek:deepseek-v3-2</x:v>
      </x:c>
      <x:c r="F186" s="23" t="str"/>
      <x:c r="G186" s="23" t="str">
        <x:v>DeepSeek V3.2</x:v>
      </x:c>
      <x:c r="H186" s="23" t="str">
        <x:v>DeepSeek-V3.2</x:v>
      </x:c>
      <x:c r="I186" s="31" t="n">
        <x:v>45901</x:v>
      </x:c>
      <x:c r="J186" s="31" t="n">
        <x:v>45992</x:v>
      </x:c>
      <x:c r="K186" s="31" t="n">
        <x:v>45992</x:v>
      </x:c>
      <x:c r="L186" s="17" t="str">
        <x:v>ECI exact date</x:v>
      </x:c>
      <x:c r="M186" s="73" t="n">
        <x:v>91</x:v>
      </x:c>
      <x:c r="N186" s="20" t="n">
        <x:v>146.56</x:v>
      </x:c>
      <x:c r="O186" s="20" t="n">
        <x:v>144.63</x:v>
      </x:c>
      <x:c r="P186" s="20" t="n">
        <x:v>147.62</x:v>
      </x:c>
      <x:c r="Q186" s="20"/>
      <x:c r="R186" s="20" t="n">
        <x:v>671</x:v>
      </x:c>
      <x:c r="S186" s="20" t="n">
        <x:v>37</x:v>
      </x:c>
      <x:c r="T186" s="20" t="n">
        <x:v>671</x:v>
      </x:c>
      <x:c r="U186" s="20"/>
      <x:c r="V186" s="20" t="n">
        <x:v>61</x:v>
      </x:c>
      <x:c r="W186" s="20" t="str">
        <x:v>MoE</x:v>
      </x:c>
      <x:c r="X186" s="20" t="n">
        <x:v>0.678</x:v>
      </x:c>
      <x:c r="Y186" s="20" t="n">
        <x:v>0.373</x:v>
      </x:c>
      <x:c r="Z186" s="20" t="n">
        <x:v>0.062</x:v>
      </x:c>
      <x:c r="AA186" s="20" t="n">
        <x:v>1.102</x:v>
      </x:c>
      <x:c r="AB186" s="23" t="str">
        <x:v>Paper open-weight</x:v>
      </x:c>
      <x:c r="AC186" s="23" t="str">
        <x:v>Manual exact ECI join</x:v>
      </x:c>
      <x:c r="AD186" s="23" t="str">
        <x:v>Release conflict 91d</x:v>
      </x:c>
      <x:c r="AE186" s="23" t="str">
        <x:v>Parameter row: Regression Data!50</x:v>
      </x:c>
    </x:row>
    <x:row r="187">
      <x:c r="A187" s="17" t="str">
        <x:v>mistral:ministral-3-14b</x:v>
      </x:c>
      <x:c r="B187" s="17" t="str">
        <x:v>Ministral 3 14B</x:v>
      </x:c>
      <x:c r="C187" s="17" t="str">
        <x:v>Mistral AI</x:v>
      </x:c>
      <x:c r="D187" s="17" t="str">
        <x:v>lineage:mistral:ministral-3-14b</x:v>
      </x:c>
      <x:c r="E187" s="17" t="str">
        <x:v>base:mistral:ministral-3-14b</x:v>
      </x:c>
      <x:c r="F187" s="23" t="str"/>
      <x:c r="G187" s="23" t="str">
        <x:v>Ministral 3 14B</x:v>
      </x:c>
      <x:c r="H187" s="23" t="str"/>
      <x:c r="I187" s="31" t="n">
        <x:v>45992</x:v>
      </x:c>
      <x:c r="J187" s="31"/>
      <x:c r="K187" s="31" t="n">
        <x:v>45992</x:v>
      </x:c>
      <x:c r="L187" s="17" t="str">
        <x:v>Paper month only</x:v>
      </x:c>
      <x:c r="M187" s="73"/>
      <x:c r="N187" s="20"/>
      <x:c r="O187" s="20"/>
      <x:c r="P187" s="20"/>
      <x:c r="Q187" s="20"/>
      <x:c r="R187" s="20" t="n">
        <x:v>14</x:v>
      </x:c>
      <x:c r="S187" s="20" t="n">
        <x:v>14</x:v>
      </x:c>
      <x:c r="T187" s="20"/>
      <x:c r="U187" s="20"/>
      <x:c r="V187" s="20" t="n">
        <x:v>40</x:v>
      </x:c>
      <x:c r="W187" s="20" t="str">
        <x:v>Dense</x:v>
      </x:c>
      <x:c r="X187" s="20" t="n">
        <x:v>0.367</x:v>
      </x:c>
      <x:c r="Y187" s="20" t="n">
        <x:v>0.178</x:v>
      </x:c>
      <x:c r="Z187" s="20" t="n">
        <x:v>0.004</x:v>
      </x:c>
      <x:c r="AA187" s="20" t="n">
        <x:v>0.625</x:v>
      </x:c>
      <x:c r="AB187" s="23" t="str">
        <x:v>Paper open-weight</x:v>
      </x:c>
      <x:c r="AC187" s="23" t="str">
        <x:v>No exact ECI checkpoint</x:v>
      </x:c>
      <x:c r="AD187" s="23" t="str"/>
      <x:c r="AE187" s="23" t="str"/>
    </x:row>
    <x:row r="188">
      <x:c r="A188" s="17" t="str">
        <x:v>mistral:ministral-3-3b</x:v>
      </x:c>
      <x:c r="B188" s="17" t="str">
        <x:v>Ministral 3 3B</x:v>
      </x:c>
      <x:c r="C188" s="17" t="str">
        <x:v>Mistral AI</x:v>
      </x:c>
      <x:c r="D188" s="17" t="str">
        <x:v>lineage:mistral:ministral-3-3b</x:v>
      </x:c>
      <x:c r="E188" s="17" t="str">
        <x:v>base:mistral:ministral-3-3b</x:v>
      </x:c>
      <x:c r="F188" s="23" t="str"/>
      <x:c r="G188" s="23" t="str">
        <x:v>Ministral 3 3B</x:v>
      </x:c>
      <x:c r="H188" s="23" t="str"/>
      <x:c r="I188" s="31" t="n">
        <x:v>45992</x:v>
      </x:c>
      <x:c r="J188" s="31"/>
      <x:c r="K188" s="31" t="n">
        <x:v>45992</x:v>
      </x:c>
      <x:c r="L188" s="17" t="str">
        <x:v>Paper month only</x:v>
      </x:c>
      <x:c r="M188" s="73"/>
      <x:c r="N188" s="20"/>
      <x:c r="O188" s="20"/>
      <x:c r="P188" s="20"/>
      <x:c r="Q188" s="20"/>
      <x:c r="R188" s="20" t="n">
        <x:v>3</x:v>
      </x:c>
      <x:c r="S188" s="20" t="n">
        <x:v>3</x:v>
      </x:c>
      <x:c r="T188" s="20"/>
      <x:c r="U188" s="20"/>
      <x:c r="V188" s="20" t="n">
        <x:v>26</x:v>
      </x:c>
      <x:c r="W188" s="20" t="str">
        <x:v>Dense</x:v>
      </x:c>
      <x:c r="X188" s="20" t="n">
        <x:v>0.096</x:v>
      </x:c>
      <x:c r="Y188" s="20" t="n">
        <x:v>0.036</x:v>
      </x:c>
      <x:c r="Z188" s="20" t="n">
        <x:v>0</x:v>
      </x:c>
      <x:c r="AA188" s="20" t="n">
        <x:v>0.194</x:v>
      </x:c>
      <x:c r="AB188" s="23" t="str">
        <x:v>Paper open-weight</x:v>
      </x:c>
      <x:c r="AC188" s="23" t="str">
        <x:v>No exact ECI checkpoint</x:v>
      </x:c>
      <x:c r="AD188" s="23" t="str"/>
      <x:c r="AE188" s="23" t="str"/>
    </x:row>
    <x:row r="189">
      <x:c r="A189" s="17" t="str">
        <x:v>mistral:ministral-3-8b</x:v>
      </x:c>
      <x:c r="B189" s="17" t="str">
        <x:v>Ministral 3 8B</x:v>
      </x:c>
      <x:c r="C189" s="17" t="str">
        <x:v>Mistral AI</x:v>
      </x:c>
      <x:c r="D189" s="17" t="str">
        <x:v>lineage:mistral:ministral-3-8b</x:v>
      </x:c>
      <x:c r="E189" s="17" t="str">
        <x:v>base:mistral:ministral-3-8b</x:v>
      </x:c>
      <x:c r="F189" s="23" t="str"/>
      <x:c r="G189" s="23" t="str">
        <x:v>Ministral 3 8B</x:v>
      </x:c>
      <x:c r="H189" s="23" t="str"/>
      <x:c r="I189" s="31" t="n">
        <x:v>45992</x:v>
      </x:c>
      <x:c r="J189" s="31"/>
      <x:c r="K189" s="31" t="n">
        <x:v>45992</x:v>
      </x:c>
      <x:c r="L189" s="17" t="str">
        <x:v>Paper month only</x:v>
      </x:c>
      <x:c r="M189" s="73"/>
      <x:c r="N189" s="20"/>
      <x:c r="O189" s="20"/>
      <x:c r="P189" s="20"/>
      <x:c r="Q189" s="20"/>
      <x:c r="R189" s="20" t="n">
        <x:v>8</x:v>
      </x:c>
      <x:c r="S189" s="20" t="n">
        <x:v>8</x:v>
      </x:c>
      <x:c r="T189" s="20"/>
      <x:c r="U189" s="20"/>
      <x:c r="V189" s="20" t="n">
        <x:v>32</x:v>
      </x:c>
      <x:c r="W189" s="20" t="str">
        <x:v>Dense</x:v>
      </x:c>
      <x:c r="X189" s="20" t="n">
        <x:v>0.282</x:v>
      </x:c>
      <x:c r="Y189" s="20" t="n">
        <x:v>0.132</x:v>
      </x:c>
      <x:c r="Z189" s="20" t="n">
        <x:v>0.002</x:v>
      </x:c>
      <x:c r="AA189" s="20" t="n">
        <x:v>0.482</x:v>
      </x:c>
      <x:c r="AB189" s="23" t="str">
        <x:v>Paper open-weight</x:v>
      </x:c>
      <x:c r="AC189" s="23" t="str">
        <x:v>No exact ECI checkpoint</x:v>
      </x:c>
      <x:c r="AD189" s="23" t="str"/>
      <x:c r="AE189" s="23" t="str"/>
    </x:row>
    <x:row r="190">
      <x:c r="A190" s="17" t="str">
        <x:v>openai:gpt-5-2</x:v>
      </x:c>
      <x:c r="B190" s="17" t="str">
        <x:v>GPT-5.2</x:v>
      </x:c>
      <x:c r="C190" s="17" t="str">
        <x:v>OpenAI</x:v>
      </x:c>
      <x:c r="D190" s="17" t="str">
        <x:v>lineage:openai-gpt-5</x:v>
      </x:c>
      <x:c r="E190" s="17" t="str">
        <x:v>base:openai-gpt-5-shared</x:v>
      </x:c>
      <x:c r="F190" s="23" t="str"/>
      <x:c r="G190" s="23" t="str"/>
      <x:c r="H190" s="23" t="str">
        <x:v>GPT-5.2</x:v>
      </x:c>
      <x:c r="I190" s="31"/>
      <x:c r="J190" s="31" t="n">
        <x:v>46002</x:v>
      </x:c>
      <x:c r="K190" s="31" t="n">
        <x:v>46002</x:v>
      </x:c>
      <x:c r="L190" s="17" t="str">
        <x:v>ECI exact date</x:v>
      </x:c>
      <x:c r="M190" s="73"/>
      <x:c r="N190" s="20" t="n">
        <x:v>153.7</x:v>
      </x:c>
      <x:c r="O190" s="20" t="n">
        <x:v>152.26</x:v>
      </x:c>
      <x:c r="P190" s="20" t="n">
        <x:v>155.46</x:v>
      </x:c>
      <x:c r="Q190" s="20"/>
      <x:c r="R190" s="20"/>
      <x:c r="S190" s="20"/>
      <x:c r="T190" s="20"/>
      <x:c r="U190" s="20"/>
      <x:c r="V190" s="20"/>
      <x:c r="W190" s="20" t="str"/>
      <x:c r="X190" s="20"/>
      <x:c r="Y190" s="20"/>
      <x:c r="Z190" s="20"/>
      <x:c r="AA190" s="20"/>
      <x:c r="AB190" s="23" t="str"/>
      <x:c r="AC190" s="23" t="str">
        <x:v>ECI-only row</x:v>
      </x:c>
      <x:c r="AD190" s="23" t="str"/>
      <x:c r="AE190" s="23" t="str"/>
    </x:row>
    <x:row r="191">
      <x:c r="A191" s="17" t="str">
        <x:v>openai:gpt-5-2-pro</x:v>
      </x:c>
      <x:c r="B191" s="17" t="str">
        <x:v>GPT-5.2 Pro</x:v>
      </x:c>
      <x:c r="C191" s="17" t="str">
        <x:v>OpenAI</x:v>
      </x:c>
      <x:c r="D191" s="17" t="str">
        <x:v>lineage:openai-gpt-5</x:v>
      </x:c>
      <x:c r="E191" s="17" t="str">
        <x:v>base:openai-gpt-5-shared</x:v>
      </x:c>
      <x:c r="F191" s="23" t="str"/>
      <x:c r="G191" s="23" t="str"/>
      <x:c r="H191" s="23" t="str">
        <x:v>GPT-5.2 Pro</x:v>
      </x:c>
      <x:c r="I191" s="31"/>
      <x:c r="J191" s="31" t="n">
        <x:v>46002</x:v>
      </x:c>
      <x:c r="K191" s="31" t="n">
        <x:v>46002</x:v>
      </x:c>
      <x:c r="L191" s="17" t="str">
        <x:v>ECI exact date</x:v>
      </x:c>
      <x:c r="M191" s="73"/>
      <x:c r="N191" s="20" t="n">
        <x:v>154.65</x:v>
      </x:c>
      <x:c r="O191" s="20" t="n">
        <x:v>152.88</x:v>
      </x:c>
      <x:c r="P191" s="20" t="n">
        <x:v>157.03</x:v>
      </x:c>
      <x:c r="Q191" s="20"/>
      <x:c r="R191" s="20"/>
      <x:c r="S191" s="20"/>
      <x:c r="T191" s="20"/>
      <x:c r="U191" s="20"/>
      <x:c r="V191" s="20"/>
      <x:c r="W191" s="20" t="str"/>
      <x:c r="X191" s="20"/>
      <x:c r="Y191" s="20"/>
      <x:c r="Z191" s="20"/>
      <x:c r="AA191" s="20"/>
      <x:c r="AB191" s="23" t="str"/>
      <x:c r="AC191" s="23" t="str">
        <x:v>ECI-only row</x:v>
      </x:c>
      <x:c r="AD191" s="23" t="str"/>
      <x:c r="AE191" s="23" t="str"/>
    </x:row>
    <x:row r="192">
      <x:c r="A192" s="17" t="str">
        <x:v>google:gemini-3-flash</x:v>
      </x:c>
      <x:c r="B192" s="17" t="str">
        <x:v>Gemini 3 Flash</x:v>
      </x:c>
      <x:c r="C192" s="17" t="str">
        <x:v>Google DeepMind</x:v>
      </x:c>
      <x:c r="D192" s="17" t="str">
        <x:v>lineage:google:gemini-3-flash</x:v>
      </x:c>
      <x:c r="E192" s="17" t="str">
        <x:v>base:google:gemini-3-flash</x:v>
      </x:c>
      <x:c r="F192" s="23" t="str"/>
      <x:c r="G192" s="23" t="str"/>
      <x:c r="H192" s="23" t="str">
        <x:v>Gemini 3 Flash</x:v>
      </x:c>
      <x:c r="I192" s="31"/>
      <x:c r="J192" s="31" t="n">
        <x:v>46008</x:v>
      </x:c>
      <x:c r="K192" s="31" t="n">
        <x:v>46008</x:v>
      </x:c>
      <x:c r="L192" s="17" t="str">
        <x:v>ECI exact date</x:v>
      </x:c>
      <x:c r="M192" s="73"/>
      <x:c r="N192" s="20" t="n">
        <x:v>150.62</x:v>
      </x:c>
      <x:c r="O192" s="20" t="n">
        <x:v>146.15</x:v>
      </x:c>
      <x:c r="P192" s="20" t="n">
        <x:v>152.88</x:v>
      </x:c>
      <x:c r="Q192" s="20"/>
      <x:c r="R192" s="20"/>
      <x:c r="S192" s="20"/>
      <x:c r="T192" s="20"/>
      <x:c r="U192" s="20"/>
      <x:c r="V192" s="20"/>
      <x:c r="W192" s="20" t="str"/>
      <x:c r="X192" s="20"/>
      <x:c r="Y192" s="20"/>
      <x:c r="Z192" s="20"/>
      <x:c r="AA192" s="20"/>
      <x:c r="AB192" s="23" t="str"/>
      <x:c r="AC192" s="23" t="str">
        <x:v>ECI-only row</x:v>
      </x:c>
      <x:c r="AD192" s="23" t="str"/>
      <x:c r="AE192" s="23" t="str"/>
    </x:row>
    <x:row r="193">
      <x:c r="A193" s="17" t="str">
        <x:v>z-ai-zhipu-ai:glm-4-7</x:v>
      </x:c>
      <x:c r="B193" s="17" t="str">
        <x:v>GLM-4.7</x:v>
      </x:c>
      <x:c r="C193" s="17" t="str">
        <x:v>Z.ai (Zhipu AI)</x:v>
      </x:c>
      <x:c r="D193" s="17" t="str">
        <x:v>lineage:z-ai-zhipu-ai:glm-4-7</x:v>
      </x:c>
      <x:c r="E193" s="17" t="str">
        <x:v>base:z-ai-zhipu-ai:glm-4-7</x:v>
      </x:c>
      <x:c r="F193" s="23" t="str"/>
      <x:c r="G193" s="23" t="str"/>
      <x:c r="H193" s="23" t="str">
        <x:v>GLM-4.7</x:v>
      </x:c>
      <x:c r="I193" s="31"/>
      <x:c r="J193" s="31" t="n">
        <x:v>46013</x:v>
      </x:c>
      <x:c r="K193" s="31" t="n">
        <x:v>46013</x:v>
      </x:c>
      <x:c r="L193" s="17" t="str">
        <x:v>ECI exact date</x:v>
      </x:c>
      <x:c r="M193" s="73"/>
      <x:c r="N193" s="20" t="n">
        <x:v>143.73</x:v>
      </x:c>
      <x:c r="O193" s="20" t="n">
        <x:v>141.11</x:v>
      </x:c>
      <x:c r="P193" s="20" t="n">
        <x:v>145.38</x:v>
      </x:c>
      <x:c r="Q193" s="20"/>
      <x:c r="R193" s="20"/>
      <x:c r="S193" s="20"/>
      <x:c r="T193" s="20" t="n">
        <x:v>358</x:v>
      </x:c>
      <x:c r="U193" s="20"/>
      <x:c r="V193" s="20"/>
      <x:c r="W193" s="20" t="str"/>
      <x:c r="X193" s="20"/>
      <x:c r="Y193" s="20"/>
      <x:c r="Z193" s="20"/>
      <x:c r="AA193" s="20"/>
      <x:c r="AB193" s="23" t="str"/>
      <x:c r="AC193" s="23" t="str">
        <x:v>ECI-only row</x:v>
      </x:c>
      <x:c r="AD193" s="23" t="str"/>
      <x:c r="AE193" s="23" t="str">
        <x:v>Parameter row: Regression Data!51</x:v>
      </x:c>
    </x:row>
    <x:row r="194">
      <x:c r="A194" s="17" t="str">
        <x:v>alibaba:qwen-3-5-122b-a10b</x:v>
      </x:c>
      <x:c r="B194" s="17" t="str">
        <x:v>Qwen 3.5 122B-A10B</x:v>
      </x:c>
      <x:c r="C194" s="17" t="str">
        <x:v>Alibaba</x:v>
      </x:c>
      <x:c r="D194" s="17" t="str">
        <x:v>lineage:alibaba:qwen-3-5-122b-a10b</x:v>
      </x:c>
      <x:c r="E194" s="17" t="str">
        <x:v>base:alibaba:qwen-3-5-122b-a10b</x:v>
      </x:c>
      <x:c r="F194" s="23" t="str"/>
      <x:c r="G194" s="23" t="str">
        <x:v>Qwen 3.5 122B-A10B</x:v>
      </x:c>
      <x:c r="H194" s="23" t="str"/>
      <x:c r="I194" s="31" t="n">
        <x:v>46054</x:v>
      </x:c>
      <x:c r="J194" s="31"/>
      <x:c r="K194" s="31" t="n">
        <x:v>46054</x:v>
      </x:c>
      <x:c r="L194" s="17" t="str">
        <x:v>Paper month only</x:v>
      </x:c>
      <x:c r="M194" s="73"/>
      <x:c r="N194" s="20"/>
      <x:c r="O194" s="20"/>
      <x:c r="P194" s="20"/>
      <x:c r="Q194" s="20"/>
      <x:c r="R194" s="20" t="n">
        <x:v>122</x:v>
      </x:c>
      <x:c r="S194" s="20" t="n">
        <x:v>10</x:v>
      </x:c>
      <x:c r="T194" s="20"/>
      <x:c r="U194" s="20"/>
      <x:c r="V194" s="20" t="n">
        <x:v>48</x:v>
      </x:c>
      <x:c r="W194" s="20" t="str">
        <x:v>MoE</x:v>
      </x:c>
      <x:c r="X194" s="20" t="n">
        <x:v>0.636</x:v>
      </x:c>
      <x:c r="Y194" s="20" t="n">
        <x:v>0.334</x:v>
      </x:c>
      <x:c r="Z194" s="20" t="n">
        <x:v>0.068</x:v>
      </x:c>
      <x:c r="AA194" s="20" t="n">
        <x:v>0.856</x:v>
      </x:c>
      <x:c r="AB194" s="23" t="str">
        <x:v>Paper open-weight</x:v>
      </x:c>
      <x:c r="AC194" s="23" t="str">
        <x:v>No exact ECI checkpoint</x:v>
      </x:c>
      <x:c r="AD194" s="23" t="str"/>
      <x:c r="AE194" s="23" t="str"/>
    </x:row>
    <x:row r="195">
      <x:c r="A195" s="17" t="str">
        <x:v>alibaba:qwen-3-5-27b</x:v>
      </x:c>
      <x:c r="B195" s="17" t="str">
        <x:v>Qwen 3.5 27B</x:v>
      </x:c>
      <x:c r="C195" s="17" t="str">
        <x:v>Alibaba</x:v>
      </x:c>
      <x:c r="D195" s="17" t="str">
        <x:v>lineage:alibaba:qwen-3-5-27b</x:v>
      </x:c>
      <x:c r="E195" s="17" t="str">
        <x:v>base:alibaba:qwen-3-5-27b</x:v>
      </x:c>
      <x:c r="F195" s="23" t="str"/>
      <x:c r="G195" s="23" t="str">
        <x:v>Qwen 3.5 27B</x:v>
      </x:c>
      <x:c r="H195" s="23" t="str"/>
      <x:c r="I195" s="31" t="n">
        <x:v>46054</x:v>
      </x:c>
      <x:c r="J195" s="31"/>
      <x:c r="K195" s="31" t="n">
        <x:v>46054</x:v>
      </x:c>
      <x:c r="L195" s="17" t="str">
        <x:v>Paper month only</x:v>
      </x:c>
      <x:c r="M195" s="73"/>
      <x:c r="N195" s="20"/>
      <x:c r="O195" s="20"/>
      <x:c r="P195" s="20"/>
      <x:c r="Q195" s="20"/>
      <x:c r="R195" s="20" t="n">
        <x:v>27</x:v>
      </x:c>
      <x:c r="S195" s="20" t="n">
        <x:v>27</x:v>
      </x:c>
      <x:c r="T195" s="20"/>
      <x:c r="U195" s="20"/>
      <x:c r="V195" s="20" t="n">
        <x:v>64</x:v>
      </x:c>
      <x:c r="W195" s="20" t="str">
        <x:v>Dense</x:v>
      </x:c>
      <x:c r="X195" s="20" t="n">
        <x:v>0.192</x:v>
      </x:c>
      <x:c r="Y195" s="20" t="n">
        <x:v>0.088</x:v>
      </x:c>
      <x:c r="Z195" s="20" t="n">
        <x:v>0.002</x:v>
      </x:c>
      <x:c r="AA195" s="20" t="n">
        <x:v>0.346</x:v>
      </x:c>
      <x:c r="AB195" s="23" t="str">
        <x:v>Paper open-weight</x:v>
      </x:c>
      <x:c r="AC195" s="23" t="str">
        <x:v>No exact ECI checkpoint</x:v>
      </x:c>
      <x:c r="AD195" s="23" t="str"/>
      <x:c r="AE195" s="23" t="str"/>
    </x:row>
    <x:row r="196">
      <x:c r="A196" s="17" t="str">
        <x:v>alibaba:qwen-3-5-9b</x:v>
      </x:c>
      <x:c r="B196" s="17" t="str">
        <x:v>Qwen 3.5 9B</x:v>
      </x:c>
      <x:c r="C196" s="17" t="str">
        <x:v>Alibaba</x:v>
      </x:c>
      <x:c r="D196" s="17" t="str">
        <x:v>lineage:alibaba:qwen-3-5-9b</x:v>
      </x:c>
      <x:c r="E196" s="17" t="str">
        <x:v>base:alibaba:qwen-3-5-9b</x:v>
      </x:c>
      <x:c r="F196" s="23" t="str"/>
      <x:c r="G196" s="23" t="str">
        <x:v>Qwen 3.5 9B</x:v>
      </x:c>
      <x:c r="H196" s="23" t="str"/>
      <x:c r="I196" s="31" t="n">
        <x:v>46054</x:v>
      </x:c>
      <x:c r="J196" s="31"/>
      <x:c r="K196" s="31" t="n">
        <x:v>46054</x:v>
      </x:c>
      <x:c r="L196" s="17" t="str">
        <x:v>Paper month only</x:v>
      </x:c>
      <x:c r="M196" s="73"/>
      <x:c r="N196" s="20"/>
      <x:c r="O196" s="20"/>
      <x:c r="P196" s="20"/>
      <x:c r="Q196" s="20"/>
      <x:c r="R196" s="20" t="n">
        <x:v>9</x:v>
      </x:c>
      <x:c r="S196" s="20" t="n">
        <x:v>9</x:v>
      </x:c>
      <x:c r="T196" s="20"/>
      <x:c r="U196" s="20"/>
      <x:c r="V196" s="20" t="n">
        <x:v>32</x:v>
      </x:c>
      <x:c r="W196" s="20" t="str">
        <x:v>Dense</x:v>
      </x:c>
      <x:c r="X196" s="20" t="n">
        <x:v>0.345</x:v>
      </x:c>
      <x:c r="Y196" s="20" t="n">
        <x:v>0.171</x:v>
      </x:c>
      <x:c r="Z196" s="20" t="n">
        <x:v>0.009</x:v>
      </x:c>
      <x:c r="AA196" s="20" t="n">
        <x:v>0.559</x:v>
      </x:c>
      <x:c r="AB196" s="23" t="str">
        <x:v>Paper open-weight</x:v>
      </x:c>
      <x:c r="AC196" s="23" t="str">
        <x:v>No exact ECI checkpoint</x:v>
      </x:c>
      <x:c r="AD196" s="23" t="str"/>
      <x:c r="AE196" s="23" t="str"/>
    </x:row>
    <x:row r="197">
      <x:c r="A197" s="17" t="str">
        <x:v>moonshot:kimi-k2-5</x:v>
      </x:c>
      <x:c r="B197" s="17" t="str">
        <x:v>Kimi K2.5</x:v>
      </x:c>
      <x:c r="C197" s="17" t="str">
        <x:v>Moonshot</x:v>
      </x:c>
      <x:c r="D197" s="17" t="str">
        <x:v>lineage:moonshot-kimi-k2</x:v>
      </x:c>
      <x:c r="E197" s="17" t="str">
        <x:v>base:moonshot:kimi-k2-5</x:v>
      </x:c>
      <x:c r="F197" s="23" t="str"/>
      <x:c r="G197" s="23" t="str">
        <x:v>Kimi K2.5</x:v>
      </x:c>
      <x:c r="H197" s="23" t="str">
        <x:v>Kimi K2.5</x:v>
      </x:c>
      <x:c r="I197" s="31" t="n">
        <x:v>46023</x:v>
      </x:c>
      <x:c r="J197" s="31" t="n">
        <x:v>46055</x:v>
      </x:c>
      <x:c r="K197" s="31" t="n">
        <x:v>46055</x:v>
      </x:c>
      <x:c r="L197" s="17" t="str">
        <x:v>ECI exact date</x:v>
      </x:c>
      <x:c r="M197" s="73" t="n">
        <x:v>32</x:v>
      </x:c>
      <x:c r="N197" s="20" t="n">
        <x:v>148.24</x:v>
      </x:c>
      <x:c r="O197" s="20" t="n">
        <x:v>146.58</x:v>
      </x:c>
      <x:c r="P197" s="20" t="n">
        <x:v>149.36</x:v>
      </x:c>
      <x:c r="Q197" s="20"/>
      <x:c r="R197" s="20" t="n">
        <x:v>1000</x:v>
      </x:c>
      <x:c r="S197" s="20" t="n">
        <x:v>32</x:v>
      </x:c>
      <x:c r="T197" s="20" t="n">
        <x:v>1040</x:v>
      </x:c>
      <x:c r="U197" s="20"/>
      <x:c r="V197" s="20" t="n">
        <x:v>61</x:v>
      </x:c>
      <x:c r="W197" s="20" t="str">
        <x:v>MoE</x:v>
      </x:c>
      <x:c r="X197" s="20" t="n">
        <x:v>1.102</x:v>
      </x:c>
      <x:c r="Y197" s="20" t="n">
        <x:v>0.738</x:v>
      </x:c>
      <x:c r="Z197" s="20" t="n">
        <x:v>0.169</x:v>
      </x:c>
      <x:c r="AA197" s="20" t="n">
        <x:v>1.943</x:v>
      </x:c>
      <x:c r="AB197" s="23" t="str">
        <x:v>Paper open-weight</x:v>
      </x:c>
      <x:c r="AC197" s="23" t="str">
        <x:v>Manual exact ECI join</x:v>
      </x:c>
      <x:c r="AD197" s="23" t="str">
        <x:v>Release conflict 32d; Parameter source variance 3.8%</x:v>
      </x:c>
      <x:c r="AE197" s="23" t="str">
        <x:v>Parameter row: Regression Data!52</x:v>
      </x:c>
    </x:row>
    <x:row r="198">
      <x:c r="A198" s="17" t="str">
        <x:v>anthropic:claude-opus-4-6</x:v>
      </x:c>
      <x:c r="B198" s="17" t="str">
        <x:v>Claude Opus 4.6</x:v>
      </x:c>
      <x:c r="C198" s="17" t="str">
        <x:v>Anthropic</x:v>
      </x:c>
      <x:c r="D198" s="17" t="str">
        <x:v>lineage:anthropic-opus-4-5plus</x:v>
      </x:c>
      <x:c r="E198" s="17" t="str">
        <x:v>base:anthropic-opus-4-5plus</x:v>
      </x:c>
      <x:c r="F198" s="23" t="str"/>
      <x:c r="G198" s="23" t="str">
        <x:v>Opus 4.6</x:v>
      </x:c>
      <x:c r="H198" s="23" t="str">
        <x:v>Claude Opus 4.6</x:v>
      </x:c>
      <x:c r="I198" s="31" t="n">
        <x:v>46054</x:v>
      </x:c>
      <x:c r="J198" s="31" t="n">
        <x:v>46058</x:v>
      </x:c>
      <x:c r="K198" s="31" t="n">
        <x:v>46058</x:v>
      </x:c>
      <x:c r="L198" s="17" t="str">
        <x:v>ECI exact date</x:v>
      </x:c>
      <x:c r="M198" s="73" t="n">
        <x:v>4</x:v>
      </x:c>
      <x:c r="N198" s="20" t="n">
        <x:v>155.31</x:v>
      </x:c>
      <x:c r="O198" s="20" t="n">
        <x:v>153.34</x:v>
      </x:c>
      <x:c r="P198" s="20" t="n">
        <x:v>157.92</x:v>
      </x:c>
      <x:c r="Q198" s="20"/>
      <x:c r="R198" s="20"/>
      <x:c r="S198" s="20"/>
      <x:c r="T198" s="20"/>
      <x:c r="U198" s="20"/>
      <x:c r="V198" s="20"/>
      <x:c r="W198" s="20" t="str"/>
      <x:c r="X198" s="20" t="n">
        <x:v>2.5</x:v>
      </x:c>
      <x:c r="Y198" s="20"/>
      <x:c r="Z198" s="20" t="n">
        <x:v>0.55</x:v>
      </x:c>
      <x:c r="AA198" s="20" t="n">
        <x:v>40</x:v>
      </x:c>
      <x:c r="AB198" s="23" t="str">
        <x:v>Paper frontier</x:v>
      </x:c>
      <x:c r="AC198" s="23" t="str">
        <x:v>Manual exact ECI join</x:v>
      </x:c>
      <x:c r="AD198" s="23" t="str"/>
      <x:c r="AE198" s="23" t="str"/>
    </x:row>
    <x:row r="199">
      <x:c r="A199" s="17" t="str">
        <x:v>openai:gpt-5-3-codex</x:v>
      </x:c>
      <x:c r="B199" s="17" t="str">
        <x:v>GPT-5.3 Codex</x:v>
      </x:c>
      <x:c r="C199" s="17" t="str">
        <x:v>OpenAI</x:v>
      </x:c>
      <x:c r="D199" s="17" t="str">
        <x:v>lineage:openai-gpt-5</x:v>
      </x:c>
      <x:c r="E199" s="17" t="str">
        <x:v>base:openai-gpt-5-shared</x:v>
      </x:c>
      <x:c r="F199" s="23" t="str"/>
      <x:c r="G199" s="23" t="str"/>
      <x:c r="H199" s="23" t="str">
        <x:v>GPT-5.3 Codex</x:v>
      </x:c>
      <x:c r="I199" s="31"/>
      <x:c r="J199" s="31" t="n">
        <x:v>46058</x:v>
      </x:c>
      <x:c r="K199" s="31" t="n">
        <x:v>46058</x:v>
      </x:c>
      <x:c r="L199" s="17" t="str">
        <x:v>ECI exact date</x:v>
      </x:c>
      <x:c r="M199" s="73"/>
      <x:c r="N199" s="20" t="n">
        <x:v>155.49</x:v>
      </x:c>
      <x:c r="O199" s="20" t="n">
        <x:v>153.29</x:v>
      </x:c>
      <x:c r="P199" s="20" t="n">
        <x:v>158.84</x:v>
      </x:c>
      <x:c r="Q199" s="20"/>
      <x:c r="R199" s="20"/>
      <x:c r="S199" s="20"/>
      <x:c r="T199" s="20"/>
      <x:c r="U199" s="20"/>
      <x:c r="V199" s="20"/>
      <x:c r="W199" s="20" t="str"/>
      <x:c r="X199" s="20"/>
      <x:c r="Y199" s="20"/>
      <x:c r="Z199" s="20"/>
      <x:c r="AA199" s="20"/>
      <x:c r="AB199" s="23" t="str"/>
      <x:c r="AC199" s="23" t="str">
        <x:v>ECI-only row</x:v>
      </x:c>
      <x:c r="AD199" s="23" t="str"/>
      <x:c r="AE199" s="23" t="str"/>
    </x:row>
    <x:row r="200">
      <x:c r="A200" s="17" t="str">
        <x:v>z-ai-zhipu-ai:glm-5</x:v>
      </x:c>
      <x:c r="B200" s="17" t="str">
        <x:v>GLM-5</x:v>
      </x:c>
      <x:c r="C200" s="17" t="str">
        <x:v>Z.ai (Zhipu AI)</x:v>
      </x:c>
      <x:c r="D200" s="17" t="str">
        <x:v>lineage:z-ai-zhipu-ai:glm-5</x:v>
      </x:c>
      <x:c r="E200" s="17" t="str">
        <x:v>base:z-ai-zhipu-ai:glm-5</x:v>
      </x:c>
      <x:c r="F200" s="23" t="str"/>
      <x:c r="G200" s="23" t="str"/>
      <x:c r="H200" s="23" t="str">
        <x:v>GLM-5</x:v>
      </x:c>
      <x:c r="I200" s="31"/>
      <x:c r="J200" s="31" t="n">
        <x:v>46064</x:v>
      </x:c>
      <x:c r="K200" s="31" t="n">
        <x:v>46064</x:v>
      </x:c>
      <x:c r="L200" s="17" t="str">
        <x:v>ECI exact date</x:v>
      </x:c>
      <x:c r="M200" s="73"/>
      <x:c r="N200" s="20" t="n">
        <x:v>146.39</x:v>
      </x:c>
      <x:c r="O200" s="20" t="n">
        <x:v>144.52</x:v>
      </x:c>
      <x:c r="P200" s="20" t="n">
        <x:v>147.86</x:v>
      </x:c>
      <x:c r="Q200" s="20"/>
      <x:c r="R200" s="20"/>
      <x:c r="S200" s="20"/>
      <x:c r="T200" s="20" t="n">
        <x:v>744</x:v>
      </x:c>
      <x:c r="U200" s="20"/>
      <x:c r="V200" s="20"/>
      <x:c r="W200" s="20" t="str"/>
      <x:c r="X200" s="20"/>
      <x:c r="Y200" s="20"/>
      <x:c r="Z200" s="20"/>
      <x:c r="AA200" s="20"/>
      <x:c r="AB200" s="23" t="str"/>
      <x:c r="AC200" s="23" t="str">
        <x:v>ECI-only row</x:v>
      </x:c>
      <x:c r="AD200" s="23" t="str"/>
      <x:c r="AE200" s="23" t="str">
        <x:v>Parameter row: Regression Data!53</x:v>
      </x:c>
    </x:row>
    <x:row r="201">
      <x:c r="A201" s="17" t="str">
        <x:v>minimax:minimax-m2-5</x:v>
      </x:c>
      <x:c r="B201" s="17" t="str">
        <x:v>MiniMax-M2.5</x:v>
      </x:c>
      <x:c r="C201" s="17" t="str">
        <x:v>MiniMax</x:v>
      </x:c>
      <x:c r="D201" s="17" t="str">
        <x:v>lineage:minimax:minimax-m2-5</x:v>
      </x:c>
      <x:c r="E201" s="17" t="str">
        <x:v>base:minimax:minimax-m2-5</x:v>
      </x:c>
      <x:c r="F201" s="23" t="str"/>
      <x:c r="G201" s="23" t="str"/>
      <x:c r="H201" s="23" t="str">
        <x:v>MiniMax-M2.5</x:v>
      </x:c>
      <x:c r="I201" s="31"/>
      <x:c r="J201" s="31" t="n">
        <x:v>46065</x:v>
      </x:c>
      <x:c r="K201" s="31" t="n">
        <x:v>46065</x:v>
      </x:c>
      <x:c r="L201" s="17" t="str">
        <x:v>ECI exact date</x:v>
      </x:c>
      <x:c r="M201" s="73"/>
      <x:c r="N201" s="20" t="n">
        <x:v>147.07</x:v>
      </x:c>
      <x:c r="O201" s="20" t="n">
        <x:v>142.34</x:v>
      </x:c>
      <x:c r="P201" s="20" t="n">
        <x:v>148.14</x:v>
      </x:c>
      <x:c r="Q201" s="20"/>
      <x:c r="R201" s="20"/>
      <x:c r="S201" s="20"/>
      <x:c r="T201" s="20" t="n">
        <x:v>229</x:v>
      </x:c>
      <x:c r="U201" s="20"/>
      <x:c r="V201" s="20"/>
      <x:c r="W201" s="20" t="str"/>
      <x:c r="X201" s="20"/>
      <x:c r="Y201" s="20"/>
      <x:c r="Z201" s="20"/>
      <x:c r="AA201" s="20"/>
      <x:c r="AB201" s="23" t="str"/>
      <x:c r="AC201" s="23" t="str">
        <x:v>ECI-only row</x:v>
      </x:c>
      <x:c r="AD201" s="23" t="str"/>
      <x:c r="AE201" s="23" t="str">
        <x:v>Parameter row: Regression Data!54</x:v>
      </x:c>
    </x:row>
    <x:row r="202">
      <x:c r="A202" s="17" t="str">
        <x:v>alibaba:qwen-3-5-plus-hosted-397b-a17b</x:v>
      </x:c>
      <x:c r="B202" s="17" t="str">
        <x:v>Qwen 3.5 Plus (hosted 397B-A17B)</x:v>
      </x:c>
      <x:c r="C202" s="17" t="str">
        <x:v>Alibaba</x:v>
      </x:c>
      <x:c r="D202" s="17" t="str">
        <x:v>lineage:alibaba:qwen-3-5-plus-hosted-397b-a17b</x:v>
      </x:c>
      <x:c r="E202" s="17" t="str">
        <x:v>base:alibaba:qwen-3-5-plus-hosted-397b-a17b</x:v>
      </x:c>
      <x:c r="F202" s="23" t="str"/>
      <x:c r="G202" s="23" t="str">
        <x:v>Qwen 3.5 397B-A17B</x:v>
      </x:c>
      <x:c r="H202" s="23" t="str">
        <x:v>Qwen 3.5 Plus (hosted 397B-A17B)</x:v>
      </x:c>
      <x:c r="I202" s="31" t="n">
        <x:v>46054</x:v>
      </x:c>
      <x:c r="J202" s="31" t="n">
        <x:v>46069</x:v>
      </x:c>
      <x:c r="K202" s="31" t="n">
        <x:v>46069</x:v>
      </x:c>
      <x:c r="L202" s="17" t="str">
        <x:v>ECI exact date</x:v>
      </x:c>
      <x:c r="M202" s="73" t="n">
        <x:v>15</x:v>
      </x:c>
      <x:c r="N202" s="20" t="n">
        <x:v>146.95</x:v>
      </x:c>
      <x:c r="O202" s="20" t="n">
        <x:v>144.65</x:v>
      </x:c>
      <x:c r="P202" s="20" t="n">
        <x:v>148.03</x:v>
      </x:c>
      <x:c r="Q202" s="20"/>
      <x:c r="R202" s="20" t="n">
        <x:v>397</x:v>
      </x:c>
      <x:c r="S202" s="20" t="n">
        <x:v>17</x:v>
      </x:c>
      <x:c r="T202" s="20"/>
      <x:c r="U202" s="20"/>
      <x:c r="V202" s="20" t="n">
        <x:v>60</x:v>
      </x:c>
      <x:c r="W202" s="20" t="str">
        <x:v>MoE</x:v>
      </x:c>
      <x:c r="X202" s="20" t="n">
        <x:v>1.085</x:v>
      </x:c>
      <x:c r="Y202" s="20" t="n">
        <x:v>0.705</x:v>
      </x:c>
      <x:c r="Z202" s="20" t="n">
        <x:v>0.183</x:v>
      </x:c>
      <x:c r="AA202" s="20" t="n">
        <x:v>1.677</x:v>
      </x:c>
      <x:c r="AB202" s="23" t="str">
        <x:v>Paper open-weight</x:v>
      </x:c>
      <x:c r="AC202" s="23" t="str">
        <x:v>Manual exact ECI join</x:v>
      </x:c>
      <x:c r="AD202" s="23" t="str"/>
      <x:c r="AE202" s="23" t="str"/>
    </x:row>
    <x:row r="203">
      <x:c r="A203" s="17" t="str">
        <x:v>anthropic:claude-sonnet-4-6</x:v>
      </x:c>
      <x:c r="B203" s="17" t="str">
        <x:v>Claude Sonnet 4.6</x:v>
      </x:c>
      <x:c r="C203" s="17" t="str">
        <x:v>Anthropic</x:v>
      </x:c>
      <x:c r="D203" s="17" t="str">
        <x:v>lineage:anthropic:claude-sonnet-4-6</x:v>
      </x:c>
      <x:c r="E203" s="17" t="str">
        <x:v>base:anthropic:claude-sonnet-4-6</x:v>
      </x:c>
      <x:c r="F203" s="23" t="str"/>
      <x:c r="G203" s="23" t="str"/>
      <x:c r="H203" s="23" t="str">
        <x:v>Claude Sonnet 4.6</x:v>
      </x:c>
      <x:c r="I203" s="31"/>
      <x:c r="J203" s="31" t="n">
        <x:v>46070</x:v>
      </x:c>
      <x:c r="K203" s="31" t="n">
        <x:v>46070</x:v>
      </x:c>
      <x:c r="L203" s="17" t="str">
        <x:v>ECI exact date</x:v>
      </x:c>
      <x:c r="M203" s="73"/>
      <x:c r="N203" s="20" t="n">
        <x:v>153.18</x:v>
      </x:c>
      <x:c r="O203" s="20" t="n">
        <x:v>149.67</x:v>
      </x:c>
      <x:c r="P203" s="20" t="n">
        <x:v>156.08</x:v>
      </x:c>
      <x:c r="Q203" s="20"/>
      <x:c r="R203" s="20"/>
      <x:c r="S203" s="20"/>
      <x:c r="T203" s="20"/>
      <x:c r="U203" s="20"/>
      <x:c r="V203" s="20"/>
      <x:c r="W203" s="20" t="str"/>
      <x:c r="X203" s="20"/>
      <x:c r="Y203" s="20"/>
      <x:c r="Z203" s="20"/>
      <x:c r="AA203" s="20"/>
      <x:c r="AB203" s="23" t="str"/>
      <x:c r="AC203" s="23" t="str">
        <x:v>ECI-only row</x:v>
      </x:c>
      <x:c r="AD203" s="23" t="str"/>
      <x:c r="AE203" s="23" t="str"/>
    </x:row>
    <x:row r="204">
      <x:c r="A204" s="17" t="str">
        <x:v>xai:grok-4-20</x:v>
      </x:c>
      <x:c r="B204" s="17" t="str">
        <x:v>Grok 4.20</x:v>
      </x:c>
      <x:c r="C204" s="17" t="str">
        <x:v>xAI</x:v>
      </x:c>
      <x:c r="D204" s="17" t="str">
        <x:v>lineage:xai:grok-4-20</x:v>
      </x:c>
      <x:c r="E204" s="17" t="str">
        <x:v>base:xai:grok-4-20</x:v>
      </x:c>
      <x:c r="F204" s="23" t="str"/>
      <x:c r="G204" s="23" t="str"/>
      <x:c r="H204" s="23" t="str">
        <x:v>Grok 4.20</x:v>
      </x:c>
      <x:c r="I204" s="31"/>
      <x:c r="J204" s="31" t="n">
        <x:v>46070</x:v>
      </x:c>
      <x:c r="K204" s="31" t="n">
        <x:v>46070</x:v>
      </x:c>
      <x:c r="L204" s="17" t="str">
        <x:v>ECI exact date</x:v>
      </x:c>
      <x:c r="M204" s="73"/>
      <x:c r="N204" s="20" t="n">
        <x:v>152.56</x:v>
      </x:c>
      <x:c r="O204" s="20" t="n">
        <x:v>149.24</x:v>
      </x:c>
      <x:c r="P204" s="20" t="n">
        <x:v>154.54</x:v>
      </x:c>
      <x:c r="Q204" s="20"/>
      <x:c r="R204" s="20"/>
      <x:c r="S204" s="20"/>
      <x:c r="T204" s="20"/>
      <x:c r="U204" s="20"/>
      <x:c r="V204" s="20"/>
      <x:c r="W204" s="20" t="str"/>
      <x:c r="X204" s="20"/>
      <x:c r="Y204" s="20"/>
      <x:c r="Z204" s="20"/>
      <x:c r="AA204" s="20"/>
      <x:c r="AB204" s="23" t="str"/>
      <x:c r="AC204" s="23" t="str">
        <x:v>ECI-only row</x:v>
      </x:c>
      <x:c r="AD204" s="23" t="str"/>
      <x:c r="AE204" s="23" t="str"/>
    </x:row>
    <x:row r="205">
      <x:c r="A205" s="17" t="str">
        <x:v>google:gemini-3-1-pro</x:v>
      </x:c>
      <x:c r="B205" s="17" t="str">
        <x:v>Gemini 3.1 Pro</x:v>
      </x:c>
      <x:c r="C205" s="17" t="str">
        <x:v>Google DeepMind</x:v>
      </x:c>
      <x:c r="D205" s="17" t="str">
        <x:v>lineage:google:gemini-3-1-pro</x:v>
      </x:c>
      <x:c r="E205" s="17" t="str">
        <x:v>base:google:gemini-3-1-pro</x:v>
      </x:c>
      <x:c r="F205" s="23" t="str"/>
      <x:c r="G205" s="23" t="str"/>
      <x:c r="H205" s="23" t="str">
        <x:v>Gemini 3.1 Pro</x:v>
      </x:c>
      <x:c r="I205" s="31"/>
      <x:c r="J205" s="31" t="n">
        <x:v>46072</x:v>
      </x:c>
      <x:c r="K205" s="31" t="n">
        <x:v>46072</x:v>
      </x:c>
      <x:c r="L205" s="17" t="str">
        <x:v>ECI exact date</x:v>
      </x:c>
      <x:c r="M205" s="73"/>
      <x:c r="N205" s="20" t="n">
        <x:v>154.84</x:v>
      </x:c>
      <x:c r="O205" s="20" t="n">
        <x:v>152.95</x:v>
      </x:c>
      <x:c r="P205" s="20" t="n">
        <x:v>157.9</x:v>
      </x:c>
      <x:c r="Q205" s="20"/>
      <x:c r="R205" s="20"/>
      <x:c r="S205" s="20"/>
      <x:c r="T205" s="20"/>
      <x:c r="U205" s="20"/>
      <x:c r="V205" s="20"/>
      <x:c r="W205" s="20" t="str"/>
      <x:c r="X205" s="20"/>
      <x:c r="Y205" s="20"/>
      <x:c r="Z205" s="20"/>
      <x:c r="AA205" s="20"/>
      <x:c r="AB205" s="23" t="str"/>
      <x:c r="AC205" s="23" t="str">
        <x:v>ECI-only row</x:v>
      </x:c>
      <x:c r="AD205" s="23" t="str"/>
      <x:c r="AE205" s="23" t="str"/>
    </x:row>
    <x:row r="206">
      <x:c r="A206" s="17" t="str">
        <x:v>alibaba:qwen-3-5-flash-hosted-35b-a3b</x:v>
      </x:c>
      <x:c r="B206" s="17" t="str">
        <x:v>Qwen 3.5 Flash (hosted 35B-A3B)</x:v>
      </x:c>
      <x:c r="C206" s="17" t="str">
        <x:v>Alibaba</x:v>
      </x:c>
      <x:c r="D206" s="17" t="str">
        <x:v>lineage:alibaba:qwen-3-5-flash-hosted-35b-a3b</x:v>
      </x:c>
      <x:c r="E206" s="17" t="str">
        <x:v>base:alibaba:qwen-3-5-flash-hosted-35b-a3b</x:v>
      </x:c>
      <x:c r="F206" s="23" t="str"/>
      <x:c r="G206" s="23" t="str">
        <x:v>Qwen 3.5 35B-A3B</x:v>
      </x:c>
      <x:c r="H206" s="23" t="str">
        <x:v>Qwen 3.5 Flash (hosted 35B-A3B)</x:v>
      </x:c>
      <x:c r="I206" s="31" t="n">
        <x:v>46054</x:v>
      </x:c>
      <x:c r="J206" s="31" t="n">
        <x:v>46078</x:v>
      </x:c>
      <x:c r="K206" s="31" t="n">
        <x:v>46078</x:v>
      </x:c>
      <x:c r="L206" s="17" t="str">
        <x:v>ECI exact date</x:v>
      </x:c>
      <x:c r="M206" s="73" t="n">
        <x:v>24</x:v>
      </x:c>
      <x:c r="N206" s="20" t="n">
        <x:v>144.07</x:v>
      </x:c>
      <x:c r="O206" s="20" t="n">
        <x:v>140.99</x:v>
      </x:c>
      <x:c r="P206" s="20" t="n">
        <x:v>146.42</x:v>
      </x:c>
      <x:c r="Q206" s="20"/>
      <x:c r="R206" s="20" t="n">
        <x:v>35</x:v>
      </x:c>
      <x:c r="S206" s="20" t="n">
        <x:v>3</x:v>
      </x:c>
      <x:c r="T206" s="20"/>
      <x:c r="U206" s="20"/>
      <x:c r="V206" s="20" t="n">
        <x:v>40</x:v>
      </x:c>
      <x:c r="W206" s="20" t="str">
        <x:v>MoE</x:v>
      </x:c>
      <x:c r="X206" s="20" t="n">
        <x:v>0.406</x:v>
      </x:c>
      <x:c r="Y206" s="20" t="n">
        <x:v>0.209</x:v>
      </x:c>
      <x:c r="Z206" s="20" t="n">
        <x:v>0.016</x:v>
      </x:c>
      <x:c r="AA206" s="20" t="n">
        <x:v>0.645</x:v>
      </x:c>
      <x:c r="AB206" s="23" t="str">
        <x:v>Paper open-weight</x:v>
      </x:c>
      <x:c r="AC206" s="23" t="str">
        <x:v>Manual exact ECI join</x:v>
      </x:c>
      <x:c r="AD206" s="23" t="str"/>
      <x:c r="AE206" s="23" t="str"/>
    </x:row>
    <x:row r="207">
      <x:c r="A207" s="17" t="str">
        <x:v>google:gemini-3-1-flash-lite</x:v>
      </x:c>
      <x:c r="B207" s="17" t="str">
        <x:v>Gemini 3.1 Flash-Lite</x:v>
      </x:c>
      <x:c r="C207" s="17" t="str">
        <x:v>Google</x:v>
      </x:c>
      <x:c r="D207" s="17" t="str">
        <x:v>lineage:google:gemini-3-1-flash-lite</x:v>
      </x:c>
      <x:c r="E207" s="17" t="str">
        <x:v>base:google:gemini-3-1-flash-lite</x:v>
      </x:c>
      <x:c r="F207" s="23" t="str"/>
      <x:c r="G207" s="23" t="str"/>
      <x:c r="H207" s="23" t="str">
        <x:v>Gemini 3.1 Flash-Lite</x:v>
      </x:c>
      <x:c r="I207" s="31"/>
      <x:c r="J207" s="31" t="n">
        <x:v>46084</x:v>
      </x:c>
      <x:c r="K207" s="31" t="n">
        <x:v>46084</x:v>
      </x:c>
      <x:c r="L207" s="17" t="str">
        <x:v>ECI exact date</x:v>
      </x:c>
      <x:c r="M207" s="73"/>
      <x:c r="N207" s="20" t="n">
        <x:v>144.36</x:v>
      </x:c>
      <x:c r="O207" s="20" t="n">
        <x:v>136.85</x:v>
      </x:c>
      <x:c r="P207" s="20" t="n">
        <x:v>146.37</x:v>
      </x:c>
      <x:c r="Q207" s="20"/>
      <x:c r="R207" s="20"/>
      <x:c r="S207" s="20"/>
      <x:c r="T207" s="20"/>
      <x:c r="U207" s="20"/>
      <x:c r="V207" s="20"/>
      <x:c r="W207" s="20" t="str"/>
      <x:c r="X207" s="20"/>
      <x:c r="Y207" s="20"/>
      <x:c r="Z207" s="20"/>
      <x:c r="AA207" s="20"/>
      <x:c r="AB207" s="23" t="str"/>
      <x:c r="AC207" s="23" t="str">
        <x:v>ECI-only row</x:v>
      </x:c>
      <x:c r="AD207" s="23" t="str"/>
      <x:c r="AE207" s="23" t="str"/>
    </x:row>
    <x:row r="208">
      <x:c r="A208" s="17" t="str">
        <x:v>openai:gpt-5-4</x:v>
      </x:c>
      <x:c r="B208" s="17" t="str">
        <x:v>GPT-5.4</x:v>
      </x:c>
      <x:c r="C208" s="17" t="str">
        <x:v>OpenAI</x:v>
      </x:c>
      <x:c r="D208" s="17" t="str">
        <x:v>lineage:openai-gpt-5</x:v>
      </x:c>
      <x:c r="E208" s="17" t="str">
        <x:v>base:openai-gpt-5-shared</x:v>
      </x:c>
      <x:c r="F208" s="23" t="str"/>
      <x:c r="G208" s="23" t="str">
        <x:v>GPT-5.4</x:v>
      </x:c>
      <x:c r="H208" s="23" t="str">
        <x:v>GPT-5.4</x:v>
      </x:c>
      <x:c r="I208" s="31" t="n">
        <x:v>46082</x:v>
      </x:c>
      <x:c r="J208" s="31" t="n">
        <x:v>46086</x:v>
      </x:c>
      <x:c r="K208" s="31" t="n">
        <x:v>46086</x:v>
      </x:c>
      <x:c r="L208" s="17" t="str">
        <x:v>ECI exact date</x:v>
      </x:c>
      <x:c r="M208" s="73" t="n">
        <x:v>4</x:v>
      </x:c>
      <x:c r="N208" s="20" t="n">
        <x:v>156.03</x:v>
      </x:c>
      <x:c r="O208" s="20" t="n">
        <x:v>154.45</x:v>
      </x:c>
      <x:c r="P208" s="20" t="n">
        <x:v>158.37</x:v>
      </x:c>
      <x:c r="Q208" s="20"/>
      <x:c r="R208" s="20"/>
      <x:c r="S208" s="20"/>
      <x:c r="T208" s="20"/>
      <x:c r="U208" s="20"/>
      <x:c r="V208" s="20"/>
      <x:c r="W208" s="20" t="str"/>
      <x:c r="X208" s="20" t="n">
        <x:v>1.4</x:v>
      </x:c>
      <x:c r="Y208" s="20"/>
      <x:c r="Z208" s="20" t="n">
        <x:v>0.12</x:v>
      </x:c>
      <x:c r="AA208" s="20" t="n">
        <x:v>6.6</x:v>
      </x:c>
      <x:c r="AB208" s="23" t="str">
        <x:v>Paper frontier</x:v>
      </x:c>
      <x:c r="AC208" s="23" t="str">
        <x:v>Manual exact ECI join</x:v>
      </x:c>
      <x:c r="AD208" s="23" t="str"/>
      <x:c r="AE208" s="23" t="str"/>
    </x:row>
    <x:row r="209">
      <x:c r="A209" s="17" t="str">
        <x:v>openai:gpt-5-4-pro</x:v>
      </x:c>
      <x:c r="B209" s="17" t="str">
        <x:v>GPT-5.4 Pro</x:v>
      </x:c>
      <x:c r="C209" s="17" t="str">
        <x:v>OpenAI</x:v>
      </x:c>
      <x:c r="D209" s="17" t="str">
        <x:v>lineage:openai-gpt-5</x:v>
      </x:c>
      <x:c r="E209" s="17" t="str">
        <x:v>base:openai-gpt-5-shared</x:v>
      </x:c>
      <x:c r="F209" s="23" t="str"/>
      <x:c r="G209" s="23" t="str"/>
      <x:c r="H209" s="23" t="str">
        <x:v>GPT-5.4 Pro</x:v>
      </x:c>
      <x:c r="I209" s="31"/>
      <x:c r="J209" s="31" t="n">
        <x:v>46086</x:v>
      </x:c>
      <x:c r="K209" s="31" t="n">
        <x:v>46086</x:v>
      </x:c>
      <x:c r="L209" s="17" t="str">
        <x:v>ECI exact date</x:v>
      </x:c>
      <x:c r="M209" s="73"/>
      <x:c r="N209" s="20" t="n">
        <x:v>157.83</x:v>
      </x:c>
      <x:c r="O209" s="20" t="n">
        <x:v>155.96</x:v>
      </x:c>
      <x:c r="P209" s="20" t="n">
        <x:v>160.88</x:v>
      </x:c>
      <x:c r="Q209" s="20"/>
      <x:c r="R209" s="20"/>
      <x:c r="S209" s="20"/>
      <x:c r="T209" s="20"/>
      <x:c r="U209" s="20"/>
      <x:c r="V209" s="20"/>
      <x:c r="W209" s="20" t="str"/>
      <x:c r="X209" s="20"/>
      <x:c r="Y209" s="20"/>
      <x:c r="Z209" s="20"/>
      <x:c r="AA209" s="20"/>
      <x:c r="AB209" s="23" t="str"/>
      <x:c r="AC209" s="23" t="str">
        <x:v>ECI-only row</x:v>
      </x:c>
      <x:c r="AD209" s="23" t="str"/>
      <x:c r="AE209" s="23" t="str"/>
    </x:row>
    <x:row r="210">
      <x:c r="A210" s="17" t="str">
        <x:v>openai:gpt-5-4-mini</x:v>
      </x:c>
      <x:c r="B210" s="17" t="str">
        <x:v>GPT-5.4 Mini</x:v>
      </x:c>
      <x:c r="C210" s="17" t="str">
        <x:v>OpenAI</x:v>
      </x:c>
      <x:c r="D210" s="17" t="str">
        <x:v>lineage:openai-gpt-5</x:v>
      </x:c>
      <x:c r="E210" s="17" t="str">
        <x:v>base:openai-gpt-5-shared</x:v>
      </x:c>
      <x:c r="F210" s="23" t="str"/>
      <x:c r="G210" s="23" t="str"/>
      <x:c r="H210" s="23" t="str">
        <x:v>GPT-5.4 Mini</x:v>
      </x:c>
      <x:c r="I210" s="31"/>
      <x:c r="J210" s="31" t="n">
        <x:v>46098</x:v>
      </x:c>
      <x:c r="K210" s="31" t="n">
        <x:v>46098</x:v>
      </x:c>
      <x:c r="L210" s="17" t="str">
        <x:v>ECI exact date</x:v>
      </x:c>
      <x:c r="M210" s="73"/>
      <x:c r="N210" s="20" t="n">
        <x:v>148.9</x:v>
      </x:c>
      <x:c r="O210" s="20" t="n">
        <x:v>147.11</x:v>
      </x:c>
      <x:c r="P210" s="20" t="n">
        <x:v>150.06</x:v>
      </x:c>
      <x:c r="Q210" s="20"/>
      <x:c r="R210" s="20"/>
      <x:c r="S210" s="20"/>
      <x:c r="T210" s="20"/>
      <x:c r="U210" s="20"/>
      <x:c r="V210" s="20"/>
      <x:c r="W210" s="20" t="str"/>
      <x:c r="X210" s="20"/>
      <x:c r="Y210" s="20"/>
      <x:c r="Z210" s="20"/>
      <x:c r="AA210" s="20"/>
      <x:c r="AB210" s="23" t="str"/>
      <x:c r="AC210" s="23" t="str">
        <x:v>ECI-only row</x:v>
      </x:c>
      <x:c r="AD210" s="23" t="str"/>
      <x:c r="AE210" s="23" t="str"/>
    </x:row>
    <x:row r="211">
      <x:c r="A211" s="17" t="str">
        <x:v>openai:gpt-5-4-nano</x:v>
      </x:c>
      <x:c r="B211" s="17" t="str">
        <x:v>GPT-5.4 Nano</x:v>
      </x:c>
      <x:c r="C211" s="17" t="str">
        <x:v>OpenAI</x:v>
      </x:c>
      <x:c r="D211" s="17" t="str">
        <x:v>lineage:openai-gpt-5</x:v>
      </x:c>
      <x:c r="E211" s="17" t="str">
        <x:v>base:openai-gpt-5-shared</x:v>
      </x:c>
      <x:c r="F211" s="23" t="str"/>
      <x:c r="G211" s="23" t="str"/>
      <x:c r="H211" s="23" t="str">
        <x:v>GPT-5.4 Nano</x:v>
      </x:c>
      <x:c r="I211" s="31"/>
      <x:c r="J211" s="31" t="n">
        <x:v>46098</x:v>
      </x:c>
      <x:c r="K211" s="31" t="n">
        <x:v>46098</x:v>
      </x:c>
      <x:c r="L211" s="17" t="str">
        <x:v>ECI exact date</x:v>
      </x:c>
      <x:c r="M211" s="73"/>
      <x:c r="N211" s="20" t="n">
        <x:v>146.64</x:v>
      </x:c>
      <x:c r="O211" s="20" t="n">
        <x:v>144.07</x:v>
      </x:c>
      <x:c r="P211" s="20" t="n">
        <x:v>148.4</x:v>
      </x:c>
      <x:c r="Q211" s="20"/>
      <x:c r="R211" s="20"/>
      <x:c r="S211" s="20"/>
      <x:c r="T211" s="20"/>
      <x:c r="U211" s="20"/>
      <x:c r="V211" s="20"/>
      <x:c r="W211" s="20" t="str"/>
      <x:c r="X211" s="20"/>
      <x:c r="Y211" s="20"/>
      <x:c r="Z211" s="20"/>
      <x:c r="AA211" s="20"/>
      <x:c r="AB211" s="23" t="str"/>
      <x:c r="AC211" s="23" t="str">
        <x:v>ECI-only row</x:v>
      </x:c>
      <x:c r="AD211" s="23" t="str"/>
      <x:c r="AE211" s="23" t="str"/>
    </x:row>
    <x:row r="212">
      <x:c r="A212" s="17" t="str">
        <x:v>minimax:minimax-m2-7</x:v>
      </x:c>
      <x:c r="B212" s="17" t="str">
        <x:v>MiniMax-M2.7</x:v>
      </x:c>
      <x:c r="C212" s="17" t="str">
        <x:v>MiniMax</x:v>
      </x:c>
      <x:c r="D212" s="17" t="str">
        <x:v>lineage:minimax:minimax-m2-7</x:v>
      </x:c>
      <x:c r="E212" s="17" t="str">
        <x:v>base:minimax:minimax-m2-7</x:v>
      </x:c>
      <x:c r="F212" s="23" t="str"/>
      <x:c r="G212" s="23" t="str"/>
      <x:c r="H212" s="23" t="str">
        <x:v>MiniMax-M2.7</x:v>
      </x:c>
      <x:c r="I212" s="31"/>
      <x:c r="J212" s="31" t="n">
        <x:v>46099</x:v>
      </x:c>
      <x:c r="K212" s="31" t="n">
        <x:v>46099</x:v>
      </x:c>
      <x:c r="L212" s="17" t="str">
        <x:v>ECI exact date</x:v>
      </x:c>
      <x:c r="M212" s="73"/>
      <x:c r="N212" s="20" t="n">
        <x:v>145.61</x:v>
      </x:c>
      <x:c r="O212" s="20" t="n">
        <x:v>138.06</x:v>
      </x:c>
      <x:c r="P212" s="20" t="n">
        <x:v>147.75</x:v>
      </x:c>
      <x:c r="Q212" s="20"/>
      <x:c r="R212" s="20"/>
      <x:c r="S212" s="20"/>
      <x:c r="T212" s="20" t="n">
        <x:v>229</x:v>
      </x:c>
      <x:c r="U212" s="20"/>
      <x:c r="V212" s="20"/>
      <x:c r="W212" s="20" t="str"/>
      <x:c r="X212" s="20"/>
      <x:c r="Y212" s="20"/>
      <x:c r="Z212" s="20"/>
      <x:c r="AA212" s="20"/>
      <x:c r="AB212" s="23" t="str"/>
      <x:c r="AC212" s="23" t="str">
        <x:v>ECI-only row</x:v>
      </x:c>
      <x:c r="AD212" s="23" t="str"/>
      <x:c r="AE212" s="23" t="str">
        <x:v>Parameter row: Regression Data!55</x:v>
      </x:c>
    </x:row>
    <x:row r="213">
      <x:c r="A213" s="17" t="str">
        <x:v>alibaba:qwen-3-6-plus</x:v>
      </x:c>
      <x:c r="B213" s="17" t="str">
        <x:v>Qwen 3.6 Plus</x:v>
      </x:c>
      <x:c r="C213" s="17" t="str">
        <x:v>Alibaba</x:v>
      </x:c>
      <x:c r="D213" s="17" t="str">
        <x:v>lineage:alibaba:qwen-3-6-plus</x:v>
      </x:c>
      <x:c r="E213" s="17" t="str">
        <x:v>base:alibaba:qwen-3-6-plus</x:v>
      </x:c>
      <x:c r="F213" s="23" t="str"/>
      <x:c r="G213" s="23" t="str"/>
      <x:c r="H213" s="23" t="str">
        <x:v>Qwen 3.6 Plus</x:v>
      </x:c>
      <x:c r="I213" s="31"/>
      <x:c r="J213" s="31" t="n">
        <x:v>46113</x:v>
      </x:c>
      <x:c r="K213" s="31" t="n">
        <x:v>46113</x:v>
      </x:c>
      <x:c r="L213" s="17" t="str">
        <x:v>ECI exact date</x:v>
      </x:c>
      <x:c r="M213" s="73"/>
      <x:c r="N213" s="20" t="n">
        <x:v>149.13</x:v>
      </x:c>
      <x:c r="O213" s="20" t="n">
        <x:v>146.49</x:v>
      </x:c>
      <x:c r="P213" s="20" t="n">
        <x:v>150.98</x:v>
      </x:c>
      <x:c r="Q213" s="20"/>
      <x:c r="R213" s="20"/>
      <x:c r="S213" s="20"/>
      <x:c r="T213" s="20"/>
      <x:c r="U213" s="20"/>
      <x:c r="V213" s="20"/>
      <x:c r="W213" s="20" t="str"/>
      <x:c r="X213" s="20"/>
      <x:c r="Y213" s="20"/>
      <x:c r="Z213" s="20"/>
      <x:c r="AA213" s="20"/>
      <x:c r="AB213" s="23" t="str"/>
      <x:c r="AC213" s="23" t="str">
        <x:v>ECI-only row</x:v>
      </x:c>
      <x:c r="AD213" s="23" t="str"/>
      <x:c r="AE213" s="23" t="str"/>
    </x:row>
    <x:row r="214">
      <x:c r="A214" s="17" t="str">
        <x:v>deepseek:deepseek-v4-flash</x:v>
      </x:c>
      <x:c r="B214" s="17" t="str">
        <x:v>DeepSeek V4-flash</x:v>
      </x:c>
      <x:c r="C214" s="17" t="str">
        <x:v>DeepSeek</x:v>
      </x:c>
      <x:c r="D214" s="17" t="str">
        <x:v>lineage:deepseek:deepseek-v4-flash</x:v>
      </x:c>
      <x:c r="E214" s="17" t="str">
        <x:v>base:deepseek:deepseek-v4-flash</x:v>
      </x:c>
      <x:c r="F214" s="23" t="str"/>
      <x:c r="G214" s="23" t="str">
        <x:v>DeepSeek V4-flash</x:v>
      </x:c>
      <x:c r="H214" s="23" t="str"/>
      <x:c r="I214" s="31" t="n">
        <x:v>46113</x:v>
      </x:c>
      <x:c r="J214" s="31"/>
      <x:c r="K214" s="31" t="n">
        <x:v>46113</x:v>
      </x:c>
      <x:c r="L214" s="17" t="str">
        <x:v>Paper month only</x:v>
      </x:c>
      <x:c r="M214" s="73"/>
      <x:c r="N214" s="20"/>
      <x:c r="O214" s="20"/>
      <x:c r="P214" s="20"/>
      <x:c r="Q214" s="20"/>
      <x:c r="R214" s="20" t="n">
        <x:v>284</x:v>
      </x:c>
      <x:c r="S214" s="20" t="n">
        <x:v>13</x:v>
      </x:c>
      <x:c r="T214" s="20"/>
      <x:c r="U214" s="20"/>
      <x:c r="V214" s="20" t="n">
        <x:v>48</x:v>
      </x:c>
      <x:c r="W214" s="20" t="str">
        <x:v>MoE</x:v>
      </x:c>
      <x:c r="X214" s="20" t="n">
        <x:v>0.695</x:v>
      </x:c>
      <x:c r="Y214" s="20" t="n">
        <x:v>0.403</x:v>
      </x:c>
      <x:c r="Z214" s="20" t="n">
        <x:v>0.069</x:v>
      </x:c>
      <x:c r="AA214" s="20" t="n">
        <x:v>1.032</x:v>
      </x:c>
      <x:c r="AB214" s="23" t="str">
        <x:v>Paper open-weight</x:v>
      </x:c>
      <x:c r="AC214" s="23" t="str">
        <x:v>No exact ECI checkpoint</x:v>
      </x:c>
      <x:c r="AD214" s="23" t="str"/>
      <x:c r="AE214" s="23" t="str"/>
    </x:row>
    <x:row r="215">
      <x:c r="A215" s="17" t="str">
        <x:v>google:gemma-4-26b-a4b</x:v>
      </x:c>
      <x:c r="B215" s="17" t="str">
        <x:v>Gemma 4 26B-A4B</x:v>
      </x:c>
      <x:c r="C215" s="17" t="str">
        <x:v>Google DeepMind</x:v>
      </x:c>
      <x:c r="D215" s="17" t="str">
        <x:v>lineage:google:gemma-4-26b-a4b</x:v>
      </x:c>
      <x:c r="E215" s="17" t="str">
        <x:v>base:google:gemma-4-26b-a4b</x:v>
      </x:c>
      <x:c r="F215" s="23" t="str"/>
      <x:c r="G215" s="23" t="str">
        <x:v>Gemma 4 26B-A4B</x:v>
      </x:c>
      <x:c r="H215" s="23" t="str"/>
      <x:c r="I215" s="31" t="n">
        <x:v>46113</x:v>
      </x:c>
      <x:c r="J215" s="31"/>
      <x:c r="K215" s="31" t="n">
        <x:v>46113</x:v>
      </x:c>
      <x:c r="L215" s="17" t="str">
        <x:v>Paper month only</x:v>
      </x:c>
      <x:c r="M215" s="73"/>
      <x:c r="N215" s="20"/>
      <x:c r="O215" s="20"/>
      <x:c r="P215" s="20"/>
      <x:c r="Q215" s="20"/>
      <x:c r="R215" s="20" t="n">
        <x:v>26</x:v>
      </x:c>
      <x:c r="S215" s="20" t="n">
        <x:v>4</x:v>
      </x:c>
      <x:c r="T215" s="20"/>
      <x:c r="U215" s="20"/>
      <x:c r="V215" s="20" t="n">
        <x:v>60</x:v>
      </x:c>
      <x:c r="W215" s="20" t="str">
        <x:v>MoE</x:v>
      </x:c>
      <x:c r="X215" s="20" t="n">
        <x:v>0.449</x:v>
      </x:c>
      <x:c r="Y215" s="20" t="n">
        <x:v>0.231</x:v>
      </x:c>
      <x:c r="Z215" s="20" t="n">
        <x:v>0.021</x:v>
      </x:c>
      <x:c r="AA215" s="20" t="n">
        <x:v>0.747</x:v>
      </x:c>
      <x:c r="AB215" s="23" t="str">
        <x:v>Paper open-weight</x:v>
      </x:c>
      <x:c r="AC215" s="23" t="str">
        <x:v>No exact ECI checkpoint</x:v>
      </x:c>
      <x:c r="AD215" s="23" t="str"/>
      <x:c r="AE215" s="23" t="str"/>
    </x:row>
    <x:row r="216">
      <x:c r="A216" s="17" t="str">
        <x:v>google:gemma-4-31b</x:v>
      </x:c>
      <x:c r="B216" s="17" t="str">
        <x:v>Gemma 4 31B</x:v>
      </x:c>
      <x:c r="C216" s="17" t="str">
        <x:v>Google DeepMind</x:v>
      </x:c>
      <x:c r="D216" s="17" t="str">
        <x:v>lineage:google:gemma-4-31b</x:v>
      </x:c>
      <x:c r="E216" s="17" t="str">
        <x:v>base:google:gemma-4-31b</x:v>
      </x:c>
      <x:c r="F216" s="23" t="str"/>
      <x:c r="G216" s="23" t="str">
        <x:v>Gemma 4 31B</x:v>
      </x:c>
      <x:c r="H216" s="23" t="str"/>
      <x:c r="I216" s="31" t="n">
        <x:v>46113</x:v>
      </x:c>
      <x:c r="J216" s="31"/>
      <x:c r="K216" s="31" t="n">
        <x:v>46113</x:v>
      </x:c>
      <x:c r="L216" s="17" t="str">
        <x:v>Paper month only</x:v>
      </x:c>
      <x:c r="M216" s="73"/>
      <x:c r="N216" s="20"/>
      <x:c r="O216" s="20"/>
      <x:c r="P216" s="20"/>
      <x:c r="Q216" s="20"/>
      <x:c r="R216" s="20" t="n">
        <x:v>31</x:v>
      </x:c>
      <x:c r="S216" s="20" t="n">
        <x:v>31</x:v>
      </x:c>
      <x:c r="T216" s="20"/>
      <x:c r="U216" s="20"/>
      <x:c r="V216" s="20" t="n">
        <x:v>60</x:v>
      </x:c>
      <x:c r="W216" s="20" t="str">
        <x:v>Dense</x:v>
      </x:c>
      <x:c r="X216" s="20" t="n">
        <x:v>1.054</x:v>
      </x:c>
      <x:c r="Y216" s="20" t="n">
        <x:v>0.688</x:v>
      </x:c>
      <x:c r="Z216" s="20" t="n">
        <x:v>0.245</x:v>
      </x:c>
      <x:c r="AA216" s="20" t="n">
        <x:v>1.416</x:v>
      </x:c>
      <x:c r="AB216" s="23" t="str">
        <x:v>Paper open-weight</x:v>
      </x:c>
      <x:c r="AC216" s="23" t="str">
        <x:v>No exact ECI checkpoint</x:v>
      </x:c>
      <x:c r="AD216" s="23" t="str"/>
      <x:c r="AE216" s="23" t="str"/>
    </x:row>
    <x:row r="217">
      <x:c r="A217" s="17" t="str">
        <x:v>z-ai-zhipu-ai:glm-5-1</x:v>
      </x:c>
      <x:c r="B217" s="17" t="str">
        <x:v>GLM-5.1</x:v>
      </x:c>
      <x:c r="C217" s="17" t="str">
        <x:v>Z.ai (Zhipu AI)</x:v>
      </x:c>
      <x:c r="D217" s="17" t="str">
        <x:v>lineage:z-ai-zhipu-ai:glm-5-1</x:v>
      </x:c>
      <x:c r="E217" s="17" t="str">
        <x:v>base:z-ai-zhipu-ai:glm-5-1</x:v>
      </x:c>
      <x:c r="F217" s="23" t="str"/>
      <x:c r="G217" s="23" t="str"/>
      <x:c r="H217" s="23" t="str">
        <x:v>GLM-5.1</x:v>
      </x:c>
      <x:c r="I217" s="31"/>
      <x:c r="J217" s="31" t="n">
        <x:v>46119</x:v>
      </x:c>
      <x:c r="K217" s="31" t="n">
        <x:v>46119</x:v>
      </x:c>
      <x:c r="L217" s="17" t="str">
        <x:v>ECI exact date</x:v>
      </x:c>
      <x:c r="M217" s="73"/>
      <x:c r="N217" s="20" t="n">
        <x:v>150.39</x:v>
      </x:c>
      <x:c r="O217" s="20" t="n">
        <x:v>148.1</x:v>
      </x:c>
      <x:c r="P217" s="20" t="n">
        <x:v>151.89</x:v>
      </x:c>
      <x:c r="Q217" s="20"/>
      <x:c r="R217" s="20"/>
      <x:c r="S217" s="20"/>
      <x:c r="T217" s="20"/>
      <x:c r="U217" s="20"/>
      <x:c r="V217" s="20"/>
      <x:c r="W217" s="20" t="str"/>
      <x:c r="X217" s="20"/>
      <x:c r="Y217" s="20"/>
      <x:c r="Z217" s="20"/>
      <x:c r="AA217" s="20"/>
      <x:c r="AB217" s="23" t="str"/>
      <x:c r="AC217" s="23" t="str">
        <x:v>ECI-only row</x:v>
      </x:c>
      <x:c r="AD217" s="23" t="str"/>
      <x:c r="AE217" s="23" t="str"/>
    </x:row>
    <x:row r="218">
      <x:c r="A218" s="17" t="str">
        <x:v>meta:muse-spark</x:v>
      </x:c>
      <x:c r="B218" s="17" t="str">
        <x:v>Muse Spark</x:v>
      </x:c>
      <x:c r="C218" s="17" t="str">
        <x:v>Meta AI</x:v>
      </x:c>
      <x:c r="D218" s="17" t="str">
        <x:v>lineage:meta:muse-spark</x:v>
      </x:c>
      <x:c r="E218" s="17" t="str">
        <x:v>base:meta:muse-spark</x:v>
      </x:c>
      <x:c r="F218" s="23" t="str"/>
      <x:c r="G218" s="23" t="str"/>
      <x:c r="H218" s="23" t="str">
        <x:v>Muse Spark</x:v>
      </x:c>
      <x:c r="I218" s="31"/>
      <x:c r="J218" s="31" t="n">
        <x:v>46120</x:v>
      </x:c>
      <x:c r="K218" s="31" t="n">
        <x:v>46120</x:v>
      </x:c>
      <x:c r="L218" s="17" t="str">
        <x:v>ECI exact date</x:v>
      </x:c>
      <x:c r="M218" s="73"/>
      <x:c r="N218" s="20" t="n">
        <x:v>154.27</x:v>
      </x:c>
      <x:c r="O218" s="20" t="n">
        <x:v>151.76</x:v>
      </x:c>
      <x:c r="P218" s="20" t="n">
        <x:v>158.17</x:v>
      </x:c>
      <x:c r="Q218" s="20"/>
      <x:c r="R218" s="20"/>
      <x:c r="S218" s="20"/>
      <x:c r="T218" s="20"/>
      <x:c r="U218" s="20"/>
      <x:c r="V218" s="20"/>
      <x:c r="W218" s="20" t="str"/>
      <x:c r="X218" s="20"/>
      <x:c r="Y218" s="20"/>
      <x:c r="Z218" s="20"/>
      <x:c r="AA218" s="20"/>
      <x:c r="AB218" s="23" t="str"/>
      <x:c r="AC218" s="23" t="str">
        <x:v>ECI-only row</x:v>
      </x:c>
      <x:c r="AD218" s="23" t="str"/>
      <x:c r="AE218" s="23" t="str"/>
    </x:row>
    <x:row r="219">
      <x:c r="A219" s="17" t="str">
        <x:v>anthropic:claude-opus-4-7</x:v>
      </x:c>
      <x:c r="B219" s="17" t="str">
        <x:v>Claude Opus 4.7</x:v>
      </x:c>
      <x:c r="C219" s="17" t="str">
        <x:v>Anthropic</x:v>
      </x:c>
      <x:c r="D219" s="17" t="str">
        <x:v>lineage:anthropic-opus-4-5plus</x:v>
      </x:c>
      <x:c r="E219" s="17" t="str">
        <x:v>base:anthropic-opus-4-5plus</x:v>
      </x:c>
      <x:c r="F219" s="23" t="str"/>
      <x:c r="G219" s="23" t="str">
        <x:v>Opus 4.7</x:v>
      </x:c>
      <x:c r="H219" s="23" t="str">
        <x:v>Claude Opus 4.7</x:v>
      </x:c>
      <x:c r="I219" s="31" t="n">
        <x:v>46113</x:v>
      </x:c>
      <x:c r="J219" s="31" t="n">
        <x:v>46128</x:v>
      </x:c>
      <x:c r="K219" s="31" t="n">
        <x:v>46128</x:v>
      </x:c>
      <x:c r="L219" s="17" t="str">
        <x:v>ECI exact date</x:v>
      </x:c>
      <x:c r="M219" s="73" t="n">
        <x:v>15</x:v>
      </x:c>
      <x:c r="N219" s="20" t="n">
        <x:v>156.01</x:v>
      </x:c>
      <x:c r="O219" s="20" t="n">
        <x:v>154.07</x:v>
      </x:c>
      <x:c r="P219" s="20" t="n">
        <x:v>158.4</x:v>
      </x:c>
      <x:c r="Q219" s="20"/>
      <x:c r="R219" s="20"/>
      <x:c r="S219" s="20"/>
      <x:c r="T219" s="20"/>
      <x:c r="U219" s="20"/>
      <x:c r="V219" s="20"/>
      <x:c r="W219" s="20" t="str"/>
      <x:c r="X219" s="20" t="n">
        <x:v>2.8</x:v>
      </x:c>
      <x:c r="Y219" s="20"/>
      <x:c r="Z219" s="20" t="n">
        <x:v>0.61</x:v>
      </x:c>
      <x:c r="AA219" s="20" t="n">
        <x:v>73</x:v>
      </x:c>
      <x:c r="AB219" s="23" t="str">
        <x:v>Paper frontier</x:v>
      </x:c>
      <x:c r="AC219" s="23" t="str">
        <x:v>Manual exact ECI join</x:v>
      </x:c>
      <x:c r="AD219" s="23" t="str"/>
      <x:c r="AE219" s="23" t="str"/>
    </x:row>
    <x:row r="220">
      <x:c r="A220" s="17" t="str">
        <x:v>xai:grok-4-3-beta</x:v>
      </x:c>
      <x:c r="B220" s="17" t="str">
        <x:v>Grok 4.3 Beta</x:v>
      </x:c>
      <x:c r="C220" s="17" t="str">
        <x:v>xAI</x:v>
      </x:c>
      <x:c r="D220" s="17" t="str">
        <x:v>lineage:xai:grok-4-3-beta</x:v>
      </x:c>
      <x:c r="E220" s="17" t="str">
        <x:v>base:xai:grok-4-3-beta</x:v>
      </x:c>
      <x:c r="F220" s="23" t="str"/>
      <x:c r="G220" s="23" t="str"/>
      <x:c r="H220" s="23" t="str">
        <x:v>Grok 4.3 Beta</x:v>
      </x:c>
      <x:c r="I220" s="31"/>
      <x:c r="J220" s="31" t="n">
        <x:v>46129</x:v>
      </x:c>
      <x:c r="K220" s="31" t="n">
        <x:v>46129</x:v>
      </x:c>
      <x:c r="L220" s="17" t="str">
        <x:v>ECI exact date</x:v>
      </x:c>
      <x:c r="M220" s="73"/>
      <x:c r="N220" s="20" t="n">
        <x:v>148.98</x:v>
      </x:c>
      <x:c r="O220" s="20" t="n">
        <x:v>147.37</x:v>
      </x:c>
      <x:c r="P220" s="20" t="n">
        <x:v>150.53</x:v>
      </x:c>
      <x:c r="Q220" s="20"/>
      <x:c r="R220" s="20"/>
      <x:c r="S220" s="20"/>
      <x:c r="T220" s="20"/>
      <x:c r="U220" s="20"/>
      <x:c r="V220" s="20"/>
      <x:c r="W220" s="20" t="str"/>
      <x:c r="X220" s="20"/>
      <x:c r="Y220" s="20"/>
      <x:c r="Z220" s="20"/>
      <x:c r="AA220" s="20"/>
      <x:c r="AB220" s="23" t="str"/>
      <x:c r="AC220" s="23" t="str">
        <x:v>ECI-only row</x:v>
      </x:c>
      <x:c r="AD220" s="23" t="str"/>
      <x:c r="AE220" s="23" t="str"/>
    </x:row>
    <x:row r="221">
      <x:c r="A221" s="17" t="str">
        <x:v>alibaba:qwen-3-6-max-preview</x:v>
      </x:c>
      <x:c r="B221" s="17" t="str">
        <x:v>Qwen 3.6 Max (Preview)</x:v>
      </x:c>
      <x:c r="C221" s="17" t="str">
        <x:v>Alibaba</x:v>
      </x:c>
      <x:c r="D221" s="17" t="str">
        <x:v>lineage:alibaba:qwen-3-6-max-preview</x:v>
      </x:c>
      <x:c r="E221" s="17" t="str">
        <x:v>base:alibaba:qwen-3-6-max-preview</x:v>
      </x:c>
      <x:c r="F221" s="23" t="str"/>
      <x:c r="G221" s="23" t="str"/>
      <x:c r="H221" s="23" t="str">
        <x:v>Qwen 3.6 Max (Preview)</x:v>
      </x:c>
      <x:c r="I221" s="31"/>
      <x:c r="J221" s="31" t="n">
        <x:v>46132</x:v>
      </x:c>
      <x:c r="K221" s="31" t="n">
        <x:v>46132</x:v>
      </x:c>
      <x:c r="L221" s="17" t="str">
        <x:v>ECI exact date</x:v>
      </x:c>
      <x:c r="M221" s="73"/>
      <x:c r="N221" s="20" t="n">
        <x:v>149.61</x:v>
      </x:c>
      <x:c r="O221" s="20" t="n">
        <x:v>147.62</x:v>
      </x:c>
      <x:c r="P221" s="20" t="n">
        <x:v>153.07</x:v>
      </x:c>
      <x:c r="Q221" s="20"/>
      <x:c r="R221" s="20"/>
      <x:c r="S221" s="20"/>
      <x:c r="T221" s="20"/>
      <x:c r="U221" s="20"/>
      <x:c r="V221" s="20"/>
      <x:c r="W221" s="20" t="str"/>
      <x:c r="X221" s="20"/>
      <x:c r="Y221" s="20"/>
      <x:c r="Z221" s="20"/>
      <x:c r="AA221" s="20"/>
      <x:c r="AB221" s="23" t="str"/>
      <x:c r="AC221" s="23" t="str">
        <x:v>ECI-only row</x:v>
      </x:c>
      <x:c r="AD221" s="23" t="str"/>
      <x:c r="AE221" s="23" t="str"/>
    </x:row>
    <x:row r="222">
      <x:c r="A222" s="17" t="str">
        <x:v>moonshot:kimi-k2-6</x:v>
      </x:c>
      <x:c r="B222" s="17" t="str">
        <x:v>Kimi K2.6</x:v>
      </x:c>
      <x:c r="C222" s="17" t="str">
        <x:v>Moonshot</x:v>
      </x:c>
      <x:c r="D222" s="17" t="str">
        <x:v>lineage:moonshot-kimi-k2</x:v>
      </x:c>
      <x:c r="E222" s="17" t="str">
        <x:v>base:moonshot:kimi-k2-6</x:v>
      </x:c>
      <x:c r="F222" s="23" t="str"/>
      <x:c r="G222" s="23" t="str">
        <x:v>Kimi K2.6</x:v>
      </x:c>
      <x:c r="H222" s="23" t="str">
        <x:v>Kimi K2.6</x:v>
      </x:c>
      <x:c r="I222" s="31" t="n">
        <x:v>46113</x:v>
      </x:c>
      <x:c r="J222" s="31" t="n">
        <x:v>46132</x:v>
      </x:c>
      <x:c r="K222" s="31" t="n">
        <x:v>46132</x:v>
      </x:c>
      <x:c r="L222" s="17" t="str">
        <x:v>ECI exact date</x:v>
      </x:c>
      <x:c r="M222" s="73" t="n">
        <x:v>19</x:v>
      </x:c>
      <x:c r="N222" s="20" t="n">
        <x:v>151.02</x:v>
      </x:c>
      <x:c r="O222" s="20" t="n">
        <x:v>149.18</x:v>
      </x:c>
      <x:c r="P222" s="20" t="n">
        <x:v>152.53</x:v>
      </x:c>
      <x:c r="Q222" s="20"/>
      <x:c r="R222" s="20" t="n">
        <x:v>1000</x:v>
      </x:c>
      <x:c r="S222" s="20" t="n">
        <x:v>32</x:v>
      </x:c>
      <x:c r="T222" s="20" t="n">
        <x:v>1040</x:v>
      </x:c>
      <x:c r="U222" s="20"/>
      <x:c r="V222" s="20" t="n">
        <x:v>61</x:v>
      </x:c>
      <x:c r="W222" s="20" t="str">
        <x:v>MoE</x:v>
      </x:c>
      <x:c r="X222" s="20" t="n">
        <x:v>0.508</x:v>
      </x:c>
      <x:c r="Y222" s="20" t="n">
        <x:v>0.272</x:v>
      </x:c>
      <x:c r="Z222" s="20" t="n">
        <x:v>0.059</x:v>
      </x:c>
      <x:c r="AA222" s="20" t="n">
        <x:v>0.791</x:v>
      </x:c>
      <x:c r="AB222" s="23" t="str">
        <x:v>Paper open-weight</x:v>
      </x:c>
      <x:c r="AC222" s="23" t="str">
        <x:v>Manual exact ECI join</x:v>
      </x:c>
      <x:c r="AD222" s="23" t="str">
        <x:v>Parameter source variance 3.8%</x:v>
      </x:c>
      <x:c r="AE222" s="23" t="str">
        <x:v>Parameter row: Regression Data!56</x:v>
      </x:c>
    </x:row>
    <x:row r="223">
      <x:c r="A223" s="17" t="str">
        <x:v>openai:gpt-5-5</x:v>
      </x:c>
      <x:c r="B223" s="17" t="str">
        <x:v>GPT-5.5</x:v>
      </x:c>
      <x:c r="C223" s="17" t="str">
        <x:v>OpenAI</x:v>
      </x:c>
      <x:c r="D223" s="17" t="str">
        <x:v>lineage:openai-gpt-5</x:v>
      </x:c>
      <x:c r="E223" s="17" t="str">
        <x:v>base:openai-gpt-5-shared</x:v>
      </x:c>
      <x:c r="F223" s="23" t="str">
        <x:v>GPT-5.5</x:v>
      </x:c>
      <x:c r="G223" s="23" t="str">
        <x:v>GPT-5.5</x:v>
      </x:c>
      <x:c r="H223" s="23" t="str">
        <x:v>GPT-5.5</x:v>
      </x:c>
      <x:c r="I223" s="31" t="n">
        <x:v>46113</x:v>
      </x:c>
      <x:c r="J223" s="31" t="n">
        <x:v>46135</x:v>
      </x:c>
      <x:c r="K223" s="31" t="n">
        <x:v>46135</x:v>
      </x:c>
      <x:c r="L223" s="17" t="str">
        <x:v>ECI exact date</x:v>
      </x:c>
      <x:c r="M223" s="73" t="n">
        <x:v>22</x:v>
      </x:c>
      <x:c r="N223" s="20" t="n">
        <x:v>158.33</x:v>
      </x:c>
      <x:c r="O223" s="20" t="n">
        <x:v>156.44</x:v>
      </x:c>
      <x:c r="P223" s="20" t="n">
        <x:v>161.43</x:v>
      </x:c>
      <x:c r="Q223" s="20" t="n">
        <x:v>55</x:v>
      </x:c>
      <x:c r="R223" s="20"/>
      <x:c r="S223" s="20"/>
      <x:c r="T223" s="20"/>
      <x:c r="U223" s="20"/>
      <x:c r="V223" s="20"/>
      <x:c r="W223" s="20" t="str"/>
      <x:c r="X223" s="20" t="n">
        <x:v>3</x:v>
      </x:c>
      <x:c r="Y223" s="20"/>
      <x:c r="Z223" s="20" t="n">
        <x:v>0.84</x:v>
      </x:c>
      <x:c r="AA223" s="20" t="n">
        <x:v>62</x:v>
      </x:c>
      <x:c r="AB223" s="23" t="str">
        <x:v>Paper frontier</x:v>
      </x:c>
      <x:c r="AC223" s="23" t="str">
        <x:v>Final model + exact ECI join</x:v>
      </x:c>
      <x:c r="AD223" s="23" t="str"/>
      <x:c r="AE223" s="23" t="str"/>
    </x:row>
    <x:row r="224">
      <x:c r="A224" s="17" t="str">
        <x:v>openai:gpt-5-5-pro</x:v>
      </x:c>
      <x:c r="B224" s="17" t="str">
        <x:v>GPT-5.5 Pro</x:v>
      </x:c>
      <x:c r="C224" s="17" t="str">
        <x:v>OpenAI</x:v>
      </x:c>
      <x:c r="D224" s="17" t="str">
        <x:v>lineage:openai-gpt-5</x:v>
      </x:c>
      <x:c r="E224" s="17" t="str">
        <x:v>base:openai-gpt-5-shared</x:v>
      </x:c>
      <x:c r="F224" s="23" t="str"/>
      <x:c r="G224" s="23" t="str"/>
      <x:c r="H224" s="23" t="str">
        <x:v>GPT-5.5 Pro</x:v>
      </x:c>
      <x:c r="I224" s="31"/>
      <x:c r="J224" s="31" t="n">
        <x:v>46135</x:v>
      </x:c>
      <x:c r="K224" s="31" t="n">
        <x:v>46135</x:v>
      </x:c>
      <x:c r="L224" s="17" t="str">
        <x:v>ECI exact date</x:v>
      </x:c>
      <x:c r="M224" s="73"/>
      <x:c r="N224" s="20" t="n">
        <x:v>160.73</x:v>
      </x:c>
      <x:c r="O224" s="20" t="n">
        <x:v>158.24</x:v>
      </x:c>
      <x:c r="P224" s="20" t="n">
        <x:v>164.36</x:v>
      </x:c>
      <x:c r="Q224" s="20"/>
      <x:c r="R224" s="20"/>
      <x:c r="S224" s="20"/>
      <x:c r="T224" s="20"/>
      <x:c r="U224" s="20"/>
      <x:c r="V224" s="20"/>
      <x:c r="W224" s="20" t="str"/>
      <x:c r="X224" s="20"/>
      <x:c r="Y224" s="20"/>
      <x:c r="Z224" s="20"/>
      <x:c r="AA224" s="20"/>
      <x:c r="AB224" s="23" t="str"/>
      <x:c r="AC224" s="23" t="str">
        <x:v>ECI-only row</x:v>
      </x:c>
      <x:c r="AD224" s="23" t="str"/>
      <x:c r="AE224" s="23" t="str"/>
    </x:row>
    <x:row r="225">
      <x:c r="A225" s="17" t="str">
        <x:v>deepseek:deepseek-v4-pro</x:v>
      </x:c>
      <x:c r="B225" s="17" t="str">
        <x:v>DeepSeek-V4-Pro</x:v>
      </x:c>
      <x:c r="C225" s="17" t="str">
        <x:v>DeepSeek</x:v>
      </x:c>
      <x:c r="D225" s="17" t="str">
        <x:v>lineage:deepseek:deepseek-v4-pro</x:v>
      </x:c>
      <x:c r="E225" s="17" t="str">
        <x:v>base:deepseek:deepseek-v4-pro</x:v>
      </x:c>
      <x:c r="F225" s="23" t="str"/>
      <x:c r="G225" s="23" t="str"/>
      <x:c r="H225" s="23" t="str">
        <x:v>DeepSeek-V4-Pro</x:v>
      </x:c>
      <x:c r="I225" s="31"/>
      <x:c r="J225" s="31" t="n">
        <x:v>46136</x:v>
      </x:c>
      <x:c r="K225" s="31" t="n">
        <x:v>46136</x:v>
      </x:c>
      <x:c r="L225" s="17" t="str">
        <x:v>ECI exact date</x:v>
      </x:c>
      <x:c r="M225" s="73"/>
      <x:c r="N225" s="20" t="n">
        <x:v>149.74</x:v>
      </x:c>
      <x:c r="O225" s="20" t="n">
        <x:v>147.87</x:v>
      </x:c>
      <x:c r="P225" s="20" t="n">
        <x:v>152.06</x:v>
      </x:c>
      <x:c r="Q225" s="20"/>
      <x:c r="R225" s="20"/>
      <x:c r="S225" s="20"/>
      <x:c r="T225" s="20" t="n">
        <x:v>1600</x:v>
      </x:c>
      <x:c r="U225" s="20"/>
      <x:c r="V225" s="20"/>
      <x:c r="W225" s="20" t="str"/>
      <x:c r="X225" s="20"/>
      <x:c r="Y225" s="20"/>
      <x:c r="Z225" s="20"/>
      <x:c r="AA225" s="20"/>
      <x:c r="AB225" s="23" t="str"/>
      <x:c r="AC225" s="23" t="str">
        <x:v>ECI-only row</x:v>
      </x:c>
      <x:c r="AD225" s="23" t="str"/>
      <x:c r="AE225" s="23" t="str">
        <x:v>Parameter row: Regression Data!57</x:v>
      </x:c>
    </x:row>
    <x:row r="226">
      <x:c r="A226" s="17" t="str">
        <x:v>alibaba:qwen-3-6-flash</x:v>
      </x:c>
      <x:c r="B226" s="17" t="str">
        <x:v>Qwen 3.6 Flash</x:v>
      </x:c>
      <x:c r="C226" s="17" t="str">
        <x:v>Alibaba</x:v>
      </x:c>
      <x:c r="D226" s="17" t="str">
        <x:v>lineage:alibaba:qwen-3-6-flash</x:v>
      </x:c>
      <x:c r="E226" s="17" t="str">
        <x:v>base:alibaba:qwen-3-6-flash</x:v>
      </x:c>
      <x:c r="F226" s="23" t="str"/>
      <x:c r="G226" s="23" t="str"/>
      <x:c r="H226" s="23" t="str">
        <x:v>Qwen 3.6 Flash</x:v>
      </x:c>
      <x:c r="I226" s="31"/>
      <x:c r="J226" s="31" t="n">
        <x:v>46138</x:v>
      </x:c>
      <x:c r="K226" s="31" t="n">
        <x:v>46138</x:v>
      </x:c>
      <x:c r="L226" s="17" t="str">
        <x:v>ECI exact date</x:v>
      </x:c>
      <x:c r="M226" s="73"/>
      <x:c r="N226" s="20" t="n">
        <x:v>144.17</x:v>
      </x:c>
      <x:c r="O226" s="20" t="n">
        <x:v>141.12</x:v>
      </x:c>
      <x:c r="P226" s="20" t="n">
        <x:v>145.65</x:v>
      </x:c>
      <x:c r="Q226" s="20"/>
      <x:c r="R226" s="20"/>
      <x:c r="S226" s="20"/>
      <x:c r="T226" s="20"/>
      <x:c r="U226" s="20"/>
      <x:c r="V226" s="20"/>
      <x:c r="W226" s="20" t="str"/>
      <x:c r="X226" s="20"/>
      <x:c r="Y226" s="20"/>
      <x:c r="Z226" s="20"/>
      <x:c r="AA226" s="20"/>
      <x:c r="AB226" s="23" t="str"/>
      <x:c r="AC226" s="23" t="str">
        <x:v>ECI-only row</x:v>
      </x:c>
      <x:c r="AD226" s="23" t="str"/>
      <x:c r="AE226" s="23" t="str"/>
    </x:row>
    <x:row r="227">
      <x:c r="A227" s="17" t="str">
        <x:v>alibaba:qwen3-7-max</x:v>
      </x:c>
      <x:c r="B227" s="17" t="str">
        <x:v>Qwen3.7-Max</x:v>
      </x:c>
      <x:c r="C227" s="17" t="str">
        <x:v>Alibaba</x:v>
      </x:c>
      <x:c r="D227" s="17" t="str">
        <x:v>lineage:alibaba:qwen3-7-max</x:v>
      </x:c>
      <x:c r="E227" s="17" t="str">
        <x:v>base:alibaba:qwen3-7-max</x:v>
      </x:c>
      <x:c r="F227" s="23" t="str"/>
      <x:c r="G227" s="23" t="str"/>
      <x:c r="H227" s="23" t="str">
        <x:v>Qwen3.7-Max</x:v>
      </x:c>
      <x:c r="I227" s="31"/>
      <x:c r="J227" s="31" t="n">
        <x:v>46161</x:v>
      </x:c>
      <x:c r="K227" s="31" t="n">
        <x:v>46161</x:v>
      </x:c>
      <x:c r="L227" s="17" t="str">
        <x:v>ECI exact date</x:v>
      </x:c>
      <x:c r="M227" s="73"/>
      <x:c r="N227" s="20" t="n">
        <x:v>153.05</x:v>
      </x:c>
      <x:c r="O227" s="20" t="n">
        <x:v>151.09</x:v>
      </x:c>
      <x:c r="P227" s="20" t="n">
        <x:v>155.37</x:v>
      </x:c>
      <x:c r="Q227" s="20"/>
      <x:c r="R227" s="20"/>
      <x:c r="S227" s="20"/>
      <x:c r="T227" s="20"/>
      <x:c r="U227" s="20"/>
      <x:c r="V227" s="20"/>
      <x:c r="W227" s="20" t="str"/>
      <x:c r="X227" s="20"/>
      <x:c r="Y227" s="20"/>
      <x:c r="Z227" s="20"/>
      <x:c r="AA227" s="20"/>
      <x:c r="AB227" s="23" t="str"/>
      <x:c r="AC227" s="23" t="str">
        <x:v>ECI-only row</x:v>
      </x:c>
      <x:c r="AD227" s="23" t="str"/>
      <x:c r="AE227" s="23" t="str"/>
    </x:row>
    <x:row r="228">
      <x:c r="A228" s="17" t="str">
        <x:v>google:gemini-3-5-flash</x:v>
      </x:c>
      <x:c r="B228" s="17" t="str">
        <x:v>Gemini 3.5 Flash</x:v>
      </x:c>
      <x:c r="C228" s="17" t="str">
        <x:v>Google</x:v>
      </x:c>
      <x:c r="D228" s="17" t="str">
        <x:v>lineage:google:gemini-3-5-flash</x:v>
      </x:c>
      <x:c r="E228" s="17" t="str">
        <x:v>base:google:gemini-3-5-flash</x:v>
      </x:c>
      <x:c r="F228" s="23" t="str"/>
      <x:c r="G228" s="23" t="str"/>
      <x:c r="H228" s="23" t="str">
        <x:v>Gemini 3.5 Flash</x:v>
      </x:c>
      <x:c r="I228" s="31"/>
      <x:c r="J228" s="31" t="n">
        <x:v>46161</x:v>
      </x:c>
      <x:c r="K228" s="31" t="n">
        <x:v>46161</x:v>
      </x:c>
      <x:c r="L228" s="17" t="str">
        <x:v>ECI exact date</x:v>
      </x:c>
      <x:c r="M228" s="73"/>
      <x:c r="N228" s="20" t="n">
        <x:v>154.58</x:v>
      </x:c>
      <x:c r="O228" s="20" t="n">
        <x:v>152.84</x:v>
      </x:c>
      <x:c r="P228" s="20" t="n">
        <x:v>157.2</x:v>
      </x:c>
      <x:c r="Q228" s="20"/>
      <x:c r="R228" s="20"/>
      <x:c r="S228" s="20"/>
      <x:c r="T228" s="20"/>
      <x:c r="U228" s="20"/>
      <x:c r="V228" s="20"/>
      <x:c r="W228" s="20" t="str"/>
      <x:c r="X228" s="20"/>
      <x:c r="Y228" s="20"/>
      <x:c r="Z228" s="20"/>
      <x:c r="AA228" s="20"/>
      <x:c r="AB228" s="23" t="str"/>
      <x:c r="AC228" s="23" t="str">
        <x:v>ECI-only row</x:v>
      </x:c>
      <x:c r="AD228" s="23" t="str"/>
      <x:c r="AE228" s="23" t="str"/>
    </x:row>
    <x:row r="229">
      <x:c r="A229" s="17" t="str">
        <x:v>anthropic:claude-opus-4-8</x:v>
      </x:c>
      <x:c r="B229" s="17" t="str">
        <x:v>Claude Opus 4.8</x:v>
      </x:c>
      <x:c r="C229" s="17" t="str">
        <x:v>Anthropic</x:v>
      </x:c>
      <x:c r="D229" s="17" t="str">
        <x:v>lineage:anthropic-opus-4-5plus</x:v>
      </x:c>
      <x:c r="E229" s="17" t="str">
        <x:v>base:anthropic-opus-4-5plus</x:v>
      </x:c>
      <x:c r="F229" s="23" t="str">
        <x:v>Claude Opus 4.7 / 4.8 shared base</x:v>
      </x:c>
      <x:c r="G229" s="23" t="str"/>
      <x:c r="H229" s="23" t="str">
        <x:v>Claude Opus 4.8</x:v>
      </x:c>
      <x:c r="I229" s="31"/>
      <x:c r="J229" s="31" t="n">
        <x:v>46170</x:v>
      </x:c>
      <x:c r="K229" s="31" t="n">
        <x:v>46170</x:v>
      </x:c>
      <x:c r="L229" s="17" t="str">
        <x:v>ECI exact date</x:v>
      </x:c>
      <x:c r="M229" s="73"/>
      <x:c r="N229" s="20" t="n">
        <x:v>157.85</x:v>
      </x:c>
      <x:c r="O229" s="20" t="n">
        <x:v>155.12</x:v>
      </x:c>
      <x:c r="P229" s="20" t="n">
        <x:v>160.58</x:v>
      </x:c>
      <x:c r="Q229" s="20" t="n">
        <x:v>55</x:v>
      </x:c>
      <x:c r="R229" s="20"/>
      <x:c r="S229" s="20"/>
      <x:c r="T229" s="20"/>
      <x:c r="U229" s="20"/>
      <x:c r="V229" s="20"/>
      <x:c r="W229" s="20" t="str"/>
      <x:c r="X229" s="20"/>
      <x:c r="Y229" s="20"/>
      <x:c r="Z229" s="20"/>
      <x:c r="AA229" s="20"/>
      <x:c r="AB229" s="23" t="str"/>
      <x:c r="AC229" s="23" t="str">
        <x:v>Final model + exact ECI join</x:v>
      </x:c>
      <x:c r="AD229" s="23" t="str"/>
      <x:c r="AE229" s="23" t="str"/>
    </x:row>
    <x:row r="230">
      <x:c r="A230" s="17" t="str">
        <x:v>minimax:minimax-m3</x:v>
      </x:c>
      <x:c r="B230" s="17" t="str">
        <x:v>MiniMax-M3</x:v>
      </x:c>
      <x:c r="C230" s="17" t="str">
        <x:v>MiniMax</x:v>
      </x:c>
      <x:c r="D230" s="17" t="str">
        <x:v>lineage:minimax:minimax-m3</x:v>
      </x:c>
      <x:c r="E230" s="17" t="str">
        <x:v>base:minimax:minimax-m3</x:v>
      </x:c>
      <x:c r="F230" s="23" t="str"/>
      <x:c r="G230" s="23" t="str"/>
      <x:c r="H230" s="23" t="str">
        <x:v>MiniMax-M3</x:v>
      </x:c>
      <x:c r="I230" s="31"/>
      <x:c r="J230" s="31" t="n">
        <x:v>46174</x:v>
      </x:c>
      <x:c r="K230" s="31" t="n">
        <x:v>46174</x:v>
      </x:c>
      <x:c r="L230" s="17" t="str">
        <x:v>ECI exact date</x:v>
      </x:c>
      <x:c r="M230" s="73"/>
      <x:c r="N230" s="20" t="n">
        <x:v>144.93</x:v>
      </x:c>
      <x:c r="O230" s="20" t="n">
        <x:v>141.94</x:v>
      </x:c>
      <x:c r="P230" s="20" t="n">
        <x:v>146.52</x:v>
      </x:c>
      <x:c r="Q230" s="20"/>
      <x:c r="R230" s="20"/>
      <x:c r="S230" s="20"/>
      <x:c r="T230" s="20"/>
      <x:c r="U230" s="20"/>
      <x:c r="V230" s="20"/>
      <x:c r="W230" s="20" t="str"/>
      <x:c r="X230" s="20"/>
      <x:c r="Y230" s="20"/>
      <x:c r="Z230" s="20"/>
      <x:c r="AA230" s="20"/>
      <x:c r="AB230" s="23" t="str"/>
      <x:c r="AC230" s="23" t="str">
        <x:v>ECI-only row</x:v>
      </x:c>
      <x:c r="AD230" s="23" t="str"/>
      <x:c r="AE230" s="23" t="str"/>
    </x:row>
    <x:row r="231">
      <x:c r="A231" s="17" t="str">
        <x:v>anthropic:claude-fable-5</x:v>
      </x:c>
      <x:c r="B231" s="17" t="str">
        <x:v>Claude Fable 5</x:v>
      </x:c>
      <x:c r="C231" s="17" t="str">
        <x:v>Anthropic</x:v>
      </x:c>
      <x:c r="D231" s="17" t="str">
        <x:v>lineage:anthropic:claude-fable-5</x:v>
      </x:c>
      <x:c r="E231" s="17" t="str">
        <x:v>base:anthropic:claude-fable-5</x:v>
      </x:c>
      <x:c r="F231" s="23" t="str">
        <x:v>Claude Fable 5</x:v>
      </x:c>
      <x:c r="G231" s="23" t="str"/>
      <x:c r="H231" s="23" t="str">
        <x:v>Claude Fable 5</x:v>
      </x:c>
      <x:c r="I231" s="31"/>
      <x:c r="J231" s="31" t="n">
        <x:v>46182</x:v>
      </x:c>
      <x:c r="K231" s="31" t="n">
        <x:v>46182</x:v>
      </x:c>
      <x:c r="L231" s="17" t="str">
        <x:v>ECI exact date</x:v>
      </x:c>
      <x:c r="M231" s="73"/>
      <x:c r="N231" s="20" t="n">
        <x:v>160.44</x:v>
      </x:c>
      <x:c r="O231" s="20" t="n">
        <x:v>158.05</x:v>
      </x:c>
      <x:c r="P231" s="20" t="n">
        <x:v>164.61</x:v>
      </x:c>
      <x:c r="Q231" s="20" t="n">
        <x:v>60</x:v>
      </x:c>
      <x:c r="R231" s="20"/>
      <x:c r="S231" s="20"/>
      <x:c r="T231" s="20"/>
      <x:c r="U231" s="20"/>
      <x:c r="V231" s="20"/>
      <x:c r="W231" s="20" t="str"/>
      <x:c r="X231" s="20"/>
      <x:c r="Y231" s="20"/>
      <x:c r="Z231" s="20"/>
      <x:c r="AA231" s="20"/>
      <x:c r="AB231" s="23" t="str"/>
      <x:c r="AC231" s="23" t="str">
        <x:v>Final model + exact ECI join</x:v>
      </x:c>
      <x:c r="AD231" s="23" t="str"/>
      <x:c r="AE231" s="23" t="str"/>
    </x:row>
    <x:row r="232">
      <x:c r="A232" s="17" t="str">
        <x:v>moonshot:kimi-k2-7-code</x:v>
      </x:c>
      <x:c r="B232" s="17" t="str">
        <x:v>Kimi K2.7 Code</x:v>
      </x:c>
      <x:c r="C232" s="17" t="str">
        <x:v>Moonshot</x:v>
      </x:c>
      <x:c r="D232" s="17" t="str">
        <x:v>lineage:moonshot-kimi-k2</x:v>
      </x:c>
      <x:c r="E232" s="17" t="str">
        <x:v>base:moonshot:kimi-k2-7-code</x:v>
      </x:c>
      <x:c r="F232" s="23" t="str"/>
      <x:c r="G232" s="23" t="str"/>
      <x:c r="H232" s="23" t="str">
        <x:v>Kimi K2.7 Code</x:v>
      </x:c>
      <x:c r="I232" s="31"/>
      <x:c r="J232" s="31" t="n">
        <x:v>46185</x:v>
      </x:c>
      <x:c r="K232" s="31" t="n">
        <x:v>46185</x:v>
      </x:c>
      <x:c r="L232" s="17" t="str">
        <x:v>ECI exact date</x:v>
      </x:c>
      <x:c r="M232" s="73"/>
      <x:c r="N232" s="20" t="n">
        <x:v>150.07</x:v>
      </x:c>
      <x:c r="O232" s="20" t="n">
        <x:v>148.48</x:v>
      </x:c>
      <x:c r="P232" s="20" t="n">
        <x:v>151.25</x:v>
      </x:c>
      <x:c r="Q232" s="20"/>
      <x:c r="R232" s="20"/>
      <x:c r="S232" s="20"/>
      <x:c r="T232" s="20" t="n">
        <x:v>1040</x:v>
      </x:c>
      <x:c r="U232" s="20"/>
      <x:c r="V232" s="20"/>
      <x:c r="W232" s="20" t="str"/>
      <x:c r="X232" s="20"/>
      <x:c r="Y232" s="20"/>
      <x:c r="Z232" s="20"/>
      <x:c r="AA232" s="20"/>
      <x:c r="AB232" s="23" t="str"/>
      <x:c r="AC232" s="23" t="str">
        <x:v>ECI-only row</x:v>
      </x:c>
      <x:c r="AD232" s="23" t="str"/>
      <x:c r="AE232" s="23" t="str">
        <x:v>Parameter row: Regression Data!58</x:v>
      </x:c>
    </x:row>
    <x:row r="233">
      <x:c r="A233" s="17" t="str">
        <x:v>z-ai-zhipu-ai:glm-5-2</x:v>
      </x:c>
      <x:c r="B233" s="17" t="str">
        <x:v>GLM-5.2</x:v>
      </x:c>
      <x:c r="C233" s="17" t="str">
        <x:v>Z.ai (Zhipu AI)</x:v>
      </x:c>
      <x:c r="D233" s="17" t="str">
        <x:v>lineage:z-ai-zhipu-ai:glm-5-2</x:v>
      </x:c>
      <x:c r="E233" s="17" t="str">
        <x:v>base:z-ai-zhipu-ai:glm-5-2</x:v>
      </x:c>
      <x:c r="F233" s="23" t="str"/>
      <x:c r="G233" s="23" t="str"/>
      <x:c r="H233" s="23" t="str">
        <x:v>GLM-5.2</x:v>
      </x:c>
      <x:c r="I233" s="31"/>
      <x:c r="J233" s="31" t="n">
        <x:v>46189</x:v>
      </x:c>
      <x:c r="K233" s="31" t="n">
        <x:v>46189</x:v>
      </x:c>
      <x:c r="L233" s="17" t="str">
        <x:v>ECI exact date</x:v>
      </x:c>
      <x:c r="M233" s="73"/>
      <x:c r="N233" s="20" t="n">
        <x:v>151.6</x:v>
      </x:c>
      <x:c r="O233" s="20" t="n">
        <x:v>149.97</x:v>
      </x:c>
      <x:c r="P233" s="20" t="n">
        <x:v>153.86</x:v>
      </x:c>
      <x:c r="Q233" s="20"/>
      <x:c r="R233" s="20"/>
      <x:c r="S233" s="20"/>
      <x:c r="T233" s="20" t="n">
        <x:v>744</x:v>
      </x:c>
      <x:c r="U233" s="20"/>
      <x:c r="V233" s="20"/>
      <x:c r="W233" s="20" t="str"/>
      <x:c r="X233" s="20"/>
      <x:c r="Y233" s="20"/>
      <x:c r="Z233" s="20"/>
      <x:c r="AA233" s="20"/>
      <x:c r="AB233" s="23" t="str"/>
      <x:c r="AC233" s="23" t="str">
        <x:v>ECI-only row</x:v>
      </x:c>
      <x:c r="AD233" s="23" t="str"/>
      <x:c r="AE233" s="23" t="str">
        <x:v>Parameter row: Regression Data!59</x:v>
      </x:c>
    </x:row>
    <x:row r="234">
      <x:c r="A234" s="17" t="str">
        <x:v>anthropic:claude-sonnet-5</x:v>
      </x:c>
      <x:c r="B234" s="17" t="str">
        <x:v>Claude Sonnet 5</x:v>
      </x:c>
      <x:c r="C234" s="17" t="str">
        <x:v>Anthropic</x:v>
      </x:c>
      <x:c r="D234" s="17" t="str">
        <x:v>lineage:anthropic:claude-sonnet-5</x:v>
      </x:c>
      <x:c r="E234" s="17" t="str">
        <x:v>base:anthropic:claude-sonnet-5</x:v>
      </x:c>
      <x:c r="F234" s="23" t="str">
        <x:v>Claude Sonnet 5</x:v>
      </x:c>
      <x:c r="G234" s="23" t="str"/>
      <x:c r="H234" s="23" t="str">
        <x:v>Claude Sonnet 5</x:v>
      </x:c>
      <x:c r="I234" s="31"/>
      <x:c r="J234" s="31" t="n">
        <x:v>46203</x:v>
      </x:c>
      <x:c r="K234" s="31" t="n">
        <x:v>46203</x:v>
      </x:c>
      <x:c r="L234" s="17" t="str">
        <x:v>ECI exact date</x:v>
      </x:c>
      <x:c r="M234" s="73"/>
      <x:c r="N234" s="20" t="n">
        <x:v>153.2</x:v>
      </x:c>
      <x:c r="O234" s="20" t="n">
        <x:v>150.47</x:v>
      </x:c>
      <x:c r="P234" s="20" t="n">
        <x:v>155.24</x:v>
      </x:c>
      <x:c r="Q234" s="20" t="n">
        <x:v>53</x:v>
      </x:c>
      <x:c r="R234" s="20"/>
      <x:c r="S234" s="20"/>
      <x:c r="T234" s="20"/>
      <x:c r="U234" s="20"/>
      <x:c r="V234" s="20"/>
      <x:c r="W234" s="20" t="str"/>
      <x:c r="X234" s="20"/>
      <x:c r="Y234" s="20"/>
      <x:c r="Z234" s="20"/>
      <x:c r="AA234" s="20"/>
      <x:c r="AB234" s="23" t="str"/>
      <x:c r="AC234" s="23" t="str">
        <x:v>Final model + exact ECI join</x:v>
      </x:c>
      <x:c r="AD234" s="23" t="str"/>
      <x:c r="AE234" s="23" t="str"/>
    </x:row>
    <x:row r="235">
      <x:c r="A235" s="17" t="str">
        <x:v>xai:grok-4-5</x:v>
      </x:c>
      <x:c r="B235" s="17" t="str">
        <x:v>Grok 4.5</x:v>
      </x:c>
      <x:c r="C235" s="17" t="str">
        <x:v>xAI</x:v>
      </x:c>
      <x:c r="D235" s="17" t="str">
        <x:v>lineage:xai:grok-4-5</x:v>
      </x:c>
      <x:c r="E235" s="17" t="str">
        <x:v>base:xai:grok-4-5</x:v>
      </x:c>
      <x:c r="F235" s="23" t="str">
        <x:v>Grok 4.5</x:v>
      </x:c>
      <x:c r="G235" s="23" t="str"/>
      <x:c r="H235" s="23" t="str">
        <x:v>Grok 4.5</x:v>
      </x:c>
      <x:c r="I235" s="31"/>
      <x:c r="J235" s="31" t="n">
        <x:v>46211</x:v>
      </x:c>
      <x:c r="K235" s="31" t="n">
        <x:v>46211</x:v>
      </x:c>
      <x:c r="L235" s="17" t="str">
        <x:v>ECI exact date</x:v>
      </x:c>
      <x:c r="M235" s="73"/>
      <x:c r="N235" s="20" t="n">
        <x:v>153.17</x:v>
      </x:c>
      <x:c r="O235" s="20" t="n">
        <x:v>151.65</x:v>
      </x:c>
      <x:c r="P235" s="20" t="n">
        <x:v>156.15</x:v>
      </x:c>
      <x:c r="Q235" s="20" t="n">
        <x:v>53.8265951657731</x:v>
      </x:c>
      <x:c r="R235" s="20"/>
      <x:c r="S235" s="20"/>
      <x:c r="T235" s="20"/>
      <x:c r="U235" s="20" t="n">
        <x:v>1500</x:v>
      </x:c>
      <x:c r="V235" s="20"/>
      <x:c r="W235" s="20" t="str"/>
      <x:c r="X235" s="20"/>
      <x:c r="Y235" s="20"/>
      <x:c r="Z235" s="20"/>
      <x:c r="AA235" s="20"/>
      <x:c r="AB235" s="23" t="str"/>
      <x:c r="AC235" s="23" t="str">
        <x:v>Final model + exact ECI join</x:v>
      </x:c>
      <x:c r="AD235" s="23" t="str"/>
      <x:c r="AE235" s="23" t="str"/>
    </x:row>
    <x:row r="236">
      <x:c r="A236" s="17" t="str">
        <x:v>openai:gpt-5-6-luna</x:v>
      </x:c>
      <x:c r="B236" s="17" t="str">
        <x:v>GPT-5.6 Luna</x:v>
      </x:c>
      <x:c r="C236" s="17" t="str">
        <x:v>OpenAI</x:v>
      </x:c>
      <x:c r="D236" s="17" t="str">
        <x:v>lineage:openai:gpt-5-6-luna</x:v>
      </x:c>
      <x:c r="E236" s="17" t="str">
        <x:v>base:openai:gpt-5-6-luna</x:v>
      </x:c>
      <x:c r="F236" s="23" t="str">
        <x:v>GPT-5.6 Luna</x:v>
      </x:c>
      <x:c r="G236" s="23" t="str"/>
      <x:c r="H236" s="23" t="str">
        <x:v>GPT-5.6 Luna</x:v>
      </x:c>
      <x:c r="I236" s="31"/>
      <x:c r="J236" s="31" t="n">
        <x:v>46212</x:v>
      </x:c>
      <x:c r="K236" s="31" t="n">
        <x:v>46212</x:v>
      </x:c>
      <x:c r="L236" s="17" t="str">
        <x:v>ECI exact date</x:v>
      </x:c>
      <x:c r="M236" s="73"/>
      <x:c r="N236" s="20" t="n">
        <x:v>155.62</x:v>
      </x:c>
      <x:c r="O236" s="20" t="n">
        <x:v>152.89</x:v>
      </x:c>
      <x:c r="P236" s="20" t="n">
        <x:v>158.51</x:v>
      </x:c>
      <x:c r="Q236" s="20" t="n">
        <x:v>51</x:v>
      </x:c>
      <x:c r="R236" s="20"/>
      <x:c r="S236" s="20"/>
      <x:c r="T236" s="20"/>
      <x:c r="U236" s="20"/>
      <x:c r="V236" s="20"/>
      <x:c r="W236" s="20" t="str"/>
      <x:c r="X236" s="20"/>
      <x:c r="Y236" s="20"/>
      <x:c r="Z236" s="20"/>
      <x:c r="AA236" s="20"/>
      <x:c r="AB236" s="23" t="str"/>
      <x:c r="AC236" s="23" t="str">
        <x:v>Final model + exact ECI join</x:v>
      </x:c>
      <x:c r="AD236" s="23" t="str"/>
      <x:c r="AE236" s="23" t="str"/>
    </x:row>
    <x:row r="237">
      <x:c r="A237" s="17" t="str">
        <x:v>openai:gpt-5-6-sol</x:v>
      </x:c>
      <x:c r="B237" s="17" t="str">
        <x:v>GPT-5.6 Sol</x:v>
      </x:c>
      <x:c r="C237" s="17" t="str">
        <x:v>OpenAI</x:v>
      </x:c>
      <x:c r="D237" s="17" t="str">
        <x:v>lineage:openai:gpt-5-6-sol</x:v>
      </x:c>
      <x:c r="E237" s="17" t="str">
        <x:v>base:openai:gpt-5-6-sol</x:v>
      </x:c>
      <x:c r="F237" s="23" t="str">
        <x:v>GPT-5.6 Sol</x:v>
      </x:c>
      <x:c r="G237" s="23" t="str"/>
      <x:c r="H237" s="23" t="str">
        <x:v>GPT-5.6 Sol</x:v>
      </x:c>
      <x:c r="I237" s="31"/>
      <x:c r="J237" s="31" t="n">
        <x:v>46212</x:v>
      </x:c>
      <x:c r="K237" s="31" t="n">
        <x:v>46212</x:v>
      </x:c>
      <x:c r="L237" s="17" t="str">
        <x:v>ECI exact date</x:v>
      </x:c>
      <x:c r="M237" s="73"/>
      <x:c r="N237" s="20" t="n">
        <x:v>161.77</x:v>
      </x:c>
      <x:c r="O237" s="20" t="n">
        <x:v>159.26</x:v>
      </x:c>
      <x:c r="P237" s="20" t="n">
        <x:v>166.01</x:v>
      </x:c>
      <x:c r="Q237" s="20" t="n">
        <x:v>59</x:v>
      </x:c>
      <x:c r="R237" s="20"/>
      <x:c r="S237" s="20"/>
      <x:c r="T237" s="20"/>
      <x:c r="U237" s="20"/>
      <x:c r="V237" s="20"/>
      <x:c r="W237" s="20" t="str"/>
      <x:c r="X237" s="20"/>
      <x:c r="Y237" s="20"/>
      <x:c r="Z237" s="20"/>
      <x:c r="AA237" s="20"/>
      <x:c r="AB237" s="23" t="str"/>
      <x:c r="AC237" s="23" t="str">
        <x:v>Final model + exact ECI join</x:v>
      </x:c>
      <x:c r="AD237" s="23" t="str"/>
      <x:c r="AE237" s="23" t="str"/>
    </x:row>
    <x:row r="238">
      <x:c r="A238" s="17" t="str">
        <x:v>openai:gpt-5-6-terra</x:v>
      </x:c>
      <x:c r="B238" s="17" t="str">
        <x:v>GPT-5.6 Terra</x:v>
      </x:c>
      <x:c r="C238" s="17" t="str">
        <x:v>OpenAI</x:v>
      </x:c>
      <x:c r="D238" s="17" t="str">
        <x:v>lineage:openai:gpt-5-6-terra</x:v>
      </x:c>
      <x:c r="E238" s="17" t="str">
        <x:v>base:openai:gpt-5-6-terra</x:v>
      </x:c>
      <x:c r="F238" s="23" t="str">
        <x:v>GPT-5.6 Terra</x:v>
      </x:c>
      <x:c r="G238" s="23" t="str"/>
      <x:c r="H238" s="23" t="str">
        <x:v>GPT-5.6 Terra</x:v>
      </x:c>
      <x:c r="I238" s="31"/>
      <x:c r="J238" s="31" t="n">
        <x:v>46212</x:v>
      </x:c>
      <x:c r="K238" s="31" t="n">
        <x:v>46212</x:v>
      </x:c>
      <x:c r="L238" s="17" t="str">
        <x:v>ECI exact date</x:v>
      </x:c>
      <x:c r="M238" s="73"/>
      <x:c r="N238" s="20" t="n">
        <x:v>158.25</x:v>
      </x:c>
      <x:c r="O238" s="20" t="n">
        <x:v>155.39</x:v>
      </x:c>
      <x:c r="P238" s="20" t="n">
        <x:v>161.26</x:v>
      </x:c>
      <x:c r="Q238" s="20" t="n">
        <x:v>55</x:v>
      </x:c>
      <x:c r="R238" s="20"/>
      <x:c r="S238" s="20"/>
      <x:c r="T238" s="20"/>
      <x:c r="U238" s="20"/>
      <x:c r="V238" s="20"/>
      <x:c r="W238" s="20" t="str"/>
      <x:c r="X238" s="20"/>
      <x:c r="Y238" s="20"/>
      <x:c r="Z238" s="20"/>
      <x:c r="AA238" s="20"/>
      <x:c r="AB238" s="23" t="str"/>
      <x:c r="AC238" s="23" t="str">
        <x:v>Final model + exact ECI join</x:v>
      </x:c>
      <x:c r="AD238" s="23" t="str"/>
      <x:c r="AE238" s="23" t="str"/>
    </x:row>
    <x:row r="239">
      <x:c r="A239" s="18" t="str">
        <x:v>moonshot:kimi-k3</x:v>
      </x:c>
      <x:c r="B239" s="18" t="str">
        <x:v>Kimi K3</x:v>
      </x:c>
      <x:c r="C239" s="18" t="str">
        <x:v>Moonshot</x:v>
      </x:c>
      <x:c r="D239" s="18" t="str">
        <x:v>lineage:moonshot:kimi-k3</x:v>
      </x:c>
      <x:c r="E239" s="18" t="str">
        <x:v>base:moonshot:kimi-k3</x:v>
      </x:c>
      <x:c r="F239" s="24" t="str">
        <x:v>Kimi K3</x:v>
      </x:c>
      <x:c r="G239" s="24" t="str"/>
      <x:c r="H239" s="24" t="str"/>
      <x:c r="I239" s="32"/>
      <x:c r="J239" s="32"/>
      <x:c r="K239" s="32" t="n">
        <x:v>46219</x:v>
      </x:c>
      <x:c r="L239" s="18" t="str">
        <x:v>User-supplied exact date</x:v>
      </x:c>
      <x:c r="M239" s="74"/>
      <x:c r="N239" s="21"/>
      <x:c r="O239" s="21"/>
      <x:c r="P239" s="21"/>
      <x:c r="Q239" s="21" t="n">
        <x:v>57.1123394372091</x:v>
      </x:c>
      <x:c r="R239" s="21"/>
      <x:c r="S239" s="21"/>
      <x:c r="T239" s="21"/>
      <x:c r="U239" s="21" t="n">
        <x:v>2800</x:v>
      </x:c>
      <x:c r="V239" s="21"/>
      <x:c r="W239" s="21" t="str"/>
      <x:c r="X239" s="21"/>
      <x:c r="Y239" s="21"/>
      <x:c r="Z239" s="21"/>
      <x:c r="AA239" s="21"/>
      <x:c r="AB239" s="24" t="str"/>
      <x:c r="AC239" s="24" t="str">
        <x:v>Final model; no ECI row</x:v>
      </x:c>
      <x:c r="AD239" s="24" t="str"/>
      <x:c r="AE239" s="24" t="str"/>
    </x:row>
  </x:sheetData>
  <x:mergeCells>
    <x:mergeCell ref="A1:AE1"/>
    <x:mergeCell ref="A2:AE3"/>
  </x:mergeCells>
  <x:conditionalFormatting sqref="AD6:AD239">
    <x:cfRule type="containsText" dxfId="2" priority="1" operator="containsText" text="conflict"/>
    <x:cfRule type="containsText" dxfId="3" priority="2" operator="containsText" text="variance"/>
  </x:conditionalFormatting>
  <x:pageMargins left="0.7" right="0.7" top="0.75" bottom="0.75" header="0.3" footer="0.3"/>
  <x:tableParts count="1">
    <x:tablePart xmlns:r="http://schemas.openxmlformats.org/officeDocument/2006/relationships" r:id="Rcc3274162cb443fc"/>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24" hidden="0" customWidth="1"/>
    <x:col min="2" max="2" width="38" hidden="0" customWidth="1"/>
    <x:col min="3" max="3" width="44" hidden="0" customWidth="1"/>
    <x:col min="4" max="4" width="38" hidden="0" customWidth="1"/>
    <x:col min="5" max="5" width="34" hidden="0" customWidth="1"/>
    <x:col min="6" max="6" width="34" hidden="0" customWidth="1"/>
    <x:col min="7" max="7" width="34" hidden="0" customWidth="1"/>
    <x:col min="8" max="8" width="34" hidden="0" customWidth="1"/>
  </x:cols>
  <x:sheetData>
    <x:row r="1" ht="36" customHeight="1">
      <x:c r="A1" s="66" t="str">
        <x:v>Alias map — source names to canonical checkpoints</x:v>
      </x:c>
      <x:c r="B1" s="66"/>
      <x:c r="C1" s="66"/>
      <x:c r="D1" s="66"/>
      <x:c r="E1" s="66"/>
      <x:c r="F1" s="66"/>
      <x:c r="G1" s="66"/>
      <x:c r="H1" s="66"/>
    </x:row>
    <x:row r="2">
      <x:c r="A2" s="6" t="str">
        <x:v>This is the only legal join layer. Fuzzy suggestions were used only for manual review and never enter the workbook. Each source/alias pair is unique; null ECI aliases mean no exact checkpoint match exists.</x:v>
      </x:c>
      <x:c r="B2" s="6"/>
      <x:c r="C2" s="6"/>
      <x:c r="D2" s="6"/>
      <x:c r="E2" s="6"/>
      <x:c r="F2" s="6"/>
      <x:c r="G2" s="6"/>
      <x:c r="H2" s="6"/>
    </x:row>
    <x:row r="3">
      <x:c r="A3" s="6"/>
      <x:c r="B3" s="6"/>
      <x:c r="C3" s="6"/>
      <x:c r="D3" s="6"/>
      <x:c r="E3" s="6"/>
      <x:c r="F3" s="6"/>
      <x:c r="G3" s="6"/>
      <x:c r="H3" s="6"/>
    </x:row>
    <x:row r="5" ht="34" customHeight="1">
      <x:c r="A5" s="71" t="str">
        <x:v>Source</x:v>
      </x:c>
      <x:c r="B5" s="71" t="str">
        <x:v>Source alias</x:v>
      </x:c>
      <x:c r="C5" s="71" t="str">
        <x:v>Canonical checkpoint ID</x:v>
      </x:c>
      <x:c r="D5" s="71" t="str">
        <x:v>ECI alias</x:v>
      </x:c>
      <x:c r="E5" s="71" t="str">
        <x:v>Join method</x:v>
      </x:c>
      <x:c r="F5" s="71" t="str">
        <x:v>Review</x:v>
      </x:c>
      <x:c r="G5" s="71" t="str">
        <x:v>Status</x:v>
      </x:c>
      <x:c r="H5" s="71" t="str">
        <x:v>Source row / note</x:v>
      </x:c>
    </x:row>
    <x:row r="6">
      <x:c r="A6" s="16" t="str">
        <x:v>ECI Graph Data</x:v>
      </x:c>
      <x:c r="B6" s="22" t="str">
        <x:v>GPT-5.6 Sol</x:v>
      </x:c>
      <x:c r="C6" s="22" t="str">
        <x:v>openai:gpt-5-6-sol</x:v>
      </x:c>
      <x:c r="D6" s="22" t="str">
        <x:v>GPT-5.6 Sol</x:v>
      </x:c>
      <x:c r="E6" s="22" t="str">
        <x:v>Exact self identity</x:v>
      </x:c>
      <x:c r="F6" s="22" t="str">
        <x:v>Manual schema review</x:v>
      </x:c>
      <x:c r="G6" s="22" t="str">
        <x:v>Matched</x:v>
      </x:c>
      <x:c r="H6" s="22" t="str">
        <x:v>ECI Graph Data!2</x:v>
      </x:c>
    </x:row>
    <x:row r="7">
      <x:c r="A7" s="17" t="str">
        <x:v>ECI Graph Data</x:v>
      </x:c>
      <x:c r="B7" s="23" t="str">
        <x:v>GPT-5.5 Pro</x:v>
      </x:c>
      <x:c r="C7" s="23" t="str">
        <x:v>openai:gpt-5-5-pro</x:v>
      </x:c>
      <x:c r="D7" s="23" t="str">
        <x:v>GPT-5.5 Pro</x:v>
      </x:c>
      <x:c r="E7" s="23" t="str">
        <x:v>Exact self identity</x:v>
      </x:c>
      <x:c r="F7" s="23" t="str">
        <x:v>Manual schema review</x:v>
      </x:c>
      <x:c r="G7" s="23" t="str">
        <x:v>Matched</x:v>
      </x:c>
      <x:c r="H7" s="23" t="str">
        <x:v>ECI Graph Data!3</x:v>
      </x:c>
    </x:row>
    <x:row r="8">
      <x:c r="A8" s="17" t="str">
        <x:v>ECI Graph Data</x:v>
      </x:c>
      <x:c r="B8" s="23" t="str">
        <x:v>Claude Fable 5</x:v>
      </x:c>
      <x:c r="C8" s="23" t="str">
        <x:v>anthropic:claude-fable-5</x:v>
      </x:c>
      <x:c r="D8" s="23" t="str">
        <x:v>Claude Fable 5</x:v>
      </x:c>
      <x:c r="E8" s="23" t="str">
        <x:v>Exact self identity</x:v>
      </x:c>
      <x:c r="F8" s="23" t="str">
        <x:v>Manual schema review</x:v>
      </x:c>
      <x:c r="G8" s="23" t="str">
        <x:v>Matched</x:v>
      </x:c>
      <x:c r="H8" s="23" t="str">
        <x:v>ECI Graph Data!4</x:v>
      </x:c>
    </x:row>
    <x:row r="9">
      <x:c r="A9" s="17" t="str">
        <x:v>ECI Graph Data</x:v>
      </x:c>
      <x:c r="B9" s="23" t="str">
        <x:v>GPT-5.5</x:v>
      </x:c>
      <x:c r="C9" s="23" t="str">
        <x:v>openai:gpt-5-5</x:v>
      </x:c>
      <x:c r="D9" s="23" t="str">
        <x:v>GPT-5.5</x:v>
      </x:c>
      <x:c r="E9" s="23" t="str">
        <x:v>Exact self identity</x:v>
      </x:c>
      <x:c r="F9" s="23" t="str">
        <x:v>Manual schema review</x:v>
      </x:c>
      <x:c r="G9" s="23" t="str">
        <x:v>Matched</x:v>
      </x:c>
      <x:c r="H9" s="23" t="str">
        <x:v>ECI Graph Data!5</x:v>
      </x:c>
    </x:row>
    <x:row r="10">
      <x:c r="A10" s="17" t="str">
        <x:v>ECI Graph Data</x:v>
      </x:c>
      <x:c r="B10" s="23" t="str">
        <x:v>GPT-5.6 Terra</x:v>
      </x:c>
      <x:c r="C10" s="23" t="str">
        <x:v>openai:gpt-5-6-terra</x:v>
      </x:c>
      <x:c r="D10" s="23" t="str">
        <x:v>GPT-5.6 Terra</x:v>
      </x:c>
      <x:c r="E10" s="23" t="str">
        <x:v>Exact self identity</x:v>
      </x:c>
      <x:c r="F10" s="23" t="str">
        <x:v>Manual schema review</x:v>
      </x:c>
      <x:c r="G10" s="23" t="str">
        <x:v>Matched</x:v>
      </x:c>
      <x:c r="H10" s="23" t="str">
        <x:v>ECI Graph Data!6</x:v>
      </x:c>
    </x:row>
    <x:row r="11">
      <x:c r="A11" s="17" t="str">
        <x:v>ECI Graph Data</x:v>
      </x:c>
      <x:c r="B11" s="23" t="str">
        <x:v>Claude Opus 4.8</x:v>
      </x:c>
      <x:c r="C11" s="23" t="str">
        <x:v>anthropic:claude-opus-4-8</x:v>
      </x:c>
      <x:c r="D11" s="23" t="str">
        <x:v>Claude Opus 4.8</x:v>
      </x:c>
      <x:c r="E11" s="23" t="str">
        <x:v>Exact self identity</x:v>
      </x:c>
      <x:c r="F11" s="23" t="str">
        <x:v>Manual schema review</x:v>
      </x:c>
      <x:c r="G11" s="23" t="str">
        <x:v>Matched</x:v>
      </x:c>
      <x:c r="H11" s="23" t="str">
        <x:v>ECI Graph Data!7</x:v>
      </x:c>
    </x:row>
    <x:row r="12">
      <x:c r="A12" s="17" t="str">
        <x:v>ECI Graph Data</x:v>
      </x:c>
      <x:c r="B12" s="23" t="str">
        <x:v>GPT-5.4 Pro</x:v>
      </x:c>
      <x:c r="C12" s="23" t="str">
        <x:v>openai:gpt-5-4-pro</x:v>
      </x:c>
      <x:c r="D12" s="23" t="str">
        <x:v>GPT-5.4 Pro</x:v>
      </x:c>
      <x:c r="E12" s="23" t="str">
        <x:v>Exact self identity</x:v>
      </x:c>
      <x:c r="F12" s="23" t="str">
        <x:v>Manual schema review</x:v>
      </x:c>
      <x:c r="G12" s="23" t="str">
        <x:v>Matched</x:v>
      </x:c>
      <x:c r="H12" s="23" t="str">
        <x:v>ECI Graph Data!8</x:v>
      </x:c>
    </x:row>
    <x:row r="13">
      <x:c r="A13" s="17" t="str">
        <x:v>ECI Graph Data</x:v>
      </x:c>
      <x:c r="B13" s="23" t="str">
        <x:v>GPT-5.4</x:v>
      </x:c>
      <x:c r="C13" s="23" t="str">
        <x:v>openai:gpt-5-4</x:v>
      </x:c>
      <x:c r="D13" s="23" t="str">
        <x:v>GPT-5.4</x:v>
      </x:c>
      <x:c r="E13" s="23" t="str">
        <x:v>Exact self identity</x:v>
      </x:c>
      <x:c r="F13" s="23" t="str">
        <x:v>Manual schema review</x:v>
      </x:c>
      <x:c r="G13" s="23" t="str">
        <x:v>Matched</x:v>
      </x:c>
      <x:c r="H13" s="23" t="str">
        <x:v>ECI Graph Data!9</x:v>
      </x:c>
    </x:row>
    <x:row r="14">
      <x:c r="A14" s="17" t="str">
        <x:v>ECI Graph Data</x:v>
      </x:c>
      <x:c r="B14" s="23" t="str">
        <x:v>Claude Opus 4.7</x:v>
      </x:c>
      <x:c r="C14" s="23" t="str">
        <x:v>anthropic:claude-opus-4-7</x:v>
      </x:c>
      <x:c r="D14" s="23" t="str">
        <x:v>Claude Opus 4.7</x:v>
      </x:c>
      <x:c r="E14" s="23" t="str">
        <x:v>Exact self identity</x:v>
      </x:c>
      <x:c r="F14" s="23" t="str">
        <x:v>Manual schema review</x:v>
      </x:c>
      <x:c r="G14" s="23" t="str">
        <x:v>Matched</x:v>
      </x:c>
      <x:c r="H14" s="23" t="str">
        <x:v>ECI Graph Data!10</x:v>
      </x:c>
    </x:row>
    <x:row r="15">
      <x:c r="A15" s="17" t="str">
        <x:v>ECI Graph Data</x:v>
      </x:c>
      <x:c r="B15" s="23" t="str">
        <x:v>GPT-5.6 Luna</x:v>
      </x:c>
      <x:c r="C15" s="23" t="str">
        <x:v>openai:gpt-5-6-luna</x:v>
      </x:c>
      <x:c r="D15" s="23" t="str">
        <x:v>GPT-5.6 Luna</x:v>
      </x:c>
      <x:c r="E15" s="23" t="str">
        <x:v>Exact self identity</x:v>
      </x:c>
      <x:c r="F15" s="23" t="str">
        <x:v>Manual schema review</x:v>
      </x:c>
      <x:c r="G15" s="23" t="str">
        <x:v>Matched</x:v>
      </x:c>
      <x:c r="H15" s="23" t="str">
        <x:v>ECI Graph Data!11</x:v>
      </x:c>
    </x:row>
    <x:row r="16">
      <x:c r="A16" s="17" t="str">
        <x:v>ECI Graph Data</x:v>
      </x:c>
      <x:c r="B16" s="23" t="str">
        <x:v>GPT-5.3 Codex</x:v>
      </x:c>
      <x:c r="C16" s="23" t="str">
        <x:v>openai:gpt-5-3-codex</x:v>
      </x:c>
      <x:c r="D16" s="23" t="str">
        <x:v>GPT-5.3 Codex</x:v>
      </x:c>
      <x:c r="E16" s="23" t="str">
        <x:v>Exact self identity</x:v>
      </x:c>
      <x:c r="F16" s="23" t="str">
        <x:v>Manual schema review</x:v>
      </x:c>
      <x:c r="G16" s="23" t="str">
        <x:v>Matched</x:v>
      </x:c>
      <x:c r="H16" s="23" t="str">
        <x:v>ECI Graph Data!12</x:v>
      </x:c>
    </x:row>
    <x:row r="17">
      <x:c r="A17" s="17" t="str">
        <x:v>ECI Graph Data</x:v>
      </x:c>
      <x:c r="B17" s="23" t="str">
        <x:v>Claude Opus 4.6</x:v>
      </x:c>
      <x:c r="C17" s="23" t="str">
        <x:v>anthropic:claude-opus-4-6</x:v>
      </x:c>
      <x:c r="D17" s="23" t="str">
        <x:v>Claude Opus 4.6</x:v>
      </x:c>
      <x:c r="E17" s="23" t="str">
        <x:v>Exact self identity</x:v>
      </x:c>
      <x:c r="F17" s="23" t="str">
        <x:v>Manual schema review</x:v>
      </x:c>
      <x:c r="G17" s="23" t="str">
        <x:v>Matched</x:v>
      </x:c>
      <x:c r="H17" s="23" t="str">
        <x:v>ECI Graph Data!13</x:v>
      </x:c>
    </x:row>
    <x:row r="18">
      <x:c r="A18" s="17" t="str">
        <x:v>ECI Graph Data</x:v>
      </x:c>
      <x:c r="B18" s="23" t="str">
        <x:v>Gemini 3.1 Pro</x:v>
      </x:c>
      <x:c r="C18" s="23" t="str">
        <x:v>google:gemini-3-1-pro</x:v>
      </x:c>
      <x:c r="D18" s="23" t="str">
        <x:v>Gemini 3.1 Pro</x:v>
      </x:c>
      <x:c r="E18" s="23" t="str">
        <x:v>Exact self identity</x:v>
      </x:c>
      <x:c r="F18" s="23" t="str">
        <x:v>Manual schema review</x:v>
      </x:c>
      <x:c r="G18" s="23" t="str">
        <x:v>Matched</x:v>
      </x:c>
      <x:c r="H18" s="23" t="str">
        <x:v>ECI Graph Data!14</x:v>
      </x:c>
    </x:row>
    <x:row r="19">
      <x:c r="A19" s="17" t="str">
        <x:v>ECI Graph Data</x:v>
      </x:c>
      <x:c r="B19" s="23" t="str">
        <x:v>GPT-5.2 Pro</x:v>
      </x:c>
      <x:c r="C19" s="23" t="str">
        <x:v>openai:gpt-5-2-pro</x:v>
      </x:c>
      <x:c r="D19" s="23" t="str">
        <x:v>GPT-5.2 Pro</x:v>
      </x:c>
      <x:c r="E19" s="23" t="str">
        <x:v>Exact self identity</x:v>
      </x:c>
      <x:c r="F19" s="23" t="str">
        <x:v>Manual schema review</x:v>
      </x:c>
      <x:c r="G19" s="23" t="str">
        <x:v>Matched</x:v>
      </x:c>
      <x:c r="H19" s="23" t="str">
        <x:v>ECI Graph Data!15</x:v>
      </x:c>
    </x:row>
    <x:row r="20">
      <x:c r="A20" s="17" t="str">
        <x:v>ECI Graph Data</x:v>
      </x:c>
      <x:c r="B20" s="23" t="str">
        <x:v>Gemini 3.5 Flash</x:v>
      </x:c>
      <x:c r="C20" s="23" t="str">
        <x:v>google:gemini-3-5-flash</x:v>
      </x:c>
      <x:c r="D20" s="23" t="str">
        <x:v>Gemini 3.5 Flash</x:v>
      </x:c>
      <x:c r="E20" s="23" t="str">
        <x:v>Exact self identity</x:v>
      </x:c>
      <x:c r="F20" s="23" t="str">
        <x:v>Manual schema review</x:v>
      </x:c>
      <x:c r="G20" s="23" t="str">
        <x:v>Matched</x:v>
      </x:c>
      <x:c r="H20" s="23" t="str">
        <x:v>ECI Graph Data!16</x:v>
      </x:c>
    </x:row>
    <x:row r="21">
      <x:c r="A21" s="17" t="str">
        <x:v>ECI Graph Data</x:v>
      </x:c>
      <x:c r="B21" s="23" t="str">
        <x:v>Muse Spark</x:v>
      </x:c>
      <x:c r="C21" s="23" t="str">
        <x:v>meta:muse-spark</x:v>
      </x:c>
      <x:c r="D21" s="23" t="str">
        <x:v>Muse Spark</x:v>
      </x:c>
      <x:c r="E21" s="23" t="str">
        <x:v>Exact self identity</x:v>
      </x:c>
      <x:c r="F21" s="23" t="str">
        <x:v>Manual schema review</x:v>
      </x:c>
      <x:c r="G21" s="23" t="str">
        <x:v>Matched</x:v>
      </x:c>
      <x:c r="H21" s="23" t="str">
        <x:v>ECI Graph Data!17</x:v>
      </x:c>
    </x:row>
    <x:row r="22">
      <x:c r="A22" s="17" t="str">
        <x:v>ECI Graph Data</x:v>
      </x:c>
      <x:c r="B22" s="23" t="str">
        <x:v>GPT-5.2</x:v>
      </x:c>
      <x:c r="C22" s="23" t="str">
        <x:v>openai:gpt-5-2</x:v>
      </x:c>
      <x:c r="D22" s="23" t="str">
        <x:v>GPT-5.2</x:v>
      </x:c>
      <x:c r="E22" s="23" t="str">
        <x:v>Exact self identity</x:v>
      </x:c>
      <x:c r="F22" s="23" t="str">
        <x:v>Manual schema review</x:v>
      </x:c>
      <x:c r="G22" s="23" t="str">
        <x:v>Matched</x:v>
      </x:c>
      <x:c r="H22" s="23" t="str">
        <x:v>ECI Graph Data!18</x:v>
      </x:c>
    </x:row>
    <x:row r="23">
      <x:c r="A23" s="17" t="str">
        <x:v>ECI Graph Data</x:v>
      </x:c>
      <x:c r="B23" s="23" t="str">
        <x:v>Gemini 3 Pro</x:v>
      </x:c>
      <x:c r="C23" s="23" t="str">
        <x:v>google:gemini-3-pro</x:v>
      </x:c>
      <x:c r="D23" s="23" t="str">
        <x:v>Gemini 3 Pro</x:v>
      </x:c>
      <x:c r="E23" s="23" t="str">
        <x:v>Exact self identity</x:v>
      </x:c>
      <x:c r="F23" s="23" t="str">
        <x:v>Manual schema review</x:v>
      </x:c>
      <x:c r="G23" s="23" t="str">
        <x:v>Matched</x:v>
      </x:c>
      <x:c r="H23" s="23" t="str">
        <x:v>ECI Graph Data!19</x:v>
      </x:c>
    </x:row>
    <x:row r="24">
      <x:c r="A24" s="17" t="str">
        <x:v>ECI Graph Data</x:v>
      </x:c>
      <x:c r="B24" s="23" t="str">
        <x:v>Claude Sonnet 5</x:v>
      </x:c>
      <x:c r="C24" s="23" t="str">
        <x:v>anthropic:claude-sonnet-5</x:v>
      </x:c>
      <x:c r="D24" s="23" t="str">
        <x:v>Claude Sonnet 5</x:v>
      </x:c>
      <x:c r="E24" s="23" t="str">
        <x:v>Exact self identity</x:v>
      </x:c>
      <x:c r="F24" s="23" t="str">
        <x:v>Manual schema review</x:v>
      </x:c>
      <x:c r="G24" s="23" t="str">
        <x:v>Matched</x:v>
      </x:c>
      <x:c r="H24" s="23" t="str">
        <x:v>ECI Graph Data!20</x:v>
      </x:c>
    </x:row>
    <x:row r="25">
      <x:c r="A25" s="17" t="str">
        <x:v>ECI Graph Data</x:v>
      </x:c>
      <x:c r="B25" s="23" t="str">
        <x:v>Claude Sonnet 4.6</x:v>
      </x:c>
      <x:c r="C25" s="23" t="str">
        <x:v>anthropic:claude-sonnet-4-6</x:v>
      </x:c>
      <x:c r="D25" s="23" t="str">
        <x:v>Claude Sonnet 4.6</x:v>
      </x:c>
      <x:c r="E25" s="23" t="str">
        <x:v>Exact self identity</x:v>
      </x:c>
      <x:c r="F25" s="23" t="str">
        <x:v>Manual schema review</x:v>
      </x:c>
      <x:c r="G25" s="23" t="str">
        <x:v>Matched</x:v>
      </x:c>
      <x:c r="H25" s="23" t="str">
        <x:v>ECI Graph Data!21</x:v>
      </x:c>
    </x:row>
    <x:row r="26">
      <x:c r="A26" s="17" t="str">
        <x:v>ECI Graph Data</x:v>
      </x:c>
      <x:c r="B26" s="23" t="str">
        <x:v>Grok 4.5</x:v>
      </x:c>
      <x:c r="C26" s="23" t="str">
        <x:v>xai:grok-4-5</x:v>
      </x:c>
      <x:c r="D26" s="23" t="str">
        <x:v>Grok 4.5</x:v>
      </x:c>
      <x:c r="E26" s="23" t="str">
        <x:v>Exact self identity</x:v>
      </x:c>
      <x:c r="F26" s="23" t="str">
        <x:v>Manual schema review</x:v>
      </x:c>
      <x:c r="G26" s="23" t="str">
        <x:v>Matched</x:v>
      </x:c>
      <x:c r="H26" s="23" t="str">
        <x:v>ECI Graph Data!22</x:v>
      </x:c>
    </x:row>
    <x:row r="27">
      <x:c r="A27" s="17" t="str">
        <x:v>ECI Graph Data</x:v>
      </x:c>
      <x:c r="B27" s="23" t="str">
        <x:v>Qwen3.7-Max</x:v>
      </x:c>
      <x:c r="C27" s="23" t="str">
        <x:v>alibaba:qwen3-7-max</x:v>
      </x:c>
      <x:c r="D27" s="23" t="str">
        <x:v>Qwen3.7-Max</x:v>
      </x:c>
      <x:c r="E27" s="23" t="str">
        <x:v>Exact self identity</x:v>
      </x:c>
      <x:c r="F27" s="23" t="str">
        <x:v>Manual schema review</x:v>
      </x:c>
      <x:c r="G27" s="23" t="str">
        <x:v>Matched</x:v>
      </x:c>
      <x:c r="H27" s="23" t="str">
        <x:v>ECI Graph Data!23</x:v>
      </x:c>
    </x:row>
    <x:row r="28">
      <x:c r="A28" s="17" t="str">
        <x:v>ECI Graph Data</x:v>
      </x:c>
      <x:c r="B28" s="23" t="str">
        <x:v>Grok 4.20</x:v>
      </x:c>
      <x:c r="C28" s="23" t="str">
        <x:v>xai:grok-4-20</x:v>
      </x:c>
      <x:c r="D28" s="23" t="str">
        <x:v>Grok 4.20</x:v>
      </x:c>
      <x:c r="E28" s="23" t="str">
        <x:v>Exact self identity</x:v>
      </x:c>
      <x:c r="F28" s="23" t="str">
        <x:v>Manual schema review</x:v>
      </x:c>
      <x:c r="G28" s="23" t="str">
        <x:v>Matched</x:v>
      </x:c>
      <x:c r="H28" s="23" t="str">
        <x:v>ECI Graph Data!24</x:v>
      </x:c>
    </x:row>
    <x:row r="29">
      <x:c r="A29" s="17" t="str">
        <x:v>ECI Graph Data</x:v>
      </x:c>
      <x:c r="B29" s="23" t="str">
        <x:v>GLM-5.2</x:v>
      </x:c>
      <x:c r="C29" s="23" t="str">
        <x:v>z-ai-zhipu-ai:glm-5-2</x:v>
      </x:c>
      <x:c r="D29" s="23" t="str">
        <x:v>GLM-5.2</x:v>
      </x:c>
      <x:c r="E29" s="23" t="str">
        <x:v>Exact self identity</x:v>
      </x:c>
      <x:c r="F29" s="23" t="str">
        <x:v>Manual schema review</x:v>
      </x:c>
      <x:c r="G29" s="23" t="str">
        <x:v>Matched</x:v>
      </x:c>
      <x:c r="H29" s="23" t="str">
        <x:v>ECI Graph Data!25</x:v>
      </x:c>
    </x:row>
    <x:row r="30">
      <x:c r="A30" s="17" t="str">
        <x:v>ECI Graph Data</x:v>
      </x:c>
      <x:c r="B30" s="23" t="str">
        <x:v>Kimi K2.6</x:v>
      </x:c>
      <x:c r="C30" s="23" t="str">
        <x:v>moonshot:kimi-k2-6</x:v>
      </x:c>
      <x:c r="D30" s="23" t="str">
        <x:v>Kimi K2.6</x:v>
      </x:c>
      <x:c r="E30" s="23" t="str">
        <x:v>Exact self identity</x:v>
      </x:c>
      <x:c r="F30" s="23" t="str">
        <x:v>Manual schema review</x:v>
      </x:c>
      <x:c r="G30" s="23" t="str">
        <x:v>Matched</x:v>
      </x:c>
      <x:c r="H30" s="23" t="str">
        <x:v>ECI Graph Data!26</x:v>
      </x:c>
    </x:row>
    <x:row r="31">
      <x:c r="A31" s="17" t="str">
        <x:v>ECI Graph Data</x:v>
      </x:c>
      <x:c r="B31" s="23" t="str">
        <x:v>Gemini 3 Flash</x:v>
      </x:c>
      <x:c r="C31" s="23" t="str">
        <x:v>google:gemini-3-flash</x:v>
      </x:c>
      <x:c r="D31" s="23" t="str">
        <x:v>Gemini 3 Flash</x:v>
      </x:c>
      <x:c r="E31" s="23" t="str">
        <x:v>Exact self identity</x:v>
      </x:c>
      <x:c r="F31" s="23" t="str">
        <x:v>Manual schema review</x:v>
      </x:c>
      <x:c r="G31" s="23" t="str">
        <x:v>Matched</x:v>
      </x:c>
      <x:c r="H31" s="23" t="str">
        <x:v>ECI Graph Data!27</x:v>
      </x:c>
    </x:row>
    <x:row r="32">
      <x:c r="A32" s="17" t="str">
        <x:v>ECI Graph Data</x:v>
      </x:c>
      <x:c r="B32" s="23" t="str">
        <x:v>GPT-5 Pro</x:v>
      </x:c>
      <x:c r="C32" s="23" t="str">
        <x:v>openai:gpt-5-pro</x:v>
      </x:c>
      <x:c r="D32" s="23" t="str">
        <x:v>GPT-5 Pro</x:v>
      </x:c>
      <x:c r="E32" s="23" t="str">
        <x:v>Exact self identity</x:v>
      </x:c>
      <x:c r="F32" s="23" t="str">
        <x:v>Manual schema review</x:v>
      </x:c>
      <x:c r="G32" s="23" t="str">
        <x:v>Matched</x:v>
      </x:c>
      <x:c r="H32" s="23" t="str">
        <x:v>ECI Graph Data!28</x:v>
      </x:c>
    </x:row>
    <x:row r="33">
      <x:c r="A33" s="17" t="str">
        <x:v>ECI Graph Data</x:v>
      </x:c>
      <x:c r="B33" s="23" t="str">
        <x:v>GLM-5.1</x:v>
      </x:c>
      <x:c r="C33" s="23" t="str">
        <x:v>z-ai-zhipu-ai:glm-5-1</x:v>
      </x:c>
      <x:c r="D33" s="23" t="str">
        <x:v>GLM-5.1</x:v>
      </x:c>
      <x:c r="E33" s="23" t="str">
        <x:v>Exact self identity</x:v>
      </x:c>
      <x:c r="F33" s="23" t="str">
        <x:v>Manual schema review</x:v>
      </x:c>
      <x:c r="G33" s="23" t="str">
        <x:v>Matched</x:v>
      </x:c>
      <x:c r="H33" s="23" t="str">
        <x:v>ECI Graph Data!29</x:v>
      </x:c>
    </x:row>
    <x:row r="34">
      <x:c r="A34" s="17" t="str">
        <x:v>ECI Graph Data</x:v>
      </x:c>
      <x:c r="B34" s="23" t="str">
        <x:v>Kimi K2.7 Code</x:v>
      </x:c>
      <x:c r="C34" s="23" t="str">
        <x:v>moonshot:kimi-k2-7-code</x:v>
      </x:c>
      <x:c r="D34" s="23" t="str">
        <x:v>Kimi K2.7 Code</x:v>
      </x:c>
      <x:c r="E34" s="23" t="str">
        <x:v>Exact self identity</x:v>
      </x:c>
      <x:c r="F34" s="23" t="str">
        <x:v>Manual schema review</x:v>
      </x:c>
      <x:c r="G34" s="23" t="str">
        <x:v>Matched</x:v>
      </x:c>
      <x:c r="H34" s="23" t="str">
        <x:v>ECI Graph Data!30</x:v>
      </x:c>
    </x:row>
    <x:row r="35">
      <x:c r="A35" s="17" t="str">
        <x:v>ECI Graph Data</x:v>
      </x:c>
      <x:c r="B35" s="23" t="str">
        <x:v>GPT-5</x:v>
      </x:c>
      <x:c r="C35" s="23" t="str">
        <x:v>openai:gpt-5</x:v>
      </x:c>
      <x:c r="D35" s="23" t="str">
        <x:v>GPT-5</x:v>
      </x:c>
      <x:c r="E35" s="23" t="str">
        <x:v>Exact self identity</x:v>
      </x:c>
      <x:c r="F35" s="23" t="str">
        <x:v>Manual schema review</x:v>
      </x:c>
      <x:c r="G35" s="23" t="str">
        <x:v>Matched</x:v>
      </x:c>
      <x:c r="H35" s="23" t="str">
        <x:v>ECI Graph Data!31</x:v>
      </x:c>
    </x:row>
    <x:row r="36">
      <x:c r="A36" s="17" t="str">
        <x:v>ECI Graph Data</x:v>
      </x:c>
      <x:c r="B36" s="23" t="str">
        <x:v>DeepSeek-V4-Pro</x:v>
      </x:c>
      <x:c r="C36" s="23" t="str">
        <x:v>deepseek:deepseek-v4-pro</x:v>
      </x:c>
      <x:c r="D36" s="23" t="str">
        <x:v>DeepSeek-V4-Pro</x:v>
      </x:c>
      <x:c r="E36" s="23" t="str">
        <x:v>Exact self identity</x:v>
      </x:c>
      <x:c r="F36" s="23" t="str">
        <x:v>Manual schema review</x:v>
      </x:c>
      <x:c r="G36" s="23" t="str">
        <x:v>Matched</x:v>
      </x:c>
      <x:c r="H36" s="23" t="str">
        <x:v>ECI Graph Data!32</x:v>
      </x:c>
    </x:row>
    <x:row r="37">
      <x:c r="A37" s="17" t="str">
        <x:v>ECI Graph Data</x:v>
      </x:c>
      <x:c r="B37" s="23" t="str">
        <x:v>GPT-5.1</x:v>
      </x:c>
      <x:c r="C37" s="23" t="str">
        <x:v>openai:gpt-5-1</x:v>
      </x:c>
      <x:c r="D37" s="23" t="str">
        <x:v>GPT-5.1</x:v>
      </x:c>
      <x:c r="E37" s="23" t="str">
        <x:v>Exact self identity</x:v>
      </x:c>
      <x:c r="F37" s="23" t="str">
        <x:v>Manual schema review</x:v>
      </x:c>
      <x:c r="G37" s="23" t="str">
        <x:v>Matched</x:v>
      </x:c>
      <x:c r="H37" s="23" t="str">
        <x:v>ECI Graph Data!33</x:v>
      </x:c>
    </x:row>
    <x:row r="38">
      <x:c r="A38" s="17" t="str">
        <x:v>ECI Graph Data</x:v>
      </x:c>
      <x:c r="B38" s="23" t="str">
        <x:v>Qwen 3.6 Max (Preview)</x:v>
      </x:c>
      <x:c r="C38" s="23" t="str">
        <x:v>alibaba:qwen-3-6-max-preview</x:v>
      </x:c>
      <x:c r="D38" s="23" t="str">
        <x:v>Qwen 3.6 Max (Preview)</x:v>
      </x:c>
      <x:c r="E38" s="23" t="str">
        <x:v>Exact self identity</x:v>
      </x:c>
      <x:c r="F38" s="23" t="str">
        <x:v>Manual schema review</x:v>
      </x:c>
      <x:c r="G38" s="23" t="str">
        <x:v>Matched</x:v>
      </x:c>
      <x:c r="H38" s="23" t="str">
        <x:v>ECI Graph Data!34</x:v>
      </x:c>
    </x:row>
    <x:row r="39">
      <x:c r="A39" s="17" t="str">
        <x:v>ECI Graph Data</x:v>
      </x:c>
      <x:c r="B39" s="23" t="str">
        <x:v>Claude Opus 4.5</x:v>
      </x:c>
      <x:c r="C39" s="23" t="str">
        <x:v>anthropic:claude-opus-4-5</x:v>
      </x:c>
      <x:c r="D39" s="23" t="str">
        <x:v>Claude Opus 4.5</x:v>
      </x:c>
      <x:c r="E39" s="23" t="str">
        <x:v>Exact self identity</x:v>
      </x:c>
      <x:c r="F39" s="23" t="str">
        <x:v>Manual schema review</x:v>
      </x:c>
      <x:c r="G39" s="23" t="str">
        <x:v>Matched</x:v>
      </x:c>
      <x:c r="H39" s="23" t="str">
        <x:v>ECI Graph Data!35</x:v>
      </x:c>
    </x:row>
    <x:row r="40">
      <x:c r="A40" s="17" t="str">
        <x:v>ECI Graph Data</x:v>
      </x:c>
      <x:c r="B40" s="23" t="str">
        <x:v>Qwen 3.6 Plus</x:v>
      </x:c>
      <x:c r="C40" s="23" t="str">
        <x:v>alibaba:qwen-3-6-plus</x:v>
      </x:c>
      <x:c r="D40" s="23" t="str">
        <x:v>Qwen 3.6 Plus</x:v>
      </x:c>
      <x:c r="E40" s="23" t="str">
        <x:v>Exact self identity</x:v>
      </x:c>
      <x:c r="F40" s="23" t="str">
        <x:v>Manual schema review</x:v>
      </x:c>
      <x:c r="G40" s="23" t="str">
        <x:v>Matched</x:v>
      </x:c>
      <x:c r="H40" s="23" t="str">
        <x:v>ECI Graph Data!36</x:v>
      </x:c>
    </x:row>
    <x:row r="41">
      <x:c r="A41" s="17" t="str">
        <x:v>ECI Graph Data</x:v>
      </x:c>
      <x:c r="B41" s="23" t="str">
        <x:v>Grok 4.3 Beta</x:v>
      </x:c>
      <x:c r="C41" s="23" t="str">
        <x:v>xai:grok-4-3-beta</x:v>
      </x:c>
      <x:c r="D41" s="23" t="str">
        <x:v>Grok 4.3 Beta</x:v>
      </x:c>
      <x:c r="E41" s="23" t="str">
        <x:v>Exact self identity</x:v>
      </x:c>
      <x:c r="F41" s="23" t="str">
        <x:v>Manual schema review</x:v>
      </x:c>
      <x:c r="G41" s="23" t="str">
        <x:v>Matched</x:v>
      </x:c>
      <x:c r="H41" s="23" t="str">
        <x:v>ECI Graph Data!37</x:v>
      </x:c>
    </x:row>
    <x:row r="42">
      <x:c r="A42" s="17" t="str">
        <x:v>ECI Graph Data</x:v>
      </x:c>
      <x:c r="B42" s="23" t="str">
        <x:v>GPT-5.4 Mini</x:v>
      </x:c>
      <x:c r="C42" s="23" t="str">
        <x:v>openai:gpt-5-4-mini</x:v>
      </x:c>
      <x:c r="D42" s="23" t="str">
        <x:v>GPT-5.4 Mini</x:v>
      </x:c>
      <x:c r="E42" s="23" t="str">
        <x:v>Exact self identity</x:v>
      </x:c>
      <x:c r="F42" s="23" t="str">
        <x:v>Manual schema review</x:v>
      </x:c>
      <x:c r="G42" s="23" t="str">
        <x:v>Matched</x:v>
      </x:c>
      <x:c r="H42" s="23" t="str">
        <x:v>ECI Graph Data!38</x:v>
      </x:c>
    </x:row>
    <x:row r="43">
      <x:c r="A43" s="17" t="str">
        <x:v>ECI Graph Data</x:v>
      </x:c>
      <x:c r="B43" s="23" t="str">
        <x:v>Kimi K2.5</x:v>
      </x:c>
      <x:c r="C43" s="23" t="str">
        <x:v>moonshot:kimi-k2-5</x:v>
      </x:c>
      <x:c r="D43" s="23" t="str">
        <x:v>Kimi K2.5</x:v>
      </x:c>
      <x:c r="E43" s="23" t="str">
        <x:v>Exact self identity</x:v>
      </x:c>
      <x:c r="F43" s="23" t="str">
        <x:v>Manual schema review</x:v>
      </x:c>
      <x:c r="G43" s="23" t="str">
        <x:v>Matched</x:v>
      </x:c>
      <x:c r="H43" s="23" t="str">
        <x:v>ECI Graph Data!39</x:v>
      </x:c>
    </x:row>
    <x:row r="44">
      <x:c r="A44" s="17" t="str">
        <x:v>ECI Graph Data</x:v>
      </x:c>
      <x:c r="B44" s="23" t="str">
        <x:v>o3-pro</x:v>
      </x:c>
      <x:c r="C44" s="23" t="str">
        <x:v>openai:o3-pro</x:v>
      </x:c>
      <x:c r="D44" s="23" t="str">
        <x:v>o3-pro</x:v>
      </x:c>
      <x:c r="E44" s="23" t="str">
        <x:v>Exact self identity</x:v>
      </x:c>
      <x:c r="F44" s="23" t="str">
        <x:v>Manual schema review</x:v>
      </x:c>
      <x:c r="G44" s="23" t="str">
        <x:v>Matched</x:v>
      </x:c>
      <x:c r="H44" s="23" t="str">
        <x:v>ECI Graph Data!40</x:v>
      </x:c>
    </x:row>
    <x:row r="45">
      <x:c r="A45" s="17" t="str">
        <x:v>ECI Graph Data</x:v>
      </x:c>
      <x:c r="B45" s="23" t="str">
        <x:v>MiniMax-M2.5</x:v>
      </x:c>
      <x:c r="C45" s="23" t="str">
        <x:v>minimax:minimax-m2-5</x:v>
      </x:c>
      <x:c r="D45" s="23" t="str">
        <x:v>MiniMax-M2.5</x:v>
      </x:c>
      <x:c r="E45" s="23" t="str">
        <x:v>Exact self identity</x:v>
      </x:c>
      <x:c r="F45" s="23" t="str">
        <x:v>Manual schema review</x:v>
      </x:c>
      <x:c r="G45" s="23" t="str">
        <x:v>Matched</x:v>
      </x:c>
      <x:c r="H45" s="23" t="str">
        <x:v>ECI Graph Data!41</x:v>
      </x:c>
    </x:row>
    <x:row r="46">
      <x:c r="A46" s="17" t="str">
        <x:v>ECI Graph Data</x:v>
      </x:c>
      <x:c r="B46" s="23" t="str">
        <x:v>o3</x:v>
      </x:c>
      <x:c r="C46" s="23" t="str">
        <x:v>openai:o3</x:v>
      </x:c>
      <x:c r="D46" s="23" t="str">
        <x:v>o3</x:v>
      </x:c>
      <x:c r="E46" s="23" t="str">
        <x:v>Exact self identity</x:v>
      </x:c>
      <x:c r="F46" s="23" t="str">
        <x:v>Manual schema review</x:v>
      </x:c>
      <x:c r="G46" s="23" t="str">
        <x:v>Matched</x:v>
      </x:c>
      <x:c r="H46" s="23" t="str">
        <x:v>ECI Graph Data!42</x:v>
      </x:c>
    </x:row>
    <x:row r="47">
      <x:c r="A47" s="17" t="str">
        <x:v>ECI Graph Data</x:v>
      </x:c>
      <x:c r="B47" s="23" t="str">
        <x:v>Grok 4</x:v>
      </x:c>
      <x:c r="C47" s="23" t="str">
        <x:v>xai:grok-4</x:v>
      </x:c>
      <x:c r="D47" s="23" t="str">
        <x:v>Grok 4</x:v>
      </x:c>
      <x:c r="E47" s="23" t="str">
        <x:v>Exact self identity</x:v>
      </x:c>
      <x:c r="F47" s="23" t="str">
        <x:v>Manual schema review</x:v>
      </x:c>
      <x:c r="G47" s="23" t="str">
        <x:v>Matched</x:v>
      </x:c>
      <x:c r="H47" s="23" t="str">
        <x:v>ECI Graph Data!43</x:v>
      </x:c>
    </x:row>
    <x:row r="48">
      <x:c r="A48" s="17" t="str">
        <x:v>ECI Graph Data</x:v>
      </x:c>
      <x:c r="B48" s="23" t="str">
        <x:v>Qwen 3.5 Plus (hosted 397B-A17B)</x:v>
      </x:c>
      <x:c r="C48" s="23" t="str">
        <x:v>alibaba:qwen-3-5-plus-hosted-397b-a17b</x:v>
      </x:c>
      <x:c r="D48" s="23" t="str">
        <x:v>Qwen 3.5 Plus (hosted 397B-A17B)</x:v>
      </x:c>
      <x:c r="E48" s="23" t="str">
        <x:v>Exact self identity</x:v>
      </x:c>
      <x:c r="F48" s="23" t="str">
        <x:v>Manual schema review</x:v>
      </x:c>
      <x:c r="G48" s="23" t="str">
        <x:v>Matched</x:v>
      </x:c>
      <x:c r="H48" s="23" t="str">
        <x:v>ECI Graph Data!44</x:v>
      </x:c>
    </x:row>
    <x:row r="49">
      <x:c r="A49" s="17" t="str">
        <x:v>ECI Graph Data</x:v>
      </x:c>
      <x:c r="B49" s="23" t="str">
        <x:v>Claude Sonnet 4.5</x:v>
      </x:c>
      <x:c r="C49" s="23" t="str">
        <x:v>anthropic:claude-sonnet-4-5</x:v>
      </x:c>
      <x:c r="D49" s="23" t="str">
        <x:v>Claude Sonnet 4.5</x:v>
      </x:c>
      <x:c r="E49" s="23" t="str">
        <x:v>Exact self identity</x:v>
      </x:c>
      <x:c r="F49" s="23" t="str">
        <x:v>Manual schema review</x:v>
      </x:c>
      <x:c r="G49" s="23" t="str">
        <x:v>Matched</x:v>
      </x:c>
      <x:c r="H49" s="23" t="str">
        <x:v>ECI Graph Data!45</x:v>
      </x:c>
    </x:row>
    <x:row r="50">
      <x:c r="A50" s="17" t="str">
        <x:v>ECI Graph Data</x:v>
      </x:c>
      <x:c r="B50" s="23" t="str">
        <x:v>GPT-5.4 Nano</x:v>
      </x:c>
      <x:c r="C50" s="23" t="str">
        <x:v>openai:gpt-5-4-nano</x:v>
      </x:c>
      <x:c r="D50" s="23" t="str">
        <x:v>GPT-5.4 Nano</x:v>
      </x:c>
      <x:c r="E50" s="23" t="str">
        <x:v>Exact self identity</x:v>
      </x:c>
      <x:c r="F50" s="23" t="str">
        <x:v>Manual schema review</x:v>
      </x:c>
      <x:c r="G50" s="23" t="str">
        <x:v>Matched</x:v>
      </x:c>
      <x:c r="H50" s="23" t="str">
        <x:v>ECI Graph Data!46</x:v>
      </x:c>
    </x:row>
    <x:row r="51">
      <x:c r="A51" s="17" t="str">
        <x:v>ECI Graph Data</x:v>
      </x:c>
      <x:c r="B51" s="23" t="str">
        <x:v>DeepSeek-V3.2</x:v>
      </x:c>
      <x:c r="C51" s="23" t="str">
        <x:v>deepseek:deepseek-v3-2</x:v>
      </x:c>
      <x:c r="D51" s="23" t="str">
        <x:v>DeepSeek-V3.2</x:v>
      </x:c>
      <x:c r="E51" s="23" t="str">
        <x:v>Exact self identity</x:v>
      </x:c>
      <x:c r="F51" s="23" t="str">
        <x:v>Manual schema review</x:v>
      </x:c>
      <x:c r="G51" s="23" t="str">
        <x:v>Matched</x:v>
      </x:c>
      <x:c r="H51" s="23" t="str">
        <x:v>ECI Graph Data!47</x:v>
      </x:c>
    </x:row>
    <x:row r="52">
      <x:c r="A52" s="17" t="str">
        <x:v>ECI Graph Data</x:v>
      </x:c>
      <x:c r="B52" s="23" t="str">
        <x:v>o4-mini</x:v>
      </x:c>
      <x:c r="C52" s="23" t="str">
        <x:v>openai:o4-mini</x:v>
      </x:c>
      <x:c r="D52" s="23" t="str">
        <x:v>o4-mini</x:v>
      </x:c>
      <x:c r="E52" s="23" t="str">
        <x:v>Exact self identity</x:v>
      </x:c>
      <x:c r="F52" s="23" t="str">
        <x:v>Manual schema review</x:v>
      </x:c>
      <x:c r="G52" s="23" t="str">
        <x:v>Matched</x:v>
      </x:c>
      <x:c r="H52" s="23" t="str">
        <x:v>ECI Graph Data!48</x:v>
      </x:c>
    </x:row>
    <x:row r="53">
      <x:c r="A53" s="17" t="str">
        <x:v>ECI Graph Data</x:v>
      </x:c>
      <x:c r="B53" s="23" t="str">
        <x:v>GLM-5</x:v>
      </x:c>
      <x:c r="C53" s="23" t="str">
        <x:v>z-ai-zhipu-ai:glm-5</x:v>
      </x:c>
      <x:c r="D53" s="23" t="str">
        <x:v>GLM-5</x:v>
      </x:c>
      <x:c r="E53" s="23" t="str">
        <x:v>Exact self identity</x:v>
      </x:c>
      <x:c r="F53" s="23" t="str">
        <x:v>Manual schema review</x:v>
      </x:c>
      <x:c r="G53" s="23" t="str">
        <x:v>Matched</x:v>
      </x:c>
      <x:c r="H53" s="23" t="str">
        <x:v>ECI Graph Data!49</x:v>
      </x:c>
    </x:row>
    <x:row r="54">
      <x:c r="A54" s="17" t="str">
        <x:v>ECI Graph Data</x:v>
      </x:c>
      <x:c r="B54" s="23" t="str">
        <x:v>Gemini 2.5 Pro (Jun 2025)</x:v>
      </x:c>
      <x:c r="C54" s="23" t="str">
        <x:v>google:gemini-2-5-pro-jun-2025</x:v>
      </x:c>
      <x:c r="D54" s="23" t="str">
        <x:v>Gemini 2.5 Pro (Jun 2025)</x:v>
      </x:c>
      <x:c r="E54" s="23" t="str">
        <x:v>Exact self identity</x:v>
      </x:c>
      <x:c r="F54" s="23" t="str">
        <x:v>Manual schema review</x:v>
      </x:c>
      <x:c r="G54" s="23" t="str">
        <x:v>Matched</x:v>
      </x:c>
      <x:c r="H54" s="23" t="str">
        <x:v>ECI Graph Data!50</x:v>
      </x:c>
    </x:row>
    <x:row r="55">
      <x:c r="A55" s="17" t="str">
        <x:v>ECI Graph Data</x:v>
      </x:c>
      <x:c r="B55" s="23" t="str">
        <x:v>Kimi K2 Thinking</x:v>
      </x:c>
      <x:c r="C55" s="23" t="str">
        <x:v>moonshot:kimi-k2-thinking</x:v>
      </x:c>
      <x:c r="D55" s="23" t="str">
        <x:v>Kimi K2 Thinking</x:v>
      </x:c>
      <x:c r="E55" s="23" t="str">
        <x:v>Exact self identity</x:v>
      </x:c>
      <x:c r="F55" s="23" t="str">
        <x:v>Manual schema review</x:v>
      </x:c>
      <x:c r="G55" s="23" t="str">
        <x:v>Matched</x:v>
      </x:c>
      <x:c r="H55" s="23" t="str">
        <x:v>ECI Graph Data!51</x:v>
      </x:c>
    </x:row>
    <x:row r="56">
      <x:c r="A56" s="17" t="str">
        <x:v>ECI Graph Data</x:v>
      </x:c>
      <x:c r="B56" s="23" t="str">
        <x:v>GPT-5 mini</x:v>
      </x:c>
      <x:c r="C56" s="23" t="str">
        <x:v>openai:gpt-5-mini</x:v>
      </x:c>
      <x:c r="D56" s="23" t="str">
        <x:v>GPT-5 mini</x:v>
      </x:c>
      <x:c r="E56" s="23" t="str">
        <x:v>Exact self identity</x:v>
      </x:c>
      <x:c r="F56" s="23" t="str">
        <x:v>Manual schema review</x:v>
      </x:c>
      <x:c r="G56" s="23" t="str">
        <x:v>Matched</x:v>
      </x:c>
      <x:c r="H56" s="23" t="str">
        <x:v>ECI Graph Data!52</x:v>
      </x:c>
    </x:row>
    <x:row r="57">
      <x:c r="A57" s="17" t="str">
        <x:v>ECI Graph Data</x:v>
      </x:c>
      <x:c r="B57" s="23" t="str">
        <x:v>MiniMax-M2.7</x:v>
      </x:c>
      <x:c r="C57" s="23" t="str">
        <x:v>minimax:minimax-m2-7</x:v>
      </x:c>
      <x:c r="D57" s="23" t="str">
        <x:v>MiniMax-M2.7</x:v>
      </x:c>
      <x:c r="E57" s="23" t="str">
        <x:v>Exact self identity</x:v>
      </x:c>
      <x:c r="F57" s="23" t="str">
        <x:v>Manual schema review</x:v>
      </x:c>
      <x:c r="G57" s="23" t="str">
        <x:v>Matched</x:v>
      </x:c>
      <x:c r="H57" s="23" t="str">
        <x:v>ECI Graph Data!53</x:v>
      </x:c>
    </x:row>
    <x:row r="58">
      <x:c r="A58" s="17" t="str">
        <x:v>ECI Graph Data</x:v>
      </x:c>
      <x:c r="B58" s="23" t="str">
        <x:v>MiniMax-M3</x:v>
      </x:c>
      <x:c r="C58" s="23" t="str">
        <x:v>minimax:minimax-m3</x:v>
      </x:c>
      <x:c r="D58" s="23" t="str">
        <x:v>MiniMax-M3</x:v>
      </x:c>
      <x:c r="E58" s="23" t="str">
        <x:v>Exact self identity</x:v>
      </x:c>
      <x:c r="F58" s="23" t="str">
        <x:v>Manual schema review</x:v>
      </x:c>
      <x:c r="G58" s="23" t="str">
        <x:v>Matched</x:v>
      </x:c>
      <x:c r="H58" s="23" t="str">
        <x:v>ECI Graph Data!54</x:v>
      </x:c>
    </x:row>
    <x:row r="59">
      <x:c r="A59" s="17" t="str">
        <x:v>ECI Graph Data</x:v>
      </x:c>
      <x:c r="B59" s="23" t="str">
        <x:v>DeepSeek-V3.2-Exp</x:v>
      </x:c>
      <x:c r="C59" s="23" t="str">
        <x:v>deepseek:deepseek-v3-2-exp</x:v>
      </x:c>
      <x:c r="D59" s="23" t="str">
        <x:v>DeepSeek-V3.2-Exp</x:v>
      </x:c>
      <x:c r="E59" s="23" t="str">
        <x:v>Exact self identity</x:v>
      </x:c>
      <x:c r="F59" s="23" t="str">
        <x:v>Manual schema review</x:v>
      </x:c>
      <x:c r="G59" s="23" t="str">
        <x:v>Matched</x:v>
      </x:c>
      <x:c r="H59" s="23" t="str">
        <x:v>ECI Graph Data!55</x:v>
      </x:c>
    </x:row>
    <x:row r="60">
      <x:c r="A60" s="17" t="str">
        <x:v>ECI Graph Data</x:v>
      </x:c>
      <x:c r="B60" s="23" t="str">
        <x:v>Gemini 2.5 Pro (Mar 2025)</x:v>
      </x:c>
      <x:c r="C60" s="23" t="str">
        <x:v>google:gemini-2-5-pro-mar-2025</x:v>
      </x:c>
      <x:c r="D60" s="23" t="str">
        <x:v>Gemini 2.5 Pro (Mar 2025)</x:v>
      </x:c>
      <x:c r="E60" s="23" t="str">
        <x:v>Exact self identity</x:v>
      </x:c>
      <x:c r="F60" s="23" t="str">
        <x:v>Manual schema review</x:v>
      </x:c>
      <x:c r="G60" s="23" t="str">
        <x:v>Matched</x:v>
      </x:c>
      <x:c r="H60" s="23" t="str">
        <x:v>ECI Graph Data!56</x:v>
      </x:c>
    </x:row>
    <x:row r="61">
      <x:c r="A61" s="17" t="str">
        <x:v>ECI Graph Data</x:v>
      </x:c>
      <x:c r="B61" s="23" t="str">
        <x:v>Qwen3-235B-A22B-Thinking (Jul 2025)</x:v>
      </x:c>
      <x:c r="C61" s="23" t="str">
        <x:v>alibaba:qwen3-235b-a22b-thinking-jul-2025</x:v>
      </x:c>
      <x:c r="D61" s="23" t="str">
        <x:v>Qwen3-235B-A22B-Thinking (Jul 2025)</x:v>
      </x:c>
      <x:c r="E61" s="23" t="str">
        <x:v>Exact self identity</x:v>
      </x:c>
      <x:c r="F61" s="23" t="str">
        <x:v>Manual schema review</x:v>
      </x:c>
      <x:c r="G61" s="23" t="str">
        <x:v>Matched</x:v>
      </x:c>
      <x:c r="H61" s="23" t="str">
        <x:v>ECI Graph Data!57</x:v>
      </x:c>
    </x:row>
    <x:row r="62">
      <x:c r="A62" s="17" t="str">
        <x:v>ECI Graph Data</x:v>
      </x:c>
      <x:c r="B62" s="23" t="str">
        <x:v>Grok 4 Fast</x:v>
      </x:c>
      <x:c r="C62" s="23" t="str">
        <x:v>xai:grok-4-fast</x:v>
      </x:c>
      <x:c r="D62" s="23" t="str">
        <x:v>Grok 4 Fast</x:v>
      </x:c>
      <x:c r="E62" s="23" t="str">
        <x:v>Exact self identity</x:v>
      </x:c>
      <x:c r="F62" s="23" t="str">
        <x:v>Manual schema review</x:v>
      </x:c>
      <x:c r="G62" s="23" t="str">
        <x:v>Matched</x:v>
      </x:c>
      <x:c r="H62" s="23" t="str">
        <x:v>ECI Graph Data!58</x:v>
      </x:c>
    </x:row>
    <x:row r="63">
      <x:c r="A63" s="17" t="str">
        <x:v>ECI Graph Data</x:v>
      </x:c>
      <x:c r="B63" s="23" t="str">
        <x:v>Gemini 3.1 Flash-Lite</x:v>
      </x:c>
      <x:c r="C63" s="23" t="str">
        <x:v>google:gemini-3-1-flash-lite</x:v>
      </x:c>
      <x:c r="D63" s="23" t="str">
        <x:v>Gemini 3.1 Flash-Lite</x:v>
      </x:c>
      <x:c r="E63" s="23" t="str">
        <x:v>Exact self identity</x:v>
      </x:c>
      <x:c r="F63" s="23" t="str">
        <x:v>Manual schema review</x:v>
      </x:c>
      <x:c r="G63" s="23" t="str">
        <x:v>Matched</x:v>
      </x:c>
      <x:c r="H63" s="23" t="str">
        <x:v>ECI Graph Data!59</x:v>
      </x:c>
    </x:row>
    <x:row r="64">
      <x:c r="A64" s="17" t="str">
        <x:v>ECI Graph Data</x:v>
      </x:c>
      <x:c r="B64" s="23" t="str">
        <x:v>Claude Opus 4.1</x:v>
      </x:c>
      <x:c r="C64" s="23" t="str">
        <x:v>anthropic:claude-opus-4-1</x:v>
      </x:c>
      <x:c r="D64" s="23" t="str">
        <x:v>Claude Opus 4.1</x:v>
      </x:c>
      <x:c r="E64" s="23" t="str">
        <x:v>Exact self identity</x:v>
      </x:c>
      <x:c r="F64" s="23" t="str">
        <x:v>Manual schema review</x:v>
      </x:c>
      <x:c r="G64" s="23" t="str">
        <x:v>Matched</x:v>
      </x:c>
      <x:c r="H64" s="23" t="str">
        <x:v>ECI Graph Data!60</x:v>
      </x:c>
    </x:row>
    <x:row r="65">
      <x:c r="A65" s="17" t="str">
        <x:v>ECI Graph Data</x:v>
      </x:c>
      <x:c r="B65" s="23" t="str">
        <x:v>Qwen 3.6 Flash</x:v>
      </x:c>
      <x:c r="C65" s="23" t="str">
        <x:v>alibaba:qwen-3-6-flash</x:v>
      </x:c>
      <x:c r="D65" s="23" t="str">
        <x:v>Qwen 3.6 Flash</x:v>
      </x:c>
      <x:c r="E65" s="23" t="str">
        <x:v>Exact self identity</x:v>
      </x:c>
      <x:c r="F65" s="23" t="str">
        <x:v>Manual schema review</x:v>
      </x:c>
      <x:c r="G65" s="23" t="str">
        <x:v>Matched</x:v>
      </x:c>
      <x:c r="H65" s="23" t="str">
        <x:v>ECI Graph Data!61</x:v>
      </x:c>
    </x:row>
    <x:row r="66">
      <x:c r="A66" s="17" t="str">
        <x:v>ECI Graph Data</x:v>
      </x:c>
      <x:c r="B66" s="23" t="str">
        <x:v>Qwen 3.5 Flash (hosted 35B-A3B)</x:v>
      </x:c>
      <x:c r="C66" s="23" t="str">
        <x:v>alibaba:qwen-3-5-flash-hosted-35b-a3b</x:v>
      </x:c>
      <x:c r="D66" s="23" t="str">
        <x:v>Qwen 3.5 Flash (hosted 35B-A3B)</x:v>
      </x:c>
      <x:c r="E66" s="23" t="str">
        <x:v>Exact self identity</x:v>
      </x:c>
      <x:c r="F66" s="23" t="str">
        <x:v>Manual schema review</x:v>
      </x:c>
      <x:c r="G66" s="23" t="str">
        <x:v>Matched</x:v>
      </x:c>
      <x:c r="H66" s="23" t="str">
        <x:v>ECI Graph Data!62</x:v>
      </x:c>
    </x:row>
    <x:row r="67">
      <x:c r="A67" s="17" t="str">
        <x:v>ECI Graph Data</x:v>
      </x:c>
      <x:c r="B67" s="23" t="str">
        <x:v>Qwen3-Max</x:v>
      </x:c>
      <x:c r="C67" s="23" t="str">
        <x:v>alibaba:qwen3-max</x:v>
      </x:c>
      <x:c r="D67" s="23" t="str">
        <x:v>Qwen3-Max</x:v>
      </x:c>
      <x:c r="E67" s="23" t="str">
        <x:v>Exact self identity</x:v>
      </x:c>
      <x:c r="F67" s="23" t="str">
        <x:v>Manual schema review</x:v>
      </x:c>
      <x:c r="G67" s="23" t="str">
        <x:v>Matched</x:v>
      </x:c>
      <x:c r="H67" s="23" t="str">
        <x:v>ECI Graph Data!63</x:v>
      </x:c>
    </x:row>
    <x:row r="68">
      <x:c r="A68" s="17" t="str">
        <x:v>ECI Graph Data</x:v>
      </x:c>
      <x:c r="B68" s="23" t="str">
        <x:v>GLM-4.7</x:v>
      </x:c>
      <x:c r="C68" s="23" t="str">
        <x:v>z-ai-zhipu-ai:glm-4-7</x:v>
      </x:c>
      <x:c r="D68" s="23" t="str">
        <x:v>GLM-4.7</x:v>
      </x:c>
      <x:c r="E68" s="23" t="str">
        <x:v>Exact self identity</x:v>
      </x:c>
      <x:c r="F68" s="23" t="str">
        <x:v>Manual schema review</x:v>
      </x:c>
      <x:c r="G68" s="23" t="str">
        <x:v>Matched</x:v>
      </x:c>
      <x:c r="H68" s="23" t="str">
        <x:v>ECI Graph Data!64</x:v>
      </x:c>
    </x:row>
    <x:row r="69">
      <x:c r="A69" s="17" t="str">
        <x:v>ECI Graph Data</x:v>
      </x:c>
      <x:c r="B69" s="23" t="str">
        <x:v>Gemini 2.5 Flash (Sep 2025)</x:v>
      </x:c>
      <x:c r="C69" s="23" t="str">
        <x:v>google:gemini-2-5-flash-sep-2025</x:v>
      </x:c>
      <x:c r="D69" s="23" t="str">
        <x:v>Gemini 2.5 Flash (Sep 2025)</x:v>
      </x:c>
      <x:c r="E69" s="23" t="str">
        <x:v>Exact self identity</x:v>
      </x:c>
      <x:c r="F69" s="23" t="str">
        <x:v>Manual schema review</x:v>
      </x:c>
      <x:c r="G69" s="23" t="str">
        <x:v>Matched</x:v>
      </x:c>
      <x:c r="H69" s="23" t="str">
        <x:v>ECI Graph Data!65</x:v>
      </x:c>
    </x:row>
    <x:row r="70">
      <x:c r="A70" s="17" t="str">
        <x:v>ECI Graph Data</x:v>
      </x:c>
      <x:c r="B70" s="23" t="str">
        <x:v>Claude Opus 4</x:v>
      </x:c>
      <x:c r="C70" s="23" t="str">
        <x:v>anthropic:claude-opus-4</x:v>
      </x:c>
      <x:c r="D70" s="23" t="str">
        <x:v>Claude Opus 4</x:v>
      </x:c>
      <x:c r="E70" s="23" t="str">
        <x:v>Exact self identity</x:v>
      </x:c>
      <x:c r="F70" s="23" t="str">
        <x:v>Manual schema review</x:v>
      </x:c>
      <x:c r="G70" s="23" t="str">
        <x:v>Matched</x:v>
      </x:c>
      <x:c r="H70" s="23" t="str">
        <x:v>ECI Graph Data!66</x:v>
      </x:c>
    </x:row>
    <x:row r="71">
      <x:c r="A71" s="17" t="str">
        <x:v>ECI Graph Data</x:v>
      </x:c>
      <x:c r="B71" s="23" t="str">
        <x:v>Claude Haiku 4.5</x:v>
      </x:c>
      <x:c r="C71" s="23" t="str">
        <x:v>anthropic:claude-haiku-4-5</x:v>
      </x:c>
      <x:c r="D71" s="23" t="str">
        <x:v>Claude Haiku 4.5</x:v>
      </x:c>
      <x:c r="E71" s="23" t="str">
        <x:v>Exact self identity</x:v>
      </x:c>
      <x:c r="F71" s="23" t="str">
        <x:v>Manual schema review</x:v>
      </x:c>
      <x:c r="G71" s="23" t="str">
        <x:v>Matched</x:v>
      </x:c>
      <x:c r="H71" s="23" t="str">
        <x:v>ECI Graph Data!67</x:v>
      </x:c>
    </x:row>
    <x:row r="72">
      <x:c r="A72" s="17" t="str">
        <x:v>ECI Graph Data</x:v>
      </x:c>
      <x:c r="B72" s="23" t="str">
        <x:v>Gemini 2.5 Pro (May 2025)</x:v>
      </x:c>
      <x:c r="C72" s="23" t="str">
        <x:v>google:gemini-2-5-pro-may-2025</x:v>
      </x:c>
      <x:c r="D72" s="23" t="str">
        <x:v>Gemini 2.5 Pro (May 2025)</x:v>
      </x:c>
      <x:c r="E72" s="23" t="str">
        <x:v>Exact self identity</x:v>
      </x:c>
      <x:c r="F72" s="23" t="str">
        <x:v>Manual schema review</x:v>
      </x:c>
      <x:c r="G72" s="23" t="str">
        <x:v>Matched</x:v>
      </x:c>
      <x:c r="H72" s="23" t="str">
        <x:v>ECI Graph Data!68</x:v>
      </x:c>
    </x:row>
    <x:row r="73">
      <x:c r="A73" s="17" t="str">
        <x:v>ECI Graph Data</x:v>
      </x:c>
      <x:c r="B73" s="23" t="str">
        <x:v>o1</x:v>
      </x:c>
      <x:c r="C73" s="23" t="str">
        <x:v>openai:o1</x:v>
      </x:c>
      <x:c r="D73" s="23" t="str">
        <x:v>o1</x:v>
      </x:c>
      <x:c r="E73" s="23" t="str">
        <x:v>Exact self identity</x:v>
      </x:c>
      <x:c r="F73" s="23" t="str">
        <x:v>Manual schema review</x:v>
      </x:c>
      <x:c r="G73" s="23" t="str">
        <x:v>Matched</x:v>
      </x:c>
      <x:c r="H73" s="23" t="str">
        <x:v>ECI Graph Data!69</x:v>
      </x:c>
    </x:row>
    <x:row r="74">
      <x:c r="A74" s="17" t="str">
        <x:v>ECI Graph Data</x:v>
      </x:c>
      <x:c r="B74" s="23" t="str">
        <x:v>Gemini 2.5 Flash (May 2025)</x:v>
      </x:c>
      <x:c r="C74" s="23" t="str">
        <x:v>google:gemini-2-5-flash-may-2025</x:v>
      </x:c>
      <x:c r="D74" s="23" t="str">
        <x:v>Gemini 2.5 Flash (May 2025)</x:v>
      </x:c>
      <x:c r="E74" s="23" t="str">
        <x:v>Exact self identity</x:v>
      </x:c>
      <x:c r="F74" s="23" t="str">
        <x:v>Manual schema review</x:v>
      </x:c>
      <x:c r="G74" s="23" t="str">
        <x:v>Matched</x:v>
      </x:c>
      <x:c r="H74" s="23" t="str">
        <x:v>ECI Graph Data!70</x:v>
      </x:c>
    </x:row>
    <x:row r="75">
      <x:c r="A75" s="17" t="str">
        <x:v>ECI Graph Data</x:v>
      </x:c>
      <x:c r="B75" s="23" t="str">
        <x:v>Claude Sonnet 4</x:v>
      </x:c>
      <x:c r="C75" s="23" t="str">
        <x:v>anthropic:claude-sonnet-4</x:v>
      </x:c>
      <x:c r="D75" s="23" t="str">
        <x:v>Claude Sonnet 4</x:v>
      </x:c>
      <x:c r="E75" s="23" t="str">
        <x:v>Exact self identity</x:v>
      </x:c>
      <x:c r="F75" s="23" t="str">
        <x:v>Manual schema review</x:v>
      </x:c>
      <x:c r="G75" s="23" t="str">
        <x:v>Matched</x:v>
      </x:c>
      <x:c r="H75" s="23" t="str">
        <x:v>ECI Graph Data!71</x:v>
      </x:c>
    </x:row>
    <x:row r="76">
      <x:c r="A76" s="17" t="str">
        <x:v>ECI Graph Data</x:v>
      </x:c>
      <x:c r="B76" s="23" t="str">
        <x:v>DeepSeek-R1 (May 2025)</x:v>
      </x:c>
      <x:c r="C76" s="23" t="str">
        <x:v>deepseek:deepseek-r1-may-2025</x:v>
      </x:c>
      <x:c r="D76" s="23" t="str">
        <x:v>DeepSeek-R1 (May 2025)</x:v>
      </x:c>
      <x:c r="E76" s="23" t="str">
        <x:v>Exact self identity</x:v>
      </x:c>
      <x:c r="F76" s="23" t="str">
        <x:v>Manual schema review</x:v>
      </x:c>
      <x:c r="G76" s="23" t="str">
        <x:v>Matched</x:v>
      </x:c>
      <x:c r="H76" s="23" t="str">
        <x:v>ECI Graph Data!72</x:v>
      </x:c>
    </x:row>
    <x:row r="77">
      <x:c r="A77" s="17" t="str">
        <x:v>ECI Graph Data</x:v>
      </x:c>
      <x:c r="B77" s="23" t="str">
        <x:v>Claude 3.7 Sonnet</x:v>
      </x:c>
      <x:c r="C77" s="23" t="str">
        <x:v>anthropic:claude-3-7-sonnet</x:v>
      </x:c>
      <x:c r="D77" s="23" t="str">
        <x:v>Claude 3.7 Sonnet</x:v>
      </x:c>
      <x:c r="E77" s="23" t="str">
        <x:v>Exact self identity</x:v>
      </x:c>
      <x:c r="F77" s="23" t="str">
        <x:v>Manual schema review</x:v>
      </x:c>
      <x:c r="G77" s="23" t="str">
        <x:v>Matched</x:v>
      </x:c>
      <x:c r="H77" s="23" t="str">
        <x:v>ECI Graph Data!73</x:v>
      </x:c>
    </x:row>
    <x:row r="78">
      <x:c r="A78" s="17" t="str">
        <x:v>ECI Graph Data</x:v>
      </x:c>
      <x:c r="B78" s="23" t="str">
        <x:v>o3-mini</x:v>
      </x:c>
      <x:c r="C78" s="23" t="str">
        <x:v>openai:o3-mini</x:v>
      </x:c>
      <x:c r="D78" s="23" t="str">
        <x:v>o3-mini</x:v>
      </x:c>
      <x:c r="E78" s="23" t="str">
        <x:v>Exact self identity</x:v>
      </x:c>
      <x:c r="F78" s="23" t="str">
        <x:v>Manual schema review</x:v>
      </x:c>
      <x:c r="G78" s="23" t="str">
        <x:v>Matched</x:v>
      </x:c>
      <x:c r="H78" s="23" t="str">
        <x:v>ECI Graph Data!74</x:v>
      </x:c>
    </x:row>
    <x:row r="79">
      <x:c r="A79" s="17" t="str">
        <x:v>ECI Graph Data</x:v>
      </x:c>
      <x:c r="B79" s="23" t="str">
        <x:v>Grok-3 mini</x:v>
      </x:c>
      <x:c r="C79" s="23" t="str">
        <x:v>xai:grok-3-mini</x:v>
      </x:c>
      <x:c r="D79" s="23" t="str">
        <x:v>Grok-3 mini</x:v>
      </x:c>
      <x:c r="E79" s="23" t="str">
        <x:v>Exact self identity</x:v>
      </x:c>
      <x:c r="F79" s="23" t="str">
        <x:v>Manual schema review</x:v>
      </x:c>
      <x:c r="G79" s="23" t="str">
        <x:v>Matched</x:v>
      </x:c>
      <x:c r="H79" s="23" t="str">
        <x:v>ECI Graph Data!75</x:v>
      </x:c>
    </x:row>
    <x:row r="80">
      <x:c r="A80" s="17" t="str">
        <x:v>ECI Graph Data</x:v>
      </x:c>
      <x:c r="B80" s="23" t="str">
        <x:v>Kimi K2 (Sep 2025)</x:v>
      </x:c>
      <x:c r="C80" s="23" t="str">
        <x:v>moonshot:kimi-k2-sep-2025</x:v>
      </x:c>
      <x:c r="D80" s="23" t="str">
        <x:v>Kimi K2 (Sep 2025)</x:v>
      </x:c>
      <x:c r="E80" s="23" t="str">
        <x:v>Exact self identity</x:v>
      </x:c>
      <x:c r="F80" s="23" t="str">
        <x:v>Manual schema review</x:v>
      </x:c>
      <x:c r="G80" s="23" t="str">
        <x:v>Matched</x:v>
      </x:c>
      <x:c r="H80" s="23" t="str">
        <x:v>ECI Graph Data!76</x:v>
      </x:c>
    </x:row>
    <x:row r="81">
      <x:c r="A81" s="17" t="str">
        <x:v>ECI Graph Data</x:v>
      </x:c>
      <x:c r="B81" s="23" t="str">
        <x:v>GLM-4.6</x:v>
      </x:c>
      <x:c r="C81" s="23" t="str">
        <x:v>z-ai-zhipu-ai-tsinghua-university:glm-4-6</x:v>
      </x:c>
      <x:c r="D81" s="23" t="str">
        <x:v>GLM-4.6</x:v>
      </x:c>
      <x:c r="E81" s="23" t="str">
        <x:v>Exact self identity</x:v>
      </x:c>
      <x:c r="F81" s="23" t="str">
        <x:v>Manual schema review</x:v>
      </x:c>
      <x:c r="G81" s="23" t="str">
        <x:v>Matched</x:v>
      </x:c>
      <x:c r="H81" s="23" t="str">
        <x:v>ECI Graph Data!77</x:v>
      </x:c>
    </x:row>
    <x:row r="82">
      <x:c r="A82" s="17" t="str">
        <x:v>ECI Graph Data</x:v>
      </x:c>
      <x:c r="B82" s="23" t="str">
        <x:v>GPT-5 nano</x:v>
      </x:c>
      <x:c r="C82" s="23" t="str">
        <x:v>openai:gpt-5-nano</x:v>
      </x:c>
      <x:c r="D82" s="23" t="str">
        <x:v>GPT-5 nano</x:v>
      </x:c>
      <x:c r="E82" s="23" t="str">
        <x:v>Exact self identity</x:v>
      </x:c>
      <x:c r="F82" s="23" t="str">
        <x:v>Manual schema review</x:v>
      </x:c>
      <x:c r="G82" s="23" t="str">
        <x:v>Matched</x:v>
      </x:c>
      <x:c r="H82" s="23" t="str">
        <x:v>ECI Graph Data!78</x:v>
      </x:c>
    </x:row>
    <x:row r="83">
      <x:c r="A83" s="17" t="str">
        <x:v>ECI Graph Data</x:v>
      </x:c>
      <x:c r="B83" s="23" t="str">
        <x:v>Gemini 2.5 Flash (Apr 2025)</x:v>
      </x:c>
      <x:c r="C83" s="23" t="str">
        <x:v>google:gemini-2-5-flash-apr-2025</x:v>
      </x:c>
      <x:c r="D83" s="23" t="str">
        <x:v>Gemini 2.5 Flash (Apr 2025)</x:v>
      </x:c>
      <x:c r="E83" s="23" t="str">
        <x:v>Exact self identity</x:v>
      </x:c>
      <x:c r="F83" s="23" t="str">
        <x:v>Manual schema review</x:v>
      </x:c>
      <x:c r="G83" s="23" t="str">
        <x:v>Matched</x:v>
      </x:c>
      <x:c r="H83" s="23" t="str">
        <x:v>ECI Graph Data!79</x:v>
      </x:c>
    </x:row>
    <x:row r="84">
      <x:c r="A84" s="17" t="str">
        <x:v>ECI Graph Data</x:v>
      </x:c>
      <x:c r="B84" s="23" t="str">
        <x:v>gpt-oss-120b</x:v>
      </x:c>
      <x:c r="C84" s="23" t="str">
        <x:v>openai:gpt-oss-120b</x:v>
      </x:c>
      <x:c r="D84" s="23" t="str">
        <x:v>gpt-oss-120b</x:v>
      </x:c>
      <x:c r="E84" s="23" t="str">
        <x:v>Exact self identity</x:v>
      </x:c>
      <x:c r="F84" s="23" t="str">
        <x:v>Manual schema review</x:v>
      </x:c>
      <x:c r="G84" s="23" t="str">
        <x:v>Matched</x:v>
      </x:c>
      <x:c r="H84" s="23" t="str">
        <x:v>ECI Graph Data!80</x:v>
      </x:c>
    </x:row>
    <x:row r="85">
      <x:c r="A85" s="17" t="str">
        <x:v>ECI Graph Data</x:v>
      </x:c>
      <x:c r="B85" s="23" t="str">
        <x:v>Kimi K2 (Jul 2025)</x:v>
      </x:c>
      <x:c r="C85" s="23" t="str">
        <x:v>moonshot:kimi-k2-jul-2025</x:v>
      </x:c>
      <x:c r="D85" s="23" t="str">
        <x:v>Kimi K2 (Jul 2025)</x:v>
      </x:c>
      <x:c r="E85" s="23" t="str">
        <x:v>Exact self identity</x:v>
      </x:c>
      <x:c r="F85" s="23" t="str">
        <x:v>Manual schema review</x:v>
      </x:c>
      <x:c r="G85" s="23" t="str">
        <x:v>Matched</x:v>
      </x:c>
      <x:c r="H85" s="23" t="str">
        <x:v>ECI Graph Data!81</x:v>
      </x:c>
    </x:row>
    <x:row r="86">
      <x:c r="A86" s="17" t="str">
        <x:v>ECI Graph Data</x:v>
      </x:c>
      <x:c r="B86" s="23" t="str">
        <x:v>Gemini 2.5 Flash (Jun 2025)</x:v>
      </x:c>
      <x:c r="C86" s="23" t="str">
        <x:v>google:gemini-2-5-flash-jun-2025</x:v>
      </x:c>
      <x:c r="D86" s="23" t="str">
        <x:v>Gemini 2.5 Flash (Jun 2025)</x:v>
      </x:c>
      <x:c r="E86" s="23" t="str">
        <x:v>Exact self identity</x:v>
      </x:c>
      <x:c r="F86" s="23" t="str">
        <x:v>Manual schema review</x:v>
      </x:c>
      <x:c r="G86" s="23" t="str">
        <x:v>Matched</x:v>
      </x:c>
      <x:c r="H86" s="23" t="str">
        <x:v>ECI Graph Data!82</x:v>
      </x:c>
    </x:row>
    <x:row r="87">
      <x:c r="A87" s="17" t="str">
        <x:v>ECI Graph Data</x:v>
      </x:c>
      <x:c r="B87" s="23" t="str">
        <x:v>DeepSeek-R1</x:v>
      </x:c>
      <x:c r="C87" s="23" t="str">
        <x:v>deepseek:deepseek-r1</x:v>
      </x:c>
      <x:c r="D87" s="23" t="str">
        <x:v>DeepSeek-R1</x:v>
      </x:c>
      <x:c r="E87" s="23" t="str">
        <x:v>Exact self identity</x:v>
      </x:c>
      <x:c r="F87" s="23" t="str">
        <x:v>Manual schema review</x:v>
      </x:c>
      <x:c r="G87" s="23" t="str">
        <x:v>Matched</x:v>
      </x:c>
      <x:c r="H87" s="23" t="str">
        <x:v>ECI Graph Data!83</x:v>
      </x:c>
    </x:row>
    <x:row r="88">
      <x:c r="A88" s="17" t="str">
        <x:v>ECI Graph Data</x:v>
      </x:c>
      <x:c r="B88" s="23" t="str">
        <x:v>Qwen3-235B-A22B</x:v>
      </x:c>
      <x:c r="C88" s="23" t="str">
        <x:v>alibaba:qwen3-235b-a22b</x:v>
      </x:c>
      <x:c r="D88" s="23" t="str">
        <x:v>Qwen3-235B-A22B</x:v>
      </x:c>
      <x:c r="E88" s="23" t="str">
        <x:v>Exact self identity</x:v>
      </x:c>
      <x:c r="F88" s="23" t="str">
        <x:v>Manual schema review</x:v>
      </x:c>
      <x:c r="G88" s="23" t="str">
        <x:v>Matched</x:v>
      </x:c>
      <x:c r="H88" s="23" t="str">
        <x:v>ECI Graph Data!84</x:v>
      </x:c>
    </x:row>
    <x:row r="89">
      <x:c r="A89" s="17" t="str">
        <x:v>ECI Graph Data</x:v>
      </x:c>
      <x:c r="B89" s="23" t="str">
        <x:v>Grok 3</x:v>
      </x:c>
      <x:c r="C89" s="23" t="str">
        <x:v>xai:grok-3</x:v>
      </x:c>
      <x:c r="D89" s="23" t="str">
        <x:v>Grok 3</x:v>
      </x:c>
      <x:c r="E89" s="23" t="str">
        <x:v>Exact self identity</x:v>
      </x:c>
      <x:c r="F89" s="23" t="str">
        <x:v>Manual schema review</x:v>
      </x:c>
      <x:c r="G89" s="23" t="str">
        <x:v>Matched</x:v>
      </x:c>
      <x:c r="H89" s="23" t="str">
        <x:v>ECI Graph Data!85</x:v>
      </x:c>
    </x:row>
    <x:row r="90">
      <x:c r="A90" s="17" t="str">
        <x:v>ECI Graph Data</x:v>
      </x:c>
      <x:c r="B90" s="23" t="str">
        <x:v>Qwen3-235B-A22B-Instruct (Jul 2025)</x:v>
      </x:c>
      <x:c r="C90" s="23" t="str">
        <x:v>alibaba:qwen3-235b-a22b-instruct-jul-2025</x:v>
      </x:c>
      <x:c r="D90" s="23" t="str">
        <x:v>Qwen3-235B-A22B-Instruct (Jul 2025)</x:v>
      </x:c>
      <x:c r="E90" s="23" t="str">
        <x:v>Exact self identity</x:v>
      </x:c>
      <x:c r="F90" s="23" t="str">
        <x:v>Manual schema review</x:v>
      </x:c>
      <x:c r="G90" s="23" t="str">
        <x:v>Matched</x:v>
      </x:c>
      <x:c r="H90" s="23" t="str">
        <x:v>ECI Graph Data!86</x:v>
      </x:c>
    </x:row>
    <x:row r="91">
      <x:c r="A91" s="17" t="str">
        <x:v>ECI Graph Data</x:v>
      </x:c>
      <x:c r="B91" s="23" t="str">
        <x:v>DeepSeek-V3.1</x:v>
      </x:c>
      <x:c r="C91" s="23" t="str">
        <x:v>deepseek:deepseek-v3-1</x:v>
      </x:c>
      <x:c r="D91" s="23" t="str">
        <x:v>DeepSeek-V3.1</x:v>
      </x:c>
      <x:c r="E91" s="23" t="str">
        <x:v>Exact self identity</x:v>
      </x:c>
      <x:c r="F91" s="23" t="str">
        <x:v>Manual schema review</x:v>
      </x:c>
      <x:c r="G91" s="23" t="str">
        <x:v>Matched</x:v>
      </x:c>
      <x:c r="H91" s="23" t="str">
        <x:v>ECI Graph Data!87</x:v>
      </x:c>
    </x:row>
    <x:row r="92">
      <x:c r="A92" s="17" t="str">
        <x:v>ECI Graph Data</x:v>
      </x:c>
      <x:c r="B92" s="23" t="str">
        <x:v>GPT-4.5</x:v>
      </x:c>
      <x:c r="C92" s="23" t="str">
        <x:v>openai:gpt-4-5</x:v>
      </x:c>
      <x:c r="D92" s="23" t="str">
        <x:v>GPT-4.5</x:v>
      </x:c>
      <x:c r="E92" s="23" t="str">
        <x:v>Exact self identity</x:v>
      </x:c>
      <x:c r="F92" s="23" t="str">
        <x:v>Manual schema review</x:v>
      </x:c>
      <x:c r="G92" s="23" t="str">
        <x:v>Matched</x:v>
      </x:c>
      <x:c r="H92" s="23" t="str">
        <x:v>ECI Graph Data!88</x:v>
      </x:c>
    </x:row>
    <x:row r="93">
      <x:c r="A93" s="17" t="str">
        <x:v>ECI Graph Data</x:v>
      </x:c>
      <x:c r="B93" s="23" t="str">
        <x:v>GPT-4.1</x:v>
      </x:c>
      <x:c r="C93" s="23" t="str">
        <x:v>openai:gpt-4-1</x:v>
      </x:c>
      <x:c r="D93" s="23" t="str">
        <x:v>GPT-4.1</x:v>
      </x:c>
      <x:c r="E93" s="23" t="str">
        <x:v>Exact self identity</x:v>
      </x:c>
      <x:c r="F93" s="23" t="str">
        <x:v>Manual schema review</x:v>
      </x:c>
      <x:c r="G93" s="23" t="str">
        <x:v>Matched</x:v>
      </x:c>
      <x:c r="H93" s="23" t="str">
        <x:v>ECI Graph Data!89</x:v>
      </x:c>
    </x:row>
    <x:row r="94">
      <x:c r="A94" s="17" t="str">
        <x:v>ECI Graph Data</x:v>
      </x:c>
      <x:c r="B94" s="23" t="str">
        <x:v>DeepSeek-V3 (Mar 2025)</x:v>
      </x:c>
      <x:c r="C94" s="23" t="str">
        <x:v>deepseek:deepseek-v3-mar-2025</x:v>
      </x:c>
      <x:c r="D94" s="23" t="str">
        <x:v>DeepSeek-V3 (Mar 2025)</x:v>
      </x:c>
      <x:c r="E94" s="23" t="str">
        <x:v>Exact self identity</x:v>
      </x:c>
      <x:c r="F94" s="23" t="str">
        <x:v>Manual schema review</x:v>
      </x:c>
      <x:c r="G94" s="23" t="str">
        <x:v>Matched</x:v>
      </x:c>
      <x:c r="H94" s="23" t="str">
        <x:v>ECI Graph Data!90</x:v>
      </x:c>
    </x:row>
    <x:row r="95">
      <x:c r="A95" s="17" t="str">
        <x:v>ECI Graph Data</x:v>
      </x:c>
      <x:c r="B95" s="23" t="str">
        <x:v>o1-mini</x:v>
      </x:c>
      <x:c r="C95" s="23" t="str">
        <x:v>openai:o1-mini</x:v>
      </x:c>
      <x:c r="D95" s="23" t="str">
        <x:v>o1-mini</x:v>
      </x:c>
      <x:c r="E95" s="23" t="str">
        <x:v>Exact self identity</x:v>
      </x:c>
      <x:c r="F95" s="23" t="str">
        <x:v>Manual schema review</x:v>
      </x:c>
      <x:c r="G95" s="23" t="str">
        <x:v>Matched</x:v>
      </x:c>
      <x:c r="H95" s="23" t="str">
        <x:v>ECI Graph Data!91</x:v>
      </x:c>
    </x:row>
    <x:row r="96">
      <x:c r="A96" s="17" t="str">
        <x:v>ECI Graph Data</x:v>
      </x:c>
      <x:c r="B96" s="23" t="str">
        <x:v>Gemini 2.0 Flash Thinking (Jan 2025)</x:v>
      </x:c>
      <x:c r="C96" s="23" t="str">
        <x:v>google:gemini-2-0-flash-thinking-jan-2025</x:v>
      </x:c>
      <x:c r="D96" s="23" t="str">
        <x:v>Gemini 2.0 Flash Thinking (Jan 2025)</x:v>
      </x:c>
      <x:c r="E96" s="23" t="str">
        <x:v>Exact self identity</x:v>
      </x:c>
      <x:c r="F96" s="23" t="str">
        <x:v>Manual schema review</x:v>
      </x:c>
      <x:c r="G96" s="23" t="str">
        <x:v>Matched</x:v>
      </x:c>
      <x:c r="H96" s="23" t="str">
        <x:v>ECI Graph Data!92</x:v>
      </x:c>
    </x:row>
    <x:row r="97">
      <x:c r="A97" s="17" t="str">
        <x:v>ECI Graph Data</x:v>
      </x:c>
      <x:c r="B97" s="23" t="str">
        <x:v>o1-preview</x:v>
      </x:c>
      <x:c r="C97" s="23" t="str">
        <x:v>openai:o1-preview</x:v>
      </x:c>
      <x:c r="D97" s="23" t="str">
        <x:v>o1-preview</x:v>
      </x:c>
      <x:c r="E97" s="23" t="str">
        <x:v>Exact self identity</x:v>
      </x:c>
      <x:c r="F97" s="23" t="str">
        <x:v>Manual schema review</x:v>
      </x:c>
      <x:c r="G97" s="23" t="str">
        <x:v>Matched</x:v>
      </x:c>
      <x:c r="H97" s="23" t="str">
        <x:v>ECI Graph Data!93</x:v>
      </x:c>
    </x:row>
    <x:row r="98">
      <x:c r="A98" s="17" t="str">
        <x:v>ECI Graph Data</x:v>
      </x:c>
      <x:c r="B98" s="23" t="str">
        <x:v>GPT-4.1 mini</x:v>
      </x:c>
      <x:c r="C98" s="23" t="str">
        <x:v>openai:gpt-4-1-mini</x:v>
      </x:c>
      <x:c r="D98" s="23" t="str">
        <x:v>GPT-4.1 mini</x:v>
      </x:c>
      <x:c r="E98" s="23" t="str">
        <x:v>Exact self identity</x:v>
      </x:c>
      <x:c r="F98" s="23" t="str">
        <x:v>Manual schema review</x:v>
      </x:c>
      <x:c r="G98" s="23" t="str">
        <x:v>Matched</x:v>
      </x:c>
      <x:c r="H98" s="23" t="str">
        <x:v>ECI Graph Data!94</x:v>
      </x:c>
    </x:row>
    <x:row r="99">
      <x:c r="A99" s="17" t="str">
        <x:v>ECI Graph Data</x:v>
      </x:c>
      <x:c r="B99" s="23" t="str">
        <x:v>Gemini 2.0 Flash (Feb 2025)</x:v>
      </x:c>
      <x:c r="C99" s="23" t="str">
        <x:v>google:gemini-2-0-flash-feb-2025</x:v>
      </x:c>
      <x:c r="D99" s="23" t="str">
        <x:v>Gemini 2.0 Flash (Feb 2025)</x:v>
      </x:c>
      <x:c r="E99" s="23" t="str">
        <x:v>Exact self identity</x:v>
      </x:c>
      <x:c r="F99" s="23" t="str">
        <x:v>Manual schema review</x:v>
      </x:c>
      <x:c r="G99" s="23" t="str">
        <x:v>Matched</x:v>
      </x:c>
      <x:c r="H99" s="23" t="str">
        <x:v>ECI Graph Data!95</x:v>
      </x:c>
    </x:row>
    <x:row r="100">
      <x:c r="A100" s="17" t="str">
        <x:v>ECI Graph Data</x:v>
      </x:c>
      <x:c r="B100" s="23" t="str">
        <x:v>Gemini 2.0 Pro</x:v>
      </x:c>
      <x:c r="C100" s="23" t="str">
        <x:v>google:gemini-2-0-pro</x:v>
      </x:c>
      <x:c r="D100" s="23" t="str">
        <x:v>Gemini 2.0 Pro</x:v>
      </x:c>
      <x:c r="E100" s="23" t="str">
        <x:v>Exact self identity</x:v>
      </x:c>
      <x:c r="F100" s="23" t="str">
        <x:v>Manual schema review</x:v>
      </x:c>
      <x:c r="G100" s="23" t="str">
        <x:v>Matched</x:v>
      </x:c>
      <x:c r="H100" s="23" t="str">
        <x:v>ECI Graph Data!96</x:v>
      </x:c>
    </x:row>
    <x:row r="101">
      <x:c r="A101" s="17" t="str">
        <x:v>ECI Graph Data</x:v>
      </x:c>
      <x:c r="B101" s="23" t="str">
        <x:v>Mistral Medium 3</x:v>
      </x:c>
      <x:c r="C101" s="23" t="str">
        <x:v>mistral:mistral-medium-3</x:v>
      </x:c>
      <x:c r="D101" s="23" t="str">
        <x:v>Mistral Medium 3</x:v>
      </x:c>
      <x:c r="E101" s="23" t="str">
        <x:v>Exact self identity</x:v>
      </x:c>
      <x:c r="F101" s="23" t="str">
        <x:v>Manual schema review</x:v>
      </x:c>
      <x:c r="G101" s="23" t="str">
        <x:v>Matched</x:v>
      </x:c>
      <x:c r="H101" s="23" t="str">
        <x:v>ECI Graph Data!97</x:v>
      </x:c>
    </x:row>
    <x:row r="102">
      <x:c r="A102" s="17" t="str">
        <x:v>ECI Graph Data</x:v>
      </x:c>
      <x:c r="B102" s="23" t="str">
        <x:v>Gemini 2.0 Flash (Dec 2024)</x:v>
      </x:c>
      <x:c r="C102" s="23" t="str">
        <x:v>google:gemini-2-0-flash-dec-2024</x:v>
      </x:c>
      <x:c r="D102" s="23" t="str">
        <x:v>Gemini 2.0 Flash (Dec 2024)</x:v>
      </x:c>
      <x:c r="E102" s="23" t="str">
        <x:v>Exact self identity</x:v>
      </x:c>
      <x:c r="F102" s="23" t="str">
        <x:v>Manual schema review</x:v>
      </x:c>
      <x:c r="G102" s="23" t="str">
        <x:v>Matched</x:v>
      </x:c>
      <x:c r="H102" s="23" t="str">
        <x:v>ECI Graph Data!98</x:v>
      </x:c>
    </x:row>
    <x:row r="103">
      <x:c r="A103" s="17" t="str">
        <x:v>ECI Graph Data</x:v>
      </x:c>
      <x:c r="B103" s="23" t="str">
        <x:v>Claude 3.5 Sonnet (October 2024)</x:v>
      </x:c>
      <x:c r="C103" s="23" t="str">
        <x:v>anthropic:claude-3-5-sonnet-october-2024</x:v>
      </x:c>
      <x:c r="D103" s="23" t="str">
        <x:v>Claude 3.5 Sonnet (October 2024)</x:v>
      </x:c>
      <x:c r="E103" s="23" t="str">
        <x:v>Exact self identity</x:v>
      </x:c>
      <x:c r="F103" s="23" t="str">
        <x:v>Manual schema review</x:v>
      </x:c>
      <x:c r="G103" s="23" t="str">
        <x:v>Matched</x:v>
      </x:c>
      <x:c r="H103" s="23" t="str">
        <x:v>ECI Graph Data!99</x:v>
      </x:c>
    </x:row>
    <x:row r="104">
      <x:c r="A104" s="17" t="str">
        <x:v>ECI Graph Data</x:v>
      </x:c>
      <x:c r="B104" s="23" t="str">
        <x:v>Qwen2.5-Max</x:v>
      </x:c>
      <x:c r="C104" s="23" t="str">
        <x:v>alibaba:qwen2-5-max</x:v>
      </x:c>
      <x:c r="D104" s="23" t="str">
        <x:v>Qwen2.5-Max</x:v>
      </x:c>
      <x:c r="E104" s="23" t="str">
        <x:v>Exact self identity</x:v>
      </x:c>
      <x:c r="F104" s="23" t="str">
        <x:v>Manual schema review</x:v>
      </x:c>
      <x:c r="G104" s="23" t="str">
        <x:v>Matched</x:v>
      </x:c>
      <x:c r="H104" s="23" t="str">
        <x:v>ECI Graph Data!100</x:v>
      </x:c>
    </x:row>
    <x:row r="105">
      <x:c r="A105" s="17" t="str">
        <x:v>ECI Graph Data</x:v>
      </x:c>
      <x:c r="B105" s="23" t="str">
        <x:v>Magistral Small 1.1</x:v>
      </x:c>
      <x:c r="C105" s="23" t="str">
        <x:v>mistral:magistral-small-1-1</x:v>
      </x:c>
      <x:c r="D105" s="23" t="str">
        <x:v>Magistral Small 1.1</x:v>
      </x:c>
      <x:c r="E105" s="23" t="str">
        <x:v>Exact self identity</x:v>
      </x:c>
      <x:c r="F105" s="23" t="str">
        <x:v>Manual schema review</x:v>
      </x:c>
      <x:c r="G105" s="23" t="str">
        <x:v>Matched</x:v>
      </x:c>
      <x:c r="H105" s="23" t="str">
        <x:v>ECI Graph Data!101</x:v>
      </x:c>
    </x:row>
    <x:row r="106">
      <x:c r="A106" s="17" t="str">
        <x:v>ECI Graph Data</x:v>
      </x:c>
      <x:c r="B106" s="23" t="str">
        <x:v>Llama 4 Maverick</x:v>
      </x:c>
      <x:c r="C106" s="23" t="str">
        <x:v>meta:llama-4-maverick</x:v>
      </x:c>
      <x:c r="D106" s="23" t="str">
        <x:v>Llama 4 Maverick</x:v>
      </x:c>
      <x:c r="E106" s="23" t="str">
        <x:v>Exact self identity</x:v>
      </x:c>
      <x:c r="F106" s="23" t="str">
        <x:v>Manual schema review</x:v>
      </x:c>
      <x:c r="G106" s="23" t="str">
        <x:v>Matched</x:v>
      </x:c>
      <x:c r="H106" s="23" t="str">
        <x:v>ECI Graph Data!102</x:v>
      </x:c>
    </x:row>
    <x:row r="107">
      <x:c r="A107" s="17" t="str">
        <x:v>ECI Graph Data</x:v>
      </x:c>
      <x:c r="B107" s="23" t="str">
        <x:v>DeepSeek-V3</x:v>
      </x:c>
      <x:c r="C107" s="23" t="str">
        <x:v>deepseek:deepseek-v3</x:v>
      </x:c>
      <x:c r="D107" s="23" t="str">
        <x:v>DeepSeek-V3</x:v>
      </x:c>
      <x:c r="E107" s="23" t="str">
        <x:v>Exact self identity</x:v>
      </x:c>
      <x:c r="F107" s="23" t="str">
        <x:v>Manual schema review</x:v>
      </x:c>
      <x:c r="G107" s="23" t="str">
        <x:v>Matched</x:v>
      </x:c>
      <x:c r="H107" s="23" t="str">
        <x:v>ECI Graph Data!103</x:v>
      </x:c>
    </x:row>
    <x:row r="108">
      <x:c r="A108" s="17" t="str">
        <x:v>ECI Graph Data</x:v>
      </x:c>
      <x:c r="B108" s="23" t="str">
        <x:v>Gemini 1.5 Pro (Sept 2024)</x:v>
      </x:c>
      <x:c r="C108" s="23" t="str">
        <x:v>google:gemini-1-5-pro-sept-2024</x:v>
      </x:c>
      <x:c r="D108" s="23" t="str">
        <x:v>Gemini 1.5 Pro (Sept 2024)</x:v>
      </x:c>
      <x:c r="E108" s="23" t="str">
        <x:v>Exact self identity</x:v>
      </x:c>
      <x:c r="F108" s="23" t="str">
        <x:v>Manual schema review</x:v>
      </x:c>
      <x:c r="G108" s="23" t="str">
        <x:v>Matched</x:v>
      </x:c>
      <x:c r="H108" s="23" t="str">
        <x:v>ECI Graph Data!104</x:v>
      </x:c>
    </x:row>
    <x:row r="109">
      <x:c r="A109" s="17" t="str">
        <x:v>ECI Graph Data</x:v>
      </x:c>
      <x:c r="B109" s="23" t="str">
        <x:v>Gemma 3 27B</x:v>
      </x:c>
      <x:c r="C109" s="23" t="str">
        <x:v>google:gemma-3-27b</x:v>
      </x:c>
      <x:c r="D109" s="23" t="str">
        <x:v>Gemma 3 27B</x:v>
      </x:c>
      <x:c r="E109" s="23" t="str">
        <x:v>Exact self identity</x:v>
      </x:c>
      <x:c r="F109" s="23" t="str">
        <x:v>Manual schema review</x:v>
      </x:c>
      <x:c r="G109" s="23" t="str">
        <x:v>Matched</x:v>
      </x:c>
      <x:c r="H109" s="23" t="str">
        <x:v>ECI Graph Data!105</x:v>
      </x:c>
    </x:row>
    <x:row r="110">
      <x:c r="A110" s="17" t="str">
        <x:v>ECI Graph Data</x:v>
      </x:c>
      <x:c r="B110" s="23" t="str">
        <x:v>Phi-4</x:v>
      </x:c>
      <x:c r="C110" s="23" t="str">
        <x:v>microsoft-research:phi-4</x:v>
      </x:c>
      <x:c r="D110" s="23" t="str">
        <x:v>Phi-4</x:v>
      </x:c>
      <x:c r="E110" s="23" t="str">
        <x:v>Exact self identity</x:v>
      </x:c>
      <x:c r="F110" s="23" t="str">
        <x:v>Manual schema review</x:v>
      </x:c>
      <x:c r="G110" s="23" t="str">
        <x:v>Matched</x:v>
      </x:c>
      <x:c r="H110" s="23" t="str">
        <x:v>ECI Graph Data!106</x:v>
      </x:c>
    </x:row>
    <x:row r="111">
      <x:c r="A111" s="17" t="str">
        <x:v>ECI Graph Data</x:v>
      </x:c>
      <x:c r="B111" s="23" t="str">
        <x:v>GPT-4.1 nano</x:v>
      </x:c>
      <x:c r="C111" s="23" t="str">
        <x:v>openai:gpt-4-1-nano</x:v>
      </x:c>
      <x:c r="D111" s="23" t="str">
        <x:v>GPT-4.1 nano</x:v>
      </x:c>
      <x:c r="E111" s="23" t="str">
        <x:v>Exact self identity</x:v>
      </x:c>
      <x:c r="F111" s="23" t="str">
        <x:v>Manual schema review</x:v>
      </x:c>
      <x:c r="G111" s="23" t="str">
        <x:v>Matched</x:v>
      </x:c>
      <x:c r="H111" s="23" t="str">
        <x:v>ECI Graph Data!107</x:v>
      </x:c>
    </x:row>
    <x:row r="112">
      <x:c r="A112" s="17" t="str">
        <x:v>ECI Graph Data</x:v>
      </x:c>
      <x:c r="B112" s="23" t="str">
        <x:v>Grok-2 (Dec 2024)</x:v>
      </x:c>
      <x:c r="C112" s="23" t="str">
        <x:v>xai:grok-2-dec-2024</x:v>
      </x:c>
      <x:c r="D112" s="23" t="str">
        <x:v>Grok-2 (Dec 2024)</x:v>
      </x:c>
      <x:c r="E112" s="23" t="str">
        <x:v>Exact self identity</x:v>
      </x:c>
      <x:c r="F112" s="23" t="str">
        <x:v>Manual schema review</x:v>
      </x:c>
      <x:c r="G112" s="23" t="str">
        <x:v>Matched</x:v>
      </x:c>
      <x:c r="H112" s="23" t="str">
        <x:v>ECI Graph Data!108</x:v>
      </x:c>
    </x:row>
    <x:row r="113">
      <x:c r="A113" s="17" t="str">
        <x:v>ECI Graph Data</x:v>
      </x:c>
      <x:c r="B113" s="23" t="str">
        <x:v>Llama 4 Scout</x:v>
      </x:c>
      <x:c r="C113" s="23" t="str">
        <x:v>meta:llama-4-scout</x:v>
      </x:c>
      <x:c r="D113" s="23" t="str">
        <x:v>Llama 4 Scout</x:v>
      </x:c>
      <x:c r="E113" s="23" t="str">
        <x:v>Exact self identity</x:v>
      </x:c>
      <x:c r="F113" s="23" t="str">
        <x:v>Manual schema review</x:v>
      </x:c>
      <x:c r="G113" s="23" t="str">
        <x:v>Matched</x:v>
      </x:c>
      <x:c r="H113" s="23" t="str">
        <x:v>ECI Graph Data!109</x:v>
      </x:c>
    </x:row>
    <x:row r="114">
      <x:c r="A114" s="17" t="str">
        <x:v>ECI Graph Data</x:v>
      </x:c>
      <x:c r="B114" s="23" t="str">
        <x:v>Gemini 1.5 Flash (Sep 2024)</x:v>
      </x:c>
      <x:c r="C114" s="23" t="str">
        <x:v>google:gemini-1-5-flash-sep-2024</x:v>
      </x:c>
      <x:c r="D114" s="23" t="str">
        <x:v>Gemini 1.5 Flash (Sep 2024)</x:v>
      </x:c>
      <x:c r="E114" s="23" t="str">
        <x:v>Exact self identity</x:v>
      </x:c>
      <x:c r="F114" s="23" t="str">
        <x:v>Manual schema review</x:v>
      </x:c>
      <x:c r="G114" s="23" t="str">
        <x:v>Matched</x:v>
      </x:c>
      <x:c r="H114" s="23" t="str">
        <x:v>ECI Graph Data!110</x:v>
      </x:c>
    </x:row>
    <x:row r="115">
      <x:c r="A115" s="17" t="str">
        <x:v>ECI Graph Data</x:v>
      </x:c>
      <x:c r="B115" s="23" t="str">
        <x:v>Claude 3.5 Sonnet</x:v>
      </x:c>
      <x:c r="C115" s="23" t="str">
        <x:v>anthropic:claude-3-5-sonnet</x:v>
      </x:c>
      <x:c r="D115" s="23" t="str">
        <x:v>Claude 3.5 Sonnet</x:v>
      </x:c>
      <x:c r="E115" s="23" t="str">
        <x:v>Exact self identity</x:v>
      </x:c>
      <x:c r="F115" s="23" t="str">
        <x:v>Manual schema review</x:v>
      </x:c>
      <x:c r="G115" s="23" t="str">
        <x:v>Matched</x:v>
      </x:c>
      <x:c r="H115" s="23" t="str">
        <x:v>ECI Graph Data!111</x:v>
      </x:c>
    </x:row>
    <x:row r="116">
      <x:c r="A116" s="17" t="str">
        <x:v>ECI Graph Data</x:v>
      </x:c>
      <x:c r="B116" s="23" t="str">
        <x:v>GPT-4o (Nov 2024)</x:v>
      </x:c>
      <x:c r="C116" s="23" t="str">
        <x:v>openai:gpt-4o-nov-2024</x:v>
      </x:c>
      <x:c r="D116" s="23" t="str">
        <x:v>GPT-4o (Nov 2024)</x:v>
      </x:c>
      <x:c r="E116" s="23" t="str">
        <x:v>Exact self identity</x:v>
      </x:c>
      <x:c r="F116" s="23" t="str">
        <x:v>Manual schema review</x:v>
      </x:c>
      <x:c r="G116" s="23" t="str">
        <x:v>Matched</x:v>
      </x:c>
      <x:c r="H116" s="23" t="str">
        <x:v>ECI Graph Data!112</x:v>
      </x:c>
    </x:row>
    <x:row r="117">
      <x:c r="A117" s="17" t="str">
        <x:v>ECI Graph Data</x:v>
      </x:c>
      <x:c r="B117" s="23" t="str">
        <x:v>GPT-4o (Aug 2024)</x:v>
      </x:c>
      <x:c r="C117" s="23" t="str">
        <x:v>openai:gpt-4o-aug-2024</x:v>
      </x:c>
      <x:c r="D117" s="23" t="str">
        <x:v>GPT-4o (Aug 2024)</x:v>
      </x:c>
      <x:c r="E117" s="23" t="str">
        <x:v>Exact self identity</x:v>
      </x:c>
      <x:c r="F117" s="23" t="str">
        <x:v>Manual schema review</x:v>
      </x:c>
      <x:c r="G117" s="23" t="str">
        <x:v>Matched</x:v>
      </x:c>
      <x:c r="H117" s="23" t="str">
        <x:v>ECI Graph Data!113</x:v>
      </x:c>
    </x:row>
    <x:row r="118">
      <x:c r="A118" s="17" t="str">
        <x:v>ECI Graph Data</x:v>
      </x:c>
      <x:c r="B118" s="23" t="str">
        <x:v>Qwen2.5-72B</x:v>
      </x:c>
      <x:c r="C118" s="23" t="str">
        <x:v>alibaba:qwen2-5-72b</x:v>
      </x:c>
      <x:c r="D118" s="23" t="str">
        <x:v>Qwen2.5-72B</x:v>
      </x:c>
      <x:c r="E118" s="23" t="str">
        <x:v>Exact self identity</x:v>
      </x:c>
      <x:c r="F118" s="23" t="str">
        <x:v>Manual schema review</x:v>
      </x:c>
      <x:c r="G118" s="23" t="str">
        <x:v>Matched</x:v>
      </x:c>
      <x:c r="H118" s="23" t="str">
        <x:v>ECI Graph Data!114</x:v>
      </x:c>
    </x:row>
    <x:row r="119">
      <x:c r="A119" s="17" t="str">
        <x:v>ECI Graph Data</x:v>
      </x:c>
      <x:c r="B119" s="23" t="str">
        <x:v>Llama 3.1-405B</x:v>
      </x:c>
      <x:c r="C119" s="23" t="str">
        <x:v>meta:llama-3-1-405b</x:v>
      </x:c>
      <x:c r="D119" s="23" t="str">
        <x:v>Llama 3.1-405B</x:v>
      </x:c>
      <x:c r="E119" s="23" t="str">
        <x:v>Exact self identity</x:v>
      </x:c>
      <x:c r="F119" s="23" t="str">
        <x:v>Manual schema review</x:v>
      </x:c>
      <x:c r="G119" s="23" t="str">
        <x:v>Matched</x:v>
      </x:c>
      <x:c r="H119" s="23" t="str">
        <x:v>ECI Graph Data!115</x:v>
      </x:c>
    </x:row>
    <x:row r="120">
      <x:c r="A120" s="17" t="str">
        <x:v>ECI Graph Data</x:v>
      </x:c>
      <x:c r="B120" s="23" t="str">
        <x:v>GPT-4o (May 2024)</x:v>
      </x:c>
      <x:c r="C120" s="23" t="str">
        <x:v>openai:gpt-4o-may-2024</x:v>
      </x:c>
      <x:c r="D120" s="23" t="str">
        <x:v>GPT-4o (May 2024)</x:v>
      </x:c>
      <x:c r="E120" s="23" t="str">
        <x:v>Exact self identity</x:v>
      </x:c>
      <x:c r="F120" s="23" t="str">
        <x:v>Manual schema review</x:v>
      </x:c>
      <x:c r="G120" s="23" t="str">
        <x:v>Matched</x:v>
      </x:c>
      <x:c r="H120" s="23" t="str">
        <x:v>ECI Graph Data!116</x:v>
      </x:c>
    </x:row>
    <x:row r="121">
      <x:c r="A121" s="17" t="str">
        <x:v>ECI Graph Data</x:v>
      </x:c>
      <x:c r="B121" s="23" t="str">
        <x:v>Mistral Large 2 (Nov 2024)</x:v>
      </x:c>
      <x:c r="C121" s="23" t="str">
        <x:v>mistral:mistral-large-2-nov-2024</x:v>
      </x:c>
      <x:c r="D121" s="23" t="str">
        <x:v>Mistral Large 2 (Nov 2024)</x:v>
      </x:c>
      <x:c r="E121" s="23" t="str">
        <x:v>Exact self identity</x:v>
      </x:c>
      <x:c r="F121" s="23" t="str">
        <x:v>Manual schema review</x:v>
      </x:c>
      <x:c r="G121" s="23" t="str">
        <x:v>Matched</x:v>
      </x:c>
      <x:c r="H121" s="23" t="str">
        <x:v>ECI Graph Data!117</x:v>
      </x:c>
    </x:row>
    <x:row r="122">
      <x:c r="A122" s="17" t="str">
        <x:v>ECI Graph Data</x:v>
      </x:c>
      <x:c r="B122" s="23" t="str">
        <x:v>Mistral Small 3.1</x:v>
      </x:c>
      <x:c r="C122" s="23" t="str">
        <x:v>mistral:mistral-small-3-1</x:v>
      </x:c>
      <x:c r="D122" s="23" t="str">
        <x:v>Mistral Small 3.1</x:v>
      </x:c>
      <x:c r="E122" s="23" t="str">
        <x:v>Exact self identity</x:v>
      </x:c>
      <x:c r="F122" s="23" t="str">
        <x:v>Manual schema review</x:v>
      </x:c>
      <x:c r="G122" s="23" t="str">
        <x:v>Matched</x:v>
      </x:c>
      <x:c r="H122" s="23" t="str">
        <x:v>ECI Graph Data!118</x:v>
      </x:c>
    </x:row>
    <x:row r="123">
      <x:c r="A123" s="17" t="str">
        <x:v>ECI Graph Data</x:v>
      </x:c>
      <x:c r="B123" s="23" t="str">
        <x:v>GPT-4 Turbo (Apr 2024)</x:v>
      </x:c>
      <x:c r="C123" s="23" t="str">
        <x:v>openai:gpt-4-turbo-apr-2024</x:v>
      </x:c>
      <x:c r="D123" s="23" t="str">
        <x:v>GPT-4 Turbo (Apr 2024)</x:v>
      </x:c>
      <x:c r="E123" s="23" t="str">
        <x:v>Exact self identity</x:v>
      </x:c>
      <x:c r="F123" s="23" t="str">
        <x:v>Manual schema review</x:v>
      </x:c>
      <x:c r="G123" s="23" t="str">
        <x:v>Matched</x:v>
      </x:c>
      <x:c r="H123" s="23" t="str">
        <x:v>ECI Graph Data!119</x:v>
      </x:c>
    </x:row>
    <x:row r="124">
      <x:c r="A124" s="17" t="str">
        <x:v>ECI Graph Data</x:v>
      </x:c>
      <x:c r="B124" s="23" t="str">
        <x:v>Mistral Large 2 (Jul 2024)</x:v>
      </x:c>
      <x:c r="C124" s="23" t="str">
        <x:v>mistral:mistral-large-2-jul-2024</x:v>
      </x:c>
      <x:c r="D124" s="23" t="str">
        <x:v>Mistral Large 2 (Jul 2024)</x:v>
      </x:c>
      <x:c r="E124" s="23" t="str">
        <x:v>Exact self identity</x:v>
      </x:c>
      <x:c r="F124" s="23" t="str">
        <x:v>Manual schema review</x:v>
      </x:c>
      <x:c r="G124" s="23" t="str">
        <x:v>Matched</x:v>
      </x:c>
      <x:c r="H124" s="23" t="str">
        <x:v>ECI Graph Data!120</x:v>
      </x:c>
    </x:row>
    <x:row r="125">
      <x:c r="A125" s="17" t="str">
        <x:v>ECI Graph Data</x:v>
      </x:c>
      <x:c r="B125" s="23" t="str">
        <x:v>Claude 3.5 Haiku</x:v>
      </x:c>
      <x:c r="C125" s="23" t="str">
        <x:v>anthropic:claude-3-5-haiku</x:v>
      </x:c>
      <x:c r="D125" s="23" t="str">
        <x:v>Claude 3.5 Haiku</x:v>
      </x:c>
      <x:c r="E125" s="23" t="str">
        <x:v>Exact self identity</x:v>
      </x:c>
      <x:c r="F125" s="23" t="str">
        <x:v>Manual schema review</x:v>
      </x:c>
      <x:c r="G125" s="23" t="str">
        <x:v>Matched</x:v>
      </x:c>
      <x:c r="H125" s="23" t="str">
        <x:v>ECI Graph Data!121</x:v>
      </x:c>
    </x:row>
    <x:row r="126">
      <x:c r="A126" s="17" t="str">
        <x:v>ECI Graph Data</x:v>
      </x:c>
      <x:c r="B126" s="23" t="str">
        <x:v>Llama 3.3 70B</x:v>
      </x:c>
      <x:c r="C126" s="23" t="str">
        <x:v>meta:llama-3-3-70b</x:v>
      </x:c>
      <x:c r="D126" s="23" t="str">
        <x:v>Llama 3.3 70B</x:v>
      </x:c>
      <x:c r="E126" s="23" t="str">
        <x:v>Exact self identity</x:v>
      </x:c>
      <x:c r="F126" s="23" t="str">
        <x:v>Manual schema review</x:v>
      </x:c>
      <x:c r="G126" s="23" t="str">
        <x:v>Matched</x:v>
      </x:c>
      <x:c r="H126" s="23" t="str">
        <x:v>ECI Graph Data!122</x:v>
      </x:c>
    </x:row>
    <x:row r="127">
      <x:c r="A127" s="17" t="str">
        <x:v>ECI Graph Data</x:v>
      </x:c>
      <x:c r="B127" s="23" t="str">
        <x:v>Gemini 1.5 Pro (May 2024)</x:v>
      </x:c>
      <x:c r="C127" s="23" t="str">
        <x:v>google:gemini-1-5-pro-may-2024</x:v>
      </x:c>
      <x:c r="D127" s="23" t="str">
        <x:v>Gemini 1.5 Pro (May 2024)</x:v>
      </x:c>
      <x:c r="E127" s="23" t="str">
        <x:v>Exact self identity</x:v>
      </x:c>
      <x:c r="F127" s="23" t="str">
        <x:v>Manual schema review</x:v>
      </x:c>
      <x:c r="G127" s="23" t="str">
        <x:v>Matched</x:v>
      </x:c>
      <x:c r="H127" s="23" t="str">
        <x:v>ECI Graph Data!123</x:v>
      </x:c>
    </x:row>
    <x:row r="128">
      <x:c r="A128" s="17" t="str">
        <x:v>ECI Graph Data</x:v>
      </x:c>
      <x:c r="B128" s="23" t="str">
        <x:v>GPT-4o mini</x:v>
      </x:c>
      <x:c r="C128" s="23" t="str">
        <x:v>openai:gpt-4o-mini</x:v>
      </x:c>
      <x:c r="D128" s="23" t="str">
        <x:v>GPT-4o mini</x:v>
      </x:c>
      <x:c r="E128" s="23" t="str">
        <x:v>Exact self identity</x:v>
      </x:c>
      <x:c r="F128" s="23" t="str">
        <x:v>Manual schema review</x:v>
      </x:c>
      <x:c r="G128" s="23" t="str">
        <x:v>Matched</x:v>
      </x:c>
      <x:c r="H128" s="23" t="str">
        <x:v>ECI Graph Data!124</x:v>
      </x:c>
    </x:row>
    <x:row r="129">
      <x:c r="A129" s="17" t="str">
        <x:v>ECI Graph Data</x:v>
      </x:c>
      <x:c r="B129" s="23" t="str">
        <x:v>Claude 3 Opus</x:v>
      </x:c>
      <x:c r="C129" s="23" t="str">
        <x:v>anthropic:claude-3-opus</x:v>
      </x:c>
      <x:c r="D129" s="23" t="str">
        <x:v>Claude 3 Opus</x:v>
      </x:c>
      <x:c r="E129" s="23" t="str">
        <x:v>Exact self identity</x:v>
      </x:c>
      <x:c r="F129" s="23" t="str">
        <x:v>Manual schema review</x:v>
      </x:c>
      <x:c r="G129" s="23" t="str">
        <x:v>Matched</x:v>
      </x:c>
      <x:c r="H129" s="23" t="str">
        <x:v>ECI Graph Data!125</x:v>
      </x:c>
    </x:row>
    <x:row r="130">
      <x:c r="A130" s="17" t="str">
        <x:v>ECI Graph Data</x:v>
      </x:c>
      <x:c r="B130" s="23" t="str">
        <x:v>GPT-4 (Mar 2023)</x:v>
      </x:c>
      <x:c r="C130" s="23" t="str">
        <x:v>openai:gpt-4-mar-2023</x:v>
      </x:c>
      <x:c r="D130" s="23" t="str">
        <x:v>GPT-4 (Mar 2023)</x:v>
      </x:c>
      <x:c r="E130" s="23" t="str">
        <x:v>Exact self identity</x:v>
      </x:c>
      <x:c r="F130" s="23" t="str">
        <x:v>Manual schema review</x:v>
      </x:c>
      <x:c r="G130" s="23" t="str">
        <x:v>Matched</x:v>
      </x:c>
      <x:c r="H130" s="23" t="str">
        <x:v>ECI Graph Data!126</x:v>
      </x:c>
    </x:row>
    <x:row r="131">
      <x:c r="A131" s="17" t="str">
        <x:v>ECI Graph Data</x:v>
      </x:c>
      <x:c r="B131" s="23" t="str">
        <x:v>Llama 3.2 90B</x:v>
      </x:c>
      <x:c r="C131" s="23" t="str">
        <x:v>meta:llama-3-2-90b</x:v>
      </x:c>
      <x:c r="D131" s="23" t="str">
        <x:v>Llama 3.2 90B</x:v>
      </x:c>
      <x:c r="E131" s="23" t="str">
        <x:v>Exact self identity</x:v>
      </x:c>
      <x:c r="F131" s="23" t="str">
        <x:v>Manual schema review</x:v>
      </x:c>
      <x:c r="G131" s="23" t="str">
        <x:v>Matched</x:v>
      </x:c>
      <x:c r="H131" s="23" t="str">
        <x:v>ECI Graph Data!127</x:v>
      </x:c>
    </x:row>
    <x:row r="132">
      <x:c r="A132" s="17" t="str">
        <x:v>ECI Graph Data</x:v>
      </x:c>
      <x:c r="B132" s="23" t="str">
        <x:v>Llama 3.1-70B</x:v>
      </x:c>
      <x:c r="C132" s="23" t="str">
        <x:v>meta:llama-3-1-70b</x:v>
      </x:c>
      <x:c r="D132" s="23" t="str">
        <x:v>Llama 3.1-70B</x:v>
      </x:c>
      <x:c r="E132" s="23" t="str">
        <x:v>Exact self identity</x:v>
      </x:c>
      <x:c r="F132" s="23" t="str">
        <x:v>Manual schema review</x:v>
      </x:c>
      <x:c r="G132" s="23" t="str">
        <x:v>Matched</x:v>
      </x:c>
      <x:c r="H132" s="23" t="str">
        <x:v>ECI Graph Data!128</x:v>
      </x:c>
    </x:row>
    <x:row r="133">
      <x:c r="A133" s="17" t="str">
        <x:v>ECI Graph Data</x:v>
      </x:c>
      <x:c r="B133" s="23" t="str">
        <x:v>Qwen2-72B</x:v>
      </x:c>
      <x:c r="C133" s="23" t="str">
        <x:v>alibaba:qwen2-72b</x:v>
      </x:c>
      <x:c r="D133" s="23" t="str">
        <x:v>Qwen2-72B</x:v>
      </x:c>
      <x:c r="E133" s="23" t="str">
        <x:v>Exact self identity</x:v>
      </x:c>
      <x:c r="F133" s="23" t="str">
        <x:v>Manual schema review</x:v>
      </x:c>
      <x:c r="G133" s="23" t="str">
        <x:v>Matched</x:v>
      </x:c>
      <x:c r="H133" s="23" t="str">
        <x:v>ECI Graph Data!129</x:v>
      </x:c>
    </x:row>
    <x:row r="134">
      <x:c r="A134" s="17" t="str">
        <x:v>ECI Graph Data</x:v>
      </x:c>
      <x:c r="B134" s="23" t="str">
        <x:v>DeepSeek-V2 (MoE-236B, May 2024)</x:v>
      </x:c>
      <x:c r="C134" s="23" t="str">
        <x:v>deepseek:deepseek-v2-moe-236b-may-2024</x:v>
      </x:c>
      <x:c r="D134" s="23" t="str">
        <x:v>DeepSeek-V2 (MoE-236B, May 2024)</x:v>
      </x:c>
      <x:c r="E134" s="23" t="str">
        <x:v>Exact self identity</x:v>
      </x:c>
      <x:c r="F134" s="23" t="str">
        <x:v>Manual schema review</x:v>
      </x:c>
      <x:c r="G134" s="23" t="str">
        <x:v>Matched</x:v>
      </x:c>
      <x:c r="H134" s="23" t="str">
        <x:v>ECI Graph Data!130</x:v>
      </x:c>
    </x:row>
    <x:row r="135">
      <x:c r="A135" s="17" t="str">
        <x:v>ECI Graph Data</x:v>
      </x:c>
      <x:c r="B135" s="23" t="str">
        <x:v>Amazon Nova Pro</x:v>
      </x:c>
      <x:c r="C135" s="23" t="str">
        <x:v>amazon:amazon-nova-pro</x:v>
      </x:c>
      <x:c r="D135" s="23" t="str">
        <x:v>Amazon Nova Pro</x:v>
      </x:c>
      <x:c r="E135" s="23" t="str">
        <x:v>Exact self identity</x:v>
      </x:c>
      <x:c r="F135" s="23" t="str">
        <x:v>Manual schema review</x:v>
      </x:c>
      <x:c r="G135" s="23" t="str">
        <x:v>Matched</x:v>
      </x:c>
      <x:c r="H135" s="23" t="str">
        <x:v>ECI Graph Data!131</x:v>
      </x:c>
    </x:row>
    <x:row r="136">
      <x:c r="A136" s="17" t="str">
        <x:v>ECI Graph Data</x:v>
      </x:c>
      <x:c r="B136" s="23" t="str">
        <x:v>Llama 3-70B</x:v>
      </x:c>
      <x:c r="C136" s="23" t="str">
        <x:v>meta:llama-3-70b</x:v>
      </x:c>
      <x:c r="D136" s="23" t="str">
        <x:v>Llama 3-70B</x:v>
      </x:c>
      <x:c r="E136" s="23" t="str">
        <x:v>Exact self identity</x:v>
      </x:c>
      <x:c r="F136" s="23" t="str">
        <x:v>Manual schema review</x:v>
      </x:c>
      <x:c r="G136" s="23" t="str">
        <x:v>Matched</x:v>
      </x:c>
      <x:c r="H136" s="23" t="str">
        <x:v>ECI Graph Data!132</x:v>
      </x:c>
    </x:row>
    <x:row r="137">
      <x:c r="A137" s="17" t="str">
        <x:v>ECI Graph Data</x:v>
      </x:c>
      <x:c r="B137" s="23" t="str">
        <x:v>Gemini 1.5 Flash (May 2024)</x:v>
      </x:c>
      <x:c r="C137" s="23" t="str">
        <x:v>google:gemini-1-5-flash-may-2024</x:v>
      </x:c>
      <x:c r="D137" s="23" t="str">
        <x:v>Gemini 1.5 Flash (May 2024)</x:v>
      </x:c>
      <x:c r="E137" s="23" t="str">
        <x:v>Exact self identity</x:v>
      </x:c>
      <x:c r="F137" s="23" t="str">
        <x:v>Manual schema review</x:v>
      </x:c>
      <x:c r="G137" s="23" t="str">
        <x:v>Matched</x:v>
      </x:c>
      <x:c r="H137" s="23" t="str">
        <x:v>ECI Graph Data!133</x:v>
      </x:c>
    </x:row>
    <x:row r="138">
      <x:c r="A138" s="17" t="str">
        <x:v>ECI Graph Data</x:v>
      </x:c>
      <x:c r="B138" s="23" t="str">
        <x:v>Gemma 2 27B</x:v>
      </x:c>
      <x:c r="C138" s="23" t="str">
        <x:v>google:gemma-2-27b</x:v>
      </x:c>
      <x:c r="D138" s="23" t="str">
        <x:v>Gemma 2 27B</x:v>
      </x:c>
      <x:c r="E138" s="23" t="str">
        <x:v>Exact self identity</x:v>
      </x:c>
      <x:c r="F138" s="23" t="str">
        <x:v>Manual schema review</x:v>
      </x:c>
      <x:c r="G138" s="23" t="str">
        <x:v>Matched</x:v>
      </x:c>
      <x:c r="H138" s="23" t="str">
        <x:v>ECI Graph Data!134</x:v>
      </x:c>
    </x:row>
    <x:row r="139">
      <x:c r="A139" s="17" t="str">
        <x:v>ECI Graph Data</x:v>
      </x:c>
      <x:c r="B139" s="23" t="str">
        <x:v>GPT-4 (Jun 2023)</x:v>
      </x:c>
      <x:c r="C139" s="23" t="str">
        <x:v>openai:gpt-4-jun-2023</x:v>
      </x:c>
      <x:c r="D139" s="23" t="str">
        <x:v>GPT-4 (Jun 2023)</x:v>
      </x:c>
      <x:c r="E139" s="23" t="str">
        <x:v>Exact self identity</x:v>
      </x:c>
      <x:c r="F139" s="23" t="str">
        <x:v>Manual schema review</x:v>
      </x:c>
      <x:c r="G139" s="23" t="str">
        <x:v>Matched</x:v>
      </x:c>
      <x:c r="H139" s="23" t="str">
        <x:v>ECI Graph Data!135</x:v>
      </x:c>
    </x:row>
    <x:row r="140">
      <x:c r="A140" s="17" t="str">
        <x:v>ECI Graph Data</x:v>
      </x:c>
      <x:c r="B140" s="23" t="str">
        <x:v>phi-3-small 7.4B</x:v>
      </x:c>
      <x:c r="C140" s="23" t="str">
        <x:v>microsoft:phi-3-small-7-4b</x:v>
      </x:c>
      <x:c r="D140" s="23" t="str">
        <x:v>phi-3-small 7.4B</x:v>
      </x:c>
      <x:c r="E140" s="23" t="str">
        <x:v>Exact self identity</x:v>
      </x:c>
      <x:c r="F140" s="23" t="str">
        <x:v>Manual schema review</x:v>
      </x:c>
      <x:c r="G140" s="23" t="str">
        <x:v>Matched</x:v>
      </x:c>
      <x:c r="H140" s="23" t="str">
        <x:v>ECI Graph Data!136</x:v>
      </x:c>
    </x:row>
    <x:row r="141">
      <x:c r="A141" s="17" t="str">
        <x:v>ECI Graph Data</x:v>
      </x:c>
      <x:c r="B141" s="23" t="str">
        <x:v>Mixtral 8x22B</x:v>
      </x:c>
      <x:c r="C141" s="23" t="str">
        <x:v>mistral:mixtral-8x22b</x:v>
      </x:c>
      <x:c r="D141" s="23" t="str">
        <x:v>Mixtral 8x22B</x:v>
      </x:c>
      <x:c r="E141" s="23" t="str">
        <x:v>Exact self identity</x:v>
      </x:c>
      <x:c r="F141" s="23" t="str">
        <x:v>Manual schema review</x:v>
      </x:c>
      <x:c r="G141" s="23" t="str">
        <x:v>Matched</x:v>
      </x:c>
      <x:c r="H141" s="23" t="str">
        <x:v>ECI Graph Data!137</x:v>
      </x:c>
    </x:row>
    <x:row r="142">
      <x:c r="A142" s="17" t="str">
        <x:v>ECI Graph Data</x:v>
      </x:c>
      <x:c r="B142" s="23" t="str">
        <x:v>Claude Instant</x:v>
      </x:c>
      <x:c r="C142" s="23" t="str">
        <x:v>anthropic:claude-instant</x:v>
      </x:c>
      <x:c r="D142" s="23" t="str">
        <x:v>Claude Instant</x:v>
      </x:c>
      <x:c r="E142" s="23" t="str">
        <x:v>Exact self identity</x:v>
      </x:c>
      <x:c r="F142" s="23" t="str">
        <x:v>Manual schema review</x:v>
      </x:c>
      <x:c r="G142" s="23" t="str">
        <x:v>Matched</x:v>
      </x:c>
      <x:c r="H142" s="23" t="str">
        <x:v>ECI Graph Data!138</x:v>
      </x:c>
    </x:row>
    <x:row r="143">
      <x:c r="A143" s="17" t="str">
        <x:v>ECI Graph Data</x:v>
      </x:c>
      <x:c r="B143" s="23" t="str">
        <x:v>phi-3-medium 14B</x:v>
      </x:c>
      <x:c r="C143" s="23" t="str">
        <x:v>microsoft:phi-3-medium-14b</x:v>
      </x:c>
      <x:c r="D143" s="23" t="str">
        <x:v>phi-3-medium 14B</x:v>
      </x:c>
      <x:c r="E143" s="23" t="str">
        <x:v>Exact self identity</x:v>
      </x:c>
      <x:c r="F143" s="23" t="str">
        <x:v>Manual schema review</x:v>
      </x:c>
      <x:c r="G143" s="23" t="str">
        <x:v>Matched</x:v>
      </x:c>
      <x:c r="H143" s="23" t="str">
        <x:v>ECI Graph Data!139</x:v>
      </x:c>
    </x:row>
    <x:row r="144">
      <x:c r="A144" s="17" t="str">
        <x:v>ECI Graph Data</x:v>
      </x:c>
      <x:c r="B144" s="23" t="str">
        <x:v>Mistral Large</x:v>
      </x:c>
      <x:c r="C144" s="23" t="str">
        <x:v>mistral:mistral-large</x:v>
      </x:c>
      <x:c r="D144" s="23" t="str">
        <x:v>Mistral Large</x:v>
      </x:c>
      <x:c r="E144" s="23" t="str">
        <x:v>Exact self identity</x:v>
      </x:c>
      <x:c r="F144" s="23" t="str">
        <x:v>Manual schema review</x:v>
      </x:c>
      <x:c r="G144" s="23" t="str">
        <x:v>Matched</x:v>
      </x:c>
      <x:c r="H144" s="23" t="str">
        <x:v>ECI Graph Data!140</x:v>
      </x:c>
    </x:row>
    <x:row r="145">
      <x:c r="A145" s="17" t="str">
        <x:v>ECI Graph Data</x:v>
      </x:c>
      <x:c r="B145" s="23" t="str">
        <x:v>Claude 3 Sonnet</x:v>
      </x:c>
      <x:c r="C145" s="23" t="str">
        <x:v>anthropic:claude-3-sonnet</x:v>
      </x:c>
      <x:c r="D145" s="23" t="str">
        <x:v>Claude 3 Sonnet</x:v>
      </x:c>
      <x:c r="E145" s="23" t="str">
        <x:v>Exact self identity</x:v>
      </x:c>
      <x:c r="F145" s="23" t="str">
        <x:v>Manual schema review</x:v>
      </x:c>
      <x:c r="G145" s="23" t="str">
        <x:v>Matched</x:v>
      </x:c>
      <x:c r="H145" s="23" t="str">
        <x:v>ECI Graph Data!141</x:v>
      </x:c>
    </x:row>
    <x:row r="146">
      <x:c r="A146" s="17" t="str">
        <x:v>ECI Graph Data</x:v>
      </x:c>
      <x:c r="B146" s="23" t="str">
        <x:v>Claude 2</x:v>
      </x:c>
      <x:c r="C146" s="23" t="str">
        <x:v>anthropic:claude-2</x:v>
      </x:c>
      <x:c r="D146" s="23" t="str">
        <x:v>Claude 2</x:v>
      </x:c>
      <x:c r="E146" s="23" t="str">
        <x:v>Exact self identity</x:v>
      </x:c>
      <x:c r="F146" s="23" t="str">
        <x:v>Manual schema review</x:v>
      </x:c>
      <x:c r="G146" s="23" t="str">
        <x:v>Matched</x:v>
      </x:c>
      <x:c r="H146" s="23" t="str">
        <x:v>ECI Graph Data!142</x:v>
      </x:c>
    </x:row>
    <x:row r="147">
      <x:c r="A147" s="17" t="str">
        <x:v>ECI Graph Data</x:v>
      </x:c>
      <x:c r="B147" s="23" t="str">
        <x:v>Gemma 2 9B</x:v>
      </x:c>
      <x:c r="C147" s="23" t="str">
        <x:v>google:gemma-2-9b</x:v>
      </x:c>
      <x:c r="D147" s="23" t="str">
        <x:v>Gemma 2 9B</x:v>
      </x:c>
      <x:c r="E147" s="23" t="str">
        <x:v>Exact self identity</x:v>
      </x:c>
      <x:c r="F147" s="23" t="str">
        <x:v>Manual schema review</x:v>
      </x:c>
      <x:c r="G147" s="23" t="str">
        <x:v>Matched</x:v>
      </x:c>
      <x:c r="H147" s="23" t="str">
        <x:v>ECI Graph Data!143</x:v>
      </x:c>
    </x:row>
    <x:row r="148">
      <x:c r="A148" s="17" t="str">
        <x:v>ECI Graph Data</x:v>
      </x:c>
      <x:c r="B148" s="23" t="str">
        <x:v>Qwen2.5-Coder-32B</x:v>
      </x:c>
      <x:c r="C148" s="23" t="str">
        <x:v>alibaba:qwen2-5-coder-32b</x:v>
      </x:c>
      <x:c r="D148" s="23" t="str">
        <x:v>Qwen2.5-Coder-32B</x:v>
      </x:c>
      <x:c r="E148" s="23" t="str">
        <x:v>Exact self identity</x:v>
      </x:c>
      <x:c r="F148" s="23" t="str">
        <x:v>Manual schema review</x:v>
      </x:c>
      <x:c r="G148" s="23" t="str">
        <x:v>Matched</x:v>
      </x:c>
      <x:c r="H148" s="23" t="str">
        <x:v>ECI Graph Data!144</x:v>
      </x:c>
    </x:row>
    <x:row r="149">
      <x:c r="A149" s="17" t="str">
        <x:v>ECI Graph Data</x:v>
      </x:c>
      <x:c r="B149" s="23" t="str">
        <x:v>Mistral NeMo</x:v>
      </x:c>
      <x:c r="C149" s="23" t="str">
        <x:v>mistral:mistral-nemo</x:v>
      </x:c>
      <x:c r="D149" s="23" t="str">
        <x:v>Mistral NeMo</x:v>
      </x:c>
      <x:c r="E149" s="23" t="str">
        <x:v>Exact self identity</x:v>
      </x:c>
      <x:c r="F149" s="23" t="str">
        <x:v>Manual schema review</x:v>
      </x:c>
      <x:c r="G149" s="23" t="str">
        <x:v>Matched</x:v>
      </x:c>
      <x:c r="H149" s="23" t="str">
        <x:v>ECI Graph Data!145</x:v>
      </x:c>
    </x:row>
    <x:row r="150">
      <x:c r="A150" s="17" t="str">
        <x:v>ECI Graph Data</x:v>
      </x:c>
      <x:c r="B150" s="23" t="str">
        <x:v>Claude 2.1</x:v>
      </x:c>
      <x:c r="C150" s="23" t="str">
        <x:v>anthropic:claude-2-1</x:v>
      </x:c>
      <x:c r="D150" s="23" t="str">
        <x:v>Claude 2.1</x:v>
      </x:c>
      <x:c r="E150" s="23" t="str">
        <x:v>Exact self identity</x:v>
      </x:c>
      <x:c r="F150" s="23" t="str">
        <x:v>Manual schema review</x:v>
      </x:c>
      <x:c r="G150" s="23" t="str">
        <x:v>Matched</x:v>
      </x:c>
      <x:c r="H150" s="23" t="str">
        <x:v>ECI Graph Data!146</x:v>
      </x:c>
    </x:row>
    <x:row r="151">
      <x:c r="A151" s="17" t="str">
        <x:v>ECI Graph Data</x:v>
      </x:c>
      <x:c r="B151" s="23" t="str">
        <x:v>GPT-3.5 Turbo (Nov 2023)</x:v>
      </x:c>
      <x:c r="C151" s="23" t="str">
        <x:v>openai:gpt-3-5-turbo-nov-2023</x:v>
      </x:c>
      <x:c r="D151" s="23" t="str">
        <x:v>GPT-3.5 Turbo (Nov 2023)</x:v>
      </x:c>
      <x:c r="E151" s="23" t="str">
        <x:v>Exact self identity</x:v>
      </x:c>
      <x:c r="F151" s="23" t="str">
        <x:v>Manual schema review</x:v>
      </x:c>
      <x:c r="G151" s="23" t="str">
        <x:v>Matched</x:v>
      </x:c>
      <x:c r="H151" s="23" t="str">
        <x:v>ECI Graph Data!147</x:v>
      </x:c>
    </x:row>
    <x:row r="152">
      <x:c r="A152" s="17" t="str">
        <x:v>ECI Graph Data</x:v>
      </x:c>
      <x:c r="B152" s="23" t="str">
        <x:v>Mixtral 8x7B</x:v>
      </x:c>
      <x:c r="C152" s="23" t="str">
        <x:v>mistral:mixtral-8x7b</x:v>
      </x:c>
      <x:c r="D152" s="23" t="str">
        <x:v>Mixtral 8x7B</x:v>
      </x:c>
      <x:c r="E152" s="23" t="str">
        <x:v>Exact self identity</x:v>
      </x:c>
      <x:c r="F152" s="23" t="str">
        <x:v>Manual schema review</x:v>
      </x:c>
      <x:c r="G152" s="23" t="str">
        <x:v>Matched</x:v>
      </x:c>
      <x:c r="H152" s="23" t="str">
        <x:v>ECI Graph Data!148</x:v>
      </x:c>
    </x:row>
    <x:row r="153">
      <x:c r="A153" s="17" t="str">
        <x:v>ECI Graph Data</x:v>
      </x:c>
      <x:c r="B153" s="23" t="str">
        <x:v>Claude 3 Haiku</x:v>
      </x:c>
      <x:c r="C153" s="23" t="str">
        <x:v>anthropic:claude-3-haiku</x:v>
      </x:c>
      <x:c r="D153" s="23" t="str">
        <x:v>Claude 3 Haiku</x:v>
      </x:c>
      <x:c r="E153" s="23" t="str">
        <x:v>Exact self identity</x:v>
      </x:c>
      <x:c r="F153" s="23" t="str">
        <x:v>Manual schema review</x:v>
      </x:c>
      <x:c r="G153" s="23" t="str">
        <x:v>Matched</x:v>
      </x:c>
      <x:c r="H153" s="23" t="str">
        <x:v>ECI Graph Data!149</x:v>
      </x:c>
    </x:row>
    <x:row r="154">
      <x:c r="A154" s="17" t="str">
        <x:v>ECI Graph Data</x:v>
      </x:c>
      <x:c r="B154" s="23" t="str">
        <x:v>Yi-34B</x:v>
      </x:c>
      <x:c r="C154" s="23" t="str">
        <x:v>01-ai:yi-34b</x:v>
      </x:c>
      <x:c r="D154" s="23" t="str">
        <x:v>Yi-34B</x:v>
      </x:c>
      <x:c r="E154" s="23" t="str">
        <x:v>Exact self identity</x:v>
      </x:c>
      <x:c r="F154" s="23" t="str">
        <x:v>Manual schema review</x:v>
      </x:c>
      <x:c r="G154" s="23" t="str">
        <x:v>Matched</x:v>
      </x:c>
      <x:c r="H154" s="23" t="str">
        <x:v>ECI Graph Data!150</x:v>
      </x:c>
    </x:row>
    <x:row r="155">
      <x:c r="A155" s="17" t="str">
        <x:v>ECI Graph Data</x:v>
      </x:c>
      <x:c r="B155" s="23" t="str">
        <x:v>phi-3-mini 3.8B</x:v>
      </x:c>
      <x:c r="C155" s="23" t="str">
        <x:v>microsoft:phi-3-mini-3-8b</x:v>
      </x:c>
      <x:c r="D155" s="23" t="str">
        <x:v>phi-3-mini 3.8B</x:v>
      </x:c>
      <x:c r="E155" s="23" t="str">
        <x:v>Exact self identity</x:v>
      </x:c>
      <x:c r="F155" s="23" t="str">
        <x:v>Manual schema review</x:v>
      </x:c>
      <x:c r="G155" s="23" t="str">
        <x:v>Matched</x:v>
      </x:c>
      <x:c r="H155" s="23" t="str">
        <x:v>ECI Graph Data!151</x:v>
      </x:c>
    </x:row>
    <x:row r="156">
      <x:c r="A156" s="17" t="str">
        <x:v>ECI Graph Data</x:v>
      </x:c>
      <x:c r="B156" s="23" t="str">
        <x:v>Gemini 1.0 Pro</x:v>
      </x:c>
      <x:c r="C156" s="23" t="str">
        <x:v>google:gemini-1-0-pro</x:v>
      </x:c>
      <x:c r="D156" s="23" t="str">
        <x:v>Gemini 1.0 Pro</x:v>
      </x:c>
      <x:c r="E156" s="23" t="str">
        <x:v>Exact self identity</x:v>
      </x:c>
      <x:c r="F156" s="23" t="str">
        <x:v>Manual schema review</x:v>
      </x:c>
      <x:c r="G156" s="23" t="str">
        <x:v>Matched</x:v>
      </x:c>
      <x:c r="H156" s="23" t="str">
        <x:v>ECI Graph Data!152</x:v>
      </x:c>
    </x:row>
    <x:row r="157">
      <x:c r="A157" s="17" t="str">
        <x:v>ECI Graph Data</x:v>
      </x:c>
      <x:c r="B157" s="23" t="str">
        <x:v>Stable Beluga 2</x:v>
      </x:c>
      <x:c r="C157" s="23" t="str">
        <x:v>stability-ai:stable-beluga-2</x:v>
      </x:c>
      <x:c r="D157" s="23" t="str">
        <x:v>Stable Beluga 2</x:v>
      </x:c>
      <x:c r="E157" s="23" t="str">
        <x:v>Exact self identity</x:v>
      </x:c>
      <x:c r="F157" s="23" t="str">
        <x:v>Manual schema review</x:v>
      </x:c>
      <x:c r="G157" s="23" t="str">
        <x:v>Matched</x:v>
      </x:c>
      <x:c r="H157" s="23" t="str">
        <x:v>ECI Graph Data!153</x:v>
      </x:c>
    </x:row>
    <x:row r="158">
      <x:c r="A158" s="17" t="str">
        <x:v>ECI Graph Data</x:v>
      </x:c>
      <x:c r="B158" s="23" t="str">
        <x:v>Llama 3-8B</x:v>
      </x:c>
      <x:c r="C158" s="23" t="str">
        <x:v>meta:llama-3-8b</x:v>
      </x:c>
      <x:c r="D158" s="23" t="str">
        <x:v>Llama 3-8B</x:v>
      </x:c>
      <x:c r="E158" s="23" t="str">
        <x:v>Exact self identity</x:v>
      </x:c>
      <x:c r="F158" s="23" t="str">
        <x:v>Manual schema review</x:v>
      </x:c>
      <x:c r="G158" s="23" t="str">
        <x:v>Matched</x:v>
      </x:c>
      <x:c r="H158" s="23" t="str">
        <x:v>ECI Graph Data!154</x:v>
      </x:c>
    </x:row>
    <x:row r="159">
      <x:c r="A159" s="17" t="str">
        <x:v>ECI Graph Data</x:v>
      </x:c>
      <x:c r="B159" s="23" t="str">
        <x:v>Qwen2.5-Coder-14B</x:v>
      </x:c>
      <x:c r="C159" s="23" t="str">
        <x:v>unknown:qwen2-5-coder-14b</x:v>
      </x:c>
      <x:c r="D159" s="23" t="str">
        <x:v>Qwen2.5-Coder-14B</x:v>
      </x:c>
      <x:c r="E159" s="23" t="str">
        <x:v>Exact self identity</x:v>
      </x:c>
      <x:c r="F159" s="23" t="str">
        <x:v>Manual schema review</x:v>
      </x:c>
      <x:c r="G159" s="23" t="str">
        <x:v>Matched</x:v>
      </x:c>
      <x:c r="H159" s="23" t="str">
        <x:v>ECI Graph Data!155</x:v>
      </x:c>
    </x:row>
    <x:row r="160">
      <x:c r="A160" s="17" t="str">
        <x:v>ECI Graph Data</x:v>
      </x:c>
      <x:c r="B160" s="23" t="str">
        <x:v>Llama 3.1-8B</x:v>
      </x:c>
      <x:c r="C160" s="23" t="str">
        <x:v>meta:llama-3-1-8b</x:v>
      </x:c>
      <x:c r="D160" s="23" t="str">
        <x:v>Llama 3.1-8B</x:v>
      </x:c>
      <x:c r="E160" s="23" t="str">
        <x:v>Exact self identity</x:v>
      </x:c>
      <x:c r="F160" s="23" t="str">
        <x:v>Manual schema review</x:v>
      </x:c>
      <x:c r="G160" s="23" t="str">
        <x:v>Matched</x:v>
      </x:c>
      <x:c r="H160" s="23" t="str">
        <x:v>ECI Graph Data!156</x:v>
      </x:c>
    </x:row>
    <x:row r="161">
      <x:c r="A161" s="17" t="str">
        <x:v>ECI Graph Data</x:v>
      </x:c>
      <x:c r="B161" s="23" t="str">
        <x:v>PaLM 2-L</x:v>
      </x:c>
      <x:c r="C161" s="23" t="str">
        <x:v>unknown:palm-2-l</x:v>
      </x:c>
      <x:c r="D161" s="23" t="str">
        <x:v>PaLM 2-L</x:v>
      </x:c>
      <x:c r="E161" s="23" t="str">
        <x:v>Exact self identity</x:v>
      </x:c>
      <x:c r="F161" s="23" t="str">
        <x:v>Manual schema review</x:v>
      </x:c>
      <x:c r="G161" s="23" t="str">
        <x:v>Matched</x:v>
      </x:c>
      <x:c r="H161" s="23" t="str">
        <x:v>ECI Graph Data!157</x:v>
      </x:c>
    </x:row>
    <x:row r="162">
      <x:c r="A162" s="17" t="str">
        <x:v>ECI Graph Data</x:v>
      </x:c>
      <x:c r="B162" s="23" t="str">
        <x:v>GPT-3.5 Turbo (Jan 2024)</x:v>
      </x:c>
      <x:c r="C162" s="23" t="str">
        <x:v>openai:gpt-3-5-turbo-jan-2024</x:v>
      </x:c>
      <x:c r="D162" s="23" t="str">
        <x:v>GPT-3.5 Turbo (Jan 2024)</x:v>
      </x:c>
      <x:c r="E162" s="23" t="str">
        <x:v>Exact self identity</x:v>
      </x:c>
      <x:c r="F162" s="23" t="str">
        <x:v>Manual schema review</x:v>
      </x:c>
      <x:c r="G162" s="23" t="str">
        <x:v>Matched</x:v>
      </x:c>
      <x:c r="H162" s="23" t="str">
        <x:v>ECI Graph Data!158</x:v>
      </x:c>
    </x:row>
    <x:row r="163">
      <x:c r="A163" s="17" t="str">
        <x:v>ECI Graph Data</x:v>
      </x:c>
      <x:c r="B163" s="23" t="str">
        <x:v>Llama 2-70B</x:v>
      </x:c>
      <x:c r="C163" s="23" t="str">
        <x:v>meta:llama-2-70b</x:v>
      </x:c>
      <x:c r="D163" s="23" t="str">
        <x:v>Llama 2-70B</x:v>
      </x:c>
      <x:c r="E163" s="23" t="str">
        <x:v>Exact self identity</x:v>
      </x:c>
      <x:c r="F163" s="23" t="str">
        <x:v>Manual schema review</x:v>
      </x:c>
      <x:c r="G163" s="23" t="str">
        <x:v>Matched</x:v>
      </x:c>
      <x:c r="H163" s="23" t="str">
        <x:v>ECI Graph Data!159</x:v>
      </x:c>
    </x:row>
    <x:row r="164">
      <x:c r="A164" s="17" t="str">
        <x:v>ECI Graph Data</x:v>
      </x:c>
      <x:c r="B164" s="23" t="str">
        <x:v>GPT-3.5 Turbo (Jun 2023)</x:v>
      </x:c>
      <x:c r="C164" s="23" t="str">
        <x:v>openai:gpt-3-5-turbo-jun-2023</x:v>
      </x:c>
      <x:c r="D164" s="23" t="str">
        <x:v>GPT-3.5 Turbo (Jun 2023)</x:v>
      </x:c>
      <x:c r="E164" s="23" t="str">
        <x:v>Exact self identity</x:v>
      </x:c>
      <x:c r="F164" s="23" t="str">
        <x:v>Manual schema review</x:v>
      </x:c>
      <x:c r="G164" s="23" t="str">
        <x:v>Matched</x:v>
      </x:c>
      <x:c r="H164" s="23" t="str">
        <x:v>ECI Graph Data!160</x:v>
      </x:c>
    </x:row>
    <x:row r="165">
      <x:c r="A165" s="17" t="str">
        <x:v>ECI Graph Data</x:v>
      </x:c>
      <x:c r="B165" s="23" t="str">
        <x:v>Qwen2.5-Coder (7B)</x:v>
      </x:c>
      <x:c r="C165" s="23" t="str">
        <x:v>alibaba:qwen2-5-coder-7b</x:v>
      </x:c>
      <x:c r="D165" s="23" t="str">
        <x:v>Qwen2.5-Coder (7B)</x:v>
      </x:c>
      <x:c r="E165" s="23" t="str">
        <x:v>Exact self identity</x:v>
      </x:c>
      <x:c r="F165" s="23" t="str">
        <x:v>Manual schema review</x:v>
      </x:c>
      <x:c r="G165" s="23" t="str">
        <x:v>Matched</x:v>
      </x:c>
      <x:c r="H165" s="23" t="str">
        <x:v>ECI Graph Data!161</x:v>
      </x:c>
    </x:row>
    <x:row r="166">
      <x:c r="A166" s="17" t="str">
        <x:v>ECI Graph Data</x:v>
      </x:c>
      <x:c r="B166" s="23" t="str">
        <x:v>Qwen-14B</x:v>
      </x:c>
      <x:c r="C166" s="23" t="str">
        <x:v>alibaba:qwen-14b</x:v>
      </x:c>
      <x:c r="D166" s="23" t="str">
        <x:v>Qwen-14B</x:v>
      </x:c>
      <x:c r="E166" s="23" t="str">
        <x:v>Exact self identity</x:v>
      </x:c>
      <x:c r="F166" s="23" t="str">
        <x:v>Manual schema review</x:v>
      </x:c>
      <x:c r="G166" s="23" t="str">
        <x:v>Matched</x:v>
      </x:c>
      <x:c r="H166" s="23" t="str">
        <x:v>ECI Graph Data!162</x:v>
      </x:c>
    </x:row>
    <x:row r="167">
      <x:c r="A167" s="17" t="str">
        <x:v>ECI Graph Data</x:v>
      </x:c>
      <x:c r="B167" s="23" t="str">
        <x:v>Mistral 7B v0.1</x:v>
      </x:c>
      <x:c r="C167" s="23" t="str">
        <x:v>mistral:mistral-7b-v0-1</x:v>
      </x:c>
      <x:c r="D167" s="23" t="str">
        <x:v>Mistral 7B v0.1</x:v>
      </x:c>
      <x:c r="E167" s="23" t="str">
        <x:v>Exact self identity</x:v>
      </x:c>
      <x:c r="F167" s="23" t="str">
        <x:v>Manual schema review</x:v>
      </x:c>
      <x:c r="G167" s="23" t="str">
        <x:v>Matched</x:v>
      </x:c>
      <x:c r="H167" s="23" t="str">
        <x:v>ECI Graph Data!163</x:v>
      </x:c>
    </x:row>
    <x:row r="168">
      <x:c r="A168" s="17" t="str">
        <x:v>ECI Graph Data</x:v>
      </x:c>
      <x:c r="B168" s="23" t="str">
        <x:v>Falcon-180B</x:v>
      </x:c>
      <x:c r="C168" s="23" t="str">
        <x:v>technology-innovation-institute:falcon-180b</x:v>
      </x:c>
      <x:c r="D168" s="23" t="str">
        <x:v>Falcon-180B</x:v>
      </x:c>
      <x:c r="E168" s="23" t="str">
        <x:v>Exact self identity</x:v>
      </x:c>
      <x:c r="F168" s="23" t="str">
        <x:v>Manual schema review</x:v>
      </x:c>
      <x:c r="G168" s="23" t="str">
        <x:v>Matched</x:v>
      </x:c>
      <x:c r="H168" s="23" t="str">
        <x:v>ECI Graph Data!164</x:v>
      </x:c>
    </x:row>
    <x:row r="169">
      <x:c r="A169" s="17" t="str">
        <x:v>ECI Graph Data</x:v>
      </x:c>
      <x:c r="B169" s="23" t="str">
        <x:v>internlm-20b</x:v>
      </x:c>
      <x:c r="C169" s="23" t="str">
        <x:v>unknown:internlm-20b</x:v>
      </x:c>
      <x:c r="D169" s="23" t="str">
        <x:v>internlm-20b</x:v>
      </x:c>
      <x:c r="E169" s="23" t="str">
        <x:v>Exact self identity</x:v>
      </x:c>
      <x:c r="F169" s="23" t="str">
        <x:v>Manual schema review</x:v>
      </x:c>
      <x:c r="G169" s="23" t="str">
        <x:v>Matched</x:v>
      </x:c>
      <x:c r="H169" s="23" t="str">
        <x:v>ECI Graph Data!165</x:v>
      </x:c>
    </x:row>
    <x:row r="170">
      <x:c r="A170" s="17" t="str">
        <x:v>ECI Graph Data</x:v>
      </x:c>
      <x:c r="B170" s="23" t="str">
        <x:v>Gemma 7B</x:v>
      </x:c>
      <x:c r="C170" s="23" t="str">
        <x:v>google:gemma-7b</x:v>
      </x:c>
      <x:c r="D170" s="23" t="str">
        <x:v>Gemma 7B</x:v>
      </x:c>
      <x:c r="E170" s="23" t="str">
        <x:v>Exact self identity</x:v>
      </x:c>
      <x:c r="F170" s="23" t="str">
        <x:v>Manual schema review</x:v>
      </x:c>
      <x:c r="G170" s="23" t="str">
        <x:v>Matched</x:v>
      </x:c>
      <x:c r="H170" s="23" t="str">
        <x:v>ECI Graph Data!166</x:v>
      </x:c>
    </x:row>
    <x:row r="171">
      <x:c r="A171" s="17" t="str">
        <x:v>ECI Graph Data</x:v>
      </x:c>
      <x:c r="B171" s="23" t="str">
        <x:v>LLaMA-65B</x:v>
      </x:c>
      <x:c r="C171" s="23" t="str">
        <x:v>meta:llama-65b</x:v>
      </x:c>
      <x:c r="D171" s="23" t="str">
        <x:v>LLaMA-65B</x:v>
      </x:c>
      <x:c r="E171" s="23" t="str">
        <x:v>Exact self identity</x:v>
      </x:c>
      <x:c r="F171" s="23" t="str">
        <x:v>Manual schema review</x:v>
      </x:c>
      <x:c r="G171" s="23" t="str">
        <x:v>Matched</x:v>
      </x:c>
      <x:c r="H171" s="23" t="str">
        <x:v>ECI Graph Data!167</x:v>
      </x:c>
    </x:row>
    <x:row r="172">
      <x:c r="A172" s="17" t="str">
        <x:v>ECI Graph Data</x:v>
      </x:c>
      <x:c r="B172" s="23" t="str">
        <x:v>Falcon 2 11B</x:v>
      </x:c>
      <x:c r="C172" s="23" t="str">
        <x:v>technology-innovation-institute:falcon-2-11b</x:v>
      </x:c>
      <x:c r="D172" s="23" t="str">
        <x:v>Falcon 2 11B</x:v>
      </x:c>
      <x:c r="E172" s="23" t="str">
        <x:v>Exact self identity</x:v>
      </x:c>
      <x:c r="F172" s="23" t="str">
        <x:v>Manual schema review</x:v>
      </x:c>
      <x:c r="G172" s="23" t="str">
        <x:v>Matched</x:v>
      </x:c>
      <x:c r="H172" s="23" t="str">
        <x:v>ECI Graph Data!168</x:v>
      </x:c>
    </x:row>
    <x:row r="173">
      <x:c r="A173" s="17" t="str">
        <x:v>ECI Graph Data</x:v>
      </x:c>
      <x:c r="B173" s="23" t="str">
        <x:v>DeepSeek-Coder-V2-Lite-Base</x:v>
      </x:c>
      <x:c r="C173" s="23" t="str">
        <x:v>unknown:deepseek-coder-v2-lite-base</x:v>
      </x:c>
      <x:c r="D173" s="23" t="str">
        <x:v>DeepSeek-Coder-V2-Lite-Base</x:v>
      </x:c>
      <x:c r="E173" s="23" t="str">
        <x:v>Exact self identity</x:v>
      </x:c>
      <x:c r="F173" s="23" t="str">
        <x:v>Manual schema review</x:v>
      </x:c>
      <x:c r="G173" s="23" t="str">
        <x:v>Matched</x:v>
      </x:c>
      <x:c r="H173" s="23" t="str">
        <x:v>ECI Graph Data!169</x:v>
      </x:c>
    </x:row>
    <x:row r="174">
      <x:c r="A174" s="17" t="str">
        <x:v>ECI Graph Data</x:v>
      </x:c>
      <x:c r="B174" s="23" t="str">
        <x:v>PaLM 2-M</x:v>
      </x:c>
      <x:c r="C174" s="23" t="str">
        <x:v>unknown:palm-2-m</x:v>
      </x:c>
      <x:c r="D174" s="23" t="str">
        <x:v>PaLM 2-M</x:v>
      </x:c>
      <x:c r="E174" s="23" t="str">
        <x:v>Exact self identity</x:v>
      </x:c>
      <x:c r="F174" s="23" t="str">
        <x:v>Manual schema review</x:v>
      </x:c>
      <x:c r="G174" s="23" t="str">
        <x:v>Matched</x:v>
      </x:c>
      <x:c r="H174" s="23" t="str">
        <x:v>ECI Graph Data!170</x:v>
      </x:c>
    </x:row>
    <x:row r="175">
      <x:c r="A175" s="17" t="str">
        <x:v>ECI Graph Data</x:v>
      </x:c>
      <x:c r="B175" s="23" t="str">
        <x:v>Phi-2</x:v>
      </x:c>
      <x:c r="C175" s="23" t="str">
        <x:v>microsoft:phi-2</x:v>
      </x:c>
      <x:c r="D175" s="23" t="str">
        <x:v>Phi-2</x:v>
      </x:c>
      <x:c r="E175" s="23" t="str">
        <x:v>Exact self identity</x:v>
      </x:c>
      <x:c r="F175" s="23" t="str">
        <x:v>Manual schema review</x:v>
      </x:c>
      <x:c r="G175" s="23" t="str">
        <x:v>Matched</x:v>
      </x:c>
      <x:c r="H175" s="23" t="str">
        <x:v>ECI Graph Data!171</x:v>
      </x:c>
    </x:row>
    <x:row r="176">
      <x:c r="A176" s="17" t="str">
        <x:v>ECI Graph Data</x:v>
      </x:c>
      <x:c r="B176" s="23" t="str">
        <x:v>Qwen2.5-Coder-3B</x:v>
      </x:c>
      <x:c r="C176" s="23" t="str">
        <x:v>unknown:qwen2-5-coder-3b</x:v>
      </x:c>
      <x:c r="D176" s="23" t="str">
        <x:v>Qwen2.5-Coder-3B</x:v>
      </x:c>
      <x:c r="E176" s="23" t="str">
        <x:v>Exact self identity</x:v>
      </x:c>
      <x:c r="F176" s="23" t="str">
        <x:v>Manual schema review</x:v>
      </x:c>
      <x:c r="G176" s="23" t="str">
        <x:v>Matched</x:v>
      </x:c>
      <x:c r="H176" s="23" t="str">
        <x:v>ECI Graph Data!172</x:v>
      </x:c>
    </x:row>
    <x:row r="177">
      <x:c r="A177" s="17" t="str">
        <x:v>ECI Graph Data</x:v>
      </x:c>
      <x:c r="B177" s="23" t="str">
        <x:v>Nemotron-4 15B</x:v>
      </x:c>
      <x:c r="C177" s="23" t="str">
        <x:v>nvidia:nemotron-4-15b</x:v>
      </x:c>
      <x:c r="D177" s="23" t="str">
        <x:v>Nemotron-4 15B</x:v>
      </x:c>
      <x:c r="E177" s="23" t="str">
        <x:v>Exact self identity</x:v>
      </x:c>
      <x:c r="F177" s="23" t="str">
        <x:v>Manual schema review</x:v>
      </x:c>
      <x:c r="G177" s="23" t="str">
        <x:v>Matched</x:v>
      </x:c>
      <x:c r="H177" s="23" t="str">
        <x:v>ECI Graph Data!173</x:v>
      </x:c>
    </x:row>
    <x:row r="178">
      <x:c r="A178" s="17" t="str">
        <x:v>ECI Graph Data</x:v>
      </x:c>
      <x:c r="B178" s="23" t="str">
        <x:v>Yi-9B</x:v>
      </x:c>
      <x:c r="C178" s="23" t="str">
        <x:v>unknown:yi-9b</x:v>
      </x:c>
      <x:c r="D178" s="23" t="str">
        <x:v>Yi-9B</x:v>
      </x:c>
      <x:c r="E178" s="23" t="str">
        <x:v>Exact self identity</x:v>
      </x:c>
      <x:c r="F178" s="23" t="str">
        <x:v>Manual schema review</x:v>
      </x:c>
      <x:c r="G178" s="23" t="str">
        <x:v>Matched</x:v>
      </x:c>
      <x:c r="H178" s="23" t="str">
        <x:v>ECI Graph Data!174</x:v>
      </x:c>
    </x:row>
    <x:row r="179">
      <x:c r="A179" s="17" t="str">
        <x:v>ECI Graph Data</x:v>
      </x:c>
      <x:c r="B179" s="23" t="str">
        <x:v>LLaMA-33B</x:v>
      </x:c>
      <x:c r="C179" s="23" t="str">
        <x:v>meta:llama-33b</x:v>
      </x:c>
      <x:c r="D179" s="23" t="str">
        <x:v>LLaMA-33B</x:v>
      </x:c>
      <x:c r="E179" s="23" t="str">
        <x:v>Exact self identity</x:v>
      </x:c>
      <x:c r="F179" s="23" t="str">
        <x:v>Manual schema review</x:v>
      </x:c>
      <x:c r="G179" s="23" t="str">
        <x:v>Matched</x:v>
      </x:c>
      <x:c r="H179" s="23" t="str">
        <x:v>ECI Graph Data!175</x:v>
      </x:c>
    </x:row>
    <x:row r="180">
      <x:c r="A180" s="17" t="str">
        <x:v>ECI Graph Data</x:v>
      </x:c>
      <x:c r="B180" s="23" t="str">
        <x:v>Qwen-7B</x:v>
      </x:c>
      <x:c r="C180" s="23" t="str">
        <x:v>alibaba:qwen-7b</x:v>
      </x:c>
      <x:c r="D180" s="23" t="str">
        <x:v>Qwen-7B</x:v>
      </x:c>
      <x:c r="E180" s="23" t="str">
        <x:v>Exact self identity</x:v>
      </x:c>
      <x:c r="F180" s="23" t="str">
        <x:v>Manual schema review</x:v>
      </x:c>
      <x:c r="G180" s="23" t="str">
        <x:v>Matched</x:v>
      </x:c>
      <x:c r="H180" s="23" t="str">
        <x:v>ECI Graph Data!176</x:v>
      </x:c>
    </x:row>
    <x:row r="181">
      <x:c r="A181" s="17" t="str">
        <x:v>ECI Graph Data</x:v>
      </x:c>
      <x:c r="B181" s="23" t="str">
        <x:v>PaLM 2-S</x:v>
      </x:c>
      <x:c r="C181" s="23" t="str">
        <x:v>unknown:palm-2-s</x:v>
      </x:c>
      <x:c r="D181" s="23" t="str">
        <x:v>PaLM 2-S</x:v>
      </x:c>
      <x:c r="E181" s="23" t="str">
        <x:v>Exact self identity</x:v>
      </x:c>
      <x:c r="F181" s="23" t="str">
        <x:v>Manual schema review</x:v>
      </x:c>
      <x:c r="G181" s="23" t="str">
        <x:v>Matched</x:v>
      </x:c>
      <x:c r="H181" s="23" t="str">
        <x:v>ECI Graph Data!177</x:v>
      </x:c>
    </x:row>
    <x:row r="182">
      <x:c r="A182" s="17" t="str">
        <x:v>ECI Graph Data</x:v>
      </x:c>
      <x:c r="B182" s="23" t="str">
        <x:v>Llama 2-13B</x:v>
      </x:c>
      <x:c r="C182" s="23" t="str">
        <x:v>meta:llama-2-13b</x:v>
      </x:c>
      <x:c r="D182" s="23" t="str">
        <x:v>Llama 2-13B</x:v>
      </x:c>
      <x:c r="E182" s="23" t="str">
        <x:v>Exact self identity</x:v>
      </x:c>
      <x:c r="F182" s="23" t="str">
        <x:v>Manual schema review</x:v>
      </x:c>
      <x:c r="G182" s="23" t="str">
        <x:v>Matched</x:v>
      </x:c>
      <x:c r="H182" s="23" t="str">
        <x:v>ECI Graph Data!178</x:v>
      </x:c>
    </x:row>
    <x:row r="183">
      <x:c r="A183" s="17" t="str">
        <x:v>ECI Graph Data</x:v>
      </x:c>
      <x:c r="B183" s="23" t="str">
        <x:v>Llama 2-34B</x:v>
      </x:c>
      <x:c r="C183" s="23" t="str">
        <x:v>meta:llama-2-34b</x:v>
      </x:c>
      <x:c r="D183" s="23" t="str">
        <x:v>Llama 2-34B</x:v>
      </x:c>
      <x:c r="E183" s="23" t="str">
        <x:v>Exact self identity</x:v>
      </x:c>
      <x:c r="F183" s="23" t="str">
        <x:v>Manual schema review</x:v>
      </x:c>
      <x:c r="G183" s="23" t="str">
        <x:v>Matched</x:v>
      </x:c>
      <x:c r="H183" s="23" t="str">
        <x:v>ECI Graph Data!179</x:v>
      </x:c>
    </x:row>
    <x:row r="184">
      <x:c r="A184" s="17" t="str">
        <x:v>ECI Graph Data</x:v>
      </x:c>
      <x:c r="B184" s="23" t="str">
        <x:v>StarCoder 2 15B</x:v>
      </x:c>
      <x:c r="C184" s="23" t="str">
        <x:v>hugging-face-servicenow-nvidia-bigcode:starcoder-2-15b</x:v>
      </x:c>
      <x:c r="D184" s="23" t="str">
        <x:v>StarCoder 2 15B</x:v>
      </x:c>
      <x:c r="E184" s="23" t="str">
        <x:v>Exact self identity</x:v>
      </x:c>
      <x:c r="F184" s="23" t="str">
        <x:v>Manual schema review</x:v>
      </x:c>
      <x:c r="G184" s="23" t="str">
        <x:v>Matched</x:v>
      </x:c>
      <x:c r="H184" s="23" t="str">
        <x:v>ECI Graph Data!180</x:v>
      </x:c>
    </x:row>
    <x:row r="185">
      <x:c r="A185" s="17" t="str">
        <x:v>ECI Graph Data</x:v>
      </x:c>
      <x:c r="B185" s="23" t="str">
        <x:v>Yi 6B</x:v>
      </x:c>
      <x:c r="C185" s="23" t="str">
        <x:v>01-ai:yi-6b</x:v>
      </x:c>
      <x:c r="D185" s="23" t="str">
        <x:v>Yi 6B</x:v>
      </x:c>
      <x:c r="E185" s="23" t="str">
        <x:v>Exact self identity</x:v>
      </x:c>
      <x:c r="F185" s="23" t="str">
        <x:v>Manual schema review</x:v>
      </x:c>
      <x:c r="G185" s="23" t="str">
        <x:v>Matched</x:v>
      </x:c>
      <x:c r="H185" s="23" t="str">
        <x:v>ECI Graph Data!181</x:v>
      </x:c>
    </x:row>
    <x:row r="186">
      <x:c r="A186" s="17" t="str">
        <x:v>ECI Graph Data</x:v>
      </x:c>
      <x:c r="B186" s="23" t="str">
        <x:v>Falcon-40B</x:v>
      </x:c>
      <x:c r="C186" s="23" t="str">
        <x:v>technology-innovation-institute:falcon-40b</x:v>
      </x:c>
      <x:c r="D186" s="23" t="str">
        <x:v>Falcon-40B</x:v>
      </x:c>
      <x:c r="E186" s="23" t="str">
        <x:v>Exact self identity</x:v>
      </x:c>
      <x:c r="F186" s="23" t="str">
        <x:v>Manual schema review</x:v>
      </x:c>
      <x:c r="G186" s="23" t="str">
        <x:v>Matched</x:v>
      </x:c>
      <x:c r="H186" s="23" t="str">
        <x:v>ECI Graph Data!182</x:v>
      </x:c>
    </x:row>
    <x:row r="187">
      <x:c r="A187" s="17" t="str">
        <x:v>ECI Graph Data</x:v>
      </x:c>
      <x:c r="B187" s="23" t="str">
        <x:v>Baichuan2-13B</x:v>
      </x:c>
      <x:c r="C187" s="23" t="str">
        <x:v>baichuan:baichuan2-13b</x:v>
      </x:c>
      <x:c r="D187" s="23" t="str">
        <x:v>Baichuan2-13B</x:v>
      </x:c>
      <x:c r="E187" s="23" t="str">
        <x:v>Exact self identity</x:v>
      </x:c>
      <x:c r="F187" s="23" t="str">
        <x:v>Manual schema review</x:v>
      </x:c>
      <x:c r="G187" s="23" t="str">
        <x:v>Matched</x:v>
      </x:c>
      <x:c r="H187" s="23" t="str">
        <x:v>ECI Graph Data!183</x:v>
      </x:c>
    </x:row>
    <x:row r="188">
      <x:c r="A188" s="17" t="str">
        <x:v>ECI Graph Data</x:v>
      </x:c>
      <x:c r="B188" s="23" t="str">
        <x:v>Qwen2.5-Coder (1.5B)</x:v>
      </x:c>
      <x:c r="C188" s="23" t="str">
        <x:v>alibaba:qwen2-5-coder-1-5b</x:v>
      </x:c>
      <x:c r="D188" s="23" t="str">
        <x:v>Qwen2.5-Coder (1.5B)</x:v>
      </x:c>
      <x:c r="E188" s="23" t="str">
        <x:v>Exact self identity</x:v>
      </x:c>
      <x:c r="F188" s="23" t="str">
        <x:v>Manual schema review</x:v>
      </x:c>
      <x:c r="G188" s="23" t="str">
        <x:v>Matched</x:v>
      </x:c>
      <x:c r="H188" s="23" t="str">
        <x:v>ECI Graph Data!184</x:v>
      </x:c>
    </x:row>
    <x:row r="189">
      <x:c r="A189" s="17" t="str">
        <x:v>ECI Graph Data</x:v>
      </x:c>
      <x:c r="B189" s="23" t="str">
        <x:v>internlm-7b</x:v>
      </x:c>
      <x:c r="C189" s="23" t="str">
        <x:v>unknown:internlm-7b</x:v>
      </x:c>
      <x:c r="D189" s="23" t="str">
        <x:v>internlm-7b</x:v>
      </x:c>
      <x:c r="E189" s="23" t="str">
        <x:v>Exact self identity</x:v>
      </x:c>
      <x:c r="F189" s="23" t="str">
        <x:v>Manual schema review</x:v>
      </x:c>
      <x:c r="G189" s="23" t="str">
        <x:v>Matched</x:v>
      </x:c>
      <x:c r="H189" s="23" t="str">
        <x:v>ECI Graph Data!185</x:v>
      </x:c>
    </x:row>
    <x:row r="190">
      <x:c r="A190" s="17" t="str">
        <x:v>ECI Graph Data</x:v>
      </x:c>
      <x:c r="B190" s="23" t="str">
        <x:v>INTELLECT-1</x:v>
      </x:c>
      <x:c r="C190" s="23" t="str">
        <x:v>prime-intellect-hugging-face-arcee-ai:intellect-1</x:v>
      </x:c>
      <x:c r="D190" s="23" t="str">
        <x:v>INTELLECT-1</x:v>
      </x:c>
      <x:c r="E190" s="23" t="str">
        <x:v>Exact self identity</x:v>
      </x:c>
      <x:c r="F190" s="23" t="str">
        <x:v>Manual schema review</x:v>
      </x:c>
      <x:c r="G190" s="23" t="str">
        <x:v>Matched</x:v>
      </x:c>
      <x:c r="H190" s="23" t="str">
        <x:v>ECI Graph Data!186</x:v>
      </x:c>
    </x:row>
    <x:row r="191">
      <x:c r="A191" s="17" t="str">
        <x:v>ECI Graph Data</x:v>
      </x:c>
      <x:c r="B191" s="23" t="str">
        <x:v>MPT-30B</x:v>
      </x:c>
      <x:c r="C191" s="23" t="str">
        <x:v>mosaicml:mpt-30b</x:v>
      </x:c>
      <x:c r="D191" s="23" t="str">
        <x:v>MPT-30B</x:v>
      </x:c>
      <x:c r="E191" s="23" t="str">
        <x:v>Exact self identity</x:v>
      </x:c>
      <x:c r="F191" s="23" t="str">
        <x:v>Manual schema review</x:v>
      </x:c>
      <x:c r="G191" s="23" t="str">
        <x:v>Matched</x:v>
      </x:c>
      <x:c r="H191" s="23" t="str">
        <x:v>ECI Graph Data!187</x:v>
      </x:c>
    </x:row>
    <x:row r="192">
      <x:c r="A192" s="17" t="str">
        <x:v>ECI Graph Data</x:v>
      </x:c>
      <x:c r="B192" s="23" t="str">
        <x:v>LLaMA-13B</x:v>
      </x:c>
      <x:c r="C192" s="23" t="str">
        <x:v>meta:llama-13b</x:v>
      </x:c>
      <x:c r="D192" s="23" t="str">
        <x:v>LLaMA-13B</x:v>
      </x:c>
      <x:c r="E192" s="23" t="str">
        <x:v>Exact self identity</x:v>
      </x:c>
      <x:c r="F192" s="23" t="str">
        <x:v>Manual schema review</x:v>
      </x:c>
      <x:c r="G192" s="23" t="str">
        <x:v>Matched</x:v>
      </x:c>
      <x:c r="H192" s="23" t="str">
        <x:v>ECI Graph Data!188</x:v>
      </x:c>
    </x:row>
    <x:row r="193">
      <x:c r="A193" s="17" t="str">
        <x:v>ECI Graph Data</x:v>
      </x:c>
      <x:c r="B193" s="23" t="str">
        <x:v>Llama 2-7B</x:v>
      </x:c>
      <x:c r="C193" s="23" t="str">
        <x:v>meta:llama-2-7b</x:v>
      </x:c>
      <x:c r="D193" s="23" t="str">
        <x:v>Llama 2-7B</x:v>
      </x:c>
      <x:c r="E193" s="23" t="str">
        <x:v>Exact self identity</x:v>
      </x:c>
      <x:c r="F193" s="23" t="str">
        <x:v>Manual schema review</x:v>
      </x:c>
      <x:c r="G193" s="23" t="str">
        <x:v>Matched</x:v>
      </x:c>
      <x:c r="H193" s="23" t="str">
        <x:v>ECI Graph Data!189</x:v>
      </x:c>
    </x:row>
    <x:row r="194">
      <x:c r="A194" s="17" t="str">
        <x:v>ECI Graph Data</x:v>
      </x:c>
      <x:c r="B194" s="23" t="str">
        <x:v>chatglm2-6b</x:v>
      </x:c>
      <x:c r="C194" s="23" t="str">
        <x:v>unknown:chatglm2-6b</x:v>
      </x:c>
      <x:c r="D194" s="23" t="str">
        <x:v>chatglm2-6b</x:v>
      </x:c>
      <x:c r="E194" s="23" t="str">
        <x:v>Exact self identity</x:v>
      </x:c>
      <x:c r="F194" s="23" t="str">
        <x:v>Manual schema review</x:v>
      </x:c>
      <x:c r="G194" s="23" t="str">
        <x:v>Matched</x:v>
      </x:c>
      <x:c r="H194" s="23" t="str">
        <x:v>ECI Graph Data!190</x:v>
      </x:c>
    </x:row>
    <x:row r="195">
      <x:c r="A195" s="17" t="str">
        <x:v>ECI Graph Data</x:v>
      </x:c>
      <x:c r="B195" s="23" t="str">
        <x:v>LLaMA-7B</x:v>
      </x:c>
      <x:c r="C195" s="23" t="str">
        <x:v>meta:llama-7b</x:v>
      </x:c>
      <x:c r="D195" s="23" t="str">
        <x:v>LLaMA-7B</x:v>
      </x:c>
      <x:c r="E195" s="23" t="str">
        <x:v>Exact self identity</x:v>
      </x:c>
      <x:c r="F195" s="23" t="str">
        <x:v>Manual schema review</x:v>
      </x:c>
      <x:c r="G195" s="23" t="str">
        <x:v>Matched</x:v>
      </x:c>
      <x:c r="H195" s="23" t="str">
        <x:v>ECI Graph Data!191</x:v>
      </x:c>
    </x:row>
    <x:row r="196">
      <x:c r="A196" s="17" t="str">
        <x:v>ECI Graph Data</x:v>
      </x:c>
      <x:c r="B196" s="23" t="str">
        <x:v>Baichuan 2-7B</x:v>
      </x:c>
      <x:c r="C196" s="23" t="str">
        <x:v>baichuan:baichuan-2-7b</x:v>
      </x:c>
      <x:c r="D196" s="23" t="str">
        <x:v>Baichuan 2-7B</x:v>
      </x:c>
      <x:c r="E196" s="23" t="str">
        <x:v>Exact self identity</x:v>
      </x:c>
      <x:c r="F196" s="23" t="str">
        <x:v>Manual schema review</x:v>
      </x:c>
      <x:c r="G196" s="23" t="str">
        <x:v>Matched</x:v>
      </x:c>
      <x:c r="H196" s="23" t="str">
        <x:v>ECI Graph Data!192</x:v>
      </x:c>
    </x:row>
    <x:row r="197">
      <x:c r="A197" s="17" t="str">
        <x:v>ECI Graph Data</x:v>
      </x:c>
      <x:c r="B197" s="23" t="str">
        <x:v>DeepSeek Coder 33B</x:v>
      </x:c>
      <x:c r="C197" s="23" t="str">
        <x:v>deepseek:deepseek-coder-33b</x:v>
      </x:c>
      <x:c r="D197" s="23" t="str">
        <x:v>DeepSeek Coder 33B</x:v>
      </x:c>
      <x:c r="E197" s="23" t="str">
        <x:v>Exact self identity</x:v>
      </x:c>
      <x:c r="F197" s="23" t="str">
        <x:v>Manual schema review</x:v>
      </x:c>
      <x:c r="G197" s="23" t="str">
        <x:v>Matched</x:v>
      </x:c>
      <x:c r="H197" s="23" t="str">
        <x:v>ECI Graph Data!193</x:v>
      </x:c>
    </x:row>
    <x:row r="198">
      <x:c r="A198" s="17" t="str">
        <x:v>ECI Graph Data</x:v>
      </x:c>
      <x:c r="B198" s="23" t="str">
        <x:v>Falcon-7B</x:v>
      </x:c>
      <x:c r="C198" s="23" t="str">
        <x:v>technology-innovation-institute:falcon-7b</x:v>
      </x:c>
      <x:c r="D198" s="23" t="str">
        <x:v>Falcon-7B</x:v>
      </x:c>
      <x:c r="E198" s="23" t="str">
        <x:v>Exact self identity</x:v>
      </x:c>
      <x:c r="F198" s="23" t="str">
        <x:v>Manual schema review</x:v>
      </x:c>
      <x:c r="G198" s="23" t="str">
        <x:v>Matched</x:v>
      </x:c>
      <x:c r="H198" s="23" t="str">
        <x:v>ECI Graph Data!194</x:v>
      </x:c>
    </x:row>
    <x:row r="199">
      <x:c r="A199" s="17" t="str">
        <x:v>ECI Graph Data</x:v>
      </x:c>
      <x:c r="B199" s="23" t="str">
        <x:v>CodeQwen1.5-7B</x:v>
      </x:c>
      <x:c r="C199" s="23" t="str">
        <x:v>unknown:codeqwen1-5-7b</x:v>
      </x:c>
      <x:c r="D199" s="23" t="str">
        <x:v>CodeQwen1.5-7B</x:v>
      </x:c>
      <x:c r="E199" s="23" t="str">
        <x:v>Exact self identity</x:v>
      </x:c>
      <x:c r="F199" s="23" t="str">
        <x:v>Manual schema review</x:v>
      </x:c>
      <x:c r="G199" s="23" t="str">
        <x:v>Matched</x:v>
      </x:c>
      <x:c r="H199" s="23" t="str">
        <x:v>ECI Graph Data!195</x:v>
      </x:c>
    </x:row>
    <x:row r="200">
      <x:c r="A200" s="17" t="str">
        <x:v>ECI Graph Data</x:v>
      </x:c>
      <x:c r="B200" s="23" t="str">
        <x:v>vicuna-13b-v1.1</x:v>
      </x:c>
      <x:c r="C200" s="23" t="str">
        <x:v>unknown:vicuna-13b-v1-1</x:v>
      </x:c>
      <x:c r="D200" s="23" t="str">
        <x:v>vicuna-13b-v1.1</x:v>
      </x:c>
      <x:c r="E200" s="23" t="str">
        <x:v>Exact self identity</x:v>
      </x:c>
      <x:c r="F200" s="23" t="str">
        <x:v>Manual schema review</x:v>
      </x:c>
      <x:c r="G200" s="23" t="str">
        <x:v>Matched</x:v>
      </x:c>
      <x:c r="H200" s="23" t="str">
        <x:v>ECI Graph Data!196</x:v>
      </x:c>
    </x:row>
    <x:row r="201">
      <x:c r="A201" s="17" t="str">
        <x:v>ECI Graph Data</x:v>
      </x:c>
      <x:c r="B201" s="23" t="str">
        <x:v>MPT-7B</x:v>
      </x:c>
      <x:c r="C201" s="23" t="str">
        <x:v>mosaicml:mpt-7b</x:v>
      </x:c>
      <x:c r="D201" s="23" t="str">
        <x:v>MPT-7B</x:v>
      </x:c>
      <x:c r="E201" s="23" t="str">
        <x:v>Exact self identity</x:v>
      </x:c>
      <x:c r="F201" s="23" t="str">
        <x:v>Manual schema review</x:v>
      </x:c>
      <x:c r="G201" s="23" t="str">
        <x:v>Matched</x:v>
      </x:c>
      <x:c r="H201" s="23" t="str">
        <x:v>ECI Graph Data!197</x:v>
      </x:c>
    </x:row>
    <x:row r="202">
      <x:c r="A202" s="17" t="str">
        <x:v>ECI Graph Data</x:v>
      </x:c>
      <x:c r="B202" s="23" t="str">
        <x:v>Gemma 2B</x:v>
      </x:c>
      <x:c r="C202" s="23" t="str">
        <x:v>google:gemma-2b</x:v>
      </x:c>
      <x:c r="D202" s="23" t="str">
        <x:v>Gemma 2B</x:v>
      </x:c>
      <x:c r="E202" s="23" t="str">
        <x:v>Exact self identity</x:v>
      </x:c>
      <x:c r="F202" s="23" t="str">
        <x:v>Manual schema review</x:v>
      </x:c>
      <x:c r="G202" s="23" t="str">
        <x:v>Matched</x:v>
      </x:c>
      <x:c r="H202" s="23" t="str">
        <x:v>ECI Graph Data!198</x:v>
      </x:c>
    </x:row>
    <x:row r="203">
      <x:c r="A203" s="17" t="str">
        <x:v>ECI Graph Data</x:v>
      </x:c>
      <x:c r="B203" s="23" t="str">
        <x:v>StarCoder 2 7B</x:v>
      </x:c>
      <x:c r="C203" s="23" t="str">
        <x:v>hugging-face-servicenow-nvidia-bigcode:starcoder-2-7b</x:v>
      </x:c>
      <x:c r="D203" s="23" t="str">
        <x:v>StarCoder 2 7B</x:v>
      </x:c>
      <x:c r="E203" s="23" t="str">
        <x:v>Exact self identity</x:v>
      </x:c>
      <x:c r="F203" s="23" t="str">
        <x:v>Manual schema review</x:v>
      </x:c>
      <x:c r="G203" s="23" t="str">
        <x:v>Matched</x:v>
      </x:c>
      <x:c r="H203" s="23" t="str">
        <x:v>ECI Graph Data!199</x:v>
      </x:c>
    </x:row>
    <x:row r="204">
      <x:c r="A204" s="17" t="str">
        <x:v>ECI Graph Data</x:v>
      </x:c>
      <x:c r="B204" s="23" t="str">
        <x:v>XGen-7B</x:v>
      </x:c>
      <x:c r="C204" s="23" t="str">
        <x:v>salesforce:xgen-7b</x:v>
      </x:c>
      <x:c r="D204" s="23" t="str">
        <x:v>XGen-7B</x:v>
      </x:c>
      <x:c r="E204" s="23" t="str">
        <x:v>Exact self identity</x:v>
      </x:c>
      <x:c r="F204" s="23" t="str">
        <x:v>Manual schema review</x:v>
      </x:c>
      <x:c r="G204" s="23" t="str">
        <x:v>Matched</x:v>
      </x:c>
      <x:c r="H204" s="23" t="str">
        <x:v>ECI Graph Data!200</x:v>
      </x:c>
    </x:row>
    <x:row r="205">
      <x:c r="A205" s="17" t="str">
        <x:v>ECI Graph Data</x:v>
      </x:c>
      <x:c r="B205" s="23" t="str">
        <x:v>Qwen-1_8B</x:v>
      </x:c>
      <x:c r="C205" s="23" t="str">
        <x:v>unknown:qwen-1-8b</x:v>
      </x:c>
      <x:c r="D205" s="23" t="str">
        <x:v>Qwen-1_8B</x:v>
      </x:c>
      <x:c r="E205" s="23" t="str">
        <x:v>Exact self identity</x:v>
      </x:c>
      <x:c r="F205" s="23" t="str">
        <x:v>Manual schema review</x:v>
      </x:c>
      <x:c r="G205" s="23" t="str">
        <x:v>Matched</x:v>
      </x:c>
      <x:c r="H205" s="23" t="str">
        <x:v>ECI Graph Data!201</x:v>
      </x:c>
    </x:row>
    <x:row r="206">
      <x:c r="A206" s="17" t="str">
        <x:v>ECI Graph Data</x:v>
      </x:c>
      <x:c r="B206" s="23" t="str">
        <x:v>open_llama_7b</x:v>
      </x:c>
      <x:c r="C206" s="23" t="str">
        <x:v>unknown:open-llama-7b</x:v>
      </x:c>
      <x:c r="D206" s="23" t="str">
        <x:v>open_llama_7b</x:v>
      </x:c>
      <x:c r="E206" s="23" t="str">
        <x:v>Exact self identity</x:v>
      </x:c>
      <x:c r="F206" s="23" t="str">
        <x:v>Manual schema review</x:v>
      </x:c>
      <x:c r="G206" s="23" t="str">
        <x:v>Matched</x:v>
      </x:c>
      <x:c r="H206" s="23" t="str">
        <x:v>ECI Graph Data!202</x:v>
      </x:c>
    </x:row>
    <x:row r="207">
      <x:c r="A207" s="17" t="str">
        <x:v>ECI Graph Data</x:v>
      </x:c>
      <x:c r="B207" s="23" t="str">
        <x:v>Phi-1.5</x:v>
      </x:c>
      <x:c r="C207" s="23" t="str">
        <x:v>microsoft:phi-1-5</x:v>
      </x:c>
      <x:c r="D207" s="23" t="str">
        <x:v>Phi-1.5</x:v>
      </x:c>
      <x:c r="E207" s="23" t="str">
        <x:v>Exact self identity</x:v>
      </x:c>
      <x:c r="F207" s="23" t="str">
        <x:v>Manual schema review</x:v>
      </x:c>
      <x:c r="G207" s="23" t="str">
        <x:v>Matched</x:v>
      </x:c>
      <x:c r="H207" s="23" t="str">
        <x:v>ECI Graph Data!203</x:v>
      </x:c>
    </x:row>
    <x:row r="208">
      <x:c r="A208" s="17" t="str">
        <x:v>ECI Graph Data</x:v>
      </x:c>
      <x:c r="B208" s="23" t="str">
        <x:v>Baichuan1-7B</x:v>
      </x:c>
      <x:c r="C208" s="23" t="str">
        <x:v>baichuan:baichuan1-7b</x:v>
      </x:c>
      <x:c r="D208" s="23" t="str">
        <x:v>Baichuan1-7B</x:v>
      </x:c>
      <x:c r="E208" s="23" t="str">
        <x:v>Exact self identity</x:v>
      </x:c>
      <x:c r="F208" s="23" t="str">
        <x:v>Manual schema review</x:v>
      </x:c>
      <x:c r="G208" s="23" t="str">
        <x:v>Matched</x:v>
      </x:c>
      <x:c r="H208" s="23" t="str">
        <x:v>ECI Graph Data!204</x:v>
      </x:c>
    </x:row>
    <x:row r="209">
      <x:c r="A209" s="17" t="str">
        <x:v>ECI Graph Data</x:v>
      </x:c>
      <x:c r="B209" s="23" t="str">
        <x:v>RedPajama-INCITE-7B-Base</x:v>
      </x:c>
      <x:c r="C209" s="23" t="str">
        <x:v>unknown:redpajama-incite-7b-base</x:v>
      </x:c>
      <x:c r="D209" s="23" t="str">
        <x:v>RedPajama-INCITE-7B-Base</x:v>
      </x:c>
      <x:c r="E209" s="23" t="str">
        <x:v>Exact self identity</x:v>
      </x:c>
      <x:c r="F209" s="23" t="str">
        <x:v>Manual schema review</x:v>
      </x:c>
      <x:c r="G209" s="23" t="str">
        <x:v>Matched</x:v>
      </x:c>
      <x:c r="H209" s="23" t="str">
        <x:v>ECI Graph Data!205</x:v>
      </x:c>
    </x:row>
    <x:row r="210">
      <x:c r="A210" s="17" t="str">
        <x:v>ECI Graph Data</x:v>
      </x:c>
      <x:c r="B210" s="23" t="str">
        <x:v>Dolly 2.0-12b</x:v>
      </x:c>
      <x:c r="C210" s="23" t="str">
        <x:v>databricks:dolly-2-0-12b</x:v>
      </x:c>
      <x:c r="D210" s="23" t="str">
        <x:v>Dolly 2.0-12b</x:v>
      </x:c>
      <x:c r="E210" s="23" t="str">
        <x:v>Exact self identity</x:v>
      </x:c>
      <x:c r="F210" s="23" t="str">
        <x:v>Manual schema review</x:v>
      </x:c>
      <x:c r="G210" s="23" t="str">
        <x:v>Matched</x:v>
      </x:c>
      <x:c r="H210" s="23" t="str">
        <x:v>ECI Graph Data!206</x:v>
      </x:c>
    </x:row>
    <x:row r="211">
      <x:c r="A211" s="17" t="str">
        <x:v>ECI Graph Data</x:v>
      </x:c>
      <x:c r="B211" s="23" t="str">
        <x:v>DeepSeek Coder 6.7B</x:v>
      </x:c>
      <x:c r="C211" s="23" t="str">
        <x:v>deepseek:deepseek-coder-6-7b</x:v>
      </x:c>
      <x:c r="D211" s="23" t="str">
        <x:v>DeepSeek Coder 6.7B</x:v>
      </x:c>
      <x:c r="E211" s="23" t="str">
        <x:v>Exact self identity</x:v>
      </x:c>
      <x:c r="F211" s="23" t="str">
        <x:v>Manual schema review</x:v>
      </x:c>
      <x:c r="G211" s="23" t="str">
        <x:v>Matched</x:v>
      </x:c>
      <x:c r="H211" s="23" t="str">
        <x:v>ECI Graph Data!207</x:v>
      </x:c>
    </x:row>
    <x:row r="212">
      <x:c r="A212" s="17" t="str">
        <x:v>ECI Graph Data</x:v>
      </x:c>
      <x:c r="B212" s="23" t="str">
        <x:v>StarCoder 2 3B</x:v>
      </x:c>
      <x:c r="C212" s="23" t="str">
        <x:v>hugging-face-servicenow-nvidia-bigcode:starcoder-2-3b</x:v>
      </x:c>
      <x:c r="D212" s="23" t="str">
        <x:v>StarCoder 2 3B</x:v>
      </x:c>
      <x:c r="E212" s="23" t="str">
        <x:v>Exact self identity</x:v>
      </x:c>
      <x:c r="F212" s="23" t="str">
        <x:v>Manual schema review</x:v>
      </x:c>
      <x:c r="G212" s="23" t="str">
        <x:v>Matched</x:v>
      </x:c>
      <x:c r="H212" s="23" t="str">
        <x:v>ECI Graph Data!208</x:v>
      </x:c>
    </x:row>
    <x:row r="213">
      <x:c r="A213" s="17" t="str">
        <x:v>ECI Graph Data</x:v>
      </x:c>
      <x:c r="B213" s="23" t="str">
        <x:v>Qwen2.5-Coder-0.5B</x:v>
      </x:c>
      <x:c r="C213" s="23" t="str">
        <x:v>unknown:qwen2-5-coder-0-5b</x:v>
      </x:c>
      <x:c r="D213" s="23" t="str">
        <x:v>Qwen2.5-Coder-0.5B</x:v>
      </x:c>
      <x:c r="E213" s="23" t="str">
        <x:v>Exact self identity</x:v>
      </x:c>
      <x:c r="F213" s="23" t="str">
        <x:v>Manual schema review</x:v>
      </x:c>
      <x:c r="G213" s="23" t="str">
        <x:v>Matched</x:v>
      </x:c>
      <x:c r="H213" s="23" t="str">
        <x:v>ECI Graph Data!209</x:v>
      </x:c>
    </x:row>
    <x:row r="214">
      <x:c r="A214" s="17" t="str">
        <x:v>ECI Graph Data</x:v>
      </x:c>
      <x:c r="B214" s="23" t="str">
        <x:v>Cerebras-GPT-13B</x:v>
      </x:c>
      <x:c r="C214" s="23" t="str">
        <x:v>cerebras-systems:cerebras-gpt-13b</x:v>
      </x:c>
      <x:c r="D214" s="23" t="str">
        <x:v>Cerebras-GPT-13B</x:v>
      </x:c>
      <x:c r="E214" s="23" t="str">
        <x:v>Exact self identity</x:v>
      </x:c>
      <x:c r="F214" s="23" t="str">
        <x:v>Manual schema review</x:v>
      </x:c>
      <x:c r="G214" s="23" t="str">
        <x:v>Matched</x:v>
      </x:c>
      <x:c r="H214" s="23" t="str">
        <x:v>ECI Graph Data!210</x:v>
      </x:c>
    </x:row>
    <x:row r="215">
      <x:c r="A215" s="17" t="str">
        <x:v>ECI Graph Data</x:v>
      </x:c>
      <x:c r="B215" s="23" t="str">
        <x:v>DeepSeek Coder 1.3B</x:v>
      </x:c>
      <x:c r="C215" s="23" t="str">
        <x:v>deepseek:deepseek-coder-1-3b</x:v>
      </x:c>
      <x:c r="D215" s="23" t="str">
        <x:v>DeepSeek Coder 1.3B</x:v>
      </x:c>
      <x:c r="E215" s="23" t="str">
        <x:v>Exact self identity</x:v>
      </x:c>
      <x:c r="F215" s="23" t="str">
        <x:v>Manual schema review</x:v>
      </x:c>
      <x:c r="G215" s="23" t="str">
        <x:v>Matched</x:v>
      </x:c>
      <x:c r="H215" s="23" t="str">
        <x:v>ECI Graph Data!211</x:v>
      </x:c>
    </x:row>
    <x:row r="216">
      <x:c r="A216" s="17" t="str">
        <x:v>ECI Graph Data</x:v>
      </x:c>
      <x:c r="B216" s="23" t="str">
        <x:v>stablelm-tuned-alpha-7b</x:v>
      </x:c>
      <x:c r="C216" s="23" t="str">
        <x:v>unknown:stablelm-tuned-alpha-7b</x:v>
      </x:c>
      <x:c r="D216" s="23" t="str">
        <x:v>stablelm-tuned-alpha-7b</x:v>
      </x:c>
      <x:c r="E216" s="23" t="str">
        <x:v>Exact self identity</x:v>
      </x:c>
      <x:c r="F216" s="23" t="str">
        <x:v>Manual schema review</x:v>
      </x:c>
      <x:c r="G216" s="23" t="str">
        <x:v>Matched</x:v>
      </x:c>
      <x:c r="H216" s="23" t="str">
        <x:v>ECI Graph Data!212</x:v>
      </x:c>
    </x:row>
    <x:row r="217">
      <x:c r="A217" s="17" t="str">
        <x:v>Paper frontier</x:v>
      </x:c>
      <x:c r="B217" s="23" t="str">
        <x:v>GPT-2</x:v>
      </x:c>
      <x:c r="C217" s="23" t="str">
        <x:v>openai:gpt-2</x:v>
      </x:c>
      <x:c r="D217" s="23" t="str"/>
      <x:c r="E217" s="23" t="str">
        <x:v>Explicitly unmatched</x:v>
      </x:c>
      <x:c r="F217" s="23" t="str">
        <x:v>Manual row-by-row review</x:v>
      </x:c>
      <x:c r="G217" s="23" t="str">
        <x:v>Preserved unmatched</x:v>
      </x:c>
      <x:c r="H217" s="23" t="str">
        <x:v>tab:horizons-per-model</x:v>
      </x:c>
    </x:row>
    <x:row r="218">
      <x:c r="A218" s="17" t="str">
        <x:v>Paper frontier</x:v>
      </x:c>
      <x:c r="B218" s="23" t="str">
        <x:v>GPT-3</x:v>
      </x:c>
      <x:c r="C218" s="23" t="str">
        <x:v>openai:gpt-3</x:v>
      </x:c>
      <x:c r="D218" s="23" t="str"/>
      <x:c r="E218" s="23" t="str">
        <x:v>Explicitly unmatched</x:v>
      </x:c>
      <x:c r="F218" s="23" t="str">
        <x:v>Manual row-by-row review</x:v>
      </x:c>
      <x:c r="G218" s="23" t="str">
        <x:v>Preserved unmatched</x:v>
      </x:c>
      <x:c r="H218" s="23" t="str">
        <x:v>tab:horizons-per-model</x:v>
      </x:c>
    </x:row>
    <x:row r="219">
      <x:c r="A219" s="17" t="str">
        <x:v>Paper frontier</x:v>
      </x:c>
      <x:c r="B219" s="23" t="str">
        <x:v>GPT-3.5</x:v>
      </x:c>
      <x:c r="C219" s="23" t="str">
        <x:v>openai:gpt-3-5</x:v>
      </x:c>
      <x:c r="D219" s="23" t="str"/>
      <x:c r="E219" s="23" t="str">
        <x:v>Explicitly unmatched</x:v>
      </x:c>
      <x:c r="F219" s="23" t="str">
        <x:v>Manual row-by-row review</x:v>
      </x:c>
      <x:c r="G219" s="23" t="str">
        <x:v>Preserved unmatched</x:v>
      </x:c>
      <x:c r="H219" s="23" t="str">
        <x:v>tab:horizons-per-model</x:v>
      </x:c>
    </x:row>
    <x:row r="220">
      <x:c r="A220" s="17" t="str">
        <x:v>Paper frontier</x:v>
      </x:c>
      <x:c r="B220" s="23" t="str">
        <x:v>GPT-4</x:v>
      </x:c>
      <x:c r="C220" s="23" t="str">
        <x:v>openai:gpt-4-mar-2023</x:v>
      </x:c>
      <x:c r="D220" s="23" t="str">
        <x:v>GPT-4 (Mar 2023)</x:v>
      </x:c>
      <x:c r="E220" s="23" t="str">
        <x:v>Manual exact checkpoint alias</x:v>
      </x:c>
      <x:c r="F220" s="23" t="str">
        <x:v>Manual row-by-row review</x:v>
      </x:c>
      <x:c r="G220" s="23" t="str">
        <x:v>Matched</x:v>
      </x:c>
      <x:c r="H220" s="23" t="str">
        <x:v>tab:horizons-per-model</x:v>
      </x:c>
    </x:row>
    <x:row r="221">
      <x:c r="A221" s="17" t="str">
        <x:v>Paper frontier</x:v>
      </x:c>
      <x:c r="B221" s="23" t="str">
        <x:v>GPT-4 Turbo</x:v>
      </x:c>
      <x:c r="C221" s="23" t="str">
        <x:v>openai:gpt-4-turbo-apr-2024</x:v>
      </x:c>
      <x:c r="D221" s="23" t="str">
        <x:v>GPT-4 Turbo (Apr 2024)</x:v>
      </x:c>
      <x:c r="E221" s="23" t="str">
        <x:v>Manual exact checkpoint alias</x:v>
      </x:c>
      <x:c r="F221" s="23" t="str">
        <x:v>Manual row-by-row review</x:v>
      </x:c>
      <x:c r="G221" s="23" t="str">
        <x:v>Matched</x:v>
      </x:c>
      <x:c r="H221" s="23" t="str">
        <x:v>tab:horizons-per-model</x:v>
      </x:c>
    </x:row>
    <x:row r="222">
      <x:c r="A222" s="17" t="str">
        <x:v>Paper frontier</x:v>
      </x:c>
      <x:c r="B222" s="23" t="str">
        <x:v>GPT-4o</x:v>
      </x:c>
      <x:c r="C222" s="23" t="str">
        <x:v>openai:gpt-4o-may-2024</x:v>
      </x:c>
      <x:c r="D222" s="23" t="str">
        <x:v>GPT-4o (May 2024)</x:v>
      </x:c>
      <x:c r="E222" s="23" t="str">
        <x:v>Manual exact checkpoint alias</x:v>
      </x:c>
      <x:c r="F222" s="23" t="str">
        <x:v>Manual row-by-row review</x:v>
      </x:c>
      <x:c r="G222" s="23" t="str">
        <x:v>Matched</x:v>
      </x:c>
      <x:c r="H222" s="23" t="str">
        <x:v>tab:horizons-per-model</x:v>
      </x:c>
    </x:row>
    <x:row r="223">
      <x:c r="A223" s="17" t="str">
        <x:v>Paper frontier</x:v>
      </x:c>
      <x:c r="B223" s="23" t="str">
        <x:v>Sonnet 3.7</x:v>
      </x:c>
      <x:c r="C223" s="23" t="str">
        <x:v>anthropic:claude-3-7-sonnet</x:v>
      </x:c>
      <x:c r="D223" s="23" t="str">
        <x:v>Claude 3.7 Sonnet</x:v>
      </x:c>
      <x:c r="E223" s="23" t="str">
        <x:v>Manual exact checkpoint alias</x:v>
      </x:c>
      <x:c r="F223" s="23" t="str">
        <x:v>Manual row-by-row review</x:v>
      </x:c>
      <x:c r="G223" s="23" t="str">
        <x:v>Matched</x:v>
      </x:c>
      <x:c r="H223" s="23" t="str">
        <x:v>tab:horizons-per-model</x:v>
      </x:c>
    </x:row>
    <x:row r="224">
      <x:c r="A224" s="17" t="str">
        <x:v>Paper frontier</x:v>
      </x:c>
      <x:c r="B224" s="23" t="str">
        <x:v>Opus 4</x:v>
      </x:c>
      <x:c r="C224" s="23" t="str">
        <x:v>anthropic:claude-opus-4</x:v>
      </x:c>
      <x:c r="D224" s="23" t="str">
        <x:v>Claude Opus 4</x:v>
      </x:c>
      <x:c r="E224" s="23" t="str">
        <x:v>Manual exact checkpoint alias</x:v>
      </x:c>
      <x:c r="F224" s="23" t="str">
        <x:v>Manual row-by-row review</x:v>
      </x:c>
      <x:c r="G224" s="23" t="str">
        <x:v>Matched</x:v>
      </x:c>
      <x:c r="H224" s="23" t="str">
        <x:v>tab:horizons-per-model</x:v>
      </x:c>
    </x:row>
    <x:row r="225">
      <x:c r="A225" s="17" t="str">
        <x:v>Paper frontier</x:v>
      </x:c>
      <x:c r="B225" s="23" t="str">
        <x:v>Opus 4.1</x:v>
      </x:c>
      <x:c r="C225" s="23" t="str">
        <x:v>anthropic:claude-opus-4-1</x:v>
      </x:c>
      <x:c r="D225" s="23" t="str">
        <x:v>Claude Opus 4.1</x:v>
      </x:c>
      <x:c r="E225" s="23" t="str">
        <x:v>Manual exact checkpoint alias</x:v>
      </x:c>
      <x:c r="F225" s="23" t="str">
        <x:v>Manual row-by-row review</x:v>
      </x:c>
      <x:c r="G225" s="23" t="str">
        <x:v>Matched</x:v>
      </x:c>
      <x:c r="H225" s="23" t="str">
        <x:v>tab:horizons-per-model</x:v>
      </x:c>
    </x:row>
    <x:row r="226">
      <x:c r="A226" s="17" t="str">
        <x:v>Paper frontier</x:v>
      </x:c>
      <x:c r="B226" s="23" t="str">
        <x:v>Opus 4.5</x:v>
      </x:c>
      <x:c r="C226" s="23" t="str">
        <x:v>anthropic:claude-opus-4-5</x:v>
      </x:c>
      <x:c r="D226" s="23" t="str">
        <x:v>Claude Opus 4.5</x:v>
      </x:c>
      <x:c r="E226" s="23" t="str">
        <x:v>Manual exact checkpoint alias</x:v>
      </x:c>
      <x:c r="F226" s="23" t="str">
        <x:v>Manual row-by-row review</x:v>
      </x:c>
      <x:c r="G226" s="23" t="str">
        <x:v>Matched</x:v>
      </x:c>
      <x:c r="H226" s="23" t="str">
        <x:v>tab:horizons-per-model</x:v>
      </x:c>
    </x:row>
    <x:row r="227">
      <x:c r="A227" s="17" t="str">
        <x:v>Paper frontier</x:v>
      </x:c>
      <x:c r="B227" s="23" t="str">
        <x:v>Opus 4.6</x:v>
      </x:c>
      <x:c r="C227" s="23" t="str">
        <x:v>anthropic:claude-opus-4-6</x:v>
      </x:c>
      <x:c r="D227" s="23" t="str">
        <x:v>Claude Opus 4.6</x:v>
      </x:c>
      <x:c r="E227" s="23" t="str">
        <x:v>Manual exact checkpoint alias</x:v>
      </x:c>
      <x:c r="F227" s="23" t="str">
        <x:v>Manual row-by-row review</x:v>
      </x:c>
      <x:c r="G227" s="23" t="str">
        <x:v>Matched</x:v>
      </x:c>
      <x:c r="H227" s="23" t="str">
        <x:v>tab:horizons-per-model</x:v>
      </x:c>
    </x:row>
    <x:row r="228">
      <x:c r="A228" s="17" t="str">
        <x:v>Paper frontier</x:v>
      </x:c>
      <x:c r="B228" s="23" t="str">
        <x:v>GPT-5.4</x:v>
      </x:c>
      <x:c r="C228" s="23" t="str">
        <x:v>openai:gpt-5-4</x:v>
      </x:c>
      <x:c r="D228" s="23" t="str">
        <x:v>GPT-5.4</x:v>
      </x:c>
      <x:c r="E228" s="23" t="str">
        <x:v>Manual exact checkpoint alias</x:v>
      </x:c>
      <x:c r="F228" s="23" t="str">
        <x:v>Manual row-by-row review</x:v>
      </x:c>
      <x:c r="G228" s="23" t="str">
        <x:v>Matched</x:v>
      </x:c>
      <x:c r="H228" s="23" t="str">
        <x:v>tab:horizons-per-model</x:v>
      </x:c>
    </x:row>
    <x:row r="229">
      <x:c r="A229" s="17" t="str">
        <x:v>Paper frontier</x:v>
      </x:c>
      <x:c r="B229" s="23" t="str">
        <x:v>Opus 4.7</x:v>
      </x:c>
      <x:c r="C229" s="23" t="str">
        <x:v>anthropic:claude-opus-4-7</x:v>
      </x:c>
      <x:c r="D229" s="23" t="str">
        <x:v>Claude Opus 4.7</x:v>
      </x:c>
      <x:c r="E229" s="23" t="str">
        <x:v>Manual exact checkpoint alias</x:v>
      </x:c>
      <x:c r="F229" s="23" t="str">
        <x:v>Manual row-by-row review</x:v>
      </x:c>
      <x:c r="G229" s="23" t="str">
        <x:v>Matched</x:v>
      </x:c>
      <x:c r="H229" s="23" t="str">
        <x:v>tab:horizons-per-model</x:v>
      </x:c>
    </x:row>
    <x:row r="230">
      <x:c r="A230" s="17" t="str">
        <x:v>Paper frontier</x:v>
      </x:c>
      <x:c r="B230" s="23" t="str">
        <x:v>GPT-5.5</x:v>
      </x:c>
      <x:c r="C230" s="23" t="str">
        <x:v>openai:gpt-5-5</x:v>
      </x:c>
      <x:c r="D230" s="23" t="str">
        <x:v>GPT-5.5</x:v>
      </x:c>
      <x:c r="E230" s="23" t="str">
        <x:v>Manual exact checkpoint alias</x:v>
      </x:c>
      <x:c r="F230" s="23" t="str">
        <x:v>Manual row-by-row review</x:v>
      </x:c>
      <x:c r="G230" s="23" t="str">
        <x:v>Matched</x:v>
      </x:c>
      <x:c r="H230" s="23" t="str">
        <x:v>tab:horizons-per-model</x:v>
      </x:c>
    </x:row>
    <x:row r="231">
      <x:c r="A231" s="17" t="str">
        <x:v>Paper open-weight</x:v>
      </x:c>
      <x:c r="B231" s="23" t="str">
        <x:v>Llama 3 8B Instruct</x:v>
      </x:c>
      <x:c r="C231" s="23" t="str">
        <x:v>meta:llama-3-8b</x:v>
      </x:c>
      <x:c r="D231" s="23" t="str">
        <x:v>Llama 3-8B</x:v>
      </x:c>
      <x:c r="E231" s="23" t="str">
        <x:v>Manual exact checkpoint alias</x:v>
      </x:c>
      <x:c r="F231" s="23" t="str">
        <x:v>Manual row-by-row review</x:v>
      </x:c>
      <x:c r="G231" s="23" t="str">
        <x:v>Matched</x:v>
      </x:c>
      <x:c r="H231" s="23" t="str">
        <x:v>tab:open-source-models + tab:open-weight-precise-time-horizons</x:v>
      </x:c>
    </x:row>
    <x:row r="232">
      <x:c r="A232" s="17" t="str">
        <x:v>Paper open-weight</x:v>
      </x:c>
      <x:c r="B232" s="23" t="str">
        <x:v>Llama 3.1 8B Instruct</x:v>
      </x:c>
      <x:c r="C232" s="23" t="str">
        <x:v>meta:llama-3-1-8b</x:v>
      </x:c>
      <x:c r="D232" s="23" t="str">
        <x:v>Llama 3.1-8B</x:v>
      </x:c>
      <x:c r="E232" s="23" t="str">
        <x:v>Manual exact checkpoint alias</x:v>
      </x:c>
      <x:c r="F232" s="23" t="str">
        <x:v>Manual row-by-row review</x:v>
      </x:c>
      <x:c r="G232" s="23" t="str">
        <x:v>Matched</x:v>
      </x:c>
      <x:c r="H232" s="23" t="str">
        <x:v>tab:open-source-models + tab:open-weight-precise-time-horizons</x:v>
      </x:c>
    </x:row>
    <x:row r="233">
      <x:c r="A233" s="17" t="str">
        <x:v>Paper open-weight</x:v>
      </x:c>
      <x:c r="B233" s="23" t="str">
        <x:v>Llama 3.1 70B Instruct</x:v>
      </x:c>
      <x:c r="C233" s="23" t="str">
        <x:v>meta:llama-3-1-70b</x:v>
      </x:c>
      <x:c r="D233" s="23" t="str">
        <x:v>Llama 3.1-70B</x:v>
      </x:c>
      <x:c r="E233" s="23" t="str">
        <x:v>Manual exact checkpoint alias</x:v>
      </x:c>
      <x:c r="F233" s="23" t="str">
        <x:v>Manual row-by-row review</x:v>
      </x:c>
      <x:c r="G233" s="23" t="str">
        <x:v>Matched</x:v>
      </x:c>
      <x:c r="H233" s="23" t="str">
        <x:v>tab:open-source-models + tab:open-weight-precise-time-horizons</x:v>
      </x:c>
    </x:row>
    <x:row r="234">
      <x:c r="A234" s="17" t="str">
        <x:v>Paper open-weight</x:v>
      </x:c>
      <x:c r="B234" s="23" t="str">
        <x:v>Llama 3.2 1B Instruct</x:v>
      </x:c>
      <x:c r="C234" s="23" t="str">
        <x:v>meta:llama-3-2-1b-instruct</x:v>
      </x:c>
      <x:c r="D234" s="23" t="str"/>
      <x:c r="E234" s="23" t="str">
        <x:v>Explicitly unmatched</x:v>
      </x:c>
      <x:c r="F234" s="23" t="str">
        <x:v>Manual row-by-row review</x:v>
      </x:c>
      <x:c r="G234" s="23" t="str">
        <x:v>Preserved unmatched</x:v>
      </x:c>
      <x:c r="H234" s="23" t="str">
        <x:v>tab:open-source-models + tab:open-weight-precise-time-horizons</x:v>
      </x:c>
    </x:row>
    <x:row r="235">
      <x:c r="A235" s="17" t="str">
        <x:v>Paper open-weight</x:v>
      </x:c>
      <x:c r="B235" s="23" t="str">
        <x:v>Llama 3.2 3B Instruct</x:v>
      </x:c>
      <x:c r="C235" s="23" t="str">
        <x:v>meta:llama-3-2-3b-instruct</x:v>
      </x:c>
      <x:c r="D235" s="23" t="str"/>
      <x:c r="E235" s="23" t="str">
        <x:v>Explicitly unmatched</x:v>
      </x:c>
      <x:c r="F235" s="23" t="str">
        <x:v>Manual row-by-row review</x:v>
      </x:c>
      <x:c r="G235" s="23" t="str">
        <x:v>Preserved unmatched</x:v>
      </x:c>
      <x:c r="H235" s="23" t="str">
        <x:v>tab:open-source-models + tab:open-weight-precise-time-horizons</x:v>
      </x:c>
    </x:row>
    <x:row r="236">
      <x:c r="A236" s="17" t="str">
        <x:v>Paper open-weight</x:v>
      </x:c>
      <x:c r="B236" s="23" t="str">
        <x:v>Llama 3.3 70B Instruct</x:v>
      </x:c>
      <x:c r="C236" s="23" t="str">
        <x:v>meta:llama-3-3-70b</x:v>
      </x:c>
      <x:c r="D236" s="23" t="str">
        <x:v>Llama 3.3 70B</x:v>
      </x:c>
      <x:c r="E236" s="23" t="str">
        <x:v>Manual exact checkpoint alias</x:v>
      </x:c>
      <x:c r="F236" s="23" t="str">
        <x:v>Manual row-by-row review</x:v>
      </x:c>
      <x:c r="G236" s="23" t="str">
        <x:v>Matched</x:v>
      </x:c>
      <x:c r="H236" s="23" t="str">
        <x:v>tab:open-source-models + tab:open-weight-precise-time-horizons</x:v>
      </x:c>
    </x:row>
    <x:row r="237">
      <x:c r="A237" s="17" t="str">
        <x:v>Paper open-weight</x:v>
      </x:c>
      <x:c r="B237" s="23" t="str">
        <x:v>Llama 4 Scout</x:v>
      </x:c>
      <x:c r="C237" s="23" t="str">
        <x:v>meta:llama-4-scout</x:v>
      </x:c>
      <x:c r="D237" s="23" t="str">
        <x:v>Llama 4 Scout</x:v>
      </x:c>
      <x:c r="E237" s="23" t="str">
        <x:v>Manual exact checkpoint alias</x:v>
      </x:c>
      <x:c r="F237" s="23" t="str">
        <x:v>Manual row-by-row review</x:v>
      </x:c>
      <x:c r="G237" s="23" t="str">
        <x:v>Matched</x:v>
      </x:c>
      <x:c r="H237" s="23" t="str">
        <x:v>tab:open-source-models + tab:open-weight-precise-time-horizons</x:v>
      </x:c>
    </x:row>
    <x:row r="238">
      <x:c r="A238" s="17" t="str">
        <x:v>Paper open-weight</x:v>
      </x:c>
      <x:c r="B238" s="23" t="str">
        <x:v>Llama 4 Maverick</x:v>
      </x:c>
      <x:c r="C238" s="23" t="str">
        <x:v>meta:llama-4-maverick</x:v>
      </x:c>
      <x:c r="D238" s="23" t="str">
        <x:v>Llama 4 Maverick</x:v>
      </x:c>
      <x:c r="E238" s="23" t="str">
        <x:v>Manual exact checkpoint alias</x:v>
      </x:c>
      <x:c r="F238" s="23" t="str">
        <x:v>Manual row-by-row review</x:v>
      </x:c>
      <x:c r="G238" s="23" t="str">
        <x:v>Matched</x:v>
      </x:c>
      <x:c r="H238" s="23" t="str">
        <x:v>tab:open-source-models + tab:open-weight-precise-time-horizons</x:v>
      </x:c>
    </x:row>
    <x:row r="239">
      <x:c r="A239" s="17" t="str">
        <x:v>Paper open-weight</x:v>
      </x:c>
      <x:c r="B239" s="23" t="str">
        <x:v>Mistral Nemo 12B</x:v>
      </x:c>
      <x:c r="C239" s="23" t="str">
        <x:v>mistral:mistral-nemo</x:v>
      </x:c>
      <x:c r="D239" s="23" t="str">
        <x:v>Mistral NeMo</x:v>
      </x:c>
      <x:c r="E239" s="23" t="str">
        <x:v>Manual exact checkpoint alias</x:v>
      </x:c>
      <x:c r="F239" s="23" t="str">
        <x:v>Manual row-by-row review</x:v>
      </x:c>
      <x:c r="G239" s="23" t="str">
        <x:v>Matched</x:v>
      </x:c>
      <x:c r="H239" s="23" t="str">
        <x:v>tab:open-source-models + tab:open-weight-precise-time-horizons</x:v>
      </x:c>
    </x:row>
    <x:row r="240">
      <x:c r="A240" s="17" t="str">
        <x:v>Paper open-weight</x:v>
      </x:c>
      <x:c r="B240" s="23" t="str">
        <x:v>Ministral 3 3B</x:v>
      </x:c>
      <x:c r="C240" s="23" t="str">
        <x:v>mistral:ministral-3-3b</x:v>
      </x:c>
      <x:c r="D240" s="23" t="str"/>
      <x:c r="E240" s="23" t="str">
        <x:v>Explicitly unmatched</x:v>
      </x:c>
      <x:c r="F240" s="23" t="str">
        <x:v>Manual row-by-row review</x:v>
      </x:c>
      <x:c r="G240" s="23" t="str">
        <x:v>Preserved unmatched</x:v>
      </x:c>
      <x:c r="H240" s="23" t="str">
        <x:v>tab:open-source-models + tab:open-weight-precise-time-horizons</x:v>
      </x:c>
    </x:row>
    <x:row r="241">
      <x:c r="A241" s="17" t="str">
        <x:v>Paper open-weight</x:v>
      </x:c>
      <x:c r="B241" s="23" t="str">
        <x:v>Ministral 3 8B</x:v>
      </x:c>
      <x:c r="C241" s="23" t="str">
        <x:v>mistral:ministral-3-8b</x:v>
      </x:c>
      <x:c r="D241" s="23" t="str"/>
      <x:c r="E241" s="23" t="str">
        <x:v>Explicitly unmatched</x:v>
      </x:c>
      <x:c r="F241" s="23" t="str">
        <x:v>Manual row-by-row review</x:v>
      </x:c>
      <x:c r="G241" s="23" t="str">
        <x:v>Preserved unmatched</x:v>
      </x:c>
      <x:c r="H241" s="23" t="str">
        <x:v>tab:open-source-models + tab:open-weight-precise-time-horizons</x:v>
      </x:c>
    </x:row>
    <x:row r="242">
      <x:c r="A242" s="17" t="str">
        <x:v>Paper open-weight</x:v>
      </x:c>
      <x:c r="B242" s="23" t="str">
        <x:v>Ministral 3 14B</x:v>
      </x:c>
      <x:c r="C242" s="23" t="str">
        <x:v>mistral:ministral-3-14b</x:v>
      </x:c>
      <x:c r="D242" s="23" t="str"/>
      <x:c r="E242" s="23" t="str">
        <x:v>Explicitly unmatched</x:v>
      </x:c>
      <x:c r="F242" s="23" t="str">
        <x:v>Manual row-by-row review</x:v>
      </x:c>
      <x:c r="G242" s="23" t="str">
        <x:v>Preserved unmatched</x:v>
      </x:c>
      <x:c r="H242" s="23" t="str">
        <x:v>tab:open-source-models + tab:open-weight-precise-time-horizons</x:v>
      </x:c>
    </x:row>
    <x:row r="243">
      <x:c r="A243" s="17" t="str">
        <x:v>Paper open-weight</x:v>
      </x:c>
      <x:c r="B243" s="23" t="str">
        <x:v>Qwen 3 8B</x:v>
      </x:c>
      <x:c r="C243" s="23" t="str">
        <x:v>alibaba:qwen-3-8b</x:v>
      </x:c>
      <x:c r="D243" s="23" t="str"/>
      <x:c r="E243" s="23" t="str">
        <x:v>Explicitly unmatched</x:v>
      </x:c>
      <x:c r="F243" s="23" t="str">
        <x:v>Manual row-by-row review</x:v>
      </x:c>
      <x:c r="G243" s="23" t="str">
        <x:v>Preserved unmatched</x:v>
      </x:c>
      <x:c r="H243" s="23" t="str">
        <x:v>tab:open-source-models + tab:open-weight-precise-time-horizons</x:v>
      </x:c>
    </x:row>
    <x:row r="244">
      <x:c r="A244" s="17" t="str">
        <x:v>Paper open-weight</x:v>
      </x:c>
      <x:c r="B244" s="23" t="str">
        <x:v>Qwen 3 14B</x:v>
      </x:c>
      <x:c r="C244" s="23" t="str">
        <x:v>alibaba:qwen-3-14b</x:v>
      </x:c>
      <x:c r="D244" s="23" t="str"/>
      <x:c r="E244" s="23" t="str">
        <x:v>Explicitly unmatched</x:v>
      </x:c>
      <x:c r="F244" s="23" t="str">
        <x:v>Manual row-by-row review</x:v>
      </x:c>
      <x:c r="G244" s="23" t="str">
        <x:v>Preserved unmatched</x:v>
      </x:c>
      <x:c r="H244" s="23" t="str">
        <x:v>tab:open-source-models + tab:open-weight-precise-time-horizons</x:v>
      </x:c>
    </x:row>
    <x:row r="245">
      <x:c r="A245" s="17" t="str">
        <x:v>Paper open-weight</x:v>
      </x:c>
      <x:c r="B245" s="23" t="str">
        <x:v>Qwen 3 32B</x:v>
      </x:c>
      <x:c r="C245" s="23" t="str">
        <x:v>alibaba:qwen-3-32b</x:v>
      </x:c>
      <x:c r="D245" s="23" t="str"/>
      <x:c r="E245" s="23" t="str">
        <x:v>Explicitly unmatched</x:v>
      </x:c>
      <x:c r="F245" s="23" t="str">
        <x:v>Manual row-by-row review</x:v>
      </x:c>
      <x:c r="G245" s="23" t="str">
        <x:v>Preserved unmatched</x:v>
      </x:c>
      <x:c r="H245" s="23" t="str">
        <x:v>tab:open-source-models + tab:open-weight-precise-time-horizons</x:v>
      </x:c>
    </x:row>
    <x:row r="246">
      <x:c r="A246" s="17" t="str">
        <x:v>Paper open-weight</x:v>
      </x:c>
      <x:c r="B246" s="23" t="str">
        <x:v>Qwen 3 30B-A3B (2507)</x:v>
      </x:c>
      <x:c r="C246" s="23" t="str">
        <x:v>alibaba:qwen-3-30b-a3b-2507</x:v>
      </x:c>
      <x:c r="D246" s="23" t="str"/>
      <x:c r="E246" s="23" t="str">
        <x:v>Explicitly unmatched</x:v>
      </x:c>
      <x:c r="F246" s="23" t="str">
        <x:v>Manual row-by-row review</x:v>
      </x:c>
      <x:c r="G246" s="23" t="str">
        <x:v>Preserved unmatched</x:v>
      </x:c>
      <x:c r="H246" s="23" t="str">
        <x:v>tab:open-source-models + tab:open-weight-precise-time-horizons</x:v>
      </x:c>
    </x:row>
    <x:row r="247">
      <x:c r="A247" s="17" t="str">
        <x:v>Paper open-weight</x:v>
      </x:c>
      <x:c r="B247" s="23" t="str">
        <x:v>Qwen 3 235B-A22B (2507)</x:v>
      </x:c>
      <x:c r="C247" s="23" t="str">
        <x:v>alibaba:qwen3-235b-a22b-instruct-jul-2025</x:v>
      </x:c>
      <x:c r="D247" s="23" t="str">
        <x:v>Qwen3-235B-A22B-Instruct (Jul 2025)</x:v>
      </x:c>
      <x:c r="E247" s="23" t="str">
        <x:v>Manual exact checkpoint alias</x:v>
      </x:c>
      <x:c r="F247" s="23" t="str">
        <x:v>Manual row-by-row review</x:v>
      </x:c>
      <x:c r="G247" s="23" t="str">
        <x:v>Matched</x:v>
      </x:c>
      <x:c r="H247" s="23" t="str">
        <x:v>tab:open-source-models + tab:open-weight-precise-time-horizons</x:v>
      </x:c>
    </x:row>
    <x:row r="248">
      <x:c r="A248" s="17" t="str">
        <x:v>Paper open-weight</x:v>
      </x:c>
      <x:c r="B248" s="23" t="str">
        <x:v>Qwen 3-Next 80B-A3B</x:v>
      </x:c>
      <x:c r="C248" s="23" t="str">
        <x:v>alibaba:qwen-3-next-80b-a3b</x:v>
      </x:c>
      <x:c r="D248" s="23" t="str"/>
      <x:c r="E248" s="23" t="str">
        <x:v>Explicitly unmatched</x:v>
      </x:c>
      <x:c r="F248" s="23" t="str">
        <x:v>Manual row-by-row review</x:v>
      </x:c>
      <x:c r="G248" s="23" t="str">
        <x:v>Preserved unmatched</x:v>
      </x:c>
      <x:c r="H248" s="23" t="str">
        <x:v>tab:open-source-models + tab:open-weight-precise-time-horizons</x:v>
      </x:c>
    </x:row>
    <x:row r="249">
      <x:c r="A249" s="17" t="str">
        <x:v>Paper open-weight</x:v>
      </x:c>
      <x:c r="B249" s="23" t="str">
        <x:v>Qwen 3.5 9B</x:v>
      </x:c>
      <x:c r="C249" s="23" t="str">
        <x:v>alibaba:qwen-3-5-9b</x:v>
      </x:c>
      <x:c r="D249" s="23" t="str"/>
      <x:c r="E249" s="23" t="str">
        <x:v>Explicitly unmatched</x:v>
      </x:c>
      <x:c r="F249" s="23" t="str">
        <x:v>Manual row-by-row review</x:v>
      </x:c>
      <x:c r="G249" s="23" t="str">
        <x:v>Preserved unmatched</x:v>
      </x:c>
      <x:c r="H249" s="23" t="str">
        <x:v>tab:open-source-models + tab:open-weight-precise-time-horizons</x:v>
      </x:c>
    </x:row>
    <x:row r="250">
      <x:c r="A250" s="17" t="str">
        <x:v>Paper open-weight</x:v>
      </x:c>
      <x:c r="B250" s="23" t="str">
        <x:v>Qwen 3.5 27B</x:v>
      </x:c>
      <x:c r="C250" s="23" t="str">
        <x:v>alibaba:qwen-3-5-27b</x:v>
      </x:c>
      <x:c r="D250" s="23" t="str"/>
      <x:c r="E250" s="23" t="str">
        <x:v>Explicitly unmatched</x:v>
      </x:c>
      <x:c r="F250" s="23" t="str">
        <x:v>Manual row-by-row review</x:v>
      </x:c>
      <x:c r="G250" s="23" t="str">
        <x:v>Preserved unmatched</x:v>
      </x:c>
      <x:c r="H250" s="23" t="str">
        <x:v>tab:open-source-models + tab:open-weight-precise-time-horizons</x:v>
      </x:c>
    </x:row>
    <x:row r="251">
      <x:c r="A251" s="17" t="str">
        <x:v>Paper open-weight</x:v>
      </x:c>
      <x:c r="B251" s="23" t="str">
        <x:v>Qwen 3.5 35B-A3B</x:v>
      </x:c>
      <x:c r="C251" s="23" t="str">
        <x:v>alibaba:qwen-3-5-flash-hosted-35b-a3b</x:v>
      </x:c>
      <x:c r="D251" s="23" t="str">
        <x:v>Qwen 3.5 Flash (hosted 35B-A3B)</x:v>
      </x:c>
      <x:c r="E251" s="23" t="str">
        <x:v>Manual exact checkpoint alias</x:v>
      </x:c>
      <x:c r="F251" s="23" t="str">
        <x:v>Manual row-by-row review</x:v>
      </x:c>
      <x:c r="G251" s="23" t="str">
        <x:v>Matched</x:v>
      </x:c>
      <x:c r="H251" s="23" t="str">
        <x:v>tab:open-source-models + tab:open-weight-precise-time-horizons</x:v>
      </x:c>
    </x:row>
    <x:row r="252">
      <x:c r="A252" s="17" t="str">
        <x:v>Paper open-weight</x:v>
      </x:c>
      <x:c r="B252" s="23" t="str">
        <x:v>Qwen 3.5 122B-A10B</x:v>
      </x:c>
      <x:c r="C252" s="23" t="str">
        <x:v>alibaba:qwen-3-5-122b-a10b</x:v>
      </x:c>
      <x:c r="D252" s="23" t="str"/>
      <x:c r="E252" s="23" t="str">
        <x:v>Explicitly unmatched</x:v>
      </x:c>
      <x:c r="F252" s="23" t="str">
        <x:v>Manual row-by-row review</x:v>
      </x:c>
      <x:c r="G252" s="23" t="str">
        <x:v>Preserved unmatched</x:v>
      </x:c>
      <x:c r="H252" s="23" t="str">
        <x:v>tab:open-source-models + tab:open-weight-precise-time-horizons</x:v>
      </x:c>
    </x:row>
    <x:row r="253">
      <x:c r="A253" s="17" t="str">
        <x:v>Paper open-weight</x:v>
      </x:c>
      <x:c r="B253" s="23" t="str">
        <x:v>Qwen 3.5 397B-A17B</x:v>
      </x:c>
      <x:c r="C253" s="23" t="str">
        <x:v>alibaba:qwen-3-5-plus-hosted-397b-a17b</x:v>
      </x:c>
      <x:c r="D253" s="23" t="str">
        <x:v>Qwen 3.5 Plus (hosted 397B-A17B)</x:v>
      </x:c>
      <x:c r="E253" s="23" t="str">
        <x:v>Manual exact checkpoint alias</x:v>
      </x:c>
      <x:c r="F253" s="23" t="str">
        <x:v>Manual row-by-row review</x:v>
      </x:c>
      <x:c r="G253" s="23" t="str">
        <x:v>Matched</x:v>
      </x:c>
      <x:c r="H253" s="23" t="str">
        <x:v>tab:open-source-models + tab:open-weight-precise-time-horizons</x:v>
      </x:c>
    </x:row>
    <x:row r="254">
      <x:c r="A254" s="17" t="str">
        <x:v>Paper open-weight</x:v>
      </x:c>
      <x:c r="B254" s="23" t="str">
        <x:v>Gemma 3 4B IT</x:v>
      </x:c>
      <x:c r="C254" s="23" t="str">
        <x:v>google:gemma-3-4b-it</x:v>
      </x:c>
      <x:c r="D254" s="23" t="str"/>
      <x:c r="E254" s="23" t="str">
        <x:v>Explicitly unmatched</x:v>
      </x:c>
      <x:c r="F254" s="23" t="str">
        <x:v>Manual row-by-row review</x:v>
      </x:c>
      <x:c r="G254" s="23" t="str">
        <x:v>Preserved unmatched</x:v>
      </x:c>
      <x:c r="H254" s="23" t="str">
        <x:v>tab:open-source-models + tab:open-weight-precise-time-horizons</x:v>
      </x:c>
    </x:row>
    <x:row r="255">
      <x:c r="A255" s="17" t="str">
        <x:v>Paper open-weight</x:v>
      </x:c>
      <x:c r="B255" s="23" t="str">
        <x:v>Gemma 3 12B IT</x:v>
      </x:c>
      <x:c r="C255" s="23" t="str">
        <x:v>google:gemma-3-12b-it</x:v>
      </x:c>
      <x:c r="D255" s="23" t="str"/>
      <x:c r="E255" s="23" t="str">
        <x:v>Explicitly unmatched</x:v>
      </x:c>
      <x:c r="F255" s="23" t="str">
        <x:v>Manual row-by-row review</x:v>
      </x:c>
      <x:c r="G255" s="23" t="str">
        <x:v>Preserved unmatched</x:v>
      </x:c>
      <x:c r="H255" s="23" t="str">
        <x:v>tab:open-source-models + tab:open-weight-precise-time-horizons</x:v>
      </x:c>
    </x:row>
    <x:row r="256">
      <x:c r="A256" s="17" t="str">
        <x:v>Paper open-weight</x:v>
      </x:c>
      <x:c r="B256" s="23" t="str">
        <x:v>Gemma 3 27B IT</x:v>
      </x:c>
      <x:c r="C256" s="23" t="str">
        <x:v>google:gemma-3-27b</x:v>
      </x:c>
      <x:c r="D256" s="23" t="str">
        <x:v>Gemma 3 27B</x:v>
      </x:c>
      <x:c r="E256" s="23" t="str">
        <x:v>Manual exact checkpoint alias</x:v>
      </x:c>
      <x:c r="F256" s="23" t="str">
        <x:v>Manual row-by-row review</x:v>
      </x:c>
      <x:c r="G256" s="23" t="str">
        <x:v>Matched</x:v>
      </x:c>
      <x:c r="H256" s="23" t="str">
        <x:v>tab:open-source-models + tab:open-weight-precise-time-horizons</x:v>
      </x:c>
    </x:row>
    <x:row r="257">
      <x:c r="A257" s="17" t="str">
        <x:v>Paper open-weight</x:v>
      </x:c>
      <x:c r="B257" s="23" t="str">
        <x:v>Gemma 4 26B-A4B</x:v>
      </x:c>
      <x:c r="C257" s="23" t="str">
        <x:v>google:gemma-4-26b-a4b</x:v>
      </x:c>
      <x:c r="D257" s="23" t="str"/>
      <x:c r="E257" s="23" t="str">
        <x:v>Explicitly unmatched</x:v>
      </x:c>
      <x:c r="F257" s="23" t="str">
        <x:v>Manual row-by-row review</x:v>
      </x:c>
      <x:c r="G257" s="23" t="str">
        <x:v>Preserved unmatched</x:v>
      </x:c>
      <x:c r="H257" s="23" t="str">
        <x:v>tab:open-source-models + tab:open-weight-precise-time-horizons</x:v>
      </x:c>
    </x:row>
    <x:row r="258">
      <x:c r="A258" s="17" t="str">
        <x:v>Paper open-weight</x:v>
      </x:c>
      <x:c r="B258" s="23" t="str">
        <x:v>Gemma 4 31B</x:v>
      </x:c>
      <x:c r="C258" s="23" t="str">
        <x:v>google:gemma-4-31b</x:v>
      </x:c>
      <x:c r="D258" s="23" t="str"/>
      <x:c r="E258" s="23" t="str">
        <x:v>Explicitly unmatched</x:v>
      </x:c>
      <x:c r="F258" s="23" t="str">
        <x:v>Manual row-by-row review</x:v>
      </x:c>
      <x:c r="G258" s="23" t="str">
        <x:v>Preserved unmatched</x:v>
      </x:c>
      <x:c r="H258" s="23" t="str">
        <x:v>tab:open-source-models + tab:open-weight-precise-time-horizons</x:v>
      </x:c>
    </x:row>
    <x:row r="259">
      <x:c r="A259" s="17" t="str">
        <x:v>Paper open-weight</x:v>
      </x:c>
      <x:c r="B259" s="23" t="str">
        <x:v>DeepSeek V3 (0324)</x:v>
      </x:c>
      <x:c r="C259" s="23" t="str">
        <x:v>deepseek:deepseek-v3-mar-2025</x:v>
      </x:c>
      <x:c r="D259" s="23" t="str">
        <x:v>DeepSeek-V3 (Mar 2025)</x:v>
      </x:c>
      <x:c r="E259" s="23" t="str">
        <x:v>Manual exact checkpoint alias</x:v>
      </x:c>
      <x:c r="F259" s="23" t="str">
        <x:v>Manual row-by-row review</x:v>
      </x:c>
      <x:c r="G259" s="23" t="str">
        <x:v>Matched</x:v>
      </x:c>
      <x:c r="H259" s="23" t="str">
        <x:v>tab:open-source-models + tab:open-weight-precise-time-horizons</x:v>
      </x:c>
    </x:row>
    <x:row r="260">
      <x:c r="A260" s="17" t="str">
        <x:v>Paper open-weight</x:v>
      </x:c>
      <x:c r="B260" s="23" t="str">
        <x:v>DeepSeek V3.1-terminus</x:v>
      </x:c>
      <x:c r="C260" s="23" t="str">
        <x:v>deepseek:deepseek-v3-1-terminus</x:v>
      </x:c>
      <x:c r="D260" s="23" t="str"/>
      <x:c r="E260" s="23" t="str">
        <x:v>Explicitly unmatched</x:v>
      </x:c>
      <x:c r="F260" s="23" t="str">
        <x:v>Manual row-by-row review</x:v>
      </x:c>
      <x:c r="G260" s="23" t="str">
        <x:v>Preserved unmatched</x:v>
      </x:c>
      <x:c r="H260" s="23" t="str">
        <x:v>tab:open-source-models + tab:open-weight-precise-time-horizons</x:v>
      </x:c>
    </x:row>
    <x:row r="261">
      <x:c r="A261" s="17" t="str">
        <x:v>Paper open-weight</x:v>
      </x:c>
      <x:c r="B261" s="23" t="str">
        <x:v>DeepSeek V3.2</x:v>
      </x:c>
      <x:c r="C261" s="23" t="str">
        <x:v>deepseek:deepseek-v3-2</x:v>
      </x:c>
      <x:c r="D261" s="23" t="str">
        <x:v>DeepSeek-V3.2</x:v>
      </x:c>
      <x:c r="E261" s="23" t="str">
        <x:v>Manual exact checkpoint alias</x:v>
      </x:c>
      <x:c r="F261" s="23" t="str">
        <x:v>Manual row-by-row review</x:v>
      </x:c>
      <x:c r="G261" s="23" t="str">
        <x:v>Matched</x:v>
      </x:c>
      <x:c r="H261" s="23" t="str">
        <x:v>tab:open-source-models + tab:open-weight-precise-time-horizons</x:v>
      </x:c>
    </x:row>
    <x:row r="262">
      <x:c r="A262" s="17" t="str">
        <x:v>Paper open-weight</x:v>
      </x:c>
      <x:c r="B262" s="23" t="str">
        <x:v>DeepSeek V4-flash</x:v>
      </x:c>
      <x:c r="C262" s="23" t="str">
        <x:v>deepseek:deepseek-v4-flash</x:v>
      </x:c>
      <x:c r="D262" s="23" t="str"/>
      <x:c r="E262" s="23" t="str">
        <x:v>Explicitly unmatched</x:v>
      </x:c>
      <x:c r="F262" s="23" t="str">
        <x:v>Manual row-by-row review</x:v>
      </x:c>
      <x:c r="G262" s="23" t="str">
        <x:v>Preserved unmatched</x:v>
      </x:c>
      <x:c r="H262" s="23" t="str">
        <x:v>tab:open-source-models + tab:open-weight-precise-time-horizons</x:v>
      </x:c>
    </x:row>
    <x:row r="263">
      <x:c r="A263" s="17" t="str">
        <x:v>Paper open-weight</x:v>
      </x:c>
      <x:c r="B263" s="23" t="str">
        <x:v>Kimi K2-0905</x:v>
      </x:c>
      <x:c r="C263" s="23" t="str">
        <x:v>moonshot:kimi-k2-sep-2025</x:v>
      </x:c>
      <x:c r="D263" s="23" t="str">
        <x:v>Kimi K2 (Sep 2025)</x:v>
      </x:c>
      <x:c r="E263" s="23" t="str">
        <x:v>Manual exact checkpoint alias</x:v>
      </x:c>
      <x:c r="F263" s="23" t="str">
        <x:v>Manual row-by-row review</x:v>
      </x:c>
      <x:c r="G263" s="23" t="str">
        <x:v>Matched</x:v>
      </x:c>
      <x:c r="H263" s="23" t="str">
        <x:v>tab:open-source-models + tab:open-weight-precise-time-horizons</x:v>
      </x:c>
    </x:row>
    <x:row r="264">
      <x:c r="A264" s="17" t="str">
        <x:v>Paper open-weight</x:v>
      </x:c>
      <x:c r="B264" s="23" t="str">
        <x:v>Kimi K2.5</x:v>
      </x:c>
      <x:c r="C264" s="23" t="str">
        <x:v>moonshot:kimi-k2-5</x:v>
      </x:c>
      <x:c r="D264" s="23" t="str">
        <x:v>Kimi K2.5</x:v>
      </x:c>
      <x:c r="E264" s="23" t="str">
        <x:v>Manual exact checkpoint alias</x:v>
      </x:c>
      <x:c r="F264" s="23" t="str">
        <x:v>Manual row-by-row review</x:v>
      </x:c>
      <x:c r="G264" s="23" t="str">
        <x:v>Matched</x:v>
      </x:c>
      <x:c r="H264" s="23" t="str">
        <x:v>tab:open-source-models + tab:open-weight-precise-time-horizons</x:v>
      </x:c>
    </x:row>
    <x:row r="265">
      <x:c r="A265" s="17" t="str">
        <x:v>Paper open-weight</x:v>
      </x:c>
      <x:c r="B265" s="23" t="str">
        <x:v>Kimi K2.6</x:v>
      </x:c>
      <x:c r="C265" s="23" t="str">
        <x:v>moonshot:kimi-k2-6</x:v>
      </x:c>
      <x:c r="D265" s="23" t="str">
        <x:v>Kimi K2.6</x:v>
      </x:c>
      <x:c r="E265" s="23" t="str">
        <x:v>Manual exact checkpoint alias</x:v>
      </x:c>
      <x:c r="F265" s="23" t="str">
        <x:v>Manual row-by-row review</x:v>
      </x:c>
      <x:c r="G265" s="23" t="str">
        <x:v>Matched</x:v>
      </x:c>
      <x:c r="H265" s="23" t="str">
        <x:v>tab:open-source-models + tab:open-weight-precise-time-horizons</x:v>
      </x:c>
    </x:row>
    <x:row r="266">
      <x:c r="A266" s="17" t="str">
        <x:v>Final posterior</x:v>
      </x:c>
      <x:c r="B266" s="23" t="str">
        <x:v>Claude Fable 5</x:v>
      </x:c>
      <x:c r="C266" s="23" t="str">
        <x:v>anthropic:claude-fable-5</x:v>
      </x:c>
      <x:c r="D266" s="23" t="str">
        <x:v>Claude Fable 5</x:v>
      </x:c>
      <x:c r="E266" s="23" t="str">
        <x:v>Manual exact checkpoint alias</x:v>
      </x:c>
      <x:c r="F266" s="23" t="str">
        <x:v>Manual row-by-row review</x:v>
      </x:c>
      <x:c r="G266" s="23" t="str">
        <x:v>Matched</x:v>
      </x:c>
      <x:c r="H266" s="23" t="str"/>
    </x:row>
    <x:row r="267">
      <x:c r="A267" s="17" t="str">
        <x:v>Final posterior</x:v>
      </x:c>
      <x:c r="B267" s="23" t="str">
        <x:v>GPT-5.6 Sol</x:v>
      </x:c>
      <x:c r="C267" s="23" t="str">
        <x:v>openai:gpt-5-6-sol</x:v>
      </x:c>
      <x:c r="D267" s="23" t="str">
        <x:v>GPT-5.6 Sol</x:v>
      </x:c>
      <x:c r="E267" s="23" t="str">
        <x:v>Manual exact checkpoint alias</x:v>
      </x:c>
      <x:c r="F267" s="23" t="str">
        <x:v>Manual row-by-row review</x:v>
      </x:c>
      <x:c r="G267" s="23" t="str">
        <x:v>Matched</x:v>
      </x:c>
      <x:c r="H267" s="23" t="str"/>
    </x:row>
    <x:row r="268">
      <x:c r="A268" s="17" t="str">
        <x:v>Final posterior</x:v>
      </x:c>
      <x:c r="B268" s="23" t="str">
        <x:v>Kimi K3</x:v>
      </x:c>
      <x:c r="C268" s="23" t="str">
        <x:v>moonshot:kimi-k3</x:v>
      </x:c>
      <x:c r="D268" s="23" t="str"/>
      <x:c r="E268" s="23" t="str">
        <x:v>Explicit user-supplied identity</x:v>
      </x:c>
      <x:c r="F268" s="23" t="str">
        <x:v>Manual row-by-row review</x:v>
      </x:c>
      <x:c r="G268" s="23" t="str">
        <x:v>Matched</x:v>
      </x:c>
      <x:c r="H268" s="23" t="str">
        <x:v>Disclosed total retained</x:v>
      </x:c>
    </x:row>
    <x:row r="269">
      <x:c r="A269" s="17" t="str">
        <x:v>Final posterior</x:v>
      </x:c>
      <x:c r="B269" s="23" t="str">
        <x:v>GPT-5.5</x:v>
      </x:c>
      <x:c r="C269" s="23" t="str">
        <x:v>openai:gpt-5-5</x:v>
      </x:c>
      <x:c r="D269" s="23" t="str">
        <x:v>GPT-5.5</x:v>
      </x:c>
      <x:c r="E269" s="23" t="str">
        <x:v>Manual exact checkpoint alias</x:v>
      </x:c>
      <x:c r="F269" s="23" t="str">
        <x:v>Manual row-by-row review</x:v>
      </x:c>
      <x:c r="G269" s="23" t="str">
        <x:v>Matched</x:v>
      </x:c>
      <x:c r="H269" s="23" t="str"/>
    </x:row>
    <x:row r="270">
      <x:c r="A270" s="17" t="str">
        <x:v>Final posterior</x:v>
      </x:c>
      <x:c r="B270" s="23" t="str">
        <x:v>Claude Opus 4.7 / 4.8 shared base</x:v>
      </x:c>
      <x:c r="C270" s="23" t="str">
        <x:v>anthropic:claude-opus-4-8</x:v>
      </x:c>
      <x:c r="D270" s="23" t="str">
        <x:v>Claude Opus 4.8</x:v>
      </x:c>
      <x:c r="E270" s="23" t="str">
        <x:v>Manual exact checkpoint alias</x:v>
      </x:c>
      <x:c r="F270" s="23" t="str">
        <x:v>Manual row-by-row review</x:v>
      </x:c>
      <x:c r="G270" s="23" t="str">
        <x:v>Matched</x:v>
      </x:c>
      <x:c r="H270" s="23" t="str"/>
    </x:row>
    <x:row r="271">
      <x:c r="A271" s="17" t="str">
        <x:v>Final posterior</x:v>
      </x:c>
      <x:c r="B271" s="23" t="str">
        <x:v>GPT-5.6 Terra</x:v>
      </x:c>
      <x:c r="C271" s="23" t="str">
        <x:v>openai:gpt-5-6-terra</x:v>
      </x:c>
      <x:c r="D271" s="23" t="str">
        <x:v>GPT-5.6 Terra</x:v>
      </x:c>
      <x:c r="E271" s="23" t="str">
        <x:v>Manual exact checkpoint alias</x:v>
      </x:c>
      <x:c r="F271" s="23" t="str">
        <x:v>Manual row-by-row review</x:v>
      </x:c>
      <x:c r="G271" s="23" t="str">
        <x:v>Matched</x:v>
      </x:c>
      <x:c r="H271" s="23" t="str"/>
    </x:row>
    <x:row r="272">
      <x:c r="A272" s="17" t="str">
        <x:v>Final posterior</x:v>
      </x:c>
      <x:c r="B272" s="23" t="str">
        <x:v>Claude Sonnet 5</x:v>
      </x:c>
      <x:c r="C272" s="23" t="str">
        <x:v>anthropic:claude-sonnet-5</x:v>
      </x:c>
      <x:c r="D272" s="23" t="str">
        <x:v>Claude Sonnet 5</x:v>
      </x:c>
      <x:c r="E272" s="23" t="str">
        <x:v>Manual exact checkpoint alias</x:v>
      </x:c>
      <x:c r="F272" s="23" t="str">
        <x:v>Manual row-by-row review</x:v>
      </x:c>
      <x:c r="G272" s="23" t="str">
        <x:v>Matched</x:v>
      </x:c>
      <x:c r="H272" s="23" t="str"/>
    </x:row>
    <x:row r="273">
      <x:c r="A273" s="17" t="str">
        <x:v>Final posterior</x:v>
      </x:c>
      <x:c r="B273" s="23" t="str">
        <x:v>GPT-5.6 Luna</x:v>
      </x:c>
      <x:c r="C273" s="23" t="str">
        <x:v>openai:gpt-5-6-luna</x:v>
      </x:c>
      <x:c r="D273" s="23" t="str">
        <x:v>GPT-5.6 Luna</x:v>
      </x:c>
      <x:c r="E273" s="23" t="str">
        <x:v>Manual exact checkpoint alias</x:v>
      </x:c>
      <x:c r="F273" s="23" t="str">
        <x:v>Manual row-by-row review</x:v>
      </x:c>
      <x:c r="G273" s="23" t="str">
        <x:v>Matched</x:v>
      </x:c>
      <x:c r="H273" s="23" t="str"/>
    </x:row>
    <x:row r="274">
      <x:c r="A274" s="18" t="str">
        <x:v>Final posterior</x:v>
      </x:c>
      <x:c r="B274" s="24" t="str">
        <x:v>Grok 4.5</x:v>
      </x:c>
      <x:c r="C274" s="24" t="str">
        <x:v>xai:grok-4-5</x:v>
      </x:c>
      <x:c r="D274" s="24" t="str">
        <x:v>Grok 4.5</x:v>
      </x:c>
      <x:c r="E274" s="24" t="str">
        <x:v>Manual exact checkpoint alias</x:v>
      </x:c>
      <x:c r="F274" s="24" t="str">
        <x:v>Manual row-by-row review</x:v>
      </x:c>
      <x:c r="G274" s="24" t="str">
        <x:v>Matched</x:v>
      </x:c>
      <x:c r="H274" s="24" t="str">
        <x:v>Disclosed total retained</x:v>
      </x:c>
    </x:row>
  </x:sheetData>
  <x:mergeCells>
    <x:mergeCell ref="A1:H1"/>
    <x:mergeCell ref="A2:H3"/>
  </x:mergeCells>
  <x:conditionalFormatting sqref="G6:G274">
    <x:cfRule type="containsText" dxfId="4" priority="1" operator="containsText" text="unmatched"/>
  </x:conditionalFormatting>
  <x:pageMargins left="0.7" right="0.7" top="0.75" bottom="0.75" header="0.3" footer="0.3"/>
  <x:tableParts count="1">
    <x:tablePart xmlns:r="http://schemas.openxmlformats.org/officeDocument/2006/relationships" r:id="R934b97592d0e4e14"/>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30" hidden="0" customWidth="1"/>
    <x:col min="4" max="4" width="30" hidden="0" customWidth="1"/>
    <x:col min="5" max="5" width="30" hidden="0" customWidth="1"/>
    <x:col min="6" max="6" width="60" hidden="0" customWidth="1"/>
    <x:col min="7" max="7" width="60" hidden="0" customWidth="1"/>
    <x:col min="8" max="8" width="60" hidden="0" customWidth="1"/>
  </x:cols>
  <x:sheetData>
    <x:row r="1" ht="36" customHeight="1">
      <x:c r="A1" s="66" t="str">
        <x:v>Data integrity audit — fail-fast identity and coverage checks</x:v>
      </x:c>
      <x:c r="B1" s="66"/>
      <x:c r="C1" s="66"/>
      <x:c r="D1" s="66"/>
      <x:c r="E1" s="66"/>
      <x:c r="F1" s="66"/>
      <x:c r="G1" s="66"/>
      <x:c r="H1" s="66"/>
    </x:row>
    <x:row r="2">
      <x:c r="A2" s="6" t="str">
        <x:v>PASS means structural reconciliation is complete: all source rows are preserved, canonical IDs and source aliases are unique, exact ECI dates supersede paper month-only dates in regression formulas, and all final targets have exact dates. Source disagreements remain visible and are never silently resolved.</x:v>
      </x:c>
      <x:c r="B2" s="6"/>
      <x:c r="C2" s="6"/>
      <x:c r="D2" s="6"/>
      <x:c r="E2" s="6"/>
      <x:c r="F2" s="6"/>
      <x:c r="G2" s="6"/>
      <x:c r="H2" s="6"/>
    </x:row>
    <x:row r="3">
      <x:c r="A3" s="6"/>
      <x:c r="B3" s="6"/>
      <x:c r="C3" s="6"/>
      <x:c r="D3" s="6"/>
      <x:c r="E3" s="6"/>
      <x:c r="F3" s="6"/>
      <x:c r="G3" s="6"/>
      <x:c r="H3" s="6"/>
    </x:row>
    <x:row r="5" ht="34" customHeight="1">
      <x:c r="A5" s="71" t="str">
        <x:v>Audit</x:v>
      </x:c>
      <x:c r="B5" s="71" t="str">
        <x:v>Expected</x:v>
      </x:c>
      <x:c r="C5" s="71" t="str">
        <x:v>Actual</x:v>
      </x:c>
      <x:c r="D5" s="71" t="str">
        <x:v>Status</x:v>
      </x:c>
    </x:row>
    <x:row r="6">
      <x:c r="A6" s="16" t="str">
        <x:v>ECI Graph Data rows retained</x:v>
      </x:c>
      <x:c r="B6" s="16" t="n">
        <x:v>211</x:v>
      </x:c>
      <x:c r="C6" s="16" t="n">
        <x:v>211</x:v>
      </x:c>
      <x:c r="D6" s="16" t="str">
        <x:v>PASS</x:v>
      </x:c>
    </x:row>
    <x:row r="7">
      <x:c r="A7" s="17" t="str">
        <x:v>ECI source sheets retained</x:v>
      </x:c>
      <x:c r="B7" s="17" t="n">
        <x:v>7</x:v>
      </x:c>
      <x:c r="C7" s="17" t="n">
        <x:v>7</x:v>
      </x:c>
      <x:c r="D7" s="17" t="str">
        <x:v>PASS</x:v>
      </x:c>
    </x:row>
    <x:row r="8">
      <x:c r="A8" s="17" t="str">
        <x:v>ECI source cells retained as value snapshots</x:v>
      </x:c>
      <x:c r="B8" s="17" t="n">
        <x:v>28418</x:v>
      </x:c>
      <x:c r="C8" s="17" t="n">
        <x:v>28418</x:v>
      </x:c>
      <x:c r="D8" s="17" t="str">
        <x:v>PASS</x:v>
      </x:c>
    </x:row>
    <x:row r="9">
      <x:c r="A9" s="17" t="str">
        <x:v>ECI formulas retained as text archive</x:v>
      </x:c>
      <x:c r="B9" s="17" t="n">
        <x:v>499</x:v>
      </x:c>
      <x:c r="C9" s="17" t="n">
        <x:v>499</x:v>
      </x:c>
      <x:c r="D9" s="17" t="str">
        <x:v>PASS</x:v>
      </x:c>
    </x:row>
    <x:row r="10">
      <x:c r="A10" s="17" t="str">
        <x:v>LaTeX table blocks retained raw</x:v>
      </x:c>
      <x:c r="B10" s="17" t="n">
        <x:v>25</x:v>
      </x:c>
      <x:c r="C10" s="17" t="n">
        <x:v>25</x:v>
      </x:c>
      <x:c r="D10" s="17" t="str">
        <x:v>PASS</x:v>
      </x:c>
    </x:row>
    <x:row r="11">
      <x:c r="A11" s="17" t="str">
        <x:v>Paper frontier rows parsed</x:v>
      </x:c>
      <x:c r="B11" s="17" t="n">
        <x:v>14</x:v>
      </x:c>
      <x:c r="C11" s="17" t="n">
        <x:v>14</x:v>
      </x:c>
      <x:c r="D11" s="17" t="str">
        <x:v>PASS</x:v>
      </x:c>
    </x:row>
    <x:row r="12">
      <x:c r="A12" s="17" t="str">
        <x:v>Paper open-weight rows parsed</x:v>
      </x:c>
      <x:c r="B12" s="17" t="n">
        <x:v>35</x:v>
      </x:c>
      <x:c r="C12" s="17" t="n">
        <x:v>35</x:v>
      </x:c>
      <x:c r="D12" s="17" t="str">
        <x:v>PASS</x:v>
      </x:c>
    </x:row>
    <x:row r="13">
      <x:c r="A13" s="17" t="str">
        <x:v>Paper aliases manually adjudicated</x:v>
      </x:c>
      <x:c r="B13" s="17" t="n">
        <x:v>49</x:v>
      </x:c>
      <x:c r="C13" s="17" t="n">
        <x:v>49</x:v>
      </x:c>
      <x:c r="D13" s="17" t="str">
        <x:v>PASS</x:v>
      </x:c>
    </x:row>
    <x:row r="14">
      <x:c r="A14" s="17" t="str">
        <x:v>Paper rows with exact ECI checkpoint</x:v>
      </x:c>
      <x:c r="B14" s="17" t="str">
        <x:v>informational</x:v>
      </x:c>
      <x:c r="C14" s="17" t="n">
        <x:v>27</x:v>
      </x:c>
      <x:c r="D14" s="17" t="str">
        <x:v>INFO</x:v>
      </x:c>
    </x:row>
    <x:row r="15">
      <x:c r="A15" s="17" t="str">
        <x:v>Canonical checkpoint IDs duplicated</x:v>
      </x:c>
      <x:c r="B15" s="17" t="n">
        <x:v>0</x:v>
      </x:c>
      <x:c r="C15" s="17" t="n">
        <x:v>0</x:v>
      </x:c>
      <x:c r="D15" s="17" t="str">
        <x:v>PASS</x:v>
      </x:c>
    </x:row>
    <x:row r="16">
      <x:c r="A16" s="17" t="str">
        <x:v>Source alias keys duplicated</x:v>
      </x:c>
      <x:c r="B16" s="17" t="n">
        <x:v>0</x:v>
      </x:c>
      <x:c r="C16" s="17" t="n">
        <x:v>0</x:v>
      </x:c>
      <x:c r="D16" s="17" t="str">
        <x:v>PASS</x:v>
      </x:c>
    </x:row>
    <x:row r="17">
      <x:c r="A17" s="17" t="str">
        <x:v>Final targets</x:v>
      </x:c>
      <x:c r="B17" s="17" t="n">
        <x:v>9</x:v>
      </x:c>
      <x:c r="C17" s="17" t="n">
        <x:v>9</x:v>
      </x:c>
      <x:c r="D17" s="17" t="str">
        <x:v>PASS</x:v>
      </x:c>
    </x:row>
    <x:row r="18">
      <x:c r="A18" s="17" t="str">
        <x:v>Final targets with exact release date</x:v>
      </x:c>
      <x:c r="B18" s="17" t="n">
        <x:v>9</x:v>
      </x:c>
      <x:c r="C18" s="17" t="n">
        <x:v>9</x:v>
      </x:c>
      <x:c r="D18" s="17" t="str">
        <x:v>PASS</x:v>
      </x:c>
    </x:row>
    <x:row r="19">
      <x:c r="A19" s="17" t="str">
        <x:v>Final targets with ECI coverage</x:v>
      </x:c>
      <x:c r="B19" s="17" t="str">
        <x:v>8 + K3 explicit gap</x:v>
      </x:c>
      <x:c r="C19" s="17" t="n">
        <x:v>8</x:v>
      </x:c>
      <x:c r="D19" s="17" t="str">
        <x:v>PASS</x:v>
      </x:c>
    </x:row>
    <x:row r="20">
      <x:c r="A20" s="18" t="str">
        <x:v>Source variances retained, not overwritten</x:v>
      </x:c>
      <x:c r="B20" s="18" t="str">
        <x:v>all</x:v>
      </x:c>
      <x:c r="C20" s="18" t="n">
        <x:v>4</x:v>
      </x:c>
      <x:c r="D20" s="18" t="str">
        <x:v>PASS</x:v>
      </x:c>
    </x:row>
    <x:row r="21">
      <x:c r="A21" s="138" t="str">
        <x:v>Final base IDs duplicated</x:v>
      </x:c>
      <x:c r="B21" s="138" t="n">
        <x:v>0</x:v>
      </x:c>
      <x:c r="C21" s="138" t="n">
        <x:v>0</x:v>
      </x:c>
      <x:c r="D21" s="138" t="str">
        <x:v>PASS</x:v>
      </x:c>
    </x:row>
    <x:row r="23">
      <x:c r="A23" s="77" t="str">
        <x:v>Cross-source differences and explicitly missing coverage</x:v>
      </x:c>
      <x:c r="B23" s="77"/>
      <x:c r="C23" s="77"/>
      <x:c r="D23" s="77"/>
      <x:c r="E23" s="77"/>
      <x:c r="F23" s="77"/>
      <x:c r="G23" s="77"/>
      <x:c r="H23" s="77"/>
    </x:row>
    <x:row r="24" ht="34" customHeight="1">
      <x:c r="A24" s="71" t="str">
        <x:v>Severity</x:v>
      </x:c>
      <x:c r="B24" s="71" t="str">
        <x:v>Canonical ID</x:v>
      </x:c>
      <x:c r="C24" s="71" t="str">
        <x:v>Display</x:v>
      </x:c>
      <x:c r="D24" s="71" t="str">
        <x:v>Paper alias</x:v>
      </x:c>
      <x:c r="E24" s="71" t="str">
        <x:v>ECI alias</x:v>
      </x:c>
      <x:c r="F24" s="71" t="str">
        <x:v>Issue</x:v>
      </x:c>
      <x:c r="G24" s="71" t="str">
        <x:v>Resolution policy</x:v>
      </x:c>
      <x:c r="H24" s="71" t="str">
        <x:v>Posterior impact</x:v>
      </x:c>
    </x:row>
    <x:row r="25">
      <x:c r="A25" s="16" t="str">
        <x:v>INFO</x:v>
      </x:c>
      <x:c r="B25" s="16" t="str">
        <x:v>openai:gpt-2</x:v>
      </x:c>
      <x:c r="C25" s="16" t="str">
        <x:v>GPT-2</x:v>
      </x:c>
      <x:c r="D25" s="16" t="str">
        <x:v>GPT-2</x:v>
      </x:c>
      <x:c r="E25" s="16" t="str"/>
      <x:c r="F25" s="22" t="str">
        <x:v>No exact ECI checkpoint</x:v>
      </x:c>
      <x:c r="G25" s="22" t="str">
        <x:v>Preserve paper row; release remains month-only; never fuzzy join</x:v>
      </x:c>
      <x:c r="H25" s="22" t="str">
        <x:v>None unless explicitly used in a date regression</x:v>
      </x:c>
    </x:row>
    <x:row r="26">
      <x:c r="A26" s="17" t="str">
        <x:v>INFO</x:v>
      </x:c>
      <x:c r="B26" s="17" t="str">
        <x:v>openai:gpt-3</x:v>
      </x:c>
      <x:c r="C26" s="17" t="str">
        <x:v>GPT-3</x:v>
      </x:c>
      <x:c r="D26" s="17" t="str">
        <x:v>GPT-3</x:v>
      </x:c>
      <x:c r="E26" s="17" t="str"/>
      <x:c r="F26" s="23" t="str">
        <x:v>No exact ECI checkpoint</x:v>
      </x:c>
      <x:c r="G26" s="23" t="str">
        <x:v>Preserve paper row; release remains month-only; never fuzzy join</x:v>
      </x:c>
      <x:c r="H26" s="23" t="str">
        <x:v>None unless explicitly used in a date regression</x:v>
      </x:c>
    </x:row>
    <x:row r="27">
      <x:c r="A27" s="17" t="str">
        <x:v>INFO</x:v>
      </x:c>
      <x:c r="B27" s="17" t="str">
        <x:v>openai:gpt-3-5</x:v>
      </x:c>
      <x:c r="C27" s="17" t="str">
        <x:v>GPT-3.5</x:v>
      </x:c>
      <x:c r="D27" s="17" t="str">
        <x:v>GPT-3.5</x:v>
      </x:c>
      <x:c r="E27" s="17" t="str"/>
      <x:c r="F27" s="23" t="str">
        <x:v>No exact ECI checkpoint</x:v>
      </x:c>
      <x:c r="G27" s="23" t="str">
        <x:v>Preserve paper row; release remains month-only; never fuzzy join</x:v>
      </x:c>
      <x:c r="H27" s="23" t="str">
        <x:v>None unless explicitly used in a date regression</x:v>
      </x:c>
    </x:row>
    <x:row r="28">
      <x:c r="A28" s="17" t="str">
        <x:v>INFO</x:v>
      </x:c>
      <x:c r="B28" s="17" t="str">
        <x:v>meta:llama-3-2-1b-instruct</x:v>
      </x:c>
      <x:c r="C28" s="17" t="str">
        <x:v>Llama 3.2 1B Instruct</x:v>
      </x:c>
      <x:c r="D28" s="17" t="str">
        <x:v>Llama 3.2 1B Instruct</x:v>
      </x:c>
      <x:c r="E28" s="17" t="str"/>
      <x:c r="F28" s="23" t="str">
        <x:v>No exact ECI checkpoint</x:v>
      </x:c>
      <x:c r="G28" s="23" t="str">
        <x:v>Preserve paper row; release remains month-only; never fuzzy join</x:v>
      </x:c>
      <x:c r="H28" s="23" t="str">
        <x:v>None unless explicitly used in a date regression</x:v>
      </x:c>
    </x:row>
    <x:row r="29">
      <x:c r="A29" s="17" t="str">
        <x:v>INFO</x:v>
      </x:c>
      <x:c r="B29" s="17" t="str">
        <x:v>meta:llama-3-2-3b-instruct</x:v>
      </x:c>
      <x:c r="C29" s="17" t="str">
        <x:v>Llama 3.2 3B Instruct</x:v>
      </x:c>
      <x:c r="D29" s="17" t="str">
        <x:v>Llama 3.2 3B Instruct</x:v>
      </x:c>
      <x:c r="E29" s="17" t="str"/>
      <x:c r="F29" s="23" t="str">
        <x:v>No exact ECI checkpoint</x:v>
      </x:c>
      <x:c r="G29" s="23" t="str">
        <x:v>Preserve paper row; release remains month-only; never fuzzy join</x:v>
      </x:c>
      <x:c r="H29" s="23" t="str">
        <x:v>None unless explicitly used in a date regression</x:v>
      </x:c>
    </x:row>
    <x:row r="30">
      <x:c r="A30" s="17" t="str">
        <x:v>INFO</x:v>
      </x:c>
      <x:c r="B30" s="17" t="str">
        <x:v>google:gemma-3-12b-it</x:v>
      </x:c>
      <x:c r="C30" s="17" t="str">
        <x:v>Gemma 3 12B IT</x:v>
      </x:c>
      <x:c r="D30" s="17" t="str">
        <x:v>Gemma 3 12B IT</x:v>
      </x:c>
      <x:c r="E30" s="17" t="str"/>
      <x:c r="F30" s="23" t="str">
        <x:v>No exact ECI checkpoint</x:v>
      </x:c>
      <x:c r="G30" s="23" t="str">
        <x:v>Preserve paper row; release remains month-only; never fuzzy join</x:v>
      </x:c>
      <x:c r="H30" s="23" t="str">
        <x:v>None unless explicitly used in a date regression</x:v>
      </x:c>
    </x:row>
    <x:row r="31">
      <x:c r="A31" s="17" t="str">
        <x:v>INFO</x:v>
      </x:c>
      <x:c r="B31" s="17" t="str">
        <x:v>google:gemma-3-4b-it</x:v>
      </x:c>
      <x:c r="C31" s="17" t="str">
        <x:v>Gemma 3 4B IT</x:v>
      </x:c>
      <x:c r="D31" s="17" t="str">
        <x:v>Gemma 3 4B IT</x:v>
      </x:c>
      <x:c r="E31" s="17" t="str"/>
      <x:c r="F31" s="23" t="str">
        <x:v>No exact ECI checkpoint</x:v>
      </x:c>
      <x:c r="G31" s="23" t="str">
        <x:v>Preserve paper row; release remains month-only; never fuzzy join</x:v>
      </x:c>
      <x:c r="H31" s="23" t="str">
        <x:v>None unless explicitly used in a date regression</x:v>
      </x:c>
    </x:row>
    <x:row r="32">
      <x:c r="A32" s="17" t="str">
        <x:v>INFO</x:v>
      </x:c>
      <x:c r="B32" s="17" t="str">
        <x:v>alibaba:qwen-3-14b</x:v>
      </x:c>
      <x:c r="C32" s="17" t="str">
        <x:v>Qwen 3 14B</x:v>
      </x:c>
      <x:c r="D32" s="17" t="str">
        <x:v>Qwen 3 14B</x:v>
      </x:c>
      <x:c r="E32" s="17" t="str"/>
      <x:c r="F32" s="23" t="str">
        <x:v>No exact ECI checkpoint</x:v>
      </x:c>
      <x:c r="G32" s="23" t="str">
        <x:v>Preserve paper row; release remains month-only; never fuzzy join</x:v>
      </x:c>
      <x:c r="H32" s="23" t="str">
        <x:v>None unless explicitly used in a date regression</x:v>
      </x:c>
    </x:row>
    <x:row r="33">
      <x:c r="A33" s="17" t="str">
        <x:v>INFO</x:v>
      </x:c>
      <x:c r="B33" s="17" t="str">
        <x:v>alibaba:qwen-3-32b</x:v>
      </x:c>
      <x:c r="C33" s="17" t="str">
        <x:v>Qwen 3 32B</x:v>
      </x:c>
      <x:c r="D33" s="17" t="str">
        <x:v>Qwen 3 32B</x:v>
      </x:c>
      <x:c r="E33" s="17" t="str"/>
      <x:c r="F33" s="23" t="str">
        <x:v>No exact ECI checkpoint</x:v>
      </x:c>
      <x:c r="G33" s="23" t="str">
        <x:v>Preserve paper row; release remains month-only; never fuzzy join</x:v>
      </x:c>
      <x:c r="H33" s="23" t="str">
        <x:v>None unless explicitly used in a date regression</x:v>
      </x:c>
    </x:row>
    <x:row r="34">
      <x:c r="A34" s="17" t="str">
        <x:v>INFO</x:v>
      </x:c>
      <x:c r="B34" s="17" t="str">
        <x:v>alibaba:qwen-3-8b</x:v>
      </x:c>
      <x:c r="C34" s="17" t="str">
        <x:v>Qwen 3 8B</x:v>
      </x:c>
      <x:c r="D34" s="17" t="str">
        <x:v>Qwen 3 8B</x:v>
      </x:c>
      <x:c r="E34" s="17" t="str"/>
      <x:c r="F34" s="23" t="str">
        <x:v>No exact ECI checkpoint</x:v>
      </x:c>
      <x:c r="G34" s="23" t="str">
        <x:v>Preserve paper row; release remains month-only; never fuzzy join</x:v>
      </x:c>
      <x:c r="H34" s="23" t="str">
        <x:v>None unless explicitly used in a date regression</x:v>
      </x:c>
    </x:row>
    <x:row r="35">
      <x:c r="A35" s="17" t="str">
        <x:v>INFO</x:v>
      </x:c>
      <x:c r="B35" s="17" t="str">
        <x:v>alibaba:qwen-3-30b-a3b-2507</x:v>
      </x:c>
      <x:c r="C35" s="17" t="str">
        <x:v>Qwen 3 30B-A3B (2507)</x:v>
      </x:c>
      <x:c r="D35" s="17" t="str">
        <x:v>Qwen 3 30B-A3B (2507)</x:v>
      </x:c>
      <x:c r="E35" s="17" t="str"/>
      <x:c r="F35" s="23" t="str">
        <x:v>No exact ECI checkpoint</x:v>
      </x:c>
      <x:c r="G35" s="23" t="str">
        <x:v>Preserve paper row; release remains month-only; never fuzzy join</x:v>
      </x:c>
      <x:c r="H35" s="23" t="str">
        <x:v>None unless explicitly used in a date regression</x:v>
      </x:c>
    </x:row>
    <x:row r="36">
      <x:c r="A36" s="17" t="str">
        <x:v>INFO</x:v>
      </x:c>
      <x:c r="B36" s="17" t="str">
        <x:v>alibaba:qwen-3-next-80b-a3b</x:v>
      </x:c>
      <x:c r="C36" s="17" t="str">
        <x:v>Qwen 3-Next 80B-A3B</x:v>
      </x:c>
      <x:c r="D36" s="17" t="str">
        <x:v>Qwen 3-Next 80B-A3B</x:v>
      </x:c>
      <x:c r="E36" s="17" t="str"/>
      <x:c r="F36" s="23" t="str">
        <x:v>No exact ECI checkpoint</x:v>
      </x:c>
      <x:c r="G36" s="23" t="str">
        <x:v>Preserve paper row; release remains month-only; never fuzzy join</x:v>
      </x:c>
      <x:c r="H36" s="23" t="str">
        <x:v>None unless explicitly used in a date regression</x:v>
      </x:c>
    </x:row>
    <x:row r="37">
      <x:c r="A37" s="17" t="str">
        <x:v>INFO</x:v>
      </x:c>
      <x:c r="B37" s="17" t="str">
        <x:v>deepseek:deepseek-v3-1-terminus</x:v>
      </x:c>
      <x:c r="C37" s="17" t="str">
        <x:v>DeepSeek V3.1-terminus</x:v>
      </x:c>
      <x:c r="D37" s="17" t="str">
        <x:v>DeepSeek V3.1-terminus</x:v>
      </x:c>
      <x:c r="E37" s="17" t="str"/>
      <x:c r="F37" s="23" t="str">
        <x:v>No exact ECI checkpoint</x:v>
      </x:c>
      <x:c r="G37" s="23" t="str">
        <x:v>Preserve paper row; release remains month-only; never fuzzy join</x:v>
      </x:c>
      <x:c r="H37" s="23" t="str">
        <x:v>None unless explicitly used in a date regression</x:v>
      </x:c>
    </x:row>
    <x:row r="38">
      <x:c r="A38" s="17" t="str">
        <x:v>INFO</x:v>
      </x:c>
      <x:c r="B38" s="17" t="str">
        <x:v>mistral:ministral-3-14b</x:v>
      </x:c>
      <x:c r="C38" s="17" t="str">
        <x:v>Ministral 3 14B</x:v>
      </x:c>
      <x:c r="D38" s="17" t="str">
        <x:v>Ministral 3 14B</x:v>
      </x:c>
      <x:c r="E38" s="17" t="str"/>
      <x:c r="F38" s="23" t="str">
        <x:v>No exact ECI checkpoint</x:v>
      </x:c>
      <x:c r="G38" s="23" t="str">
        <x:v>Preserve paper row; release remains month-only; never fuzzy join</x:v>
      </x:c>
      <x:c r="H38" s="23" t="str">
        <x:v>None unless explicitly used in a date regression</x:v>
      </x:c>
    </x:row>
    <x:row r="39">
      <x:c r="A39" s="17" t="str">
        <x:v>INFO</x:v>
      </x:c>
      <x:c r="B39" s="17" t="str">
        <x:v>mistral:ministral-3-3b</x:v>
      </x:c>
      <x:c r="C39" s="17" t="str">
        <x:v>Ministral 3 3B</x:v>
      </x:c>
      <x:c r="D39" s="17" t="str">
        <x:v>Ministral 3 3B</x:v>
      </x:c>
      <x:c r="E39" s="17" t="str"/>
      <x:c r="F39" s="23" t="str">
        <x:v>No exact ECI checkpoint</x:v>
      </x:c>
      <x:c r="G39" s="23" t="str">
        <x:v>Preserve paper row; release remains month-only; never fuzzy join</x:v>
      </x:c>
      <x:c r="H39" s="23" t="str">
        <x:v>None unless explicitly used in a date regression</x:v>
      </x:c>
    </x:row>
    <x:row r="40">
      <x:c r="A40" s="17" t="str">
        <x:v>INFO</x:v>
      </x:c>
      <x:c r="B40" s="17" t="str">
        <x:v>mistral:ministral-3-8b</x:v>
      </x:c>
      <x:c r="C40" s="17" t="str">
        <x:v>Ministral 3 8B</x:v>
      </x:c>
      <x:c r="D40" s="17" t="str">
        <x:v>Ministral 3 8B</x:v>
      </x:c>
      <x:c r="E40" s="17" t="str"/>
      <x:c r="F40" s="23" t="str">
        <x:v>No exact ECI checkpoint</x:v>
      </x:c>
      <x:c r="G40" s="23" t="str">
        <x:v>Preserve paper row; release remains month-only; never fuzzy join</x:v>
      </x:c>
      <x:c r="H40" s="23" t="str">
        <x:v>None unless explicitly used in a date regression</x:v>
      </x:c>
    </x:row>
    <x:row r="41">
      <x:c r="A41" s="17" t="str">
        <x:v>INFO</x:v>
      </x:c>
      <x:c r="B41" s="17" t="str">
        <x:v>alibaba:qwen-3-5-122b-a10b</x:v>
      </x:c>
      <x:c r="C41" s="17" t="str">
        <x:v>Qwen 3.5 122B-A10B</x:v>
      </x:c>
      <x:c r="D41" s="17" t="str">
        <x:v>Qwen 3.5 122B-A10B</x:v>
      </x:c>
      <x:c r="E41" s="17" t="str"/>
      <x:c r="F41" s="23" t="str">
        <x:v>No exact ECI checkpoint</x:v>
      </x:c>
      <x:c r="G41" s="23" t="str">
        <x:v>Preserve paper row; release remains month-only; never fuzzy join</x:v>
      </x:c>
      <x:c r="H41" s="23" t="str">
        <x:v>None unless explicitly used in a date regression</x:v>
      </x:c>
    </x:row>
    <x:row r="42">
      <x:c r="A42" s="17" t="str">
        <x:v>INFO</x:v>
      </x:c>
      <x:c r="B42" s="17" t="str">
        <x:v>alibaba:qwen-3-5-27b</x:v>
      </x:c>
      <x:c r="C42" s="17" t="str">
        <x:v>Qwen 3.5 27B</x:v>
      </x:c>
      <x:c r="D42" s="17" t="str">
        <x:v>Qwen 3.5 27B</x:v>
      </x:c>
      <x:c r="E42" s="17" t="str"/>
      <x:c r="F42" s="23" t="str">
        <x:v>No exact ECI checkpoint</x:v>
      </x:c>
      <x:c r="G42" s="23" t="str">
        <x:v>Preserve paper row; release remains month-only; never fuzzy join</x:v>
      </x:c>
      <x:c r="H42" s="23" t="str">
        <x:v>None unless explicitly used in a date regression</x:v>
      </x:c>
    </x:row>
    <x:row r="43">
      <x:c r="A43" s="17" t="str">
        <x:v>INFO</x:v>
      </x:c>
      <x:c r="B43" s="17" t="str">
        <x:v>alibaba:qwen-3-5-9b</x:v>
      </x:c>
      <x:c r="C43" s="17" t="str">
        <x:v>Qwen 3.5 9B</x:v>
      </x:c>
      <x:c r="D43" s="17" t="str">
        <x:v>Qwen 3.5 9B</x:v>
      </x:c>
      <x:c r="E43" s="17" t="str"/>
      <x:c r="F43" s="23" t="str">
        <x:v>No exact ECI checkpoint</x:v>
      </x:c>
      <x:c r="G43" s="23" t="str">
        <x:v>Preserve paper row; release remains month-only; never fuzzy join</x:v>
      </x:c>
      <x:c r="H43" s="23" t="str">
        <x:v>None unless explicitly used in a date regression</x:v>
      </x:c>
    </x:row>
    <x:row r="44">
      <x:c r="A44" s="17" t="str">
        <x:v>INFO</x:v>
      </x:c>
      <x:c r="B44" s="17" t="str">
        <x:v>deepseek:deepseek-v4-flash</x:v>
      </x:c>
      <x:c r="C44" s="17" t="str">
        <x:v>DeepSeek V4-flash</x:v>
      </x:c>
      <x:c r="D44" s="17" t="str">
        <x:v>DeepSeek V4-flash</x:v>
      </x:c>
      <x:c r="E44" s="17" t="str"/>
      <x:c r="F44" s="23" t="str">
        <x:v>No exact ECI checkpoint</x:v>
      </x:c>
      <x:c r="G44" s="23" t="str">
        <x:v>Preserve paper row; release remains month-only; never fuzzy join</x:v>
      </x:c>
      <x:c r="H44" s="23" t="str">
        <x:v>None unless explicitly used in a date regression</x:v>
      </x:c>
    </x:row>
    <x:row r="45">
      <x:c r="A45" s="17" t="str">
        <x:v>INFO</x:v>
      </x:c>
      <x:c r="B45" s="17" t="str">
        <x:v>google:gemma-4-26b-a4b</x:v>
      </x:c>
      <x:c r="C45" s="17" t="str">
        <x:v>Gemma 4 26B-A4B</x:v>
      </x:c>
      <x:c r="D45" s="17" t="str">
        <x:v>Gemma 4 26B-A4B</x:v>
      </x:c>
      <x:c r="E45" s="17" t="str"/>
      <x:c r="F45" s="23" t="str">
        <x:v>No exact ECI checkpoint</x:v>
      </x:c>
      <x:c r="G45" s="23" t="str">
        <x:v>Preserve paper row; release remains month-only; never fuzzy join</x:v>
      </x:c>
      <x:c r="H45" s="23" t="str">
        <x:v>None unless explicitly used in a date regression</x:v>
      </x:c>
    </x:row>
    <x:row r="46">
      <x:c r="A46" s="17" t="str">
        <x:v>INFO</x:v>
      </x:c>
      <x:c r="B46" s="17" t="str">
        <x:v>google:gemma-4-31b</x:v>
      </x:c>
      <x:c r="C46" s="17" t="str">
        <x:v>Gemma 4 31B</x:v>
      </x:c>
      <x:c r="D46" s="17" t="str">
        <x:v>Gemma 4 31B</x:v>
      </x:c>
      <x:c r="E46" s="17" t="str"/>
      <x:c r="F46" s="23" t="str">
        <x:v>No exact ECI checkpoint</x:v>
      </x:c>
      <x:c r="G46" s="23" t="str">
        <x:v>Preserve paper row; release remains month-only; never fuzzy join</x:v>
      </x:c>
      <x:c r="H46" s="23" t="str">
        <x:v>None unless explicitly used in a date regression</x:v>
      </x:c>
    </x:row>
    <x:row r="47">
      <x:c r="A47" s="17" t="str">
        <x:v>RESOLVED</x:v>
      </x:c>
      <x:c r="B47" s="17" t="str">
        <x:v>moonshot:kimi-k2-sep-2025</x:v>
      </x:c>
      <x:c r="C47" s="17" t="str">
        <x:v>Kimi K2 (Sep 2025)</x:v>
      </x:c>
      <x:c r="D47" s="17" t="str">
        <x:v>Kimi K2-0905</x:v>
      </x:c>
      <x:c r="E47" s="17" t="str">
        <x:v>Kimi K2 (Sep 2025)</x:v>
      </x:c>
      <x:c r="F47" s="23" t="str">
        <x:v>Release conflict -52d</x:v>
      </x:c>
      <x:c r="G47" s="23" t="str">
        <x:v>Preserve both source values; use ECI exact date for dates and paper values for reproducing the paper's published scaling</x:v>
      </x:c>
      <x:c r="H47" s="23" t="str">
        <x:v>No direct final-target impact</x:v>
      </x:c>
    </x:row>
    <x:row r="48">
      <x:c r="A48" s="17" t="str">
        <x:v>RESOLVED</x:v>
      </x:c>
      <x:c r="B48" s="17" t="str">
        <x:v>deepseek:deepseek-v3-2</x:v>
      </x:c>
      <x:c r="C48" s="17" t="str">
        <x:v>DeepSeek-V3.2</x:v>
      </x:c>
      <x:c r="D48" s="17" t="str">
        <x:v>DeepSeek V3.2</x:v>
      </x:c>
      <x:c r="E48" s="17" t="str">
        <x:v>DeepSeek-V3.2</x:v>
      </x:c>
      <x:c r="F48" s="23" t="str">
        <x:v>Release conflict 91d</x:v>
      </x:c>
      <x:c r="G48" s="23" t="str">
        <x:v>Preserve both source values; use ECI exact date for dates and paper values for reproducing the paper's published scaling</x:v>
      </x:c>
      <x:c r="H48" s="23" t="str">
        <x:v>No direct final-target impact</x:v>
      </x:c>
    </x:row>
    <x:row r="49">
      <x:c r="A49" s="17" t="str">
        <x:v>RESOLVED</x:v>
      </x:c>
      <x:c r="B49" s="17" t="str">
        <x:v>moonshot:kimi-k2-5</x:v>
      </x:c>
      <x:c r="C49" s="17" t="str">
        <x:v>Kimi K2.5</x:v>
      </x:c>
      <x:c r="D49" s="17" t="str">
        <x:v>Kimi K2.5</x:v>
      </x:c>
      <x:c r="E49" s="17" t="str">
        <x:v>Kimi K2.5</x:v>
      </x:c>
      <x:c r="F49" s="23" t="str">
        <x:v>Release conflict 32d; Parameter source variance 3.8%</x:v>
      </x:c>
      <x:c r="G49" s="23" t="str">
        <x:v>Preserve both source values; use ECI exact date for dates and paper values for reproducing the paper's published scaling</x:v>
      </x:c>
      <x:c r="H49" s="23" t="str">
        <x:v>No direct final-target impact</x:v>
      </x:c>
    </x:row>
    <x:row r="50">
      <x:c r="A50" s="17" t="str">
        <x:v>RESOLVED</x:v>
      </x:c>
      <x:c r="B50" s="17" t="str">
        <x:v>moonshot:kimi-k2-6</x:v>
      </x:c>
      <x:c r="C50" s="17" t="str">
        <x:v>Kimi K2.6</x:v>
      </x:c>
      <x:c r="D50" s="17" t="str">
        <x:v>Kimi K2.6</x:v>
      </x:c>
      <x:c r="E50" s="17" t="str">
        <x:v>Kimi K2.6</x:v>
      </x:c>
      <x:c r="F50" s="23" t="str">
        <x:v>Parameter source variance 3.8%</x:v>
      </x:c>
      <x:c r="G50" s="23" t="str">
        <x:v>Preserve both source values; use ECI exact date for dates and paper values for reproducing the paper's published scaling</x:v>
      </x:c>
      <x:c r="H50" s="23" t="str">
        <x:v>No direct final-target impact</x:v>
      </x:c>
    </x:row>
    <x:row r="51">
      <x:c r="A51" s="18" t="str">
        <x:v>INFO</x:v>
      </x:c>
      <x:c r="B51" s="18" t="str">
        <x:v>moonshot:kimi-k3</x:v>
      </x:c>
      <x:c r="C51" s="18" t="str">
        <x:v>Kimi K3</x:v>
      </x:c>
      <x:c r="D51" s="18" t="str"/>
      <x:c r="E51" s="18" t="str"/>
      <x:c r="F51" s="24" t="str">
        <x:v>Not yet present in supplied ECI snapshot</x:v>
      </x:c>
      <x:c r="G51" s="24" t="str">
        <x:v>Use user-supplied exact release, AA=57.1123, and 2.8T disclosed anchor; retain ECI gap</x:v>
      </x:c>
      <x:c r="H51" s="24" t="str">
        <x:v>Anchor remains fixed</x:v>
      </x:c>
    </x:row>
  </x:sheetData>
  <x:mergeCells>
    <x:mergeCell ref="A1:H1"/>
    <x:mergeCell ref="A2:H3"/>
    <x:mergeCell ref="A23:H23"/>
  </x:mergeCells>
  <x:conditionalFormatting sqref="D6:D20">
    <x:cfRule type="containsText" dxfId="5" priority="1" operator="containsText" text="PASS"/>
    <x:cfRule type="containsText" dxfId="6" priority="2" operator="containsText" text="FAIL"/>
  </x:conditionalFormatting>
  <x:conditionalFormatting sqref="D21:D21">
    <x:cfRule type="containsText" dxfId="10" priority="3" operator="containsText" text="PASS"/>
  </x:conditionalFormatting>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38" hidden="0" customWidth="1"/>
    <x:col min="2" max="2" width="38" hidden="0" customWidth="1"/>
    <x:col min="3" max="3" width="70" hidden="0" customWidth="1"/>
    <x:col min="4" max="4" width="70" hidden="0" customWidth="1"/>
    <x:col min="5" max="5" width="40" hidden="0" customWidth="1"/>
    <x:col min="6" max="6" width="40" hidden="0" customWidth="1"/>
    <x:col min="7" max="7" width="18" hidden="0" customWidth="1"/>
    <x:col min="8" max="8" width="18" hidden="0" customWidth="1"/>
    <x:col min="9" max="9" width="18" hidden="0" customWidth="1"/>
    <x:col min="10" max="10" width="18" hidden="0" customWidth="1"/>
    <x:col min="11" max="11" width="18" hidden="0" customWidth="1"/>
    <x:col min="12" max="12" width="62" hidden="0" customWidth="1"/>
  </x:cols>
  <x:sheetData>
    <x:row r="1" ht="36" customHeight="1">
      <x:c r="A1" s="66" t="str">
        <x:v>Canonical base registry — final posterior units</x:v>
      </x:c>
      <x:c r="B1" s="66"/>
      <x:c r="C1" s="66"/>
      <x:c r="D1" s="66"/>
      <x:c r="E1" s="66"/>
      <x:c r="F1" s="66"/>
      <x:c r="G1" s="66"/>
      <x:c r="H1" s="66"/>
      <x:c r="I1" s="66"/>
      <x:c r="J1" s="66"/>
      <x:c r="K1" s="66"/>
      <x:c r="L1" s="66"/>
    </x:row>
    <x:row r="2">
      <x:c r="A2" s="6" t="str">
        <x:v>Exactly nine posterior rows and nine unique base IDs. Checkpoints remain separate in Model Registry; asserted same-base relationships are encoded here with their evidence, so Opus and GPT post-training variants are collapsed once and only once.</x:v>
      </x:c>
      <x:c r="B2" s="6"/>
      <x:c r="C2" s="6"/>
      <x:c r="D2" s="6"/>
      <x:c r="E2" s="6"/>
      <x:c r="F2" s="6"/>
      <x:c r="G2" s="6"/>
      <x:c r="H2" s="6"/>
      <x:c r="I2" s="6"/>
      <x:c r="J2" s="6"/>
      <x:c r="K2" s="6"/>
      <x:c r="L2" s="6"/>
    </x:row>
    <x:row r="3">
      <x:c r="A3" s="6"/>
      <x:c r="B3" s="6"/>
      <x:c r="C3" s="6"/>
      <x:c r="D3" s="6"/>
      <x:c r="E3" s="6"/>
      <x:c r="F3" s="6"/>
      <x:c r="G3" s="6"/>
      <x:c r="H3" s="6"/>
      <x:c r="I3" s="6"/>
      <x:c r="J3" s="6"/>
      <x:c r="K3" s="6"/>
      <x:c r="L3" s="6"/>
    </x:row>
    <x:row r="5" ht="34" customHeight="1">
      <x:c r="A5" s="71" t="str">
        <x:v>Base ID</x:v>
      </x:c>
      <x:c r="B5" s="71" t="str">
        <x:v>Final display</x:v>
      </x:c>
      <x:c r="C5" s="71" t="str">
        <x:v>Representative checkpoint ID</x:v>
      </x:c>
      <x:c r="D5" s="71" t="str">
        <x:v>Member checkpoint IDs</x:v>
      </x:c>
      <x:c r="E5" s="71" t="str">
        <x:v>Identity type</x:v>
      </x:c>
      <x:c r="F5" s="71" t="str">
        <x:v>Identity evidence</x:v>
      </x:c>
      <x:c r="G5" s="71" t="str">
        <x:v>Existing central (T)</x:v>
      </x:c>
      <x:c r="H5" s="71" t="str">
        <x:v>Horizon prior (T)</x:v>
      </x:c>
      <x:c r="I5" s="71" t="str">
        <x:v>Posterior (T)</x:v>
      </x:c>
      <x:c r="J5" s="71" t="str">
        <x:v>Status</x:v>
      </x:c>
      <x:c r="K5" s="71" t="str">
        <x:v>Base ID count</x:v>
      </x:c>
      <x:c r="L5" s="71" t="str">
        <x:v>Note</x:v>
      </x:c>
    </x:row>
    <x:row r="6">
      <x:c r="A6" s="16" t="str">
        <x:v>base:anthropic:claude-fable-5</x:v>
      </x:c>
      <x:c r="B6" s="16" t="str">
        <x:v>Claude Fable 5</x:v>
      </x:c>
      <x:c r="C6" s="16" t="str">
        <x:v>anthropic:claude-fable-5</x:v>
      </x:c>
      <x:c r="D6" s="22" t="str">
        <x:v>anthropic:claude-fable-5</x:v>
      </x:c>
      <x:c r="E6" s="22" t="str">
        <x:v>Unique pretrain</x:v>
      </x:c>
      <x:c r="F6" s="22" t="str">
        <x:v>New base; user and model evidence</x:v>
      </x:c>
      <x:c r="G6" s="19" t="n">
        <x:f>'Horizon Estimates'!B6</x:f>
        <x:v>3.420619147282</x:v>
      </x:c>
      <x:c r="H6" s="19" t="n">
        <x:f>'Horizon Estimates'!D6</x:f>
        <x:v>6.533951047522359</x:v>
      </x:c>
      <x:c r="I6" s="19" t="n">
        <x:f>'Horizon Estimates'!G6</x:f>
        <x:v>4.72759537826137</x:v>
      </x:c>
      <x:c r="J6" s="22" t="str">
        <x:f>'Horizon Estimates'!K6</x:f>
        <x:v>Regression estimate</x:v>
      </x:c>
      <x:c r="K6" s="134" t="n">
        <x:f>COUNTIF($A$6:$A$14,A6)</x:f>
        <x:v>1</x:v>
      </x:c>
      <x:c r="L6" s="22" t="str">
        <x:v>Date law and Ryan's corrected 8-month pretrain gap pooled geometrically.</x:v>
      </x:c>
    </x:row>
    <x:row r="7">
      <x:c r="A7" s="17" t="str">
        <x:v>base:openai:gpt-5-6-sol</x:v>
      </x:c>
      <x:c r="B7" s="17" t="str">
        <x:v>GPT-5.6 Sol</x:v>
      </x:c>
      <x:c r="C7" s="17" t="str">
        <x:v>openai:gpt-5-6-sol</x:v>
      </x:c>
      <x:c r="D7" s="23" t="str">
        <x:v>openai:gpt-5-6-sol</x:v>
      </x:c>
      <x:c r="E7" s="23" t="str">
        <x:v>Unique scale variant</x:v>
      </x:c>
      <x:c r="F7" s="23" t="str">
        <x:v>Distinct GPT-5.6 Sol scale</x:v>
      </x:c>
      <x:c r="G7" s="20" t="n">
        <x:f>'Horizon Estimates'!B7</x:f>
        <x:v>3.337143079854522</x:v>
      </x:c>
      <x:c r="H7" s="20" t="n">
        <x:f>'Horizon Estimates'!D7</x:f>
        <x:v>2.983694824019499</x:v>
      </x:c>
      <x:c r="I7" s="20" t="n">
        <x:f>'Horizon Estimates'!G7</x:f>
        <x:v>3.1554740585804897</x:v>
      </x:c>
      <x:c r="J7" s="23" t="str">
        <x:f>'Horizon Estimates'!K7</x:f>
        <x:v>Regression estimate</x:v>
      </x:c>
      <x:c r="K7" s="135" t="n">
        <x:f>COUNTIF($A$6:$A$14,A7)</x:f>
        <x:v>1</x:v>
      </x:c>
      <x:c r="L7" s="23" t="str">
        <x:v>GPT-5.4/5.5 no-CoT shared-base proxy advanced to Sol's release.</x:v>
      </x:c>
    </x:row>
    <x:row r="8">
      <x:c r="A8" s="17" t="str">
        <x:v>base:moonshot:kimi-k3</x:v>
      </x:c>
      <x:c r="B8" s="17" t="str">
        <x:v>Kimi K3</x:v>
      </x:c>
      <x:c r="C8" s="17" t="str">
        <x:v>moonshot:kimi-k3</x:v>
      </x:c>
      <x:c r="D8" s="23" t="str">
        <x:v>moonshot:kimi-k3</x:v>
      </x:c>
      <x:c r="E8" s="23" t="str">
        <x:v>Disclosed base</x:v>
      </x:c>
      <x:c r="F8" s="23" t="str">
        <x:v>2.8T disclosed anchor</x:v>
      </x:c>
      <x:c r="G8" s="20" t="n">
        <x:f>'Horizon Estimates'!B8</x:f>
        <x:v>2.8</x:v>
      </x:c>
      <x:c r="H8" s="20" t="n">
        <x:f>'Horizon Estimates'!D8</x:f>
        <x:v>2.8</x:v>
      </x:c>
      <x:c r="I8" s="20" t="n">
        <x:f>'Horizon Estimates'!G8</x:f>
        <x:v>2.8</x:v>
      </x:c>
      <x:c r="J8" s="23" t="str">
        <x:f>'Horizon Estimates'!K8</x:f>
        <x:v>Disclosed anchor</x:v>
      </x:c>
      <x:c r="K8" s="135" t="n">
        <x:f>COUNTIF($A$6:$A$14,A8)</x:f>
        <x:v>1</x:v>
      </x:c>
      <x:c r="L8" s="23" t="str">
        <x:v>2.8T disclosed; horizon branch cannot move an exact anchor.</x:v>
      </x:c>
    </x:row>
    <x:row r="9">
      <x:c r="A9" s="17" t="str">
        <x:v>base:anthropic-opus-4-5plus</x:v>
      </x:c>
      <x:c r="B9" s="17" t="str">
        <x:v>Claude Opus 4.7 / 4.8 shared base</x:v>
      </x:c>
      <x:c r="C9" s="17" t="str">
        <x:v>anthropic:claude-opus-4-8</x:v>
      </x:c>
      <x:c r="D9" s="23" t="str">
        <x:v>anthropic:claude-opus-4-5; anthropic:claude-opus-4-6; anthropic:claude-opus-4-7; anthropic:claude-opus-4-8</x:v>
      </x:c>
      <x:c r="E9" s="23" t="str">
        <x:v>Shared base / post-training lineage</x:v>
      </x:c>
      <x:c r="F9" s="23" t="str">
        <x:v>User asserts ≥4.5 shared base; 4.7/4.8 explicitly required to collapse</x:v>
      </x:c>
      <x:c r="G9" s="20" t="n">
        <x:f>'Horizon Estimates'!B9</x:f>
        <x:v>2.3318329775695745</x:v>
      </x:c>
      <x:c r="H9" s="20" t="n">
        <x:f>'Horizon Estimates'!D9</x:f>
        <x:v>3.203281859170802</x:v>
      </x:c>
      <x:c r="I9" s="20" t="n">
        <x:f>'Horizon Estimates'!G9</x:f>
        <x:v>2.7330419454638553</x:v>
      </x:c>
      <x:c r="J9" s="23" t="str">
        <x:f>'Horizon Estimates'!K9</x:f>
        <x:v>Regression estimate</x:v>
      </x:c>
      <x:c r="K9" s="135" t="n">
        <x:f>COUNTIF($A$6:$A$14,A9)</x:f>
        <x:v>1</x:v>
      </x:c>
      <x:c r="L9" s="23" t="str">
        <x:v>Opus 4.5/4.6/4.7 collapsed; 4.7 and 4.8 remain one base.</x:v>
      </x:c>
    </x:row>
    <x:row r="10">
      <x:c r="A10" s="17" t="str">
        <x:v>base:openai-gpt-5-shared</x:v>
      </x:c>
      <x:c r="B10" s="17" t="str">
        <x:v>GPT-5.5</x:v>
      </x:c>
      <x:c r="C10" s="17" t="str">
        <x:v>openai:gpt-5-5</x:v>
      </x:c>
      <x:c r="D10" s="23" t="str">
        <x:v>openai:gpt-5; openai:gpt-5-1; openai:gpt-5-2; openai:gpt-5-3-codex; openai:gpt-5-4; openai:gpt-5-5</x:v>
      </x:c>
      <x:c r="E10" s="23" t="str">
        <x:v>Shared base / post-training lineage</x:v>
      </x:c>
      <x:c r="F10" s="23" t="str">
        <x:v>User asserts GPT-5 through GPT-5.5 share a base</x:v>
      </x:c>
      <x:c r="G10" s="20" t="n">
        <x:f>'Horizon Estimates'!B10</x:f>
        <x:v>2.672015154705486</x:v>
      </x:c>
      <x:c r="H10" s="20" t="n">
        <x:f>'Horizon Estimates'!D10</x:f>
        <x:v>2.0190964903578963</x:v>
      </x:c>
      <x:c r="I10" s="20" t="n">
        <x:f>'Horizon Estimates'!G10</x:f>
        <x:v>2.3227260753366847</x:v>
      </x:c>
      <x:c r="J10" s="23" t="str">
        <x:f>'Horizon Estimates'!K10</x:f>
        <x:v>Regression estimate</x:v>
      </x:c>
      <x:c r="K10" s="135" t="n">
        <x:f>COUNTIF($A$6:$A$14,A10)</x:f>
        <x:v>1</x:v>
      </x:c>
      <x:c r="L10" s="23" t="str">
        <x:v>GPT-5.4 and 5.5 treated as same-base post-training variants.</x:v>
      </x:c>
    </x:row>
    <x:row r="11">
      <x:c r="A11" s="17" t="str">
        <x:v>base:openai:gpt-5-6-terra</x:v>
      </x:c>
      <x:c r="B11" s="17" t="str">
        <x:v>GPT-5.6 Terra</x:v>
      </x:c>
      <x:c r="C11" s="17" t="str">
        <x:v>openai:gpt-5-6-terra</x:v>
      </x:c>
      <x:c r="D11" s="23" t="str">
        <x:v>openai:gpt-5-6-terra</x:v>
      </x:c>
      <x:c r="E11" s="23" t="str">
        <x:v>Unique scale variant</x:v>
      </x:c>
      <x:c r="F11" s="23" t="str">
        <x:v>Distinct GPT-5.6 Terra scale</x:v>
      </x:c>
      <x:c r="G11" s="20" t="n">
        <x:f>'Horizon Estimates'!B11</x:f>
        <x:v>2.2630037831413268</x:v>
      </x:c>
      <x:c r="H11" s="20" t="n">
        <x:f>'Horizon Estimates'!D11</x:f>
        <x:v>2.0233212999634618</x:v>
      </x:c>
      <x:c r="I11" s="20" t="n">
        <x:f>'Horizon Estimates'!G11</x:f>
        <x:v>2.1398092803630284</x:v>
      </x:c>
      <x:c r="J11" s="23" t="str">
        <x:f>'Horizon Estimates'!K11</x:f>
        <x:v>Regression estimate</x:v>
      </x:c>
      <x:c r="K11" s="135" t="n">
        <x:f>COUNTIF($A$6:$A$14,A11)</x:f>
        <x:v>1</x:v>
      </x:c>
      <x:c r="L11" s="23" t="str">
        <x:v>Preserves Terra/Sol scale ratio while applying Sol's horizon correction.</x:v>
      </x:c>
    </x:row>
    <x:row r="12">
      <x:c r="A12" s="17" t="str">
        <x:v>base:anthropic:claude-sonnet-5</x:v>
      </x:c>
      <x:c r="B12" s="17" t="str">
        <x:v>Claude Sonnet 5</x:v>
      </x:c>
      <x:c r="C12" s="17" t="str">
        <x:v>anthropic:claude-sonnet-5</x:v>
      </x:c>
      <x:c r="D12" s="23" t="str">
        <x:v>anthropic:claude-sonnet-5</x:v>
      </x:c>
      <x:c r="E12" s="23" t="str">
        <x:v>Unique pretrain</x:v>
      </x:c>
      <x:c r="F12" s="23" t="str">
        <x:v>No same-base collapse asserted</x:v>
      </x:c>
      <x:c r="G12" s="20" t="n">
        <x:f>'Horizon Estimates'!B12</x:f>
        <x:v>1.5616446066762157</x:v>
      </x:c>
      <x:c r="H12" s="20" t="n">
        <x:f>'Horizon Estimates'!D12</x:f>
        <x:v>1.5616446066762157</x:v>
      </x:c>
      <x:c r="I12" s="20" t="n">
        <x:f>'Horizon Estimates'!G12</x:f>
        <x:v>1.561644606676216</x:v>
      </x:c>
      <x:c r="J12" s="23" t="str">
        <x:f>'Horizon Estimates'!K12</x:f>
        <x:v>Regression estimate</x:v>
      </x:c>
      <x:c r="K12" s="135" t="n">
        <x:f>COUNTIF($A$6:$A$14,A12)</x:f>
        <x:v>1</x:v>
      </x:c>
      <x:c r="L12" s="23" t="str">
        <x:v>No direct Sonnet 5 no-CoT point; horizon branch left neutral.</x:v>
      </x:c>
    </x:row>
    <x:row r="13">
      <x:c r="A13" s="17" t="str">
        <x:v>base:openai:gpt-5-6-luna</x:v>
      </x:c>
      <x:c r="B13" s="17" t="str">
        <x:v>GPT-5.6 Luna</x:v>
      </x:c>
      <x:c r="C13" s="17" t="str">
        <x:v>openai:gpt-5-6-luna</x:v>
      </x:c>
      <x:c r="D13" s="23" t="str">
        <x:v>openai:gpt-5-6-luna</x:v>
      </x:c>
      <x:c r="E13" s="23" t="str">
        <x:v>Unique scale variant</x:v>
      </x:c>
      <x:c r="F13" s="23" t="str">
        <x:v>Distinct GPT-5.6 Luna scale</x:v>
      </x:c>
      <x:c r="G13" s="20" t="n">
        <x:f>'Horizon Estimates'!B13</x:f>
        <x:v>1.5489971200785368</x:v>
      </x:c>
      <x:c r="H13" s="20" t="n">
        <x:f>'Horizon Estimates'!D13</x:f>
        <x:v>1.3849375286003376</x:v>
      </x:c>
      <x:c r="I13" s="20" t="n">
        <x:f>'Horizon Estimates'!G13</x:f>
        <x:v>1.464672059981554</x:v>
      </x:c>
      <x:c r="J13" s="23" t="str">
        <x:f>'Horizon Estimates'!K13</x:f>
        <x:v>Regression estimate</x:v>
      </x:c>
      <x:c r="K13" s="135" t="n">
        <x:f>COUNTIF($A$6:$A$14,A13)</x:f>
        <x:v>1</x:v>
      </x:c>
      <x:c r="L13" s="23" t="str">
        <x:v>Preserves Luna/Sol scale ratio while applying Sol's horizon correction.</x:v>
      </x:c>
    </x:row>
    <x:row r="14">
      <x:c r="A14" s="18" t="str">
        <x:v>base:xai:grok-4-5</x:v>
      </x:c>
      <x:c r="B14" s="18" t="str">
        <x:v>Grok 4.5</x:v>
      </x:c>
      <x:c r="C14" s="18" t="str">
        <x:v>xai:grok-4-5</x:v>
      </x:c>
      <x:c r="D14" s="24" t="str">
        <x:v>xai:grok-4-5</x:v>
      </x:c>
      <x:c r="E14" s="24" t="str">
        <x:v>Disclosed base</x:v>
      </x:c>
      <x:c r="F14" s="24" t="str">
        <x:v>1.5T disclosed peg</x:v>
      </x:c>
      <x:c r="G14" s="21" t="n">
        <x:f>'Horizon Estimates'!B14</x:f>
        <x:v>1.5</x:v>
      </x:c>
      <x:c r="H14" s="21" t="n">
        <x:f>'Horizon Estimates'!D14</x:f>
        <x:v>1.5</x:v>
      </x:c>
      <x:c r="I14" s="21" t="n">
        <x:f>'Horizon Estimates'!G14</x:f>
        <x:v>1.5</x:v>
      </x:c>
      <x:c r="J14" s="24" t="str">
        <x:f>'Horizon Estimates'!K14</x:f>
        <x:v>Disclosed anchor</x:v>
      </x:c>
      <x:c r="K14" s="136" t="n">
        <x:f>COUNTIF($A$6:$A$14,A14)</x:f>
        <x:v>1</x:v>
      </x:c>
      <x:c r="L14" s="24" t="str">
        <x:v>1.5T disclosed peg; horizon branch cannot move an exact anchor.</x:v>
      </x:c>
    </x:row>
  </x:sheetData>
  <x:mergeCells>
    <x:mergeCell ref="A1:L1"/>
    <x:mergeCell ref="A2:L3"/>
  </x:mergeCells>
  <x:conditionalFormatting sqref="K6:K14">
    <x:cfRule type="cellIs" dxfId="9" priority="1" operator="notEqual">
      <x:formula>1</x:formula>
    </x:cfRule>
  </x:conditionalFormatting>
  <x:pageMargins left="0.7" right="0.7" top="0.75" bottom="0.75" header="0.3" footer="0.3"/>
  <x:tableParts count="1">
    <x:tablePart xmlns:r="http://schemas.openxmlformats.org/officeDocument/2006/relationships" r:id="R9919f24343434cba"/>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34" hidden="0" customWidth="1"/>
    <x:col min="2" max="2" width="80" hidden="0" customWidth="1"/>
    <x:col min="3" max="3" width="18" hidden="0" customWidth="1"/>
    <x:col min="4" max="4" width="70" hidden="0" customWidth="1"/>
    <x:col min="5" max="5" width="24" hidden="0" customWidth="1"/>
  </x:cols>
  <x:sheetData>
    <x:row r="1" ht="36" customHeight="1">
      <x:c r="A1" s="66" t="str">
        <x:v>Source manifest — immutable inputs and SHA-256 hashes</x:v>
      </x:c>
      <x:c r="B1" s="66"/>
      <x:c r="C1" s="66"/>
      <x:c r="D1" s="66"/>
      <x:c r="E1" s="66"/>
    </x:row>
    <x:row r="2">
      <x:c r="A2" s="6" t="str">
        <x:v>These hashes bind the audit to the exact files used. The original sources remain untouched; the workbook contains value snapshots, formula text, raw LaTeX tables, and canonical joins.</x:v>
      </x:c>
      <x:c r="B2" s="6"/>
      <x:c r="C2" s="6"/>
      <x:c r="D2" s="6"/>
      <x:c r="E2" s="6"/>
    </x:row>
    <x:row r="3">
      <x:c r="A3" s="6"/>
      <x:c r="B3" s="6"/>
      <x:c r="C3" s="6"/>
      <x:c r="D3" s="6"/>
      <x:c r="E3" s="6"/>
    </x:row>
    <x:row r="5" ht="34" customHeight="1">
      <x:c r="A5" s="71" t="str">
        <x:v>Source</x:v>
      </x:c>
      <x:c r="B5" s="71" t="str">
        <x:v>Path</x:v>
      </x:c>
      <x:c r="C5" s="71" t="str">
        <x:v>Bytes</x:v>
      </x:c>
      <x:c r="D5" s="71" t="str">
        <x:v>SHA-256</x:v>
      </x:c>
      <x:c r="E5" s="71" t="str">
        <x:v>Modified</x:v>
      </x:c>
    </x:row>
    <x:row r="6">
      <x:c r="A6" s="16" t="str">
        <x:v>ECI workbook</x:v>
      </x:c>
      <x:c r="B6" s="16" t="str">
        <x:v>~/Downloads/eci_parameter_regression_workbook.xlsx</x:v>
      </x:c>
      <x:c r="C6" s="72" t="n">
        <x:v>132428</x:v>
      </x:c>
      <x:c r="D6" s="16" t="str">
        <x:v>e085ec57793c1bed7231df03035f880000e41581700eb868152d41fe6406a3dc</x:v>
      </x:c>
      <x:c r="E6" s="78" t="n">
        <x:v>46219.80121725694</x:v>
      </x:c>
    </x:row>
    <x:row r="7">
      <x:c r="A7" s="17" t="str">
        <x:v>arXiv LaTeX source archive</x:v>
      </x:c>
      <x:c r="B7" s="17" t="str">
        <x:v>~/Downloads/arXiv-2606.07157v3.tar.gz</x:v>
      </x:c>
      <x:c r="C7" s="73" t="n">
        <x:v>4852484</x:v>
      </x:c>
      <x:c r="D7" s="17" t="str">
        <x:v>c1c38d4ac51dda5061a3da8d0322b984409bf77e6c91e114d03b4d534b2f5bb8</x:v>
      </x:c>
      <x:c r="E7" s="79" t="n">
        <x:v>46220.53351778935</x:v>
      </x:c>
    </x:row>
    <x:row r="8">
      <x:c r="A8" s="17" t="str">
        <x:v>Price-informed input workbook</x:v>
      </x:c>
      <x:c r="B8" s="17" t="str">
        <x:v>./outputs/019f6c42-2d53-7743-ab07-6293e2618dd7/price_informed_frontier_parameter_crosscheck_2026-07-17.xlsx</x:v>
      </x:c>
      <x:c r="C8" s="73" t="n">
        <x:v>34380</x:v>
      </x:c>
      <x:c r="D8" s="17" t="str">
        <x:v>1a6fb0d5ef27efa3fb629349c2e2bd59b73b8754c7372db925b877e6d1775552</x:v>
      </x:c>
      <x:c r="E8" s="79" t="n">
        <x:v>46219.84677581018</x:v>
      </x:c>
    </x:row>
    <x:row r="9">
      <x:c r="A9" s="17" t="str">
        <x:v>Human prediction registry</x:v>
      </x:c>
      <x:c r="B9" s="17" t="str">
        <x:v>./outputs/019f6c42-2d53-7743-ab07-6293e2618dd7/frontier_parameter_prediction_registry_v1.8_2026-07-17.docx</x:v>
      </x:c>
      <x:c r="C9" s="73" t="n">
        <x:v>41869</x:v>
      </x:c>
      <x:c r="D9" s="17" t="str">
        <x:v>116296f489c39fd562c64c89993f7985f82fd0b02e22bd18dc0021663af30617</x:v>
      </x:c>
      <x:c r="E9" s="79" t="n">
        <x:v>46220.497562453704</x:v>
      </x:c>
    </x:row>
    <x:row r="10">
      <x:c r="A10" s="18" t="str">
        <x:v>LessWrong attachment</x:v>
      </x:c>
      <x:c r="B10" s="18" t="str">
        <x:v>~/.codex/attachments/0f45b0c5-4b8c-4916-b6d7-b6bc53dcc26f/pasted-text.txt</x:v>
      </x:c>
      <x:c r="C10" s="74" t="n">
        <x:v>36224</x:v>
      </x:c>
      <x:c r="D10" s="18" t="str">
        <x:v>0d29897af81f98ba6f8cf76c076b7568793dc98a2cfe74ee22c3e2765aea4944</x:v>
      </x:c>
      <x:c r="E10" s="80" t="n">
        <x:v>46220.52815032408</x:v>
      </x:c>
    </x:row>
  </x:sheetData>
  <x:mergeCells>
    <x:mergeCell ref="A1:E1"/>
    <x:mergeCell ref="A2:E3"/>
  </x:mergeCells>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RowHeight="15"/>
  <x:cols>
    <x:col min="1" max="1" width="18" hidden="0" customWidth="1"/>
    <x:col min="2" max="2" width="42" hidden="0" customWidth="1"/>
    <x:col min="3" max="3" width="18" hidden="0" customWidth="1"/>
    <x:col min="4" max="4" width="18" hidden="0" customWidth="1"/>
    <x:col min="5" max="5" width="110" hidden="0" customWidth="1"/>
  </x:cols>
  <x:sheetData>
    <x:row r="1" ht="36" customHeight="1">
      <x:c r="A1" s="66" t="str">
        <x:v>Raw LaTeX table archive — lossless chunked text</x:v>
      </x:c>
      <x:c r="B1" s="66"/>
      <x:c r="C1" s="66"/>
      <x:c r="D1" s="66"/>
      <x:c r="E1" s="66"/>
    </x:row>
    <x:row r="2">
      <x:c r="A2" s="6" t="str">
        <x:v>Every \begin{table}…\end{table} block from arXiv-2606.07157v3 is retained verbatim. Chunks are numbered and limited to 29,000 characters so the source can be reassembled exactly without hitting Excel's cell limit.</x:v>
      </x:c>
      <x:c r="B2" s="6"/>
      <x:c r="C2" s="6"/>
      <x:c r="D2" s="6"/>
      <x:c r="E2" s="6"/>
    </x:row>
    <x:row r="3">
      <x:c r="A3" s="6"/>
      <x:c r="B3" s="6"/>
      <x:c r="C3" s="6"/>
      <x:c r="D3" s="6"/>
      <x:c r="E3" s="6"/>
    </x:row>
    <x:row r="5" ht="34" customHeight="1">
      <x:c r="A5" s="71" t="str">
        <x:v>Table index</x:v>
      </x:c>
      <x:c r="B5" s="71" t="str">
        <x:v>LaTeX label</x:v>
      </x:c>
      <x:c r="C5" s="71" t="str">
        <x:v>Chunk</x:v>
      </x:c>
      <x:c r="D5" s="71" t="str">
        <x:v>Chunks</x:v>
      </x:c>
      <x:c r="E5" s="71" t="str">
        <x:v>Raw LaTeX text</x:v>
      </x:c>
    </x:row>
    <x:row r="6">
      <x:c r="A6" s="16" t="n">
        <x:v>1</x:v>
      </x:c>
      <x:c r="B6" s="16" t="str">
        <x:v>tab:task-suite</x:v>
      </x:c>
      <x:c r="C6" s="16" t="n">
        <x:v>1</x:v>
      </x:c>
      <x:c r="D6" s="16" t="n">
        <x:v>1</x:v>
      </x:c>
      <x:c r="E6" s="22" t="str">
        <x:v>\begin{table}[h!]
\vspace{-1em}
  \caption{\textbf{A (subset) of the benchmark suite.} Full details are contained in \Cref{app:tasks}.}
  \label{tab:task-suite}
  \centering
  \scriptsize
  \begin{tabular}{@{}llp{6cm}}
    \toprule
    Task &amp; Domain &amp; Description \\
    \midrule
    \texttt{a\_level\_mcq}                 &amp; science            &amp; A-level multiple-choice questions only (4-option MCQ subset)                                                        \\
    \texttt{arc\_agi\_2} \cite{chollet2026arcagi2newchallengefrontier}                   &amp; abstract reasoning &amp; Hard abstraction and reasoning tasks from ARC Prize                                                    \\
    \texttt{bea-24-shared-task} \cite{yaneva-etal-2024-findings}            &amp; medical knowledge  &amp; USMLE MCQs with response times from first-time examinees \\
    \texttt{codeforces} \cite{li2022competition}                    &amp; SWE                &amp; Codeforces competitive programming problems                                                                         \\
    \texttt{crossword}                     &amp; language           &amp; NYT crossword puzzles with community solve times                                                                    \\
    \texttt{gsm1k} \cite{zhang2024careful}                         &amp; math               &amp; Grade-school math word problems  \\
    \texttt{strategic\_scheming} &amp; safety       &amp; Open-ended reasoning about scheming scenarios  \\
    \bottomrule
  \end{tabular}
\end{table}</x:v>
      </x:c>
    </x:row>
    <x:row r="7">
      <x:c r="A7" s="17" t="n">
        <x:v>2</x:v>
      </x:c>
      <x:c r="B7" s="17" t="str">
        <x:v>tab:horizons-per-model</x:v>
      </x:c>
      <x:c r="C7" s="17" t="n">
        <x:v>1</x:v>
      </x:c>
      <x:c r="D7" s="17" t="n">
        <x:v>1</x:v>
      </x:c>
      <x:c r="E7" s="23" t="str">
        <x:v>\begin{table}[h!]
  \caption{\textbf{Per-model 50\% time horizons and o3-mini reasoning-token horizons.} 95\% bootstrap CIs in brackets. Models in chronological order of release.}
  \label{tab:horizons-per-model}
  \centering
  \scriptsize
  \begin{tabular}{@{}lll@{}}
    \toprule
    Model &amp; 50\% Time horizon (min) &amp; 50\% Token horizon \\
    \midrule
    GPT-2 &amp; $&lt;$0.01 \tiny{[$&lt;$0.01, $&lt;$0.01]} &amp; $&lt;$1 \tiny{[1, 1]} \\
    GPT-3 &amp; 0.05 \tiny{[$&lt;$0.01, 0.05]} &amp; 1 \tiny{[1, 8]} \\
    GPT-3.5 &amp; 0.29 \tiny{[$&lt;$0.01, 0.42]} &amp; 123 \tiny{[71, 189]} \\
    GPT-4 &amp; 0.89 \tiny{[0.19, 0.95]} &amp; 290 \tiny{[197, 457]} \\
    GPT-4 Turbo &amp; 0.80 \tiny{[0.06, 0.91]} &amp; 401 \tiny{[248, 652]} \\
    GPT-4o &amp; 0.80 \tiny{[0.03, 0.92]} &amp; 455 \tiny{[233, 851]} \\
    Sonnet 3.7 &amp; 1.1 \tiny{[0.26, 1.3]} &amp; 584 \tiny{[403, 876]} \\
    Opus 4 &amp; 1.2 \tiny{[0.34, 1.4]} &amp; 612 \tiny{[373, 1.1k]} \\
    Opus 4.1 &amp; 1.4 \tiny{[0.44, 1.7]} &amp; 825 \tiny{[542, 1.4k]} \\
    Opus 4.5 &amp; 2.4 \tiny{[0.39, 94]} &amp; 1.4k \tiny{[842, 2.4k]} \\
    Opus 4.6 &amp; 2.5 \tiny{[0.55, 40]} &amp; 1.3k \tiny{[780, 2.2k]} \\
    GPT-5.4 &amp; 1.4 \tiny{[0.12, 6.6]} &amp; 961 \tiny{[570, 1.6k]} \\
    Opus 4.7 &amp; 2.8 \tiny{[0.61, 73]} &amp; 1.5k \tiny{[854, 2.8k]} \\
    GPT-5.5 &amp; 3.0 \tiny{[0.84, 62]} &amp; 1.5k \tiny{[950, 2.4k]} \\
    \bottomrule
  \end{tabular}
\end{table}</x:v>
      </x:c>
    </x:row>
    <x:row r="8">
      <x:c r="A8" s="17" t="n">
        <x:v>3</x:v>
      </x:c>
      <x:c r="B8" s="17" t="str">
        <x:v>tab:floor-sensitivity-no-legacy</x:v>
      </x:c>
      <x:c r="C8" s="17" t="n">
        <x:v>1</x:v>
      </x:c>
      <x:c r="D8" s="17" t="n">
        <x:v>1</x:v>
      </x:c>
      <x:c r="E8" s="23" t="str">
        <x:v>\begin{table}[htbp]
  \caption{\textbf{Sensitivity of the TH trend's doubling time to the minimum-TH threshold. } With GPT-2 and GPT-3 excluded from the fit, the bootstrap-median doubling time is approximately floor-invariant; bootstrap median with [2.5, 97.5]\% CI in subscript.}
  \label{tab:floor-sensitivity-no-legacy}
  \centering
  \scriptsize
  \begin{tabular}{@{}lr@{}}
    \toprule
    Min. TH threshold &amp; Doubling (days) \\
    \midrule
    0.001 s &amp; 373 \tiny{[170, 690]} \\
    0.005 s &amp; 373 \tiny{[170, 690]} \\
    0.01 s &amp; 373 \tiny{[170, 691]} \\
    0.05 s &amp; 373 \tiny{[171, 691]} \\
    0.06 s &amp; 373 \tiny{[171, 691]} \\
    0.1 s &amp; 373 \tiny{[171, 691]} \\
    0.5 s &amp; 374 \tiny{[171, 694]} \\
    1 s &amp; 374 \tiny{[173, 697]} \\
    \bottomrule
  \end{tabular}
\end{table}</x:v>
      </x:c>
    </x:row>
    <x:row r="9">
      <x:c r="A9" s="17" t="n">
        <x:v>4</x:v>
      </x:c>
      <x:c r="B9" s="17" t="str">
        <x:v>tab:leave-one-out-pareto_short_answer</x:v>
      </x:c>
      <x:c r="C9" s="17" t="n">
        <x:v>1</x:v>
      </x:c>
      <x:c r="D9" s="17" t="n">
        <x:v>1</x:v>
      </x:c>
      <x:c r="E9" s="23" t="str">
        <x:v>\begin{table}[htbp]
  \caption{\textbf{Leave-one-out sensitivity for the TH trend fit.} Each row reports the doubling time (days) and $R^2$ of the fit when the named model is held out from the trend regression. Row `(none)' is the canonical fit.}
  \label{tab:leave-one-out-pareto_short_answer}
  \centering
  \scriptsize
  \begin{tabular}{@{}lrr@{}}
    \toprule
    Left out &amp; Doubling (days) &amp; $R^2$ \\
    \midrule
    (none) &amp; 373 \tiny{[167, 691]} &amp; 0.84 \tiny{[0.59, 0.93]} \\
    GPT-3.5 &amp; 427 \tiny{[149, 971]} &amp; 0.67 \tiny{[0.44, 0.89]} \\
    GPT-4 &amp; 327 \tiny{[151, 599]} &amp; 0.89 \tiny{[0.58, 0.99]} \\
    Sonnet 3.7 &amp; 372 \tiny{[167, 691]} &amp; 0.86 \tiny{[0.63, 0.94]} \\
    Opus 4 &amp; 368 \tiny{[164, 686]} &amp; 0.87 \tiny{[0.67, 0.94]} \\
    Opus 4.1 &amp; 366 \tiny{[161, 685]} &amp; 0.86 \tiny{[0.67, 0.93]} \\
    Opus 4.5 &amp; 382 \tiny{[180, 695]} &amp; 0.84 \tiny{[0.63, 0.93]} \\
    Opus 4.6 &amp; 379 \tiny{[173, 697]} &amp; 0.83 \tiny{[0.57, 0.92]} \\
    Opus 4.7 &amp; 382 \tiny{[179, 699]} &amp; 0.83 \tiny{[0.56, 0.92]} \\
    GPT-5.5 &amp; 389 \tiny{[176, 713]} &amp; 0.83 \tiny{[0.56, 0.92]} \\
    \bottomrule
  \end{tabular}
\end{table}</x:v>
      </x:c>
    </x:row>
    <x:row r="10">
      <x:c r="A10" s="17" t="n">
        <x:v>5</x:v>
      </x:c>
      <x:c r="B10" s="17" t="str">
        <x:v>tab:fr-delta-fillers</x:v>
      </x:c>
      <x:c r="C10" s="17" t="n">
        <x:v>1</x:v>
      </x:c>
      <x:c r="D10" s="17" t="n">
        <x:v>1</x:v>
      </x:c>
      <x:c r="E10" s="23" t="str">
        <x:v>\begin{table}[htbp]
  \centering
  \scriptsize
  \caption{\textbf{Per-(benchmark, model) normalised accuracy gain/loss vs the $N{=}0$ baseline for filler tokens. } The \textit{Baseline} column is the normalised accuracy at $N{=}0$ (\%); subsequent columns are paired-bootstrap pp deltas, formatted as $\mathrm{med}^{\mathrm{hi}}_{\mathrm{lo}}$ where the super/subscript values are the absolute $95\%$ CI bounds. Bold central values mark cells whose CI excludes zero.}
  \label{tab:fr-delta-fillers}
  \begin{tabular}{llrrrrrr}
    \toprule
    \multicolumn{1}{l}{Benchmark} &amp; \multicolumn{1}{l}{Model} &amp; \multicolumn{1}{c}{Baseline (\%)} &amp; \multicolumn{1}{c}{$N{=}10$} &amp; \multicolumn{1}{c}{$N{=}50$} &amp; \multicolumn{1}{c}{$N{=}100$} &amp; \multicolumn{1}{c}{$N{=}500$} &amp; \multicolumn{1}{c}{$N{=}1000$} \\
    \midrule
    Causal Reasoning &amp; GPT-4o &amp; 21.1 &amp; $-2.6^{+0.2}_{-5.4}$ &amp; $\mathbf{-5.8}^{-3.0}_{-8.8}$ &amp; $\mathbf{-8.9}^{-6.1}_{-11.8}$ &amp; $\mathbf{-6.6}^{-3.8}_{-9.8}$ &amp; $\mathbf{-5.9}^{-2.6}_{-9.3}$ \\
     &amp; GPT-5.4 &amp; 37.3 &amp; $+3.5^{+7.1}_{-0.1}$ &amp; $-2.2^{+1.9}_{-6.3}$ &amp; $-1.1^{+2.9}_{-5.1}$ &amp; $-4.1^{+0.1}_{-8.1}$ &amp; $-4.1^{+0.3}_{-8.7}$ \\
     &amp; Opus 4.1 &amp; 30.8 &amp; $\mathbf{-7.4}^{-3.5}_{-11.6}$ &amp; $\mathbf{+6.9}^{+11.9}_{+1.9}$ &amp; $\mathbf{+5.6}^{+10.8}_{+0.6}$ &amp; $-3.3^{+0.9}_{-7.6}$ &amp; $-4.5^{+0.1}_{-9.3}$ \\
     &amp; Opus 4.6 &amp; 23.7 &amp; $+2.0^{+5.6}_{-1.6}$ &amp; $\mathbf{-7.0}^{-3.6}_{-10.7}$ &amp; $\mathbf{-4.4}^{-1.3}_{-7.8}$ &amp; $\mathbf{-4.0}^{-0.6}_{-7.6}$ &amp; $\mathbf{-5.2}^{-1.4}_{-9.3}$ \\
    \addlinespace[2pt]
    Competition Math &amp; GPT-4o &amp; 17.8 &amp; $+1.4^{+3.5}_{-0.5}$ &amp; $+0.6^{+3.2}_{-2.0}$ &amp; $+0.4^{+3.4}_{-2.5}$ &amp; $-0.8^{+2.2}_{-3.8}$ &amp; $-1.2^{+1.7}_{-4.3}$ \\
     &amp; GPT-5.4 &amp; 34.1 &amp; $-0.3^{+1.9}_{-2.6}$ &amp; $+1.9^{+4.8}_{-1.1}$ &amp; $+0.6^{+3.6}_{-2.4}$ &amp; $+0.3^{+3.3}_{-2.7}$ &amp; $+0.7^{+3.7}_{-2.3}$ \\
     &amp; Opus 4.1 &amp; 41.2 &amp; $+1.1^{+3.4}_{-1.0}$ &amp; $+1.6^{+4.2}_{-0.8}$ &amp; $+0.9^{+3.7}_{-1.9}$ &amp; $\mathbf{-3.7}^{-0.1}_{-7.5}$ &amp; $\mathbf{-11.3}^{-7.1}_{-15.9}$ \\
     &amp; Opus 4.6 &amp; 48.0 &amp; $+0.6^{+3.7}_{-2.5}$ &amp; $\mathbf{+3.7}^{+7.4}_{+0.2}$ &amp; $+2.6^{+6.5}_{-1.1}$ &amp; $+3.9^{+8.5}_{-0.5}$ &amp; $\mathbf{+4.3}^{+8.5}_{+0.3}$ \\
    \addlinespace[2pt]
    GPQA Diamond &amp; GPT-4o &amp; 41.6 &amp; $+2.2^{+5.1}_{-0.5}$ &amp; $-0.8^{+2.5}_{-4.2}$ &amp; $-1.9^{+2.0}_{-5.7}$ &amp; $-2.9^{+1.2}_{-7.1}$ &amp; $-2.4^{+1.6}_{-6.5}$ \\
     &amp; GPT-5.4 &amp; 52.0 &amp; $-0.8^{+2.2}_{-3.8}$ &amp; $+0.7^{+4.3}_{-2.9}$ &amp; $-0.4^{+3.9}_{-4.4}$ &amp; $-0.7^{+3.7}_{-5.1}$ &amp; $-2.1^{+2.3}_{-6.7}$ \\
     &amp; Opus 4.1 &amp; 53.8 &amp; $+0.8^{+4.4}_{-2.7}$ &amp; $+3.4^{+7.7}_{-0.9}$ &amp; $-2.2^{+2.7}_{-7.2}$ &amp; $-0.2^{+4.7}_{-5.0}$ &amp; $+2.4^{+7.4}_{-2.7}$ \\
     &amp; Opus 4.6 &amp; 60.0 &amp; $+2.0^{+5.3}_{-1.2}$ &amp; $+2.7^{+6.1}_{-0.4}$ &amp; $+1.1^{+5.1}_{-3.0}$ &amp; $+0.5^{+5.3}_{-4.3}$ &amp; $+2.0^{+6.8}_{-2.8}$ \\
    \addlinespace[2pt]
    Hash &amp; GPT-4o &amp; 1.9 &amp; $-0.2^{+0.3}_{-1.0}$ &amp; $-0.1^{+0.5}_{-1.1}$ &amp; $-0.6^{+0.1}_{-1.9}$ &amp; $-0.8^{+0.1}_{-2.2}$ &amp; $-0.9^{+0.1}_{-2.4}$ \\
     &amp; Opus 4.6 &amp; 2.4 &amp; $+0.1^{+1.4}_{-0.8}$ &amp; $+0.2^{+0.8}_{-0.1}$ &amp; $+0.4^{+1.3}_{-0.1}$ &amp; $+0.1^{+1.3}_{-0.7}$ &amp; $+0.0^{+0.9}_{-0.8}$ \\
    \addlinespace[2pt]
    Monitor Poisoning &amp; GPT-4o &amp; 53.5 &amp; $-10.4^{+4.2}_{-24.3}$ &amp; $-13.5^{+1.4}_{-28.5}$ &amp; $-12.2^{+1.1}_{-25.7}$ &amp; $-13.5^{+0.3}_{-27.8}$ &amp; $\mathbf{-19.1}^{-5.2}_{-33.3}$ \\
     &amp; GPT-5.4 &amp; 55.2 &amp; $\mathbf{-16.0}^{-2.8}_{-29.5}$ &amp; $\mathbf{-16.3}^{-5.9}_{-28.8}$ &amp; $-3.8^{+11.5}_{-19.1}$ &amp; $-6.2^{+9.4}_{-22.2}$ &amp; $-3.5^{+9.7}_{-17.4}$ \\
     &amp; Opus 4.1 &amp; 65.6 &amp; $\mathbf{-31.6}^{-16.3}_{-47.2}$ &amp; $\mathbf{-31.9}^{-16.7}_{-47.9}$ &amp; $\mathbf{-29.9}^{-16.0}_{-44.8}$ &amp; $\mathbf{-40.3}^{-25.7}_{-55.6}$ &amp; $\mathbf{-39.6}^{-25.3}_{-54.2}$ \\
     &amp; Opus 4.6 &amp; 51.7 &amp; $\mathbf{-16.7}^{-2.8}_{-31.6}$ &amp; $\mathbf{-16.0}^{-2.8}_{-30.6}$ &amp; $\mathbf{-15.6}^{-2.1}_{-30.2}$ &amp; $\mathbf{-15.6}^{-2.4}_{-30.2}$ &amp; $\mathbf{-16.3}^{-2.8}_{-30.9}$ \\
    \addlinespace[2pt]
    N-Hop Lookup &amp; GPT-4o &amp; 43.8 &amp; $-3.0^{+0.6}_{-6.8}$ &amp; $-3.3^{+0.0}_{-6.9}$ &amp; $-0.2^{+3.8}_{-4.3}$ &amp; $\mathbf{-5.0}^{-0.6}_{-9.6}$ &amp; $-3.8^{+1.0}_{-8.9}$ \\
     &amp; GPT-5.4 &amp; 44.4 &amp; $+0.4^{+4.7}_{-3.9}$ &amp; $-0.4^{+4.2}_{-4.8}$ &amp; $+1.7^{+6.1}_{-2.6}$ &amp; $+3.5^{+8.3}_{-1.2}$ &amp; $+4.2^{+9.0}_{-0.6}$ \\
     &amp; Opus 4.1 &amp; 12.2 &amp; $\mathbf{-1.5}^{-0.4}_{-2.9}$ &amp; $-0.7^{+0.8}_{-2.3}$ &amp; $\mathbf{+2.9}^{+5.4}_{+0.7}$ &amp; $+1.7^{+3.7}_{-0.0}$ &amp; $-1.8^{+0.2}_{-3.8}$ \\
     &amp; Opus 4.6 &amp; 55.1 &amp; $\mathbf{-6.2}^{-3.2}_{-9.7}$ &amp; $\mathbf{-6.8}^{-3.1}_{-10.7}$ &amp; $\mathbf{-13.0}^{-8.8}_{-17.7}$ &amp; $\mathbf{-4.0}^{-0.4}_{-7.9}$ &amp; $\mathbf{-6.4}^{-2.2}_{-10.8}$ \\
    \addlinespace[2pt]
    Sally-Anne &amp; GPT-4o &amp; 38.0 &amp; $-2.4^{+1.8}_{-6.8}$ &amp; $-0.8^{+3.7}_{-5.3}$ &amp; $-3.3^{+1.6}_{-8.2}$ &amp; $\mathbf{-7.3}^{-2.5}_{-12.3}$ &amp; $\mathbf{-10.1}^{-5.2}_{-15.2}$ \\
     &amp; GPT-5.4 &amp; 21.9 &amp; $-1.0^{+1.9}_{-4.0}$ &amp; $\mathbf{+13.3}^{+17.7}_{+9.0}$ &amp; $\mathbf{+8.0}^{+12.3}_{+4.0}$ &amp; $\mathbf{+8.8}^{+13.5}_{+4.5}$ &amp; $\mathbf{+9.9}^{+14.7}_{+5.5}$ \\
     &amp; Opus 4.1 &amp; 23.6 &amp; $\mathbf{-12.5}^{-8.3}_{-17.2}$ &amp; $\mathbf{-6.8}^{-3.8}_{-10.2}$ &amp; $\mathbf{-7.3}^{-3.9}_{-11.2}$ &amp; $\mathbf{-11.6}^{-7.6}_{-15.9}$ &amp; $\mathbf{-10.0}^{-6.2}_{-14.2}$ \\
     &amp; Opus 4.6 &amp; 55.5 &amp; $\mathbf{+7.2}^{+12.2}_{+2.3}$ &amp; $\mathbf{-15.9}^{-9.7}_{-22.2}$ &amp; $\mathbf{-25.1}^{-19.0}_{-31.4}$ &amp; $\mathbf{-24.5}^{-18.4}_{-30.8}$ &amp; $\mathbf{-20.6}^{-14.2}_{-27.0}$ \\
    \addlinespace[2pt]
    Scheming (Numeric) &amp; GPT-4o &amp; 34.4 &amp; $\mathbf{+10.4}^{+16.2}_{+5.4}$ &amp; $\mathbf{+9.7}^{+15.6}_{+4.6}$ &amp; $\mathbf{+9.6}^{+15.6}_{+4.2}$ &amp; $\mathbf{+8.0}^{+14.3}_{+2.2}$ &amp; $\mathbf{+7.9}^{+13.8}_{+2.6}$ \\
     &amp; GPT-5.4 &amp; 52.2 &amp; $\mathbf{+8.9}^{+13.6}_{+4.8}$ &amp; $\mathbf{+9.8}^{+16.3}_{+3.8}$ &amp; $\mathbf{+6.2}^{+12.1}_{+0.7}$ &amp; $\mathbf{+6.4}^{+11.4}_{+1.9}$ &amp; $\mathbf{+7.0}^{+11.4}_{+2.7}$ \\
     &amp; Opus 4.1 &amp; 58.6 &amp; $+3.5^{+7.5}_{-0.1}$ &amp; $\mathbf{+4.1}^{+7.8}_{+1.3}$ &amp; $+2.5^{+6.4}_{-1.2}$ &amp; $+2.2^{+6.7}_{-2.1}$ &amp; $+3.3^{+8.4}_{-1.3}$ \\
     &amp; Opus 4.6 &amp; 62.0 &amp; $+1.1^{+4.7}_{-2.0}$ &amp; $+1.5^{+6.1}_{-2.7}$ &amp; $-1.4^{+2.8}_{-5.8}$ &amp; $\mathbf{+5.8}^{+11.4}_{+0.9}$ &amp; $+5.8^{+12.0}_{-0.2}$ \\
    \addlinespace[2pt]
    Stego Decode &amp; GPT-4o &amp; 68.9 &amp; $+1.7^{+4.6}_{-0.9}$ &amp; $-0.7^{+2.9}_{-4.3}$ &amp; $+1.9^{+5.3}_{-1.4}$ &amp; $+0.2^{+3.5}_{-3.0}$ &amp; $-2.5^{+0.7}_{-5.9}$ \\
     &amp; GPT-5.4 &amp; 84.0 &amp; $-0.4^{+0.8}_{-1.8}$ &amp; $-0.3^{+0.7}_{-1.4}$ &amp; $-0.5^{+0.5}_{-1.6}$ &amp; $-1.1^{+0.3}_{-2.8}$ &amp; $-1.0^{+0.6}_{-2.9}$ \\
     &amp; Opus 4.1 &amp; 83.7 &amp; $+0.9^{+3.1}_{-1.1}$ &amp; $-2.0^{+1.0}_{-5.1}$ &amp; $-0.7^{+1.5}_{-3.0}$ &amp; $-2.1^{+0.4}_{-4.7}$ &amp; $-1.8^{+0.8}_{-4.5}$ \\
     &amp; Opus 4.6 &amp; 84.0 &amp; $-0.3^{+1.1}_{-1.9}$ &amp; $-0.4^{+1.0}_{-2.0}$ &amp; $+0.1^{+1.5}_{-1.5}$ &amp; $-0.1^{+1.6}_{-2.0}$ &amp; $+0.1^{+1.9}_{-2.0}$ \\
    \addlinespace[2pt]
    \bottomrule
  \end{tabular}
\end{table}</x:v>
      </x:c>
    </x:row>
    <x:row r="11">
      <x:c r="A11" s="17" t="n">
        <x:v>6</x:v>
      </x:c>
      <x:c r="B11" s="17" t="str">
        <x:v>tab:fr-delta-repeats</x:v>
      </x:c>
      <x:c r="C11" s="17" t="n">
        <x:v>1</x:v>
      </x:c>
      <x:c r="D11" s="17" t="n">
        <x:v>1</x:v>
      </x:c>
      <x:c r="E11" s="23" t="str">
        <x:v>\begin{table}[htbp]
  \centering
  \scriptsize
  \caption{\textbf{Per-(benchmark, model) normalised accuracy gain/loss vs the $N{=}0$ baseline for question repeats.} The \textit{Baseline} column is the normalised accuracy at $N{=}0$ (\%); subsequent columns are paired-bootstrap pp deltas, formatted as $\mathrm{med}^{\mathrm{hi}}_{\mathrm{lo}}$ where the super/subscript values are the absolute $95\%$ CI bounds. Bold central values mark cells whose CI excludes zero.}
  \label{tab:fr-delta-repeats}
  \begin{tabular}{llrrrrrrr}
    \toprule
    \multicolumn{1}{l}{Benchmark} &amp; \multicolumn{1}{l}{Model} &amp; \multicolumn{1}{c}{Baseline (\%)} &amp; \multicolumn{1}{c}{$r{=}1$} &amp; \multicolumn{1}{c}{$r{=}2$} &amp; \multicolumn{1}{c}{$r{=}3$} &amp; \multicolumn{1}{c}{$r{=}5$} &amp; \multicolumn{1}{c}{$r{=}10$} &amp; \multicolumn{1}{c}{$r{=}50$} \\
    \midrule
    Causal Reasoning &amp; GPT-4o &amp; 21.1 &amp; $\mathbf{-3.6}^{-0.4}_{-6.9}$ &amp; $-2.9^{+0.6}_{-6.4}$ &amp; -- &amp; $\mathbf{-4.6}^{-1.3}_{-8.0}$ &amp; $\mathbf{-3.7}^{-0.3}_{-7.2}$ &amp; -- \\
     &amp; GPT-5.4 &amp; 37.3 &amp; $+3.5^{+8.9}_{-1.8}$ &amp; $+1.6^{+6.6}_{-3.3}$ &amp; $+3.5^{+8.4}_{-1.4}$ &amp; $+0.9^{+5.9}_{-4.0}$ &amp; $+3.0^{+7.9}_{-1.9}$ &amp; $+1.8^{+6.4}_{-2.8}$ \\
     &amp; Opus 4.1 &amp; 30.8 &amp; $\mathbf{+8.0}^{+13.1}_{+2.9}$ &amp; $\mathbf{+10.9}^{+17.0}_{+5.3}$ &amp; $\mathbf{+9.1}^{+14.9}_{+3.2}$ &amp; $+1.6^{+6.9}_{-3.6}$ &amp; $+2.8^{+8.4}_{-2.5}$ &amp; $\mathbf{-8.5}^{-4.1}_{-12.8}$ \\
     &amp; Opus 4.6 &amp; 23.7 &amp; $+0.7^{+4.9}_{-3.5}$ &amp; $-1.8^{+2.3}_{-6.0}$ &amp; $-3.7^{+0.2}_{-7.9}$ &amp; $-4.0^{+0.2}_{-8.3}$ &amp; $\mathbf{+12.1}^{+17.8}_{+6.6}$ &amp; $\mathbf{+20.3}^{+26.7}_{+14.4}$ \\
    \addlinespace[2pt]
    Competition Math &amp; GPT-4o &amp; 17.8 &amp; $+0.7^{+3.2}_{-1.8}$ &amp; $+0.9^{+4.0}_{-1.9}$ &amp; $+0.4^{+3.2}_{-2.6}$ &amp; $+0.1^{+2.9}_{-2.7}$ &amp; $+0.6^{+3.2}_{-2.1}$ &amp; $+0.1^{+2.8}_{-2.7}$ \\
     &amp; GPT-5.4 &amp; 34.1 &amp; $+1.2^{+4.1}_{-1.6}$ &amp; $+2.3^{+5.4}_{-0.6}$ &amp; $\mathbf{+3.4}^{+6.4}_{+0.6}$ &amp; $\mathbf{+3.4}^{+6.3}_{+0.8}$ &amp; $+2.4^{+5.4}_{-0.4}$ &amp; $+1.5^{+4.8}_{-1.7}$ \\
     &amp; Opus 4.1 &amp; 41.2 &amp; $+1.4^{+3.7}_{-0.8}$ &amp; $+1.4^{+4.2}_{-1.2}$ &amp; $+1.2^{+4.0}_{-1.4}$ &amp; $+1.7^{+5.1}_{-1.4}$ &amp; $+1.6^{+4.8}_{-1.4}$ &amp; $+0.3^{+4.0}_{-3.4}$ \\
     &amp; Opus 4.6 &amp; 48.0 &amp; $+2.3^{+5.9}_{-1.0}$ &amp; $+4.1^{+8.5}_{-0.2}$ &amp; $+4.1^{+8.6}_{-0.3}$ &amp; $+4.3^{+8.9}_{-0.1}$ &amp; $+3.6^{+8.4}_{-1.0}$ &amp; $+4.1^{+8.5}_{+0.0}$ \\
    \addlinespace[2pt]
    GPQA Diamond &amp; GPT-4o &amp; 41.6 &amp; $-0.7^{+3.1}_{-4.6}$ &amp; $+0.7^{+4.8}_{-3.5}$ &amp; $+0.4^{+4.5}_{-3.7}$ &amp; $+2.5^{+6.9}_{-2.0}$ &amp; $+2.2^{+6.3}_{-2.0}$ &amp; $-1.5^{+3.2}_{-6.2}$ \\
     &amp; GPT-5.4 &amp; 52.0 &amp; $+2.1^{+6.6}_{-2.2}$ &amp; $+3.1^{+8.2}_{-2.0}$ &amp; $+2.5^{+7.4}_{-2.6}$ &amp; $+3.6^{+8.8}_{-1.3}$ &amp; $+2.7^{+7.6}_{-2.4}$ &amp; $+2.3^{+7.6}_{-2.9}$ \\
     &amp; Opus 4.1 &amp; 53.8 &amp; $+2.3^{+7.0}_{-2.3}$ &amp; $+3.3^{+8.3}_{-1.9}$ &amp; $+2.5^{+7.9}_{-3.0}$ &amp; $+2.0^{+7.8}_{-3.7}$ &amp; $+2.7^{+8.1}_{-3.0}$ &amp; $+1.8^{+7.7}_{-4.0}$ \\
     &amp; Opus 4.6 &amp; 60.0 &amp; $+0.9^{+5.6}_{-3.7}$ &amp; $+1.9^{+6.5}_{-2.9}$ &amp; $+3.5^{+8.8}_{-1.4}$ &amp; $+4.0^{+9.6}_{-1.7}$ &amp; $+5.2^{+10.7}_{-0.1}$ &amp; $+2.9^{+9.0}_{-3.3}$ \\
    \addlinespace[2pt]
    Hash &amp; GPT-4o &amp; 1.9 &amp; $-0.2^{+0.4}_{-1.1}$ &amp; $+0.1^{+0.8}_{-0.9}$ &amp; $+0.0^{+0.6}_{-0.9}$ &amp; $-0.1^{+0.4}_{-1.1}$ &amp; $-0.5^{+0.4}_{-1.9}$ &amp; $-0.3^{+0.4}_{-1.2}$ \\
     &amp; Opus 4.6 &amp; 2.4 &amp; $+0.6^{+1.7}_{+0.0}$ &amp; $+0.4^{+1.7}_{-0.7}$ &amp; $+0.4^{+1.2}_{+0.0}$ &amp; $+0.4^{+1.7}_{-0.7}$ &amp; $+0.1^{+0.6}_{-0.2}$ &amp; $+0.0^{+0.5}_{-0.8}$ \\
    \addlinespace[2pt]
    Monitor Poisoning &amp; GPT-4o &amp; 53.5 &amp; $-8.7^{+4.9}_{-22.2}$ &amp; $-10.4^{+1.4}_{-22.2}$ &amp; $-9.7^{+3.1}_{-22.9}$ &amp; $-6.6^{+6.6}_{-19.8}$ &amp; $-5.9^{+6.9}_{-18.8}$ &amp; $-3.1^{+10.8}_{-17.0}$ \\
     &amp; GPT-5.4 &amp; 55.2 &amp; $\mathbf{-17.4}^{-4.2}_{-31.2}$ &amp; $\mathbf{-31.9}^{-18.1}_{-46.2}$ &amp; $\mathbf{-37.8}^{-23.6}_{-51.7}$ &amp; $\mathbf{-39.6}^{-25.3}_{-54.2}$ &amp; $\mathbf{-49.7}^{-34.4}_{-64.9}$ &amp; $\mathbf{-54.2}^{-38.9}_{-69.8}$ \\
     &amp; Opus 4.1 &amp; 65.6 &amp; $\mathbf{-26.7}^{-13.9}_{-41.0}$ &amp; $\mathbf{-25.7}^{-13.2}_{-39.6}$ &amp; $\mathbf{-24.3}^{-11.1}_{-38.5}$ &amp; $\mathbf{-29.5}^{-16.7}_{-43.7}$ &amp; $\mathbf{-34.7}^{-21.5}_{-48.6}$ &amp; $\mathbf{-36.8}^{-22.6}_{-52.1}$ \\
     &amp; Opus 4.6 &amp; 51.7 &amp; $\mathbf{-19.1}^{-6.2}_{-33.3}$ &amp; $\mathbf{-18.4}^{-4.5}_{-33.7}$ &amp; $\mathbf{-19.1}^{-5.2}_{-33.3}$ &amp; $\mathbf{-18.1}^{-4.2}_{-33.3}$ &amp; $\mathbf{-16.0}^{-0.3}_{-31.2}$ &amp; $-16.3^{+0.0}_{-32.6}$ \\
    \addlinespace[2pt]
    N-Hop Lookup &amp; GPT-4o &amp; 43.8 &amp; $\mathbf{+5.5}^{+10.6}_{+0.6}$ &amp; $+1.8^{+6.7}_{-2.9}$ &amp; $+2.4^{+7.4}_{-2.6}$ &amp; $+1.6^{+6.6}_{-3.3}$ &amp; $+1.2^{+6.2}_{-3.6}$ &amp; -- \\
     &amp; GPT-5.4 &amp; 44.4 &amp; $\mathbf{+10.5}^{+15.7}_{+5.5}$ &amp; $\mathbf{+12.4}^{+17.7}_{+7.4}$ &amp; $\mathbf{+10.9}^{+16.1}_{+5.9}$ &amp; $\mathbf{+12.4}^{+17.5}_{+7.6}$ &amp; $\mathbf{+12.2}^{+17.6}_{+7.0}$ &amp; $\mathbf{+6.9}^{+11.8}_{+2.0}$ \\
     &amp; Opus 4.1 &amp; 12.2 &amp; $\mathbf{+20.2}^{+24.7}_{+15.9}$ &amp; $\mathbf{+12.6}^{+16.4}_{+9.2}$ &amp; $\mathbf{+10.8}^{+14.8}_{+6.9}$ &amp; $\mathbf{+15.4}^{+19.7}_{+11.4}$ &amp; $\mathbf{+14.4}^{+18.9}_{+10.4}$ &amp; $\mathbf{+14.6}^{+19.4}_{+10.4}$ \\
     &amp; Opus 4.6 &amp; 55.1 &amp; $\mathbf{+19.6}^{+25.5}_{+14.1}$ &amp; $\mathbf{+24.5}^{+30.7}_{+18.6}$ &amp; $\mathbf{+26.4}^{+32.9}_{+20.1}$ &amp; $\mathbf{+27.6}^{+34.1}_{+21.3}$ &amp; $\mathbf{+26.5}^{+32.8}_{+20.2}$ &amp; $\mathbf{+23.3}^{+29.7}_{+17.4}$ \\
    \addlinespace[2pt]
    Sally-Anne &amp; GPT-4o &amp; 38.0 &amp; $-2.0^{+2.7}_{-6.8}$ &amp; $-4.9^{+0.0}_{-9.7}$ &amp; $\mathbf{-8.5}^{-3.9}_{-13.0}$ &amp; $\mathbf{-7.4}^{-2.8}_{-12.0}$ &amp; $\mathbf{-8.1}^{-3.5}_{-12.8}$ &amp; -- \\
     &amp; GPT-5.4 &amp; 21.9 &amp; $\mathbf{+20.3}^{+25.4}_{+15.3}$ &amp; $\mathbf{+21.5}^{+26.9}_{+16.5}$ &amp; $\mathbf{+19.7}^{+24.9}_{+14.6}$ &amp; $\mathbf{+17.0}^{+22.2}_{+12.2}$ &amp; $\mathbf{+18.7}^{+23.8}_{+13.7}$ &amp; $\mathbf{+13.7}^{+18.9}_{+8.7}$ \\
     &amp; Opus 4.1 &amp; 23.6 &amp; $\mathbf{+27.6}^{+33.2}_{+22.3}$ &amp; $\mathbf{+17.0}^{+21.9}_{+12.6}$ &amp; $\mathbf{+21.0}^{+26.3}_{+16.1}$ &amp; $\mathbf{+13.5}^{+18.1}_{+9.5}$ &amp; $\mathbf{+5.8}^{+9.3}_{+2.7}$ &amp; $\mathbf{-23.7}^{-18.0}_{-29.8}$ \\
     &amp; Opus 4.6 &amp; 55.5 &amp; $\mathbf{+11.2}^{+18.0}_{+4.5}$ &amp; $\mathbf{+12.8}^{+20.1}_{+5.3}$ &amp; $\mathbf{+10.4}^{+17.4}_{+3.6}$ &amp; $\mathbf{+14.8}^{+22.0}_{+7.7}$ &amp; $\mathbf{+15.9}^{+23.0}_{+8.8}$ &amp; $\mathbf{+11.4}^{+18.1}_{+4.5}$ \\
    \addlinespace[2pt]
    Scheming (Numeric) &amp; GPT-4o &amp; 34.4 &amp; $\mathbf{+12.1}^{+18.5}_{+6.2}$ &amp; $\mathbf{+10.4}^{+16.6}_{+5.0}$ &amp; $\mathbf{+10.0}^{+16.9}_{+3.8}$ &amp; $\mathbf{+9.6}^{+16.5}_{+3.4}$ &amp; $\mathbf{+8.8}^{+15.2}_{+3.1}$ &amp; $\mathbf{+8.1}^{+14.7}_{+2.1}$ \\
     &amp; GPT-5.4 &amp; 52.2 &amp; $\mathbf{+9.8}^{+14.7}_{+5.1}$ &amp; $\mathbf{+8.6}^{+14.4}_{+2.9}$ &amp; $\mathbf{+9.9}^{+15.8}_{+4.1}$ &amp; $\mathbf{+10.6}^{+17.1}_{+4.4}$ &amp; $\mathbf{+11.1}^{+17.9}_{+4.7}$ &amp; $\mathbf{+10.4}^{+16.5}_{+5.0}$ \\
     &amp; Opus 4.1 &amp; 58.6 &amp; $+3.2^{+7.4}_{-0.4}$ &amp; $\mathbf{+5.4}^{+9.8}_{+1.9}$ &amp; $\mathbf{+4.2}^{+8.5}_{+0.8}$ &amp; $\mathbf{+4.0}^{+8.6}_{+0.1}$ &amp; $\mathbf{+4.1}^{+9.0}_{+0.1}$ &amp; $+2.6^{+7.3}_{-1.8}$ \\
     &amp; Opus 4.6 &amp; 62.0 &amp; $\mathbf{+8.5}^{+14.5}_{+3.3}$ &amp; $\mathbf{+6.8}^{+12.7}_{+2.2}$ &amp; $\mathbf{+8.8}^{+14.5}_{+4.1}$ &amp; $\mathbf{+11.8}^{+18.2}_{+6.2}$ &amp; $\mathbf{+9.6}^{+16.3}_{+3.5}$ &amp; $\mathbf{+10.7}^{+17.6}_{+4.7}$ \\
    \addlinespace[2pt]
    Stego Decode &amp; GPT-4o &amp; 68.9 &amp; $\mathbf{+12.4}^{+16.4}_{+8.6}$ &amp; $\mathbf{+12.4}^{+16.6}_{+8.4}$ &amp; $\mathbf{+12.8}^{+16.9}_{+9.0}$ &amp; $\mathbf{+13.1}^{+17.0}_{+9.2}$ &amp; $\mathbf{+13.4}^{+17.4}_{+9.5}$ &amp; $\mathbf{+11.5}^{+15.7}_{+7.5}$ \\
     &amp; GPT-5.4 &amp; 84.0 &amp; $\mathbf{-11.5}^{-7.5}_{-15.8}$ &amp; $\mathbf{-8.1}^{-4.6}_{-12.0}$ &amp; $\mathbf{-11.1}^{-7.1}_{-15.4}$ &amp; $\mathbf{-10.5}^{-6.3}_{-15.1}$ &amp; $\mathbf{-8.7}^{-4.9}_{-12.8}$ &amp; $\mathbf{-9.1}^{-5.3}_{-13.3}$ \\
     &amp; Opus 4.1 &amp; 83.7 &amp; $+0.4^{+2.8}_{-1.9}$ &amp; $+0.6^{+3.2}_{-2.1}$ &amp; $+0.3^{+2.9}_{-2.4}$ &amp; $+0.1^{+2.9}_{-2.6}$ &amp; $-0.3^{+2.4}_{-3.0}$ &amp; $-1.3^{+1.5}_{-4.3}$ \\
     &amp; Opus 4.6 &amp; 84.0 &amp; $+0.1^{+2.2}_{-2.3}$ &amp; $+0.1^{+2.4}_{-2.3}$ &amp; $-0.4^{+2.1}_{-3.0}$ &amp; $-0.5^{+1.9}_{-3.2}$ &amp; $-0.7^{+1.7}_{-3.4}$ &amp; $-0.3^{+2.0}_{-2.7}$ \\
    \addlinespace[2pt]
    \bottomrule
  \end{tabular}
\end{table}</x:v>
      </x:c>
    </x:row>
    <x:row r="12">
      <x:c r="A12" s="17" t="n">
        <x:v>7</x:v>
      </x:c>
      <x:c r="B12" s="17" t="str">
        <x:v>tab:all-tasks-math-and-science</x:v>
      </x:c>
      <x:c r="C12" s="17" t="n">
        <x:v>1</x:v>
      </x:c>
      <x:c r="D12" s="17" t="n">
        <x:v>1</x:v>
      </x:c>
      <x:c r="E12" s="23" t="str">
        <x:v>\begin{table}[htbp]
  \caption{\textbf{Raw accuracy for math and science benchmarks.} Cells show point-estimate \% with bootstrap [2.5, 97.5] CI in subscript. Detection tasks (sabotage / stego monitoring) report TPR at the calibrated FPR threshold. Best per column (best model per task) in bold. `--' = no data. Blank entries represent either context-window or modality limitations.}
  \label{tab:all-tasks-math-and-science}
  \centering
  \scriptsize
  \begin{tabular}{@{}lrrrrrrr@{}}
    \toprule
    Model &amp; \rotatebox{60}{\scriptsize \texttt{a\_level\_mcq}} &amp; \rotatebox{60}{\scriptsize \texttt{a\_level\_text}} &amp; \rotatebox{60}{\scriptsize \texttt{arithmetic}} &amp; \rotatebox{60}{\scriptsize \texttt{bea-24-shared-task}} &amp; \rotatebox{60}{\scriptsize \texttt{gpqa\_diamond}} &amp; \rotatebox{60}{\scriptsize \texttt{gsm1k}} &amp; \rotatebox{60}{\scriptsize \texttt{competition\_math}} \\
    \midrule
    GPT-2 &amp; -- &amp; 3 \tiny{[3, 4]} &amp; 9 \tiny{[7, 10]} &amp; -- &amp; -- &amp; 1 \tiny{[1, 1]} &amp; 1 \tiny{[1, 2]} \\
    GPT-3 &amp; -- &amp; 12 \tiny{[11, 13]} &amp; 80 \tiny{[77, 83]} &amp; 37 \tiny{[35, 40]} &amp; 27 \tiny{[23, 30]} &amp; 7 \tiny{[6, 8]} &amp; 3 \tiny{[2, 4]} \\
    GPT-3.5 &amp; -- &amp; 34 \tiny{[32, 35]} &amp; 97 \tiny{[95, 98]} &amp; 73 \tiny{[70, 76]} &amp; 35 \tiny{[30, 40]} &amp; 25 \tiny{[23, 27]} &amp; 11 \tiny{[9, 12]} \\
    GPT-4 &amp; -- &amp; 45 \tiny{[44, 47]} &amp; 98 \tiny{[97, 99]} &amp; 90 \tiny{[87, 92]} &amp; 38 \tiny{[33, 44]} &amp; 45 \tiny{[43, 48]} &amp; 17 \tiny{[15, 19]} \\
    GPT-4 Turbo &amp; -- &amp; 47 \tiny{[45, 48]} &amp; 98 \tiny{[97, 99]} &amp; 90 \tiny{[87, 92]} &amp; 40 \tiny{[34, 47]} &amp; 46 \tiny{[43, 48]} &amp; 17 \tiny{[15, 20]} \\
    GPT-4o &amp; 64 \tiny{[61, 68]} &amp; 53 \tiny{[51, 54]} &amp; 99 \tiny{[98, 100]} &amp; 93 \tiny{[91, 95]} &amp; 46 \tiny{[40, 53]} &amp; 48 \tiny{[45, 50]} &amp; 19 \tiny{[17, 21]} \\
    Sonnet 3.7 &amp; 63 \tiny{[60, 67]} &amp; 56 \tiny{[54, 57]} &amp; \textbf{100 \tiny{[100, 100]}} &amp; 94 \tiny{[92, 96]} &amp; 49 \tiny{[42, 55]} &amp; 61 \tiny{[59, 64]} &amp; 21 \tiny{[19, 24]} \\
    Opus 4 &amp; 56 \tiny{[52, 60]} &amp; 53 \tiny{[51, 54]} &amp; \textbf{100 \tiny{[100, 100]}} &amp; 95 \tiny{[94, 97]} &amp; 55 \tiny{[49, 62]} &amp; 76 \tiny{[74, 79]} &amp; 37 \tiny{[34, 40]} \\
    Opus 4.1 &amp; 55 \tiny{[51, 59]} &amp; 56 \tiny{[54, 58]} &amp; \textbf{100 \tiny{[100, 100]}} &amp; 96 \tiny{[94, 97]} &amp; 56 \tiny{[49, 63]} &amp; 77 \tiny{[75, 79]} &amp; 39 \tiny{[36, 42]} \\
    Opus 4.5 &amp; 67 \tiny{[64, 71]} &amp; 57 \tiny{[55, 58]} &amp; \textbf{100 \tiny{[100, 100]}} &amp; 96 \tiny{[94, 97]} &amp; 65 \tiny{[59, 72]} &amp; 79 \tiny{[77, 82]} &amp; \textbf{48 \tiny{[45, 51]}} \\
    Opus 4.6 &amp; 71 \tiny{[67, 74]} &amp; 59 \tiny{[57, 61]} &amp; \textbf{100 \tiny{[100, 100]}} &amp; \textbf{97 \tiny{[95, 98]}} &amp; 61 \tiny{[54, 68]} &amp; 76 \tiny{[73, 78]} &amp; 47 \tiny{[44, 50]} \\
    GPT-5.4 &amp; 79 \tiny{[76, 82]} &amp; 64 \tiny{[62, 65]} &amp; \textbf{100 \tiny{[100, 100]}} &amp; 95 \tiny{[93, 96]} &amp; 56 \tiny{[50, 62]} &amp; 69 \tiny{[67, 72]} &amp; 31 \tiny{[28, 34]} \\
    Opus 4.7 &amp; 79 \tiny{[75, 82]} &amp; 68 \tiny{[66, 69]} &amp; \textbf{100 \tiny{[100, 100]}} &amp; \textbf{97 \tiny{[95, 98]}} &amp; \textbf{71 \tiny{[65, 78]}} &amp; 80 \tiny{[78, 82]} &amp; \textbf{48 \tiny{[45, 51]}} \\
    GPT-5.5 &amp; \textbf{81 \tiny{[78, 84]}} &amp; \textbf{69 \tiny{[67, 70]}} &amp; \textbf{100 \tiny{[99, 100]}} &amp; \textbf{97 \tiny{[96, 98]}} &amp; 64 \tiny{[58, 70]} &amp; \textbf{84 \tiny{[82, 85]}} &amp; 39 \tiny{[36, 42]} \\
    \bottomrule
  \end{tabular}
\end{table}</x:v>
      </x:c>
    </x:row>
    <x:row r="13">
      <x:c r="A13" s="17" t="n">
        <x:v>8</x:v>
      </x:c>
      <x:c r="B13" s="17" t="str">
        <x:v>tab:all-tasks-control-monitoring-stego</x:v>
      </x:c>
      <x:c r="C13" s="17" t="n">
        <x:v>1</x:v>
      </x:c>
      <x:c r="D13" s="17" t="n">
        <x:v>1</x:v>
      </x:c>
      <x:c r="E13" s="23" t="str">
        <x:v>\begin{table}[htbp]
  \caption{\textbf{Raw accuracy for steganography benchmarks.} Cells show point-estimate \% with bootstrap [2.5, 97.5] CI in subscript. Detection tasks (sabotage / stego monitoring) report TPR at the calibrated FPR threshold. Best per column (best model per task) in bold. `--' = no data. Blank entries represent either context-window or modality limitations.}
  \label{tab:all-tasks-control-monitoring-stego}
  \centering
  \scriptsize
  \begin{tabular}{@{}lrrrr@{}}
    \toprule
    Model &amp; \rotatebox{60}{\scriptsize \texttt{stego\_decode}} &amp; \rotatebox{60}{\scriptsize \texttt{stego\_encode}} &amp; \rotatebox{60}{\scriptsize \texttt{stego\_monitor}} &amp; \rotatebox{60}{\scriptsize \texttt{stego\_strategy}} \\
    \midrule
    GPT-2 &amp; 50 \tiny{[48, 52]} &amp; -- &amp; 8 \tiny{[5, 10]} &amp; -- \\
    GPT-3 &amp; 50 \tiny{[49, 52]} &amp; -- &amp; 24 \tiny{[21, 28]} &amp; 20 \tiny{[15, 26]} \\
    GPT-3.5 &amp; 70 \tiny{[68, 72]} &amp; 55 \tiny{[54, 57]} &amp; 56 \tiny{[49, 64]} &amp; 70 \tiny{[67, 73]} \\
    GPT-4 &amp; 82 \tiny{[80, 84]} &amp; 68 \tiny{[66, 70]} &amp; 59 \tiny{[52, 67]} &amp; 80 \tiny{[77, 83]} \\
    GPT-4 Turbo &amp; 86 \tiny{[84, 87]} &amp; 66 \tiny{[65, 68]} &amp; 59 \tiny{[51, 67]} &amp; 74 \tiny{[70, 78]} \\
    GPT-4o &amp; 84 \tiny{[83, 86]} &amp; 65 \tiny{[63, 67]} &amp; 48 \tiny{[42, 54]} &amp; 79 \tiny{[74, 83]} \\
    Sonnet 3.7 &amp; 91 \tiny{[89, 92]} &amp; 70 \tiny{[68, 71]} &amp; 60 \tiny{[52, 67]} &amp; 71 \tiny{[66, 76]} \\
    Opus 4 &amp; \textbf{93 \tiny{[91, 94]}} &amp; 73 \tiny{[71, 74]} &amp; 59 \tiny{[52, 67]} &amp; 68 \tiny{[64, 74]} \\
    Opus 4.1 &amp; \textbf{93 \tiny{[91, 94]}} &amp; 73 \tiny{[71, 75]} &amp; 60 \tiny{[53, 68]} &amp; 69 \tiny{[64, 74]} \\
    Opus 4.5 &amp; 91 \tiny{[90, 92]} &amp; 73 \tiny{[71, 75]} &amp; 62 \tiny{[54, 69]} &amp; 71 \tiny{[65, 78]} \\
    Opus 4.6 &amp; 92 \tiny{[91, 93]} &amp; 71 \tiny{[69, 72]} &amp; \textbf{65 \tiny{[58, 72]}} &amp; 76 \tiny{[68, 83]} \\
    GPT-5.4 &amp; 92 \tiny{[91, 93]} &amp; 72 \tiny{[70, 73]} &amp; 54 \tiny{[48, 61]} &amp; 82 \tiny{[73, 90]} \\
    Opus 4.7 &amp; \textbf{93 \tiny{[92, 94]}} &amp; \textbf{75 \tiny{[73, 76]}} &amp; 62 \tiny{[55, 70]} &amp; 28 \tiny{[16, 41]} \\
    GPT-5.5 &amp; 92 \tiny{[91, 93]} &amp; 74 \tiny{[72, 75]} &amp; 63 \tiny{[55, 70]} &amp; \textbf{94 \tiny{[90, 97]}} \\
    \bottomrule
  \end{tabular}
\end{table}</x:v>
      </x:c>
    </x:row>
    <x:row r="14">
      <x:c r="A14" s="17" t="n">
        <x:v>9</x:v>
      </x:c>
      <x:c r="B14" s="17" t="str">
        <x:v>tab:all-tasks-control-monitoring-sabotage</x:v>
      </x:c>
      <x:c r="C14" s="17" t="n">
        <x:v>1</x:v>
      </x:c>
      <x:c r="D14" s="17" t="n">
        <x:v>1</x:v>
      </x:c>
      <x:c r="E14" s="23" t="str">
        <x:v>\begin{table}[htbp]
  \caption{\textbf{Raw accuracy for sabotage and monitoring benchmarks.} Cells show point-estimate \% with bootstrap [2.5, 97.5] CI in subscript. Detection tasks (sabotage / stego monitoring) report TPR at the calibrated FPR threshold. Best per column (best model per task) in bold. `--' = no data. Blank entries represent either context-window or modality limitations.}
  \label{tab:all-tasks-control-monitoring-sabotage}
  \centering
  \scriptsize
  \begin{tabular}{@{}lrrrrrrr@{}}
    \toprule
    Model &amp; \rotatebox{60}{\scriptsize \texttt{ctrl\_alt\_deceit\_sandbag}} &amp; \rotatebox{60}{\scriptsize \texttt{monitor\_training\_poisoning}} &amp; \rotatebox{60}{\scriptsize \texttt{shade\_agent}} &amp; \rotatebox{60}{\scriptsize \texttt{shade\_monitor\_action\_only}} &amp; \rotatebox{60}{\scriptsize \texttt{shade\_monitor\_cot\_action}} &amp; \rotatebox{60}{\scriptsize \texttt{straj\_linuxarena}} &amp; \rotatebox{60}{\scriptsize \texttt{vibe\_coding\_sabotage}} \\
    \midrule
    GPT-2 &amp; -- &amp; 2 \tiny{[0, 4]} &amp; -- &amp; -- &amp; -- &amp; -- &amp; -- \\
    GPT-3 &amp; -- &amp; 3 \tiny{[1, 6]} &amp; -- &amp; -- &amp; -- &amp; -- &amp; -- \\
    GPT-3.5 &amp; 1 \tiny{[0, 2]} &amp; 42 \tiny{[28, 56]} &amp; -- &amp; 0 \tiny{[0, 0]} &amp; 0 \tiny{[0, 1]} &amp; 0 \tiny{[0, 0]} &amp; 0 \tiny{[0, 0]} \\
    GPT-4 &amp; 1 \tiny{[0, 2]} &amp; 50 \tiny{[35, 64]} &amp; -- &amp; 0 \tiny{[0, 0]} &amp; 0 \tiny{[0, 1]} &amp; 0 \tiny{[0, 0]} &amp; 0 \tiny{[0, 0]} \\
    GPT-4 Turbo &amp; 1 \tiny{[0, 2]} &amp; 50 \tiny{[35, 64]} &amp; 0 \tiny{[0, 0]} &amp; 4 \tiny{[2, 6]} &amp; 82 \tiny{[78, 86]} &amp; 10 \tiny{[0, 24]} &amp; 0 \tiny{[0, 0]} \\
    GPT-4o &amp; 0 \tiny{[0, 1]} &amp; 53 \tiny{[39, 68]} &amp; 0 \tiny{[0, 0]} &amp; 21 \tiny{[17, 25]} &amp; 88 \tiny{[85, 90]} &amp; 5 \tiny{[0, 14]} &amp; 0 \tiny{[0, 0]} \\
    Sonnet 3.7 &amp; 3 \tiny{[2, 5]} &amp; 56 \tiny{[43, 69]} &amp; 0 \tiny{[0, 0]} &amp; 11 \tiny{[8, 14]} &amp; 58 \tiny{[54, 62]} &amp; 45 \tiny{[23, 68]} &amp; 9 \tiny{[6, 12]} \\
    Opus 4 &amp; 1 \tiny{[1, 2]} &amp; \textbf{68 \tiny{[53, 82]}} &amp; 1 \tiny{[0, 4]} &amp; 18 \tiny{[15, 22]} &amp; 2 \tiny{[1, 3]} &amp; 45 \tiny{[27, 64]} &amp; 4 \tiny{[2, 5]} \\
    Opus 4.1 &amp; 0 \tiny{[0, 1]} &amp; 66 \tiny{[50, 80]} &amp; 0 \tiny{[0, 0]} &amp; 0 \tiny{[0, 1]} &amp; 57 \tiny{[52, 62]} &amp; 27 \tiny{[9, 45]} &amp; 1 \tiny{[0, 2]} \\
    Opus 4.5 &amp; 11 \tiny{[8, 14]} &amp; 47 \tiny{[31, 62]} &amp; 0 \tiny{[0, 0]} &amp; \textbf{68 \tiny{[63, 74]}} &amp; \textbf{100 \tiny{[99, 100]}} &amp; 95 \tiny{[86, 100]} &amp; 79 \tiny{[73, 84]} \\
    Opus 4.6 &amp; \textbf{23 \tiny{[19, 27]}} &amp; 52 \tiny{[36, 68]} &amp; 0 \tiny{[0, 0]} &amp; 54 \tiny{[48, 60]} &amp; \textbf{100 \tiny{[99, 100]}} &amp; \textbf{100 \tiny{[100, 100]}} &amp; 91 \tiny{[87, 95]} \\
    GPT-5.4 &amp; 12 \tiny{[9, 15]} &amp; 55 \tiny{[40, 70]} &amp; \textbf{5 \tiny{[0, 17]}} &amp; 39 \tiny{[34, 45]} &amp; 98 \tiny{[96, 99]} &amp; 55 \tiny{[32, 77]} &amp; 90 \tiny{[84, 95]} \\
    Opus 4.7 &amp; \textbf{23 \tiny{[19, 27]}} &amp; 45 \tiny{[29, 61]} &amp; 0 \tiny{[0, 0]} &amp; 53 \tiny{[47, 59]} &amp; \textbf{100 \tiny{[99, 100]}} &amp; 78 \tiny{[56, 94]} &amp; \textbf{94 \tiny{[90, 97]}} \\
    GPT-5.5 &amp; 18 \tiny{[15, 22]} &amp; 66 \tiny{[52, 79]} &amp; 1 \tiny{[0, 4]} &amp; 56 \tiny{[50, 61]} &amp; 99 \tiny{[99, 100]} &amp; \textbf{100 \tiny{[100, 100]}} &amp; 90 \tiny{[86, 93]} \\
    \bottomrule
  \end{tabular}
\end{table}</x:v>
      </x:c>
    </x:row>
    <x:row r="15">
      <x:c r="A15" s="17" t="n">
        <x:v>10</x:v>
      </x:c>
      <x:c r="B15" s="17" t="str">
        <x:v>tab:all-tasks-swe-cyber</x:v>
      </x:c>
      <x:c r="C15" s="17" t="n">
        <x:v>1</x:v>
      </x:c>
      <x:c r="D15" s="17" t="n">
        <x:v>1</x:v>
      </x:c>
      <x:c r="E15" s="23" t="str">
        <x:v>\begin{table}[htbp]
  \caption{\textbf{Raw accuracy for SWE / cyber benchmarks.} Cells show point-estimate \% with bootstrap [2.5, 97.5] CI in subscript. Detection tasks (sabotage / stego monitoring) report TPR at the calibrated FPR threshold. Best per column (best model per task) in bold. `--' = no data. Blank entries represent either context-window or modality limitations.}
  \label{tab:all-tasks-swe-cyber}
  \centering
  \scriptsize
  \begin{tabular}{@{}lrrrrrrrr@{}}
    \toprule
    Model &amp; \rotatebox{60}{\scriptsize \texttt{codeforces}} &amp; \rotatebox{60}{\scriptsize \texttt{cybashbench\_bash}} &amp; \rotatebox{60}{\scriptsize \texttt{cybashbench\_mcq}} &amp; \rotatebox{60}{\scriptsize \texttt{hash}} &amp; \rotatebox{60}{\scriptsize \texttt{hcast}} &amp; \rotatebox{60}{\scriptsize \texttt{nl2bash}} &amp; \rotatebox{60}{\scriptsize \texttt{terminal\_bench}} &amp; \rotatebox{60}{\scriptsize \texttt{test\_case\_prediction}} \\
    \midrule
    GPT-2 &amp; -- &amp; 0 \tiny{[0, 0]} &amp; 24 \tiny{[16, 31]} &amp; -- &amp; -- &amp; 0 \tiny{[0, 0]} &amp; -- &amp; -- \\
    GPT-3 &amp; 0 \tiny{[0, 0]} &amp; 45 \tiny{[39, 52]} &amp; 77 \tiny{[67, 86]} &amp; 0 \tiny{[0, 0]} &amp; -- &amp; 20 \tiny{[15, 25]} &amp; -- &amp; 4 \tiny{[3, 6]} \\
    GPT-3.5 &amp; 14 \tiny{[11, 16]} &amp; 78 \tiny{[72, 84]} &amp; 98 \tiny{[94, 100]} &amp; 1 \tiny{[1, 1]} &amp; 7 \tiny{[0, 18]} &amp; 66 \tiny{[60, 73]} &amp; 1 \tiny{[0, 3]} &amp; 6 \tiny{[5, 8]} \\
    GPT-4 &amp; 7 \tiny{[5, 8]} &amp; 80 \tiny{[74, 86]} &amp; 98 \tiny{[94, 100]} &amp; 2 \tiny{[1, 3]} &amp; 32 \tiny{[16, 52]} &amp; 70 \tiny{[64, 76]} &amp; 4 \tiny{[0, 9]} &amp; 25 \tiny{[21, 28]} \\
    GPT-4 Turbo &amp; 12 \tiny{[10, 14]} &amp; 82 \tiny{[77, 88]} &amp; \textbf{100 \tiny{[100, 100]}} &amp; 2 \tiny{[1, 3]} &amp; 21 \tiny{[7, 34]} &amp; 70 \tiny{[64, 76]} &amp; 5 \tiny{[1, 10]} &amp; 23 \tiny{[20, 27]} \\
    GPT-4o &amp; 31 \tiny{[27, 34]} &amp; 81 \tiny{[75, 87]} &amp; \textbf{100 \tiny{[100, 100]}} &amp; 2 \tiny{[1, 3]} &amp; 34 \tiny{[17, 52]} &amp; 74 \tiny{[69, 80]} &amp; 7 \tiny{[2, 13]} &amp; 21 \tiny{[17, 24]} \\
    Sonnet 3.7 &amp; 25 \tiny{[22, 28]} &amp; 83 \tiny{[77, 89]} &amp; 99 \tiny{[97, 100]} &amp; 3 \tiny{[2, 4]} &amp; 61 \tiny{[39, 78]} &amp; 75 \tiny{[69, 80]} &amp; 25 \tiny{[14, 36]} &amp; 29 \tiny{[26, 33]} \\
    Opus 4 &amp; 47 \tiny{[43, 51]} &amp; 86 \tiny{[80, 90]} &amp; 73 \tiny{[63, 83]} &amp; 3 \tiny{[2, 4]} &amp; 72 \tiny{[52, 88]} &amp; 75 \tiny{[69, 81]} &amp; 25 \tiny{[17, 34]} &amp; 36 \tiny{[32, 40]} \\
    Opus 4.1 &amp; 50 \tiny{[46, 55]} &amp; 86 \tiny{[81, 91]} &amp; 67 \tiny{[55, 79]} &amp; 3 \tiny{[2, 4]} &amp; 59 \tiny{[41, 76]} &amp; 77 \tiny{[71, 82]} &amp; 30 \tiny{[20, 39]} &amp; 37 \tiny{[33, 41]} \\
    Opus 4.5 &amp; 31 \tiny{[27, 35]} &amp; 87 \tiny{[82, 92]} &amp; 86 \tiny{[77, 94]} &amp; 3 \tiny{[2, 4]} &amp; 79 \tiny{[64, 93]} &amp; 75 \tiny{[69, 81]} &amp; 47 \tiny{[36, 57]} &amp; 40 \tiny{[36, 44]} \\
    Opus 4.6 &amp; 35 \tiny{[31, 39]} &amp; \textbf{89 \tiny{[85, 93]}} &amp; 98 \tiny{[94, 100]} &amp; 3 \tiny{[2, 4]} &amp; 72 \tiny{[55, 86]} &amp; \textbf{78 \tiny{[72, 83]}} &amp; 55 \tiny{[45, 66]} &amp; 29 \tiny{[25, 32]} \\
    GPT-5.4 &amp; 50 \tiny{[45, 54]} &amp; 84 \tiny{[79, 89]} &amp; 98 \tiny{[93, 100]} &amp; \textbf{4 \tiny{[3, 5]}} &amp; 55 \tiny{[38, 72]} &amp; 75 \tiny{[69, 81]} &amp; 26 \tiny{[17, 35]} &amp; 41 \tiny{[37, 45]} \\
    Opus 4.7 &amp; 51 \tiny{[47, 55]} &amp; 88 \tiny{[83, 92]} &amp; \textbf{100 \tiny{[100, 100]}} &amp; 3 \tiny{[2, 4]} &amp; \textbf{90 \tiny{[76, 100]}} &amp; 75 \tiny{[70, 81]} &amp; \textbf{81 \tiny{[69, 92]}} &amp; 45 \tiny{[40, 49]} \\
    GPT-5.5 &amp; \textbf{54 \tiny{[50, 58]}} &amp; 88 \tiny{[83, 92]} &amp; \textbf{100 \tiny{[100, 100]}} &amp; \textbf{4 \tiny{[3, 5]}} &amp; 76 \tiny{[59, 90]} &amp; 77 \tiny{[71, 83]} &amp; 56 \tiny{[45, 66]} &amp; \textbf{54 \tiny{[50, 58]}} \\
    \bottomrule
  \end{tabular}
\end{table}</x:v>
      </x:c>
    </x:row>
    <x:row r="16">
      <x:c r="A16" s="17" t="n">
        <x:v>11</x:v>
      </x:c>
      <x:c r="B16" s="17" t="str">
        <x:v>tab:all-tasks-language-and-reasoning-abstract</x:v>
      </x:c>
      <x:c r="C16" s="17" t="n">
        <x:v>1</x:v>
      </x:c>
      <x:c r="D16" s="17" t="n">
        <x:v>1</x:v>
      </x:c>
      <x:c r="E16" s="23" t="str">
        <x:v>\begin{table}[htbp]
  \caption{\textbf{Raw accuracy for abstract reasoning benchmarks. } Cells show point-estimate \% with bootstrap [2.5, 97.5] CI in subscript. Detection tasks (sabotage / stego monitoring) report TPR at the calibrated FPR threshold. Best per column (best model per task) in bold. `--' = no data. Blank entries represent either context-window or modality limitations.}
  \label{tab:all-tasks-language-and-reasoning-abstract}
  \centering
  \scriptsize
  \begin{tabular}{@{}lrrrrr@{}}
    \toprule
    Model &amp; \rotatebox{60}{\scriptsize \texttt{arc\_agi\_1}} &amp; \rotatebox{60}{\scriptsize \texttt{arc\_agi\_2}} &amp; \rotatebox{60}{\scriptsize \texttt{causal\_reasoning}} &amp; \rotatebox{60}{\scriptsize \texttt{n\_hop\_lookup}} &amp; \rotatebox{60}{\scriptsize \texttt{sally\_anne}} \\
    \midrule
    GPT-2 &amp; -- &amp; -- &amp; -- &amp; -- &amp; -- \\
    GPT-3 &amp; -- &amp; -- &amp; -- &amp; 21 \tiny{[20, 22]} &amp; 21 \tiny{[20, 22]} \\
    GPT-3.5 &amp; 3 \tiny{[2, 4]} &amp; 0 \tiny{[0, 0]} &amp; 7 \tiny{[6, 7]} &amp; 36 \tiny{[33, 38]} &amp; 27 \tiny{[26, 28]} \\
    GPT-4 &amp; 8 \tiny{[6, 11]} &amp; 0 \tiny{[0, 0]} &amp; 29 \tiny{[28, 30]} &amp; 44 \tiny{[42, 47]} &amp; 49 \tiny{[48, 51]} \\
    GPT-4 Turbo &amp; 9 \tiny{[7, 12]} &amp; 0 \tiny{[0, 0]} &amp; 13 \tiny{[12, 13]} &amp; 32 \tiny{[29, 34]} &amp; 43 \tiny{[42, 44]} \\
    GPT-4o &amp; 9 \tiny{[6, 11]} &amp; 0 \tiny{[0, 0]} &amp; 21 \tiny{[20, 22]} &amp; 47 \tiny{[44, 50]} &amp; 41 \tiny{[40, 42]} \\
    Sonnet 3.7 &amp; 18 \tiny{[15, 22]} &amp; 0 \tiny{[0, 0]} &amp; 29 \tiny{[28, 30]} &amp; 54 \tiny{[51, 57]} &amp; 44 \tiny{[43, 46]} \\
    Opus 4 &amp; 31 \tiny{[27, 35]} &amp; 1 \tiny{[0, 3]} &amp; 37 \tiny{[36, 38]} &amp; 19 \tiny{[17, 22]} &amp; 43 \tiny{[42, 45]} \\
    Opus 4.1 &amp; 32 \tiny{[28, 37]} &amp; 1 \tiny{[0, 3]} &amp; 38 \tiny{[37, 40]} &amp; 63 \tiny{[60, 66]} &amp; 50 \tiny{[48, 51]} \\
    Opus 4.5 &amp; 36 \tiny{[32, 41]} &amp; 2 \tiny{[0, 5]} &amp; \textbf{44 \tiny{[43, 45]}} &amp; \textbf{67 \tiny{[65, 70]}} &amp; 57 \tiny{[55, 58]} \\
    Opus 4.6 &amp; 36 \tiny{[31, 40]} &amp; \textbf{3 \tiny{[1, 6]}} &amp; 40 \tiny{[38, 41]} &amp; 64 \tiny{[61, 67]} &amp; 54 \tiny{[53, 55]} \\
    GPT-5.4 &amp; 19 \tiny{[16, 23]} &amp; 1 \tiny{[0, 2]} &amp; 37 \tiny{[36, 38]} &amp; 47 \tiny{[45, 50]} &amp; 29 \tiny{[27, 30]} \\
    Opus 4.7 &amp; \textbf{45 \tiny{[40, 49]}} &amp; \textbf{3 \tiny{[1, 6]}} &amp; 15 \tiny{[14, 16]} &amp; 49 \tiny{[46, 52]} &amp; 58 \tiny{[56, 59]} \\
    GPT-5.5 &amp; 28 \tiny{[25, 33]} &amp; 1 \tiny{[0, 2]} &amp; \textbf{44 \tiny{[43, 45]}} &amp; 63 \tiny{[60, 66]} &amp; \textbf{59 \tiny{[57, 60]}} \\
    \bottomrule
  \end{tabular}
\end{table}</x:v>
      </x:c>
    </x:row>
    <x:row r="17">
      <x:c r="A17" s="17" t="n">
        <x:v>12</x:v>
      </x:c>
      <x:c r="B17" s="17" t="str">
        <x:v>tab:all-tasks-language-and-reasoning-language</x:v>
      </x:c>
      <x:c r="C17" s="17" t="n">
        <x:v>1</x:v>
      </x:c>
      <x:c r="D17" s="17" t="n">
        <x:v>1</x:v>
      </x:c>
      <x:c r="E17" s="23" t="str">
        <x:v>\begin{table}[htbp]
  \caption{\textbf{Raw accuracy for language and strategy benchmarks. } Cells show point-estimate \% with bootstrap [2.5, 97.5] CI in subscript. Detection tasks (sabotage / stego monitoring) report TPR at the calibrated FPR threshold. Best per column (best model per task) in bold. `--' = no data. Blank entries represent either context-window or modality limitations.}
  \label{tab:all-tasks-language-and-reasoning-language}
  \centering
  \scriptsize
  \begin{tabular}{@{}lrrrrrr@{}}
    \toprule
    Model &amp; \rotatebox{60}{\scriptsize \texttt{domain1}} &amp; \rotatebox{60}{\scriptsize \texttt{domain4}} &amp; \rotatebox{60}{\scriptsize \texttt{intuit\_physical}} &amp; \rotatebox{60}{\scriptsize \texttt{lingoly}} &amp; \rotatebox{60}{\scriptsize \texttt{strategic\_scheming\_numeric}} &amp; \rotatebox{60}{\scriptsize \texttt{strategic\_scheming\_open\_ended}} \\
    \midrule
    GPT-2 &amp; -- &amp; -- &amp; 22 \tiny{[14, 30]} &amp; -- &amp; 2 \tiny{[0, 6]} &amp; 2 \tiny{[0, 5]} \\
    GPT-3 &amp; 0 \tiny{[0, 0]} &amp; 0 \tiny{[0, 0]} &amp; 25 \tiny{[18, 33]} &amp; -- &amp; 12 \tiny{[8, 17]} &amp; 5 \tiny{[2, 8]} \\
    GPT-3.5 &amp; 6 \tiny{[4, 9]} &amp; 0 \tiny{[0, 0]} &amp; 71 \tiny{[60, 83]} &amp; 0 \tiny{[0, 0]} &amp; 35 \tiny{[27, 44]} &amp; 13 \tiny{[7, 19]} \\
    GPT-4 &amp; 19 \tiny{[15, 24]} &amp; 0 \tiny{[0, 0]} &amp; 95 \tiny{[88, 100]} &amp; 0 \tiny{[0, 0]} &amp; 47 \tiny{[38, 57]} &amp; 17 \tiny{[11, 24]} \\
    GPT-4 Turbo &amp; 20 \tiny{[15, 25]} &amp; 0 \tiny{[0, 0]} &amp; 94 \tiny{[87, 99]} &amp; 0 \tiny{[0, 0]} &amp; 48 \tiny{[38, 57]} &amp; 21 \tiny{[14, 28]} \\
    GPT-4o &amp; 19 \tiny{[14, 23]} &amp; 0 \tiny{[0, 0]} &amp; 95 \tiny{[89, 100]} &amp; 0 \tiny{[0, 0]} &amp; 34 \tiny{[26, 43]} &amp; 25 \tiny{[17, 33]} \\
    Sonnet 3.7 &amp; 22 \tiny{[17, 28]} &amp; 0 \tiny{[0, 0]} &amp; 98 \tiny{[94, 100]} &amp; 0 \tiny{[0, 0]} &amp; 55 \tiny{[46, 64]} &amp; 29 \tiny{[20, 37]} \\
    Opus 4 &amp; 34 \tiny{[28, 40]} &amp; \textbf{1 \tiny{[0, 2]}} &amp; 98 \tiny{[94, 100]} &amp; 0 \tiny{[0, 0]} &amp; 60 \tiny{[51, 69]} &amp; 33 \tiny{[24, 42]} \\
    Opus 4.1 &amp; 33 \tiny{[28, 39]} &amp; 0 \tiny{[0, 1]} &amp; 98 \tiny{[94, 100]} &amp; 0 \tiny{[0, 0]} &amp; 59 \tiny{[49, 68]} &amp; 33 \tiny{[23, 42]} \\
    Opus 4.5 &amp; 36 \tiny{[31, 42]} &amp; 0 \tiny{[0, 0]} &amp; \textbf{100 \tiny{[100, 100]}} &amp; 5 \tiny{[4, 6]} &amp; 65 \tiny{[56, 74]} &amp; 28 \tiny{[20, 37]} \\
    Opus 4.6 &amp; 35 \tiny{[29, 42]} &amp; 0 \tiny{[0, 0]} &amp; \textbf{100 \tiny{[100, 100]}} &amp; 15 \tiny{[14, 17]} &amp; 62 \tiny{[53, 71]} &amp; 30 \tiny{[21, 39]} \\
    GPT-5.4 &amp; 15 \tiny{[11, 19]} &amp; \textbf{1 \tiny{[0, 2]}} &amp; 98 \tiny{[94, 100]} &amp; 0 \tiny{[0, 0]} &amp; 52 \tiny{[43, 61]} &amp; 25 \tiny{[17, 32]} \\
    Opus 4.7 &amp; \textbf{41 \tiny{[34, 47]}} &amp; 0 \tiny{[0, 0]} &amp; \textbf{100 \tiny{[100, 100]}} &amp; 0 \tiny{[0, 0]} &amp; 67 \tiny{[58, 75]} &amp; \textbf{36 \tiny{[27, 46]}} \\
    GPT-5.5 &amp; 34 \tiny{[28, 40]} &amp; 0 \tiny{[0, 0]} &amp; 99 \tiny{[97, 100]} &amp; \textbf{31 \tiny{[28, 33]}} &amp; \textbf{68 \tiny{[59, 76]}} &amp; \textbf{36 \tiny{[27, 44]}} \\
    \bottomrule
  \end{tabular}
\end{table}</x:v>
      </x:c>
    </x:row>
    <x:row r="18">
      <x:c r="A18" s="17" t="n">
        <x:v>13</x:v>
      </x:c>
      <x:c r="B18" s="17" t="str">
        <x:v>tab:all-tasks-language-and-reasoning-puzzles</x:v>
      </x:c>
      <x:c r="C18" s="17" t="n">
        <x:v>1</x:v>
      </x:c>
      <x:c r="D18" s="17" t="n">
        <x:v>1</x:v>
      </x:c>
      <x:c r="E18" s="23" t="str">
        <x:v>\begin{table}[htbp]
  \caption{\textbf{Raw accuracy for puzzles and constraint Satisfaction benchmarks. } Cells show point-estimate \% with bootstrap [2.5, 97.5] CI in subscript. Detection tasks (sabotage / stego monitoring) report TPR at the calibrated FPR threshold. Best per column (best model per task) in bold. `--' = no data. Blank entries represent either context-window or modality limitations.}
  \label{tab:all-tasks-language-and-reasoning-puzzles}
  \centering
  \scriptsize
  \begin{tabular}{@{}lrrrrrr@{}}
    \toprule
    Model &amp; \rotatebox{60}{\scriptsize \texttt{chess\_puzzles}} &amp; \rotatebox{60}{\scriptsize \texttt{crossword}} &amp; \rotatebox{60}{\scriptsize \texttt{kenken}} &amp; \rotatebox{60}{\scriptsize \texttt{puzzle\_baron}} &amp; \rotatebox{60}{\scriptsize \texttt{sudoku}} &amp; \rotatebox{60}{\scriptsize \texttt{tower\_of\_london}} \\
    \midrule
    GPT-2 &amp; -- &amp; -- &amp; -- &amp; -- &amp; -- &amp; -- \\
    GPT-3 &amp; 0 \tiny{[0, 0]} &amp; 1 \tiny{[1, 2]} &amp; 0 \tiny{[0, 0]} &amp; 0 \tiny{[0, 0]} &amp; 0 \tiny{[0, 0]} &amp; 0 \tiny{[0, 1]} \\
    GPT-3.5 &amp; 2 \tiny{[1, 2]} &amp; 6 \tiny{[5, 8]} &amp; 0 \tiny{[0, 1]} &amp; 0 \tiny{[0, 0]} &amp; 3 \tiny{[2, 5]} &amp; 4 \tiny{[2, 6]} \\
    GPT-4 &amp; 28 \tiny{[25, 30]} &amp; 13 \tiny{[11, 16]} &amp; 1 \tiny{[0, 2]} &amp; 1 \tiny{[1, 2]} &amp; 10 \tiny{[7, 12]} &amp; 19 \tiny{[15, 23]} \\
    GPT-4 Turbo &amp; 33 \tiny{[31, 36]} &amp; 12 \tiny{[10, 14]} &amp; 1 \tiny{[0, 2]} &amp; 1 \tiny{[1, 2]} &amp; 7 \tiny{[5, 9]} &amp; 11 \tiny{[8, 15]} \\
    GPT-4o &amp; \textbf{42 \tiny{[39, 45]}} &amp; 12 \tiny{[10, 14]} &amp; 1 \tiny{[0, 1]} &amp; 1 \tiny{[1, 2]} &amp; 12 \tiny{[9, 14]} &amp; 12 \tiny{[9, 15]} \\
    Sonnet 3.7 &amp; 20 \tiny{[18, 22]} &amp; 14 \tiny{[12, 17]} &amp; 2 \tiny{[1, 4]} &amp; 2 \tiny{[1, 3]} &amp; 18 \tiny{[15, 21]} &amp; 27 \tiny{[23, 32]} \\
    Opus 4 &amp; 25 \tiny{[23, 28]} &amp; \textbf{17 \tiny{[15, 20]}} &amp; 2 \tiny{[1, 4]} &amp; 6 \tiny{[5, 8]} &amp; 22 \tiny{[18, 25]} &amp; 36 \tiny{[31, 41]} \\
    Opus 4.1 &amp; 27 \tiny{[25, 30]} &amp; \textbf{17 \tiny{[15, 20]}} &amp; \textbf{3 \tiny{[1, 5]}} &amp; \textbf{7 \tiny{[5, 9]}} &amp; 22 \tiny{[19, 26]} &amp; \textbf{37 \tiny{[32, 42]}} \\
    Opus 4.5 &amp; 26 \tiny{[24, 29]} &amp; \textbf{17 \tiny{[14, 19]}} &amp; \textbf{3 \tiny{[1, 6]}} &amp; \textbf{7 \tiny{[5, 9]}} &amp; 22 \tiny{[19, 26]} &amp; 31 \tiny{[26, 35]} \\
    Opus 4.6 &amp; 24 \tiny{[22, 27]} &amp; 16 \tiny{[13, 18]} &amp; 2 \tiny{[0, 3]} &amp; 6 \tiny{[4, 7]} &amp; 22 \tiny{[18, 25]} &amp; 33 \tiny{[28, 38]} \\
    GPT-5.4 &amp; 33 \tiny{[30, 35]} &amp; 10 \tiny{[8, 12]} &amp; \textbf{3 \tiny{[2, 6]}} &amp; 2 \tiny{[1, 2]} &amp; 24 \tiny{[21, 28]} &amp; 31 \tiny{[27, 36]} \\
    Opus 4.7 &amp; 29 \tiny{[27, 32]} &amp; 16 \tiny{[14, 19]} &amp; 1 \tiny{[0, 3]} &amp; 1 \tiny{[0, 1]} &amp; 20 \tiny{[17, 24]} &amp; 32 \tiny{[28, 37]} \\
    GPT-5.5 &amp; 34 \tiny{[32, 36]} &amp; 14 \tiny{[12, 17]} &amp; \textbf{3 \tiny{[1, 4]}} &amp; 3 \tiny{[2, 5]} &amp; \textbf{25 \tiny{[21, 28]}} &amp; \textbf{37 \tiny{[32, 42]}} \\
    \bottomrule
  \end{tabular}
\end{table}</x:v>
      </x:c>
    </x:row>
    <x:row r="19">
      <x:c r="A19" s="17" t="n">
        <x:v>14</x:v>
      </x:c>
      <x:c r="B19" s="17" t="str">
        <x:v>tab:open-weight-precise-time-horizons</x:v>
      </x:c>
      <x:c r="C19" s="17" t="n">
        <x:v>1</x:v>
      </x:c>
      <x:c r="D19" s="17" t="n">
        <x:v>1</x:v>
      </x:c>
      <x:c r="E19" s="23" t="str">
        <x:v>\begin{table}[h]
\centering
\scriptsize
\setlength{\tabcolsep}{6pt}
\renewcommand{\arraystretch}{1.05}
\begin{tabular}{@{}lrrrr@{}}
\toprule
       &amp; \textbf{Point}     &amp; \textbf{Bootstrap} &amp;          &amp;          \\
\textbf{Model}  &amp; \textbf{estimate}  &amp; \textbf{median}    &amp; \textbf{CI lower} &amp; \textbf{CI upper} \\
\midrule
\multicolumn{5}{@{}l}{\textit{Llama (Meta)}} \\
Llama 3 8B Instruct        &amp; 0.177 &amp; 0.075 &amp; 0.000 &amp; 0.344 \\
Llama 3.1 8B Instruct      &amp; 0.097 &amp; 0.034 &amp; 0.000 &amp; 0.279 \\
Llama 3.1 70B Instruct     &amp; 0.407 &amp; 0.195 &amp; 0.022 &amp; 0.762 \\
Llama 3.2 1B Instruct      &amp; 0.055 &amp; 0.021 &amp; 0.000 &amp; 0.084 \\
Llama 3.2 3B Instruct      &amp; 0.146 &amp; 0.060 &amp; 0.000 &amp; 0.297 \\
Llama 3.3 70B Instruct     &amp; 0.513 &amp; 0.263 &amp; 0.012 &amp; 0.861 \\
Llama 4 Scout              &amp; 0.102 &amp; 0.037 &amp; 0.001 &amp; 0.231 \\
Llama 4 Maverick           &amp; 0.391 &amp; 0.190 &amp; 0.004 &amp; 0.732 \\
\midrule
\multicolumn{5}{@{}l}{\textit{Mistral}} \\
Mistral Nemo 12B           &amp; 0.126 &amp; 0.048 &amp; 0.002 &amp; 0.300 \\
Ministral 3 3B             &amp; 0.096 &amp; 0.036 &amp; 0.000 &amp; 0.194 \\
Ministral 3 8B             &amp; 0.282 &amp; 0.132 &amp; 0.002 &amp; 0.482 \\
Ministral 3 14B            &amp; 0.367 &amp; 0.178 &amp; 0.004 &amp; 0.625 \\
\midrule
\multicolumn{5}{@{}l}{\textit{Qwen (Alibaba)}} \\
Qwen 3 8B                  &amp; 0.230 &amp; 0.101 &amp; 0.001 &amp; 0.377 \\
Qwen 3 14B                 &amp; 0.258 &amp; 0.117 &amp; 0.005 &amp; 0.436 \\
Qwen 3 32B                 &amp; 0.346 &amp; 0.164 &amp; 0.013 &amp; 0.531 \\
Qwen 3 30B-A3B (2507)      &amp; 0.384 &amp; 0.186 &amp; 0.006 &amp; 0.663 \\
Qwen 3 235B-A22B (2507)    &amp; 0.988 &amp; 0.612 &amp; 0.132 &amp; 1.430 \\
Qwen 3-Next 80B-A3B        &amp; 0.702 &amp; 0.405 &amp; 0.040 &amp; 1.137 \\
Qwen 3.5 9B                &amp; 0.345 &amp; 0.171 &amp; 0.009 &amp; 0.559 \\
Qwen 3.5 27B               &amp; 0.192 &amp; 0.088 &amp; 0.002 &amp; 0.346 \\
Qwen 3.5 35B-A3B           &amp; 0.406 &amp; 0.209 &amp; 0.016 &amp; 0.645 \\
Qwen 3.5 122B-A10B         &amp; 0.636 &amp; 0.334 &amp; 0.068 &amp; 0.856 \\
Qwen 3.5 397B-A17B         &amp; 1.085 &amp; 0.705 &amp; 0.183 &amp; 1.677 \\
\midrule
\multicolumn{5}{@{}l}{\textit{Gemma (Google)}} \\
Gemma 3 4B IT              &amp; 0.154 &amp; 0.063 &amp; 0.000 &amp; 0.305 \\
Gemma 3 12B IT             &amp; 0.322 &amp; 0.150 &amp; 0.006 &amp; 0.520 \\
Gemma 3 27B IT             &amp; 0.512 &amp; 0.264 &amp; 0.025 &amp; 0.761 \\
Gemma 4 26B-A4B            &amp; 0.449 &amp; 0.231 &amp; 0.021 &amp; 0.747 \\
Gemma 4 31B                &amp; 1.054 &amp; 0.688 &amp; 0.245 &amp; 1.416 \\
\midrule
\multicolumn{5}{@{}l}{\textit{DeepSeek}} \\
DeepSeek V3 (0324)         &amp; 0.746 &amp; 0.429 &amp; 0.080 &amp; 1.064 \\
DeepSeek V3.1-terminus     &amp; 0.954 &amp; 0.599 &amp; 0.148 &amp; 1.346 \\
DeepSeek V3.2              &amp; 0.678 &amp; 0.373 &amp; 0.062 &amp; 1.102 \\
DeepSeek V4-flash          &amp; 0.695 &amp; 0.403 &amp; 0.069 &amp; 1.032 \\
\midrule
\multicolumn{5}{@{}l}{\textit{Kimi (Moonshot AI)}} \\
Kimi K2-0905               &amp; 0.724 &amp; 0.417 &amp; 0.087 &amp; 1.071 \\
Kimi K2.5                  &amp; 1.102 &amp; 0.738 &amp; 0.169 &amp; 1.943 \\
Kimi K2.6                  &amp; 0.508 &amp; 0.272 &amp; 0.059 &amp; 0.791 \\
\bottomrule
\end{tabular}
\caption{Time horizon estimates by open-weight model.}
\label{tab:open-weight-precise-time-horizons}
\end{table}</x:v>
      </x:c>
    </x:row>
    <x:row r="20">
      <x:c r="A20" s="17" t="n">
        <x:v>15</x:v>
      </x:c>
      <x:c r="B20" s="17" t="str">
        <x:v>tab:open-weight-spearman</x:v>
      </x:c>
      <x:c r="C20" s="17" t="n">
        <x:v>1</x:v>
      </x:c>
      <x:c r="D20" s="17" t="n">
        <x:v>1</x:v>
      </x:c>
      <x:c r="E20" s="23" t="str">
        <x:v>\begin{table}[h]
\centering
\small
\caption{\textbf{Spearman rank correlations between each scaling axis and per-model 50\% TH across the open-weight models.} We find that total parameter and layer count are the strongest and training FLOPs the weakest predictors of no-CoT THs.}
\label{tab:open-weight-spearman}
\begin{tabular}{lccc}
\toprule
Axis &amp; Spearman $\rho$ &amp; $p$-value &amp; $n$ \\
\midrule
Total parameters             &amp; $+0.81$ &amp; $3.5 \times 10^{-9}$  &amp; 35 \\
Layer count                  &amp; $+0.67$ &amp; $1.3 \times 10^{-5}$  &amp; 35 \\
AA Intelligence Index        &amp; $+0.66$ &amp; $4.4 \times 10^{-4}$  &amp; 24 \\
Active parameters            &amp; $+0.55$ &amp; $6.8 \times 10^{-4}$  &amp; 35 \\
Total training FLOPs         &amp; $+0.51$ &amp; $4.4 \times 10^{-2}$  &amp; 16 \\
Pretraining FLOPs            &amp; $+0.47$ &amp; $4.5 \times 10^{-3}$  &amp; 35 \\
\bottomrule
\end{tabular}
\end{table}</x:v>
      </x:c>
    </x:row>
    <x:row r="21">
      <x:c r="A21" s="17" t="n">
        <x:v>16</x:v>
      </x:c>
      <x:c r="B21" s="17" t="str">
        <x:v>tab:frontier-models</x:v>
      </x:c>
      <x:c r="C21" s="17" t="n">
        <x:v>1</x:v>
      </x:c>
      <x:c r="D21" s="17" t="n">
        <x:v>1</x:v>
      </x:c>
      <x:c r="E21" s="23" t="str">
        <x:v>\begin{table}[htbp]
    \caption{\textbf{Proprietary / frontier models evaluated.} We evaluate \NUMBEROFFRONTIERMODELS{} frontier and historical proprietary models. Note that GPT-3 and GPT-3.5 are no longer publicly available. Following \cite{kwa2026measuringaiabilitycomplete}, we use \texttt{davinci-002} and \texttt{gpt-3.5-turbo} respectively.}
    \label{tab:frontier-models}
    \centering
    \scriptsize
    \begin{tabular}{@{}ll@{}}
      \toprule
      Model &amp; Release date \\
      \midrule
      GPT-2 &amp; February 2019 \\
      GPT-3 &amp; May 2020 \\
      GPT-3.5 &amp; March 2022 \\
      GPT-4 &amp; March 2023 \\
      GPT-4 Turbo &amp; April 2024 \\
      GPT-4o &amp; May 2024 \\
      Claude 3.7 Sonnet &amp; February 2025 \\
      Claude Opus 4 &amp; May 2025 \\
      Claude Opus 4.1 &amp; August 2025 \\
      Claude Opus 4.5 &amp; November 2025 \\
      Claude Opus 4.6 &amp; February 2026 \\
      GPT-5.4 &amp; March 2026 \\
      Claude Opus 4.7 &amp; April 2026 \\
      GPT-5.5 &amp; April 2026 \\
      \bottomrule
    \end{tabular}
\end{table}</x:v>
      </x:c>
    </x:row>
    <x:row r="22">
      <x:c r="A22" s="17" t="n">
        <x:v>17</x:v>
      </x:c>
      <x:c r="B22" s="17" t="str">
        <x:v>tab:open-source-models</x:v>
      </x:c>
      <x:c r="C22" s="17" t="n">
        <x:v>1</x:v>
      </x:c>
      <x:c r="D22" s="17" t="n">
        <x:v>1</x:v>
      </x:c>
      <x:c r="E22" s="23" t="str">
        <x:v>\begin{table}[htbp]
    \caption{\textbf{Open-weight models evaluated.} We evaluate 35 open-weight models spanning 1B--1T total parameters across six model developers. Within each developer, models are ordered by release date. We access all models through OpenRouter. For mixture-of-experts models we report total / active parameters.}
    \label{tab:open-source-models}
    \centering
    \scriptsize
    \begin{tabular}{@{}llrrccc@{}}
      \toprule
      Model &amp; Release date &amp; Params (Total / Active) &amp; Layers &amp; Arch &amp; Reasoning &amp; Modality \\
      \midrule
      \multicolumn{7}{l}{\textit{Llama (Meta)}} \\
      \midrule
      Llama 3 8B Instruct           &amp; April 2024      &amp; 8B            &amp; 32 &amp; Dense &amp; Non-reasoning    &amp; Text \\
      Llama 3.1 8B Instruct         &amp; July 2024       &amp; 8B            &amp; 32 &amp; Dense &amp; Non-reasoning    &amp; Text \\
      Llama 3.1 70B Instruct        &amp; July 2024       &amp; 70B           &amp; 80 &amp; Dense &amp; Non-reasoning    &amp; Text \\
      Llama 3.2 1B Instruct         &amp; September 2024  &amp; 1B            &amp; 16 &amp; Dense &amp; Non-reasoning    &amp; Text \\
      Llama 3.2 3B Instruct         &amp; September 2024  &amp; 3B            &amp; 28 &amp; Dense &amp; Non-reasoning    &amp; Text \\
      Llama 3.3 70B Instruct        &amp; December 2024   &amp; 70B           &amp; 80 &amp; Dense &amp; Non-reasoning    &amp; Text \\
      Llama 4 Scout                 &amp; April 2025      &amp; 109B / 17B    &amp; 48 &amp; MoE   &amp; Non-reasoning    &amp; VL   \\
      Llama 4 Maverick              &amp; April 2025      &amp; 400B / 17B    &amp; 48 &amp; MoE   &amp; Non-reasoning    &amp; VL   \\
      \midrule
      \multicolumn{7}{l}{\textit{Mistral}} \\
      \midrule
      Mistral Nemo 12B              &amp; July 2024       &amp; 12B           &amp; 40 &amp; Dense &amp; Non-reasoning    &amp; Text \\
      Ministral 3 3B                &amp; December 2025   &amp; 3B            &amp; 26 &amp; Dense &amp; Non-reasoning    &amp; VL   \\
      Ministral 3 8B                &amp; December 2025   &amp; 8B            &amp; 32 &amp; Dense &amp; Non-reasoning    &amp; VL   \\
      Ministral 3 14B               &amp; December 2025   &amp; 14B           &amp; 40 &amp; Dense &amp; Non-reasoning    &amp; VL   \\
      \midrule
      \multicolumn{7}{l}{\textit{Qwen (Alibaba)}} \\
      \midrule
      Qwen 3 8B                     &amp; April 2025      &amp; 8B            &amp; 36 &amp; Dense &amp; Hybrid-reasoning &amp; Text \\
      Qwen 3 14B                    &amp; April 2025      &amp; 14B           &amp; 40 &amp; Dense &amp; Hybrid-reasoning &amp; Text \\
      Qwen 3 32B                    &amp; April 2025      &amp; 32B           &amp; 64 &amp; Dense &amp; Hybrid-reasoning &amp; Text \\
      Qwen 3 30B-A3B (2507)         &amp; July 2025       &amp; 30B / 3B      &amp; 48 &amp; MoE   &amp; Non-reasoning    &amp; Text \\
      Qwen 3 235B-A22B (2507)       &amp; July 2025       &amp; 235B / 22B    &amp; 94 &amp; MoE   &amp; Non-reasoning    &amp; Text \\
      Qwen 3-Next 80B-A3B           &amp; September 2025  &amp; 80B / 3B      &amp; 48 &amp; MoE   &amp; Non-reasoning    &amp; Text \\
      Qwen 3.5 9B                   &amp; February 2026   &amp; 9B            &amp; 32 &amp; Dense &amp; Hybrid-reasoning &amp; VL   \\
      Qwen 3.5 27B                  &amp; February 2026   &amp; 27B           &amp; 64 &amp; Dense &amp; Hybrid-reasoning &amp; VL   \\
      Qwen 3.5 35B-A3B              &amp; February 2026   &amp; 35B / 3B      &amp; 40 &amp; MoE   &amp; Hybrid-reasoning &amp; VL   \\
      Qwen 3.5 122B-A10B            &amp; February 2026   &amp; 122B / 10B    &amp; 48 &amp; MoE   &amp; Hybrid-reasoning &amp; VL   \\
      Qwen 3.5 397B-A17B            &amp; February 2026   &amp; 397B / 17B    &amp; 60 &amp; MoE   &amp; Hybrid-reasoning &amp; VL   \\
      \midrule
      \multicolumn{7}{l}{\textit{Gemma (Google)}} \\
      \midrule
      Gemma 3 4B IT                 &amp; March 2025      &amp; 4B            &amp; 34 &amp; Dense &amp; Non-reasoning    &amp; VL   \\
      Gemma 3 12B IT                &amp; March 2025      &amp; 12B           &amp; 48 &amp; Dense &amp; Non-reasoning    &amp; VL   \\
      Gemma 3 27B IT                &amp; March 2025      &amp; 27B           &amp; 62 &amp; Dense &amp; Non-reasoning    &amp; VL   \\
      Gemma 4 26B-A4B               &amp; April 2026      &amp; 26B / 4B      &amp; 60 &amp; MoE   &amp; Hybrid-reasoning &amp; VL   \\
      Gemma 4 31B                   &amp; April 2026      &amp; 31B           &amp; 60 &amp; Dense &amp; Hybrid-reasoning &amp; VL   \\
      \midrule
      \multicolumn{7}{l}{\textit{DeepSeek}} \\
      \midrule
      DeepSeek V3 (0324)            &amp; March 2025      &amp; 671B / 37B    &amp; 61 &amp; MoE   &amp; Non-reasoning    &amp; Text \\
      DeepSeek V3.1-terminus        &amp; September 2025  &amp; 671B / 37B    &amp; 61 &amp; MoE   &amp; Hybrid-reasoning &amp; Text \\
      DeepSeek V3.2                 &amp; September 2025  &amp; 671B / 37B    &amp; 61 &amp; MoE   &amp; Hybrid-reasoning &amp; Text \\
      DeepSeek V4-flash             &amp; April 2026      &amp; 284B / 13B    &amp; 48 &amp; MoE   &amp; Hybrid-reasoning &amp; Text \\
      \midrule
      \multicolumn{7}{l}{\textit{Kimi (Moonshot AI)}} \\
      \midrule
      Kimi K2-0905                  &amp; September 2025  &amp; 1T / 32B      &amp; 61 &amp; MoE   &amp; Non-reasoning    &amp; Text \\
      Kimi K2.5                     &amp; January 2026    &amp; 1T / 32B      &amp; 61 &amp; MoE   &amp; Hybrid-reasoning &amp; VL   \\
      Kimi K2.6                     &amp; April 2026      &amp; 1T / 32B      &amp; 61 &amp; MoE   &amp; Hybrid-reasoning &amp; VL   \\
      \bottomrule
    \end{tabular}
\end{table}</x:v>
      </x:c>
    </x:row>
    <x:row r="23">
      <x:c r="A23" s="17" t="n">
        <x:v>18</x:v>
      </x:c>
      <x:c r="B23" s="17" t="str">
        <x:v>tab:hackathon_refresh</x:v>
      </x:c>
      <x:c r="C23" s="17" t="n">
        <x:v>1</x:v>
      </x:c>
      <x:c r="D23" s="17" t="n">
        <x:v>1</x:v>
      </x:c>
      <x:c r="E23" s="23" t="str">
        <x:v>\begin{table}[t]
  \centering
  \small
  \begin{tabular}{lrrr}
    \toprule
    Task &amp; Anchors &amp; Refreshed &amp; ICL/ad-hoc \\
    \midrule
    \texttt{gsm1k}                            &amp;  30 &amp;  1175 &amp; 0.38 \\
    \texttt{causal\_reasoning}                &amp;  22 &amp;  5220 &amp; 0.51 \\
    \texttt{n\_hop\_lookup}                   &amp;  30 &amp;   970 &amp; 0.52 \\
    \texttt{test\_case\_prediction}           &amp;  17 &amp;   483 &amp; 0.69 \\
    \texttt{sally\_anne}                      &amp;  28 &amp;  4472 &amp; 0.76 \\
    \texttt{vibe\_coding\_sabotage}           &amp;  10 &amp;   371 &amp; 0.95 \\
    \texttt{strategic\_scheming\_numeric}     &amp;  16 &amp;    88 &amp; 1.09 \\
    \texttt{strategic\_scheming\_open\_ended} &amp;   6 &amp;    90 &amp; 1.20 \\
    \texttt{hash}                             &amp;  13 &amp;  1487 &amp; 2.78 \\
    \midrule
    Total                                     &amp; 170 &amp; 14356 &amp;  --  \\
    \bottomrule
  \end{tabular}
  \caption{\textbf{Hackathon-anchored ICL refresh per task.} \emph{Anchors} is the number of in-domain hackathon-timed problems used as in-context examples; \emph{Refreshed} is the number of remaining problems whose ad-hoc estimate was replaced by the ICL prediction; \emph{ICL/ad-hoc} is the geometric-mean ratio of the new median to the old median over refreshed problems.}
  \label{tab:hackathon_refresh}
\end{table}</x:v>
      </x:c>
    </x:row>
    <x:row r="24">
      <x:c r="A24" s="17" t="n">
        <x:v>19</x:v>
      </x:c>
      <x:c r="B24" s="17" t="str">
        <x:v>tab:reasoning-token-anchor</x:v>
      </x:c>
      <x:c r="C24" s="17" t="n">
        <x:v>1</x:v>
      </x:c>
      <x:c r="D24" s="17" t="n">
        <x:v>1</x:v>
      </x:c>
      <x:c r="E24" s="23" t="str">
        <x:v>\begin{table}[htbp]
    \caption{\textbf{Models and tasks used in the reasoning-token anchor experiments.}}
    \label{tab:reasoning-token-anchor}
    \centering
    \scriptsize
    \begin{tabular}{@{}ll@{}}
      \toprule
      Models &amp; Tasks \\
      \midrule
      Claude Haiku 4.5 &amp; ARC-AGI-1 \\
      Claude Opus 4.6 &amp; Chess Puzzles \\
      Claude Sonnet 4.6 &amp; Codeforces \\
      GPT-5 Nano &amp; GPQA Diamond \\
      GPT-5.4 &amp; GSM1k \\
      GPT-5.4 Mini &amp; Hash \\
      GPT-5.4 Nano &amp; N-hop Lookup \\
      o3 &amp; Strategic Scheming (Numeric) \\
      o3-mini &amp; \\
      o4-mini &amp; \\
      DeepSeek R1 &amp; \\
      Qwen3 235B &amp; \\
      \bottomrule
    \end{tabular}
\end{table}</x:v>
      </x:c>
    </x:row>
    <x:row r="25">
      <x:c r="A25" s="17" t="n">
        <x:v>20</x:v>
      </x:c>
      <x:c r="B25" s="17" t="str">
        <x:v>tab:top-models-additional-tasks</x:v>
      </x:c>
      <x:c r="C25" s="17" t="n">
        <x:v>1</x:v>
      </x:c>
      <x:c r="D25" s="17" t="n">
        <x:v>1</x:v>
      </x:c>
      <x:c r="E25" s="23" t="str">
        <x:v>\begin{table}[htbp]
    \caption{\textbf{Top-performing models and additional evaluation tasks.}}
    \label{tab:top-models-additional-tasks}
    \centering
    \scriptsize
    \begin{tabular}{@{}ll@{}}
      \toprule
      Top models &amp; Additional tasks \\
      \midrule
      GPT-5.4 Nano &amp; A-Level Text \\
      GPT-5.4 &amp; BEA-24 Shared Task \\
      Claude Sonnet 4.6 &amp; Causal Reasoning \\
      o3-mini &amp; Crossword \\
      o3 &amp; KenKen \\
       &amp; Monitor Training Poisoning \\
       &amp; Ryan Math \\
       &amp; Vibe Coding Sabotage \\
      \bottomrule
    \end{tabular}
\end{table}</x:v>
      </x:c>
    </x:row>
    <x:row r="26">
      <x:c r="A26" s="17" t="n">
        <x:v>21</x:v>
      </x:c>
      <x:c r="B26" s="17" t="str">
        <x:v>tab:reasoning-anchor-uncertainty</x:v>
      </x:c>
      <x:c r="C26" s="17" t="n">
        <x:v>1</x:v>
      </x:c>
      <x:c r="D26" s="17" t="n">
        <x:v>1</x:v>
      </x:c>
      <x:c r="E26" s="23" t="str">
        <x:v>\begin{table}[htbp]
\centering
\small
\setlength{\tabcolsep}{4pt}
\begin{tabular}{lrr@{\hspace{1.5em}}lrr}
\toprule
Task &amp; Median Rel.\ SD (\%) &amp; $n$ &amp; Task &amp; Median Rel.\ SD (\%) &amp; $n$ \\
\midrule
intuit\_physical &amp; 41.5 &amp; 46 &amp; lingoly &amp; 12.9 &amp; 74 \\
hcast &amp; 40.1 &amp; 12 &amp; arc\_agi\_1 &amp; 11.8 &amp; 127 \\
cybashbench\_bash &amp; 27.7 &amp; 113 &amp; stego\_encode &amp; 11.5 &amp; 1102 \\
domain1 &amp; 25.6 &amp; 115 &amp; ryan\_math &amp; 11.0 &amp; 818 \\
nl2bash &amp; 23.9 &amp; 119 &amp; tower\_of\_london &amp; 10.9 &amp; 294 \\
stego\_monitor &amp; 23.2 &amp; 98 &amp; gsm1k &amp; 10.3 &amp; 1170 \\
n\_hop\_lookup &amp; 22.2 &amp; 963 &amp; sally\_anne &amp; 10.0 &amp; 4435 \\
bea-24-shared-task &amp; 18.3 &amp; 576 &amp; arc\_agi\_2 &amp; 9.8 &amp; 1 \\
crossword &amp; 18.2 &amp; 95 &amp; puzzle\_baron &amp; 9.4 &amp; 463 \\
codeforces &amp; 16.7 &amp; 177 &amp; strategic\_scheming\_numeric &amp; 9.1 &amp; 104 \\
chess\_puzzles &amp; 16.3 &amp; 355 &amp; strategic\_scheming\_open\_ended &amp; 8.4 &amp; 96 \\
shade\_monitor\_action\_only &amp; 16.3 &amp; 268 &amp; cybashbench\_mcq &amp; 7.8 &amp; 51 \\
monitor\_training\_poisoning &amp; 16.2 &amp; 20 &amp; arithmetic &amp; 7.1 &amp; 500 \\
a\_level\_text &amp; 16.0 &amp; 2629 &amp; kenken &amp; 7.0 &amp; 101 \\
shade\_monitor\_cot\_action &amp; 15.5 &amp; 465 &amp; sudoku &amp; 5.9 &amp; 207 \\
stego\_decode &amp; 15.2 &amp; 750 &amp; test\_case\_prediction &amp; 5.7 &amp; 486 \\
causal\_reasoning &amp; 13.9 &amp; 5069 &amp; hash &amp; 5.5 &amp; 1497 \\
gpqa\_diamond &amp; 13.4 &amp; 160 &amp;  &amp;  &amp;  \\
\bottomrule
\end{tabular}
\caption{\textbf{Median per-question bootstrap SD of the min reasoning-token anchor (o3-mini), as \% of the observed minimum.} For each question with at least two correct attempts, we bootstrap-resample its set of correct attempts with replacement and recompute the minimum reasoning-token count on each resample; the standard deviation of those bootstrap minima, divided by the observed minimum, gives a per-question relative SD. The table reports the median of this quantity across all qualifying questions in each task, expressed as a percentage; $n$ is the number of questions with at least two correct attempts.}
\label{tab:reasoning-anchor-uncertainty}
\end{table}</x:v>
      </x:c>
    </x:row>
    <x:row r="27">
      <x:c r="A27" s="17" t="n">
        <x:v>22</x:v>
      </x:c>
      <x:c r="B27" s="17" t="str">
        <x:v>tab:open_source_providers</x:v>
      </x:c>
      <x:c r="C27" s="17" t="n">
        <x:v>1</x:v>
      </x:c>
      <x:c r="D27" s="17" t="n">
        <x:v>1</x:v>
      </x:c>
      <x:c r="E27" s="23" t="str">
        <x:v>\begin{table}[htbp]
    \caption{\textbf{Preferred provider and reported precision per model.} The \emph{unknown} precision label indicates that the provider does not disclose quantization in OpenRouter's endpoint metadata; we admit such endpoints under the assumption that providers serving at sub-fp8 quantization disclose it.}
    \label{tab:open_source_providers}
    \centering
    \scriptsize
    \begin{tabular}{@{}lllcc@{}}
      \toprule
      Model &amp; Provider used &amp; Reported precision &amp; Prefill &amp; SO \\
      \midrule
      \multicolumn{5}{l}{\textit{Llama (Meta)}} \\
      \midrule
      Llama 3 8B Instruct           &amp; DeepInfra      &amp; bf16    &amp; Y &amp; N \\
      Llama 3.1 8B Instruct         &amp; DeepInfra      &amp; bf16    &amp; Y &amp; Y \\
      Llama 3.1 70B Instruct        &amp; WandB          &amp; bf16    &amp; Y &amp; Y \\
      Llama 3.2 1B Instruct         &amp; DeepInfra      &amp; bf16    &amp; N &amp; N \\
      Llama 3.2 3B Instruct         &amp; DeepInfra      &amp; bf16    &amp; N &amp; N \\
      Llama 3.3 70B Instruct        &amp; WandB          &amp; fp16    &amp; Y &amp; Y \\
      Llama 4 Scout                 &amp; Google         &amp; unknown &amp; N &amp; N \\
      Llama 4 Maverick              &amp; DeepInfra      &amp; fp8     &amp; Y &amp; Y \\
      \midrule
      \multicolumn{5}{l}{\textit{Mistral}} \\
      \midrule
      Mistral Nemo 12B              &amp; Mistral        &amp; unknown &amp; N &amp; Y \\
      Ministral 3 3B                &amp; Mistral        &amp; unknown &amp; N &amp; Y \\
      Ministral 3 8B                &amp; Mistral        &amp; unknown &amp; N &amp; Y \\
      Ministral 3 14B               &amp; Mistral        &amp; unknown &amp; N &amp; Y \\
      \midrule
      \multicolumn{5}{l}{\textit{Qwen (Alibaba)}} \\
      \midrule
      Qwen 3 8B                     &amp; AtlasCloud     &amp; fp8     &amp; Y &amp; Y \\
      Qwen 3 14B                    &amp; DeepInfra      &amp; fp8     &amp; Y &amp; Y \\
      Qwen 3 32B                    &amp; Nebius         &amp; fp8     &amp; Y &amp; Y \\
      Qwen 3 235B-A22B              &amp; WandB          &amp; bf16    &amp; Y &amp; Y \\
      Qwen 3 30B-A3B (2507)         &amp; WandB          &amp; bf16    &amp; Y &amp; Y \\
      Qwen 3-Next 80B-A3B           &amp; Google         &amp; unknown &amp; Y &amp; Y \\
      Qwen 3.5 9B                   &amp; Together       &amp; unknown &amp; N &amp; N \\
      Qwen 3.5 27B                  &amp; Alibaba        &amp; unknown &amp; Y &amp; Y \\
      Qwen 3.5 35B-A3B              &amp; Parasail       &amp; fp8     &amp; N &amp; N \\
      Qwen 3.5 122B-A10B            &amp; Alibaba        &amp; unknown &amp; Y &amp; Y \\
      Qwen 3.5 397B-A17B            &amp; Chutes         &amp; fp8     &amp; N &amp; N \\
      \midrule
      \multicolumn{5}{l}{\textit{Gemma (Google)}} \\
      \midrule
      Gemma 3 4B IT                 &amp; DeepInfra      &amp; bf16    &amp; Y &amp; N \\
      Gemma 3 12B IT                &amp; DeepInfra      &amp; bf16    &amp; Y &amp; Y \\
      Gemma 3 27B IT                &amp; DeepInfra      &amp; bf16    &amp; Y &amp; Y \\
      Gemma 4 26B-A4B               &amp; Parasail       &amp; bf16    &amp; Y &amp; Y \\
      Gemma 4 31B                   &amp; Parasail       &amp; bf16    &amp; Y &amp; Y \\
      \midrule
      \multicolumn{5}{l}{\textit{DeepSeek}} \\
      \midrule
      DeepSeek V3 (0324)            &amp; DeepInfra      &amp; fp8     &amp; Y &amp; Y \\
      DeepSeek V3.1-terminus        &amp; Friendli       &amp; unknown &amp; N &amp; N \\
      DeepSeek V3.2                 &amp; Friendli       &amp; unknown &amp; N &amp; Y \\
      DeepSeek V4-flash             &amp; DeepInfra      &amp; fp8     &amp; N &amp; Y \\
      \midrule
      \multicolumn{5}{l}{\textit{Kimi (Moonshot AI)}} \\
      \midrule
      Kimi K2-0905                  &amp; AtlasCloud     &amp; fp8     &amp; Y &amp; N \\
      Kimi K2.5                     &amp; SiliconFlow    &amp; int4    &amp; Y &amp; Y \\
      Kimi K2.6                     &amp; Moonshot AI    &amp; int4    &amp; N &amp; N \\
      \bottomrule
    \end{tabular}
\end{table}</x:v>
      </x:c>
    </x:row>
    <x:row r="28">
      <x:c r="A28" s="17" t="n">
        <x:v>23</x:v>
      </x:c>
      <x:c r="B28" s="17" t="str">
        <x:v>tab:human_baseline_collection_summary</x:v>
      </x:c>
      <x:c r="C28" s="17" t="n">
        <x:v>1</x:v>
      </x:c>
      <x:c r="D28" s="17" t="n">
        <x:v>1</x:v>
      </x:c>
      <x:c r="E28" s="23" t="str">
        <x:v>\begin{table}[htbp]
  \centering
  \small
  \begin{tabular}{lr}
    \toprule
    Quantity &amp; Count \\
    \midrule
    Benchmark families with collected timing anchors &amp; 12 \\
    Participation records &amp; 31 \\
    Problem attempts &amp; 733 \\
    Successful attempts &amp; 495 \\
    Success rate &amp; 67.5\% \\
    \bottomrule
  \end{tabular}
  \caption{\textbf{Human baseline collection summary for benchmark families whose final timing files use collected in-domain anchors.} %Participation records participant labels plus separately recorded task sessions; we do not de-duplicate them into a single participant count because the raw sources do not share a common stable participant identifier.
  }
  \label{tab:human_baseline_collection_summary}
\end{table}</x:v>
      </x:c>
    </x:row>
    <x:row r="29">
      <x:c r="A29" s="17" t="n">
        <x:v>24</x:v>
      </x:c>
      <x:c r="B29" s="17" t="str">
        <x:v>tab:task-suite_full</x:v>
      </x:c>
      <x:c r="C29" s="17" t="n">
        <x:v>1</x:v>
      </x:c>
      <x:c r="D29" s="17" t="n">
        <x:v>1</x:v>
      </x:c>
      <x:c r="E29" s="23" t="str">
        <x:v>\begin{table}[htbp]
  \caption{\textbf{Full set of benchmarks. } Our suite which spans recall, reasoning, coding, and safety-relevant domains across a wide range of task difficulties.}
  \label{tab:task-suite_full}
  \centering
  \scriptsize
  \begin{tabular}{@{}llp{6cm}@{}}
    \toprule
    Task &amp; Domain &amp; Description \\
    \midrule
    \texttt{a\_level\_mcq}                 &amp; science            &amp; A-level multiple-choice questions only (4-option MCQ subset)                                                         \\
    \texttt{a\_level\_text}                &amp; science            &amp; UK A-Level exam questions across 6 subjects (biology, chemistry, computer science, economics, mathematics, physics) \\
    \texttt{arc\_agi\_1}\cite{chollet2019measure}                   &amp; abstract reasoning &amp; ARC-AGI 1: Abstraction and Reasoning Corpus evaluation tasks                                                        \\
    \texttt{arc\_agi\_2}\cite{chollet2026arcagi2newchallengefrontier}                   &amp; abstract reasoning &amp; ARC-AGI 2: harder abstraction and reasoning tasks from ARC Prize                                                    \\
    \texttt{arithmetic}                    &amp; math               &amp; Trivial synthetic arithmetic tasks                                                                                  \\
    \texttt{bea-24-shared-task}\cite{yaneva-etal-2024-findings}            &amp; medical knowledge  &amp; BEA 2024 Shared Task: 595 retired USMLE Step 1/2/3 MCQs with per-item mean response times from first-time examinees \\
    \texttt{causal\_reasoning}             &amp; reasoning          &amp; Diagnosis of causal DAGs: identify which root variable to change (and to what state) to produce a desired output    \\
    \texttt{chess\_puzzles}                &amp; reasoning          &amp; Puzzles from the Lichess database, sorted by the number of moves to mate and difficulty rating                      \\
    \texttt{codeforces}\cite{li2022competition}                    &amp; SWE                &amp; Codeforces competitive programming problems                                                                         \\
    \texttt{competition\_math}                    &amp; math               &amp; Competition math problems (Mathcounts, Hungarian olympiad, etc.)                                                    \\
    \texttt{crossword}                     &amp; language           &amp; NYT crossword puzzles with community solve times                                                                    \\
    \texttt{ctrl\_alt\_deceit\_sandbag}\cite{ward2025ctrl}    &amp; AI safety          &amp; Sandbagging detection from CTRL-ALT-DECEIT \cite{ward2025ctrl}.                                                            \\
    \texttt{cybashbench\_bash}\cite{payne2026offensivecyberhorizons}             &amp; cyber              &amp; CyBashBench bash command generation tasks (NL-to-bash, fill-in-blank, prefix completion, contextual, multi-step)    \\
    \texttt{cybashbench\_mcq} \cite{payne2026offensivecyberhorizons}             &amp; cyber              &amp; CyBashBench multiple-choice questions on bash command knowledge                                                     \\
    \texttt{domain1}              &amp; reasoning              &amp; Multi-step reasoning and world knowledge \\
    \texttt{domain4}              &amp; constraint satisfaction              &amp; Performing a niche skill whilst satisfying a set of constraints                                                     \\
    \texttt{gpqa\_diamond}\cite{rein2023gpqa}                 &amp; knowledge          &amp; Graduate-level science MCQs (physics, chemistry, biology) from GPQA Diamond                                         \\
    \texttt{gsm1k}\cite{zhang2024careful}                         &amp; math               &amp; Grade-school math word problems from the ScaleAI GSM1K benchmark (single numeric answers)                           \\
    \texttt{hash}                          &amp; SWE                &amp; Execution of custom hash functions and hash chains                                                                  \\
    \texttt{hcast}\cite{rein2025hcast}                      &amp; software eng.      &amp; Honest software engineering tasks from METR's HCAST benchmark (Human-Calibrated Autonomy Software Tasks)            \\
    \texttt{intuit\_physical}              &amp; reasoning          &amp; INTUIT physical-only single-capability subset aligned to public human timing data                                   \\
    \texttt{kenken}                        &amp; reasoning          &amp; KenKen puzzles: fill an $N\times N$ grid satisfying Latin square and cage arithmetic constraints                    \\
    \texttt{lingoly} \cite{khouja2026lingolytoo}                      &amp; reasoning          &amp; Olympiad-level linguistic reasoning puzzles from LingOly-TOO                                                        \\
    \texttt{linuxarena\_straj\_creation}\cite{tracy2026linuxarena}   &amp; sabotage           &amp; Agentic adversarial software engineering tasks                                                                      \\
    \texttt{monitor\_training\_poisoning}  &amp; sabotage           &amp; One-shot exact-match sabotage benchmark about poisoned monitor-training examples (judgment-selection, bundle-search) \\
    \texttt{n\_hop\_lookup}                &amp; reasoning          &amp; Compositional reasoning over in-context lookup tables                                                               \\
    \texttt{nl2bash} \cite{lin2018nl2bash}                      &amp; cyber              &amp; NL2Bash: natural language to bash command translation from the Tellina corpus                                       \\
    \texttt{puzzle\_baron}                 &amp; reasoning          &amp; Logic grid puzzles requiring deductive reasoning to match items across categories                                   \\
    \texttt{sally\_anne}                   &amp; reasoning          &amp; Theory of mind belief tracking over narrative scenarios                                                             \\
    \texttt{shade\_agent}\cite{kutasov2025shadearenaevaluatingsabotagemonitoring}                  &amp; control/sabotage   &amp; Agentic SHADE-Arena tasks \cite{kutasov2025shadearenaevaluatingsabotagemonitoring}: full multi-turn tool-using attack runs, complementing the action/CoT monitor variants       \\
    \texttt{shade\_monitor\_action\_only}\cite{kutasov2025shadearenaevaluatingsabotagemonitoring}  &amp; control/sabotage   &amp; Sabotage detection in SHADE-Arena \cite{kutasov2025shadearenaevaluatingsabotagemonitoring}, action-only variant                                             \\
    \texttt{shade\_monitor\_cot\_action}\cite{kutasov2025shadearenaevaluatingsabotagemonitoring}   &amp; control/sabotage   &amp; Sabotage detection in SHADE-Arena \cite{kutasov2025shadearenaevaluatingsabotagemonitoring}, CoT + action variant                                            \\
    \texttt{stego\_decode}                 &amp; steganography      &amp; Decode steganographic bits from a message using a given strategy                          \\
    \texttt{stego\_encode}                 &amp; steganography      &amp; Follow a steganographic encoding strategy to embed bits into a cover-task answer          \\
    \texttt{stego\_monitor}                &amp; steganography      &amp; Detect whether a message contains steganographic encoding                              \\
    \texttt{stego\_strategy}               &amp; steganography      &amp; Design a workable steganographic encoding/decoding scheme in a single forward pass                                  \\    \texttt{strategic\_scheming\_numeric}  &amp; reasoning          &amp; Strategic reasoning about scheming scenarios: numeric and multiple-choice answers                                    \\
    \texttt{strategic\_scheming\_open\_ended} &amp; reasoning       &amp; Strategic reasoning about scheming scenarios: open-ended free-text answers scored by LLM judge                      \\
    \texttt{sudoku}                        &amp; logic              &amp; Solve $9\times 9$ Sudoku puzzles                                                                                    \\
    \texttt{terminal\_bench}  \cite{merrill2026terminalbenchbenchmarkingagentshard}             &amp; SWE                &amp; No-CoT vs CoT performance on TerminalBench 2                                                                        \\
    \texttt{test\_case\_prediction}        &amp; SWE                &amp; Predict which test cases pass/fail against flawed Python code                                                       \\
    \texttt{tower\_of\_london}             &amp; reasoning          &amp; Tower of London planning puzzles: shortest move sequence to rearrange balls on pegs from initial to goal state      \\
    \texttt{vibe\_coding\_sabotage}        &amp; SWE                &amp; Detect hidden malicious code in PR diffs from VibeCoding                                     \\
    \bottomrule
  \end{tabular}
\end{table}</x:v>
      </x:c>
    </x:row>
    <x:row r="30">
      <x:c r="A30" s="18" t="n">
        <x:v>25</x:v>
      </x:c>
      <x:c r="B30" s="18" t="str">
        <x:v>tab:straj-linuxarena-validated</x:v>
      </x:c>
      <x:c r="C30" s="18" t="n">
        <x:v>1</x:v>
      </x:c>
      <x:c r="D30" s="18" t="n">
        <x:v>1</x:v>
      </x:c>
      <x:c r="E30" s="24" t="str">
        <x:v>\begin{table}[htbp]
\centering
\small
\begin{tabular}{lrrl}
\toprule
Model &amp; Pass rate &amp; $n$ &amp; Exclusions \\
\midrule
GPT-5.5     &amp; \textbf{100 \tiny{[100, 100]}} &amp; 20 &amp; --- \\
Opus 4.6    &amp; \textbf{100 \tiny{[100, 100]}} &amp; 22 &amp; --- \\
Opus 4.7    &amp; \textbf{100 \tiny{[100, 100]}} &amp; 14 &amp; 4 model\_hang \\
Opus 4.5    &amp; \textbf{95 \tiny{[86, 100]}}   &amp; 22 &amp; --- \\
GPT-5.4     &amp; 67 \tiny{[44, 89]}             &amp; 18 &amp; 4 refusal \\
Sonnet 3.7  &amp; 45 \tiny{[27, 68]}             &amp; 22 &amp; --- \\
Opus 4      &amp; 45 \tiny{[27, 68]}             &amp; 22 &amp; --- \\
Opus 4.1    &amp; 27 \tiny{[9, 45]}              &amp; 22 &amp; --- \\
GPT-4 Turbo &amp; 14 \tiny{[0, 36]}              &amp; 14 &amp; 7 model\_hang \\
GPT-4o      &amp; 5 \tiny{[0, 14]}               &amp; 22 &amp; --- \\
GPT-3.5     &amp; 0 \tiny{[0, 0]}                &amp; 22 &amp; --- \\
GPT-4       &amp; 0 \tiny{[0, 0]}                &amp; 18 &amp; 3 model\_context\_overflow, 1 tool\_schema\_error \\
\bottomrule
\end{tabular}
\caption{\textbf{LinuxArena validated pass rates across 12 models on 22 sabotage tasks.} ``$n$'' is the validated denominator after dropping cells where the agent did not get a fair attempt. Three models (GPT-5.5, Opus-4.6, Opus-4.7) achieved $100\%$ on every cell where they could engage. Bootstrap $[2.5\%, 97.5\%]$ confidence intervals shown as subscripts.}
\label{tab:straj-linuxarena-validated}
\end{table}</x:v>
      </x:c>
    </x:row>
  </x:sheetData>
  <x:mergeCells>
    <x:mergeCell ref="A1:E1"/>
    <x:mergeCell ref="A2:E3"/>
  </x:mergeCells>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6" hidden="0" customWidth="1"/>
    <x:col min="4" max="4" width="100" hidden="0" customWidth="1"/>
  </x:cols>
  <x:sheetData>
    <x:row r="1" ht="36" customHeight="1">
      <x:c r="A1" s="66" t="str">
        <x:v>ECI formula archive — original formulas as inert text</x:v>
      </x:c>
      <x:c r="B1" s="66"/>
      <x:c r="C1" s="66"/>
      <x:c r="D1" s="66"/>
    </x:row>
    <x:row r="2">
      <x:c r="A2" s="6" t="str">
        <x:v>Raw ECI sheets store evaluated values without broken cross-sheet references. Every original formula is preserved with its source address; prepend Unicode character U+003D to the formula body wherever the marker column contains U+003D.</x:v>
      </x:c>
      <x:c r="B2" s="6"/>
      <x:c r="C2" s="6"/>
      <x:c r="D2" s="6"/>
    </x:row>
    <x:row r="3">
      <x:c r="A3" s="6"/>
      <x:c r="B3" s="6"/>
      <x:c r="C3" s="6"/>
      <x:c r="D3" s="6"/>
    </x:row>
    <x:row r="5" ht="34" customHeight="1">
      <x:c r="A5" s="71" t="str">
        <x:v>Original sheet</x:v>
      </x:c>
      <x:c r="B5" s="71" t="str">
        <x:v>Original cell</x:v>
      </x:c>
      <x:c r="C5" s="71" t="str">
        <x:v>Leading equals</x:v>
      </x:c>
      <x:c r="D5" s="71" t="str">
        <x:v>Formula body</x:v>
      </x:c>
    </x:row>
    <x:row r="6">
      <x:c r="A6" s="16" t="str">
        <x:v>Dashboard</x:v>
      </x:c>
      <x:c r="B6" s="16" t="str">
        <x:v>B8</x:v>
      </x:c>
      <x:c r="C6" s="16" t="str">
        <x:v>U+003D</x:v>
      </x:c>
      <x:c r="D6" s="22" t="str">
        <x:v>'Regression Model'!B13</x:v>
      </x:c>
    </x:row>
    <x:row r="7">
      <x:c r="A7" s="17" t="str">
        <x:v>Dashboard</x:v>
      </x:c>
      <x:c r="B7" s="17" t="str">
        <x:v>B9</x:v>
      </x:c>
      <x:c r="C7" s="17" t="str">
        <x:v>U+003D</x:v>
      </x:c>
      <x:c r="D7" s="23" t="str">
        <x:v>'Regression Model'!B14</x:v>
      </x:c>
    </x:row>
    <x:row r="8">
      <x:c r="A8" s="17" t="str">
        <x:v>Dashboard</x:v>
      </x:c>
      <x:c r="B8" s="17" t="str">
        <x:v>B10</x:v>
      </x:c>
      <x:c r="C8" s="17" t="str">
        <x:v>U+003D</x:v>
      </x:c>
      <x:c r="D8" s="23" t="str">
        <x:v>'Regression Model'!B15</x:v>
      </x:c>
    </x:row>
    <x:row r="9">
      <x:c r="A9" s="17" t="str">
        <x:v>Dashboard</x:v>
      </x:c>
      <x:c r="B9" s="17" t="str">
        <x:v>A16</x:v>
      </x:c>
      <x:c r="C9" s="17" t="str">
        <x:v>U+003D</x:v>
      </x:c>
      <x:c r="D9" s="23" t="str">
        <x:v>'Frontier Estimates'!A2</x:v>
      </x:c>
    </x:row>
    <x:row r="10">
      <x:c r="A10" s="17" t="str">
        <x:v>Dashboard</x:v>
      </x:c>
      <x:c r="B10" s="17" t="str">
        <x:v>B16</x:v>
      </x:c>
      <x:c r="C10" s="17" t="str">
        <x:v>U+003D</x:v>
      </x:c>
      <x:c r="D10" s="23" t="str">
        <x:v>'Frontier Estimates'!B2</x:v>
      </x:c>
    </x:row>
    <x:row r="11">
      <x:c r="A11" s="17" t="str">
        <x:v>Dashboard</x:v>
      </x:c>
      <x:c r="B11" s="17" t="str">
        <x:v>C16</x:v>
      </x:c>
      <x:c r="C11" s="17" t="str">
        <x:v>U+003D</x:v>
      </x:c>
      <x:c r="D11" s="23" t="str">
        <x:v>'Frontier Estimates'!C2</x:v>
      </x:c>
    </x:row>
    <x:row r="12">
      <x:c r="A12" s="17" t="str">
        <x:v>Dashboard</x:v>
      </x:c>
      <x:c r="B12" s="17" t="str">
        <x:v>D16</x:v>
      </x:c>
      <x:c r="C12" s="17" t="str">
        <x:v>U+003D</x:v>
      </x:c>
      <x:c r="D12" s="23" t="str">
        <x:v>'Frontier Estimates'!D2</x:v>
      </x:c>
    </x:row>
    <x:row r="13">
      <x:c r="A13" s="17" t="str">
        <x:v>Dashboard</x:v>
      </x:c>
      <x:c r="B13" s="17" t="str">
        <x:v>E16</x:v>
      </x:c>
      <x:c r="C13" s="17" t="str">
        <x:v>U+003D</x:v>
      </x:c>
      <x:c r="D13" s="23" t="str">
        <x:v>'Frontier Estimates'!I2</x:v>
      </x:c>
    </x:row>
    <x:row r="14">
      <x:c r="A14" s="17" t="str">
        <x:v>Dashboard</x:v>
      </x:c>
      <x:c r="B14" s="17" t="str">
        <x:v>F16</x:v>
      </x:c>
      <x:c r="C14" s="17" t="str">
        <x:v>U+003D</x:v>
      </x:c>
      <x:c r="D14" s="23" t="str">
        <x:v>TEXT('Frontier Estimates'!J2,"#,##0")&amp;"–"&amp;TEXT('Frontier Estimates'!K2,"#,##0")</x:v>
      </x:c>
    </x:row>
    <x:row r="15">
      <x:c r="A15" s="17" t="str">
        <x:v>Dashboard</x:v>
      </x:c>
      <x:c r="B15" s="17" t="str">
        <x:v>A17</x:v>
      </x:c>
      <x:c r="C15" s="17" t="str">
        <x:v>U+003D</x:v>
      </x:c>
      <x:c r="D15" s="23" t="str">
        <x:v>'Frontier Estimates'!A3</x:v>
      </x:c>
    </x:row>
    <x:row r="16">
      <x:c r="A16" s="17" t="str">
        <x:v>Dashboard</x:v>
      </x:c>
      <x:c r="B16" s="17" t="str">
        <x:v>B17</x:v>
      </x:c>
      <x:c r="C16" s="17" t="str">
        <x:v>U+003D</x:v>
      </x:c>
      <x:c r="D16" s="23" t="str">
        <x:v>'Frontier Estimates'!B3</x:v>
      </x:c>
    </x:row>
    <x:row r="17">
      <x:c r="A17" s="17" t="str">
        <x:v>Dashboard</x:v>
      </x:c>
      <x:c r="B17" s="17" t="str">
        <x:v>C17</x:v>
      </x:c>
      <x:c r="C17" s="17" t="str">
        <x:v>U+003D</x:v>
      </x:c>
      <x:c r="D17" s="23" t="str">
        <x:v>'Frontier Estimates'!C3</x:v>
      </x:c>
    </x:row>
    <x:row r="18">
      <x:c r="A18" s="17" t="str">
        <x:v>Dashboard</x:v>
      </x:c>
      <x:c r="B18" s="17" t="str">
        <x:v>D17</x:v>
      </x:c>
      <x:c r="C18" s="17" t="str">
        <x:v>U+003D</x:v>
      </x:c>
      <x:c r="D18" s="23" t="str">
        <x:v>'Frontier Estimates'!D3</x:v>
      </x:c>
    </x:row>
    <x:row r="19">
      <x:c r="A19" s="17" t="str">
        <x:v>Dashboard</x:v>
      </x:c>
      <x:c r="B19" s="17" t="str">
        <x:v>E17</x:v>
      </x:c>
      <x:c r="C19" s="17" t="str">
        <x:v>U+003D</x:v>
      </x:c>
      <x:c r="D19" s="23" t="str">
        <x:v>'Frontier Estimates'!I3</x:v>
      </x:c>
    </x:row>
    <x:row r="20">
      <x:c r="A20" s="17" t="str">
        <x:v>Dashboard</x:v>
      </x:c>
      <x:c r="B20" s="17" t="str">
        <x:v>F17</x:v>
      </x:c>
      <x:c r="C20" s="17" t="str">
        <x:v>U+003D</x:v>
      </x:c>
      <x:c r="D20" s="23" t="str">
        <x:v>TEXT('Frontier Estimates'!J3,"#,##0")&amp;"–"&amp;TEXT('Frontier Estimates'!K3,"#,##0")</x:v>
      </x:c>
    </x:row>
    <x:row r="21">
      <x:c r="A21" s="17" t="str">
        <x:v>Dashboard</x:v>
      </x:c>
      <x:c r="B21" s="17" t="str">
        <x:v>A18</x:v>
      </x:c>
      <x:c r="C21" s="17" t="str">
        <x:v>U+003D</x:v>
      </x:c>
      <x:c r="D21" s="23" t="str">
        <x:v>'Frontier Estimates'!A4</x:v>
      </x:c>
    </x:row>
    <x:row r="22">
      <x:c r="A22" s="17" t="str">
        <x:v>Dashboard</x:v>
      </x:c>
      <x:c r="B22" s="17" t="str">
        <x:v>B18</x:v>
      </x:c>
      <x:c r="C22" s="17" t="str">
        <x:v>U+003D</x:v>
      </x:c>
      <x:c r="D22" s="23" t="str">
        <x:v>'Frontier Estimates'!B4</x:v>
      </x:c>
    </x:row>
    <x:row r="23">
      <x:c r="A23" s="17" t="str">
        <x:v>Dashboard</x:v>
      </x:c>
      <x:c r="B23" s="17" t="str">
        <x:v>C18</x:v>
      </x:c>
      <x:c r="C23" s="17" t="str">
        <x:v>U+003D</x:v>
      </x:c>
      <x:c r="D23" s="23" t="str">
        <x:v>'Frontier Estimates'!C4</x:v>
      </x:c>
    </x:row>
    <x:row r="24">
      <x:c r="A24" s="17" t="str">
        <x:v>Dashboard</x:v>
      </x:c>
      <x:c r="B24" s="17" t="str">
        <x:v>D18</x:v>
      </x:c>
      <x:c r="C24" s="17" t="str">
        <x:v>U+003D</x:v>
      </x:c>
      <x:c r="D24" s="23" t="str">
        <x:v>'Frontier Estimates'!D4</x:v>
      </x:c>
    </x:row>
    <x:row r="25">
      <x:c r="A25" s="17" t="str">
        <x:v>Dashboard</x:v>
      </x:c>
      <x:c r="B25" s="17" t="str">
        <x:v>E18</x:v>
      </x:c>
      <x:c r="C25" s="17" t="str">
        <x:v>U+003D</x:v>
      </x:c>
      <x:c r="D25" s="23" t="str">
        <x:v>'Frontier Estimates'!I4</x:v>
      </x:c>
    </x:row>
    <x:row r="26">
      <x:c r="A26" s="17" t="str">
        <x:v>Dashboard</x:v>
      </x:c>
      <x:c r="B26" s="17" t="str">
        <x:v>F18</x:v>
      </x:c>
      <x:c r="C26" s="17" t="str">
        <x:v>U+003D</x:v>
      </x:c>
      <x:c r="D26" s="23" t="str">
        <x:v>TEXT('Frontier Estimates'!J4,"#,##0")&amp;"–"&amp;TEXT('Frontier Estimates'!K4,"#,##0")</x:v>
      </x:c>
    </x:row>
    <x:row r="27">
      <x:c r="A27" s="17" t="str">
        <x:v>Dashboard</x:v>
      </x:c>
      <x:c r="B27" s="17" t="str">
        <x:v>A19</x:v>
      </x:c>
      <x:c r="C27" s="17" t="str">
        <x:v>U+003D</x:v>
      </x:c>
      <x:c r="D27" s="23" t="str">
        <x:v>'Frontier Estimates'!A5</x:v>
      </x:c>
    </x:row>
    <x:row r="28">
      <x:c r="A28" s="17" t="str">
        <x:v>Dashboard</x:v>
      </x:c>
      <x:c r="B28" s="17" t="str">
        <x:v>B19</x:v>
      </x:c>
      <x:c r="C28" s="17" t="str">
        <x:v>U+003D</x:v>
      </x:c>
      <x:c r="D28" s="23" t="str">
        <x:v>'Frontier Estimates'!B5</x:v>
      </x:c>
    </x:row>
    <x:row r="29">
      <x:c r="A29" s="17" t="str">
        <x:v>Dashboard</x:v>
      </x:c>
      <x:c r="B29" s="17" t="str">
        <x:v>C19</x:v>
      </x:c>
      <x:c r="C29" s="17" t="str">
        <x:v>U+003D</x:v>
      </x:c>
      <x:c r="D29" s="23" t="str">
        <x:v>'Frontier Estimates'!C5</x:v>
      </x:c>
    </x:row>
    <x:row r="30">
      <x:c r="A30" s="17" t="str">
        <x:v>Dashboard</x:v>
      </x:c>
      <x:c r="B30" s="17" t="str">
        <x:v>D19</x:v>
      </x:c>
      <x:c r="C30" s="17" t="str">
        <x:v>U+003D</x:v>
      </x:c>
      <x:c r="D30" s="23" t="str">
        <x:v>'Frontier Estimates'!D5</x:v>
      </x:c>
    </x:row>
    <x:row r="31">
      <x:c r="A31" s="17" t="str">
        <x:v>Dashboard</x:v>
      </x:c>
      <x:c r="B31" s="17" t="str">
        <x:v>E19</x:v>
      </x:c>
      <x:c r="C31" s="17" t="str">
        <x:v>U+003D</x:v>
      </x:c>
      <x:c r="D31" s="23" t="str">
        <x:v>'Frontier Estimates'!I5</x:v>
      </x:c>
    </x:row>
    <x:row r="32">
      <x:c r="A32" s="17" t="str">
        <x:v>Dashboard</x:v>
      </x:c>
      <x:c r="B32" s="17" t="str">
        <x:v>F19</x:v>
      </x:c>
      <x:c r="C32" s="17" t="str">
        <x:v>U+003D</x:v>
      </x:c>
      <x:c r="D32" s="23" t="str">
        <x:v>TEXT('Frontier Estimates'!J5,"#,##0")&amp;"–"&amp;TEXT('Frontier Estimates'!K5,"#,##0")</x:v>
      </x:c>
    </x:row>
    <x:row r="33">
      <x:c r="A33" s="17" t="str">
        <x:v>Dashboard</x:v>
      </x:c>
      <x:c r="B33" s="17" t="str">
        <x:v>A20</x:v>
      </x:c>
      <x:c r="C33" s="17" t="str">
        <x:v>U+003D</x:v>
      </x:c>
      <x:c r="D33" s="23" t="str">
        <x:v>'Frontier Estimates'!A6</x:v>
      </x:c>
    </x:row>
    <x:row r="34">
      <x:c r="A34" s="17" t="str">
        <x:v>Dashboard</x:v>
      </x:c>
      <x:c r="B34" s="17" t="str">
        <x:v>B20</x:v>
      </x:c>
      <x:c r="C34" s="17" t="str">
        <x:v>U+003D</x:v>
      </x:c>
      <x:c r="D34" s="23" t="str">
        <x:v>'Frontier Estimates'!B6</x:v>
      </x:c>
    </x:row>
    <x:row r="35">
      <x:c r="A35" s="17" t="str">
        <x:v>Dashboard</x:v>
      </x:c>
      <x:c r="B35" s="17" t="str">
        <x:v>C20</x:v>
      </x:c>
      <x:c r="C35" s="17" t="str">
        <x:v>U+003D</x:v>
      </x:c>
      <x:c r="D35" s="23" t="str">
        <x:v>'Frontier Estimates'!C6</x:v>
      </x:c>
    </x:row>
    <x:row r="36">
      <x:c r="A36" s="17" t="str">
        <x:v>Dashboard</x:v>
      </x:c>
      <x:c r="B36" s="17" t="str">
        <x:v>D20</x:v>
      </x:c>
      <x:c r="C36" s="17" t="str">
        <x:v>U+003D</x:v>
      </x:c>
      <x:c r="D36" s="23" t="str">
        <x:v>'Frontier Estimates'!D6</x:v>
      </x:c>
    </x:row>
    <x:row r="37">
      <x:c r="A37" s="17" t="str">
        <x:v>Dashboard</x:v>
      </x:c>
      <x:c r="B37" s="17" t="str">
        <x:v>E20</x:v>
      </x:c>
      <x:c r="C37" s="17" t="str">
        <x:v>U+003D</x:v>
      </x:c>
      <x:c r="D37" s="23" t="str">
        <x:v>'Frontier Estimates'!I6</x:v>
      </x:c>
    </x:row>
    <x:row r="38">
      <x:c r="A38" s="17" t="str">
        <x:v>Dashboard</x:v>
      </x:c>
      <x:c r="B38" s="17" t="str">
        <x:v>F20</x:v>
      </x:c>
      <x:c r="C38" s="17" t="str">
        <x:v>U+003D</x:v>
      </x:c>
      <x:c r="D38" s="23" t="str">
        <x:v>TEXT('Frontier Estimates'!J6,"#,##0")&amp;"–"&amp;TEXT('Frontier Estimates'!K6,"#,##0")</x:v>
      </x:c>
    </x:row>
    <x:row r="39">
      <x:c r="A39" s="17" t="str">
        <x:v>Dashboard</x:v>
      </x:c>
      <x:c r="B39" s="17" t="str">
        <x:v>A21</x:v>
      </x:c>
      <x:c r="C39" s="17" t="str">
        <x:v>U+003D</x:v>
      </x:c>
      <x:c r="D39" s="23" t="str">
        <x:v>'Frontier Estimates'!A7</x:v>
      </x:c>
    </x:row>
    <x:row r="40">
      <x:c r="A40" s="17" t="str">
        <x:v>Dashboard</x:v>
      </x:c>
      <x:c r="B40" s="17" t="str">
        <x:v>B21</x:v>
      </x:c>
      <x:c r="C40" s="17" t="str">
        <x:v>U+003D</x:v>
      </x:c>
      <x:c r="D40" s="23" t="str">
        <x:v>'Frontier Estimates'!B7</x:v>
      </x:c>
    </x:row>
    <x:row r="41">
      <x:c r="A41" s="17" t="str">
        <x:v>Dashboard</x:v>
      </x:c>
      <x:c r="B41" s="17" t="str">
        <x:v>C21</x:v>
      </x:c>
      <x:c r="C41" s="17" t="str">
        <x:v>U+003D</x:v>
      </x:c>
      <x:c r="D41" s="23" t="str">
        <x:v>'Frontier Estimates'!C7</x:v>
      </x:c>
    </x:row>
    <x:row r="42">
      <x:c r="A42" s="17" t="str">
        <x:v>Dashboard</x:v>
      </x:c>
      <x:c r="B42" s="17" t="str">
        <x:v>D21</x:v>
      </x:c>
      <x:c r="C42" s="17" t="str">
        <x:v>U+003D</x:v>
      </x:c>
      <x:c r="D42" s="23" t="str">
        <x:v>'Frontier Estimates'!D7</x:v>
      </x:c>
    </x:row>
    <x:row r="43">
      <x:c r="A43" s="17" t="str">
        <x:v>Dashboard</x:v>
      </x:c>
      <x:c r="B43" s="17" t="str">
        <x:v>E21</x:v>
      </x:c>
      <x:c r="C43" s="17" t="str">
        <x:v>U+003D</x:v>
      </x:c>
      <x:c r="D43" s="23" t="str">
        <x:v>'Frontier Estimates'!I7</x:v>
      </x:c>
    </x:row>
    <x:row r="44">
      <x:c r="A44" s="17" t="str">
        <x:v>Dashboard</x:v>
      </x:c>
      <x:c r="B44" s="17" t="str">
        <x:v>F21</x:v>
      </x:c>
      <x:c r="C44" s="17" t="str">
        <x:v>U+003D</x:v>
      </x:c>
      <x:c r="D44" s="23" t="str">
        <x:v>TEXT('Frontier Estimates'!J7,"#,##0")&amp;"–"&amp;TEXT('Frontier Estimates'!K7,"#,##0")</x:v>
      </x:c>
    </x:row>
    <x:row r="45">
      <x:c r="A45" s="17" t="str">
        <x:v>Dashboard</x:v>
      </x:c>
      <x:c r="B45" s="17" t="str">
        <x:v>A22</x:v>
      </x:c>
      <x:c r="C45" s="17" t="str">
        <x:v>U+003D</x:v>
      </x:c>
      <x:c r="D45" s="23" t="str">
        <x:v>'Frontier Estimates'!A8</x:v>
      </x:c>
    </x:row>
    <x:row r="46">
      <x:c r="A46" s="17" t="str">
        <x:v>Dashboard</x:v>
      </x:c>
      <x:c r="B46" s="17" t="str">
        <x:v>B22</x:v>
      </x:c>
      <x:c r="C46" s="17" t="str">
        <x:v>U+003D</x:v>
      </x:c>
      <x:c r="D46" s="23" t="str">
        <x:v>'Frontier Estimates'!B8</x:v>
      </x:c>
    </x:row>
    <x:row r="47">
      <x:c r="A47" s="17" t="str">
        <x:v>Dashboard</x:v>
      </x:c>
      <x:c r="B47" s="17" t="str">
        <x:v>C22</x:v>
      </x:c>
      <x:c r="C47" s="17" t="str">
        <x:v>U+003D</x:v>
      </x:c>
      <x:c r="D47" s="23" t="str">
        <x:v>'Frontier Estimates'!C8</x:v>
      </x:c>
    </x:row>
    <x:row r="48">
      <x:c r="A48" s="17" t="str">
        <x:v>Dashboard</x:v>
      </x:c>
      <x:c r="B48" s="17" t="str">
        <x:v>D22</x:v>
      </x:c>
      <x:c r="C48" s="17" t="str">
        <x:v>U+003D</x:v>
      </x:c>
      <x:c r="D48" s="23" t="str">
        <x:v>'Frontier Estimates'!D8</x:v>
      </x:c>
    </x:row>
    <x:row r="49">
      <x:c r="A49" s="17" t="str">
        <x:v>Dashboard</x:v>
      </x:c>
      <x:c r="B49" s="17" t="str">
        <x:v>E22</x:v>
      </x:c>
      <x:c r="C49" s="17" t="str">
        <x:v>U+003D</x:v>
      </x:c>
      <x:c r="D49" s="23" t="str">
        <x:v>'Frontier Estimates'!I8</x:v>
      </x:c>
    </x:row>
    <x:row r="50">
      <x:c r="A50" s="17" t="str">
        <x:v>Dashboard</x:v>
      </x:c>
      <x:c r="B50" s="17" t="str">
        <x:v>F22</x:v>
      </x:c>
      <x:c r="C50" s="17" t="str">
        <x:v>U+003D</x:v>
      </x:c>
      <x:c r="D50" s="23" t="str">
        <x:v>TEXT('Frontier Estimates'!J8,"#,##0")&amp;"–"&amp;TEXT('Frontier Estimates'!K8,"#,##0")</x:v>
      </x:c>
    </x:row>
    <x:row r="51">
      <x:c r="A51" s="17" t="str">
        <x:v>Dashboard</x:v>
      </x:c>
      <x:c r="B51" s="17" t="str">
        <x:v>A23</x:v>
      </x:c>
      <x:c r="C51" s="17" t="str">
        <x:v>U+003D</x:v>
      </x:c>
      <x:c r="D51" s="23" t="str">
        <x:v>'Frontier Estimates'!A9</x:v>
      </x:c>
    </x:row>
    <x:row r="52">
      <x:c r="A52" s="17" t="str">
        <x:v>Dashboard</x:v>
      </x:c>
      <x:c r="B52" s="17" t="str">
        <x:v>B23</x:v>
      </x:c>
      <x:c r="C52" s="17" t="str">
        <x:v>U+003D</x:v>
      </x:c>
      <x:c r="D52" s="23" t="str">
        <x:v>'Frontier Estimates'!B9</x:v>
      </x:c>
    </x:row>
    <x:row r="53">
      <x:c r="A53" s="17" t="str">
        <x:v>Dashboard</x:v>
      </x:c>
      <x:c r="B53" s="17" t="str">
        <x:v>C23</x:v>
      </x:c>
      <x:c r="C53" s="17" t="str">
        <x:v>U+003D</x:v>
      </x:c>
      <x:c r="D53" s="23" t="str">
        <x:v>'Frontier Estimates'!C9</x:v>
      </x:c>
    </x:row>
    <x:row r="54">
      <x:c r="A54" s="17" t="str">
        <x:v>Dashboard</x:v>
      </x:c>
      <x:c r="B54" s="17" t="str">
        <x:v>D23</x:v>
      </x:c>
      <x:c r="C54" s="17" t="str">
        <x:v>U+003D</x:v>
      </x:c>
      <x:c r="D54" s="23" t="str">
        <x:v>'Frontier Estimates'!D9</x:v>
      </x:c>
    </x:row>
    <x:row r="55">
      <x:c r="A55" s="17" t="str">
        <x:v>Dashboard</x:v>
      </x:c>
      <x:c r="B55" s="17" t="str">
        <x:v>E23</x:v>
      </x:c>
      <x:c r="C55" s="17" t="str">
        <x:v>U+003D</x:v>
      </x:c>
      <x:c r="D55" s="23" t="str">
        <x:v>'Frontier Estimates'!I9</x:v>
      </x:c>
    </x:row>
    <x:row r="56">
      <x:c r="A56" s="17" t="str">
        <x:v>Dashboard</x:v>
      </x:c>
      <x:c r="B56" s="17" t="str">
        <x:v>F23</x:v>
      </x:c>
      <x:c r="C56" s="17" t="str">
        <x:v>U+003D</x:v>
      </x:c>
      <x:c r="D56" s="23" t="str">
        <x:v>TEXT('Frontier Estimates'!J9,"#,##0")&amp;"–"&amp;TEXT('Frontier Estimates'!K9,"#,##0")</x:v>
      </x:c>
    </x:row>
    <x:row r="57">
      <x:c r="A57" s="17" t="str">
        <x:v>Dashboard</x:v>
      </x:c>
      <x:c r="B57" s="17" t="str">
        <x:v>A24</x:v>
      </x:c>
      <x:c r="C57" s="17" t="str">
        <x:v>U+003D</x:v>
      </x:c>
      <x:c r="D57" s="23" t="str">
        <x:v>'Frontier Estimates'!A10</x:v>
      </x:c>
    </x:row>
    <x:row r="58">
      <x:c r="A58" s="17" t="str">
        <x:v>Dashboard</x:v>
      </x:c>
      <x:c r="B58" s="17" t="str">
        <x:v>B24</x:v>
      </x:c>
      <x:c r="C58" s="17" t="str">
        <x:v>U+003D</x:v>
      </x:c>
      <x:c r="D58" s="23" t="str">
        <x:v>'Frontier Estimates'!B10</x:v>
      </x:c>
    </x:row>
    <x:row r="59">
      <x:c r="A59" s="17" t="str">
        <x:v>Dashboard</x:v>
      </x:c>
      <x:c r="B59" s="17" t="str">
        <x:v>C24</x:v>
      </x:c>
      <x:c r="C59" s="17" t="str">
        <x:v>U+003D</x:v>
      </x:c>
      <x:c r="D59" s="23" t="str">
        <x:v>'Frontier Estimates'!C10</x:v>
      </x:c>
    </x:row>
    <x:row r="60">
      <x:c r="A60" s="17" t="str">
        <x:v>Dashboard</x:v>
      </x:c>
      <x:c r="B60" s="17" t="str">
        <x:v>D24</x:v>
      </x:c>
      <x:c r="C60" s="17" t="str">
        <x:v>U+003D</x:v>
      </x:c>
      <x:c r="D60" s="23" t="str">
        <x:v>'Frontier Estimates'!D10</x:v>
      </x:c>
    </x:row>
    <x:row r="61">
      <x:c r="A61" s="17" t="str">
        <x:v>Dashboard</x:v>
      </x:c>
      <x:c r="B61" s="17" t="str">
        <x:v>E24</x:v>
      </x:c>
      <x:c r="C61" s="17" t="str">
        <x:v>U+003D</x:v>
      </x:c>
      <x:c r="D61" s="23" t="str">
        <x:v>'Frontier Estimates'!I10</x:v>
      </x:c>
    </x:row>
    <x:row r="62">
      <x:c r="A62" s="17" t="str">
        <x:v>Dashboard</x:v>
      </x:c>
      <x:c r="B62" s="17" t="str">
        <x:v>F24</x:v>
      </x:c>
      <x:c r="C62" s="17" t="str">
        <x:v>U+003D</x:v>
      </x:c>
      <x:c r="D62" s="23" t="str">
        <x:v>TEXT('Frontier Estimates'!J10,"#,##0")&amp;"–"&amp;TEXT('Frontier Estimates'!K10,"#,##0")</x:v>
      </x:c>
    </x:row>
    <x:row r="63">
      <x:c r="A63" s="17" t="str">
        <x:v>Dashboard</x:v>
      </x:c>
      <x:c r="B63" s="17" t="str">
        <x:v>A25</x:v>
      </x:c>
      <x:c r="C63" s="17" t="str">
        <x:v>U+003D</x:v>
      </x:c>
      <x:c r="D63" s="23" t="str">
        <x:v>'Frontier Estimates'!A11</x:v>
      </x:c>
    </x:row>
    <x:row r="64">
      <x:c r="A64" s="17" t="str">
        <x:v>Dashboard</x:v>
      </x:c>
      <x:c r="B64" s="17" t="str">
        <x:v>B25</x:v>
      </x:c>
      <x:c r="C64" s="17" t="str">
        <x:v>U+003D</x:v>
      </x:c>
      <x:c r="D64" s="23" t="str">
        <x:v>'Frontier Estimates'!B11</x:v>
      </x:c>
    </x:row>
    <x:row r="65">
      <x:c r="A65" s="17" t="str">
        <x:v>Dashboard</x:v>
      </x:c>
      <x:c r="B65" s="17" t="str">
        <x:v>C25</x:v>
      </x:c>
      <x:c r="C65" s="17" t="str">
        <x:v>U+003D</x:v>
      </x:c>
      <x:c r="D65" s="23" t="str">
        <x:v>'Frontier Estimates'!C11</x:v>
      </x:c>
    </x:row>
    <x:row r="66">
      <x:c r="A66" s="17" t="str">
        <x:v>Dashboard</x:v>
      </x:c>
      <x:c r="B66" s="17" t="str">
        <x:v>D25</x:v>
      </x:c>
      <x:c r="C66" s="17" t="str">
        <x:v>U+003D</x:v>
      </x:c>
      <x:c r="D66" s="23" t="str">
        <x:v>'Frontier Estimates'!D11</x:v>
      </x:c>
    </x:row>
    <x:row r="67">
      <x:c r="A67" s="17" t="str">
        <x:v>Dashboard</x:v>
      </x:c>
      <x:c r="B67" s="17" t="str">
        <x:v>E25</x:v>
      </x:c>
      <x:c r="C67" s="17" t="str">
        <x:v>U+003D</x:v>
      </x:c>
      <x:c r="D67" s="23" t="str">
        <x:v>'Frontier Estimates'!I11</x:v>
      </x:c>
    </x:row>
    <x:row r="68">
      <x:c r="A68" s="17" t="str">
        <x:v>Dashboard</x:v>
      </x:c>
      <x:c r="B68" s="17" t="str">
        <x:v>F25</x:v>
      </x:c>
      <x:c r="C68" s="17" t="str">
        <x:v>U+003D</x:v>
      </x:c>
      <x:c r="D68" s="23" t="str">
        <x:v>TEXT('Frontier Estimates'!J11,"#,##0")&amp;"–"&amp;TEXT('Frontier Estimates'!K11,"#,##0")</x:v>
      </x:c>
    </x:row>
    <x:row r="69">
      <x:c r="A69" s="17" t="str">
        <x:v>Frontier Estimates</x:v>
      </x:c>
      <x:c r="B69" s="17" t="str">
        <x:v>G2</x:v>
      </x:c>
      <x:c r="C69" s="17" t="str">
        <x:v>U+003D</x:v>
      </x:c>
      <x:c r="D69" s="23" t="str">
        <x:v>(C2-'Regression Model'!$B$4)/365.25</x:v>
      </x:c>
    </x:row>
    <x:row r="70">
      <x:c r="A70" s="17" t="str">
        <x:v>Frontier Estimates</x:v>
      </x:c>
      <x:c r="B70" s="17" t="str">
        <x:v>H2</x:v>
      </x:c>
      <x:c r="C70" s="17" t="str">
        <x:v>U+003D</x:v>
      </x:c>
      <x:c r="D70" s="23" t="str">
        <x:v>'Regression Model'!$B$7+'Regression Model'!$B$8*D2+'Regression Model'!$B$9*G2</x:v>
      </x:c>
    </x:row>
    <x:row r="71">
      <x:c r="A71" s="17" t="str">
        <x:v>Frontier Estimates</x:v>
      </x:c>
      <x:c r="B71" s="17" t="str">
        <x:v>I2</x:v>
      </x:c>
      <x:c r="C71" s="17" t="str">
        <x:v>U+003D</x:v>
      </x:c>
      <x:c r="D71" s="23" t="str">
        <x:v>POWER(10,H2)/1E9</x:v>
      </x:c>
    </x:row>
    <x:row r="72">
      <x:c r="A72" s="17" t="str">
        <x:v>Frontier Estimates</x:v>
      </x:c>
      <x:c r="B72" s="17" t="str">
        <x:v>J2</x:v>
      </x:c>
      <x:c r="C72" s="17" t="str">
        <x:v>U+003D</x:v>
      </x:c>
      <x:c r="D72" s="23" t="str">
        <x:v>POWER(10,H2-'Regression Model'!$B$11)/1E9</x:v>
      </x:c>
    </x:row>
    <x:row r="73">
      <x:c r="A73" s="17" t="str">
        <x:v>Frontier Estimates</x:v>
      </x:c>
      <x:c r="B73" s="17" t="str">
        <x:v>K2</x:v>
      </x:c>
      <x:c r="C73" s="17" t="str">
        <x:v>U+003D</x:v>
      </x:c>
      <x:c r="D73" s="23" t="str">
        <x:v>POWER(10,H2+'Regression Model'!$B$11)/1E9</x:v>
      </x:c>
    </x:row>
    <x:row r="74">
      <x:c r="A74" s="17" t="str">
        <x:v>Frontier Estimates</x:v>
      </x:c>
      <x:c r="B74" s="17" t="str">
        <x:v>L2</x:v>
      </x:c>
      <x:c r="C74" s="17" t="str">
        <x:v>U+003D</x:v>
      </x:c>
      <x:c r="D74" s="23" t="str">
        <x:v>POWER(10,'Regression Model'!$B$7+'Regression Model'!$B$8*E2+'Regression Model'!$B$9*G2)/1E9</x:v>
      </x:c>
    </x:row>
    <x:row r="75">
      <x:c r="A75" s="17" t="str">
        <x:v>Frontier Estimates</x:v>
      </x:c>
      <x:c r="B75" s="17" t="str">
        <x:v>M2</x:v>
      </x:c>
      <x:c r="C75" s="17" t="str">
        <x:v>U+003D</x:v>
      </x:c>
      <x:c r="D75" s="23" t="str">
        <x:v>POWER(10,'Regression Model'!$B$7+'Regression Model'!$B$8*F2+'Regression Model'!$B$9*G2)/1E9</x:v>
      </x:c>
    </x:row>
    <x:row r="76">
      <x:c r="A76" s="17" t="str">
        <x:v>Frontier Estimates</x:v>
      </x:c>
      <x:c r="B76" s="17" t="str">
        <x:v>N2</x:v>
      </x:c>
      <x:c r="C76" s="17" t="str">
        <x:v>U+003D</x:v>
      </x:c>
      <x:c r="D76" s="23" t="str">
        <x:v>POWER(10,(D2-'Regression Model'!$B$18-'Regression Model'!$B$20*G2)/'Regression Model'!$B$19)/1E9</x:v>
      </x:c>
    </x:row>
    <x:row r="77">
      <x:c r="A77" s="17" t="str">
        <x:v>Frontier Estimates</x:v>
      </x:c>
      <x:c r="B77" s="17" t="str">
        <x:v>G3</x:v>
      </x:c>
      <x:c r="C77" s="17" t="str">
        <x:v>U+003D</x:v>
      </x:c>
      <x:c r="D77" s="23" t="str">
        <x:v>(C3-'Regression Model'!$B$4)/365.25</x:v>
      </x:c>
    </x:row>
    <x:row r="78">
      <x:c r="A78" s="17" t="str">
        <x:v>Frontier Estimates</x:v>
      </x:c>
      <x:c r="B78" s="17" t="str">
        <x:v>H3</x:v>
      </x:c>
      <x:c r="C78" s="17" t="str">
        <x:v>U+003D</x:v>
      </x:c>
      <x:c r="D78" s="23" t="str">
        <x:v>'Regression Model'!$B$7+'Regression Model'!$B$8*D3+'Regression Model'!$B$9*G3</x:v>
      </x:c>
    </x:row>
    <x:row r="79">
      <x:c r="A79" s="17" t="str">
        <x:v>Frontier Estimates</x:v>
      </x:c>
      <x:c r="B79" s="17" t="str">
        <x:v>I3</x:v>
      </x:c>
      <x:c r="C79" s="17" t="str">
        <x:v>U+003D</x:v>
      </x:c>
      <x:c r="D79" s="23" t="str">
        <x:v>POWER(10,H3)/1E9</x:v>
      </x:c>
    </x:row>
    <x:row r="80">
      <x:c r="A80" s="17" t="str">
        <x:v>Frontier Estimates</x:v>
      </x:c>
      <x:c r="B80" s="17" t="str">
        <x:v>J3</x:v>
      </x:c>
      <x:c r="C80" s="17" t="str">
        <x:v>U+003D</x:v>
      </x:c>
      <x:c r="D80" s="23" t="str">
        <x:v>POWER(10,H3-'Regression Model'!$B$11)/1E9</x:v>
      </x:c>
    </x:row>
    <x:row r="81">
      <x:c r="A81" s="17" t="str">
        <x:v>Frontier Estimates</x:v>
      </x:c>
      <x:c r="B81" s="17" t="str">
        <x:v>K3</x:v>
      </x:c>
      <x:c r="C81" s="17" t="str">
        <x:v>U+003D</x:v>
      </x:c>
      <x:c r="D81" s="23" t="str">
        <x:v>POWER(10,H3+'Regression Model'!$B$11)/1E9</x:v>
      </x:c>
    </x:row>
    <x:row r="82">
      <x:c r="A82" s="17" t="str">
        <x:v>Frontier Estimates</x:v>
      </x:c>
      <x:c r="B82" s="17" t="str">
        <x:v>L3</x:v>
      </x:c>
      <x:c r="C82" s="17" t="str">
        <x:v>U+003D</x:v>
      </x:c>
      <x:c r="D82" s="23" t="str">
        <x:v>POWER(10,'Regression Model'!$B$7+'Regression Model'!$B$8*E3+'Regression Model'!$B$9*G3)/1E9</x:v>
      </x:c>
    </x:row>
    <x:row r="83">
      <x:c r="A83" s="17" t="str">
        <x:v>Frontier Estimates</x:v>
      </x:c>
      <x:c r="B83" s="17" t="str">
        <x:v>M3</x:v>
      </x:c>
      <x:c r="C83" s="17" t="str">
        <x:v>U+003D</x:v>
      </x:c>
      <x:c r="D83" s="23" t="str">
        <x:v>POWER(10,'Regression Model'!$B$7+'Regression Model'!$B$8*F3+'Regression Model'!$B$9*G3)/1E9</x:v>
      </x:c>
    </x:row>
    <x:row r="84">
      <x:c r="A84" s="17" t="str">
        <x:v>Frontier Estimates</x:v>
      </x:c>
      <x:c r="B84" s="17" t="str">
        <x:v>N3</x:v>
      </x:c>
      <x:c r="C84" s="17" t="str">
        <x:v>U+003D</x:v>
      </x:c>
      <x:c r="D84" s="23" t="str">
        <x:v>POWER(10,(D3-'Regression Model'!$B$18-'Regression Model'!$B$20*G3)/'Regression Model'!$B$19)/1E9</x:v>
      </x:c>
    </x:row>
    <x:row r="85">
      <x:c r="A85" s="17" t="str">
        <x:v>Frontier Estimates</x:v>
      </x:c>
      <x:c r="B85" s="17" t="str">
        <x:v>G4</x:v>
      </x:c>
      <x:c r="C85" s="17" t="str">
        <x:v>U+003D</x:v>
      </x:c>
      <x:c r="D85" s="23" t="str">
        <x:v>(C4-'Regression Model'!$B$4)/365.25</x:v>
      </x:c>
    </x:row>
    <x:row r="86">
      <x:c r="A86" s="17" t="str">
        <x:v>Frontier Estimates</x:v>
      </x:c>
      <x:c r="B86" s="17" t="str">
        <x:v>H4</x:v>
      </x:c>
      <x:c r="C86" s="17" t="str">
        <x:v>U+003D</x:v>
      </x:c>
      <x:c r="D86" s="23" t="str">
        <x:v>'Regression Model'!$B$7+'Regression Model'!$B$8*D4+'Regression Model'!$B$9*G4</x:v>
      </x:c>
    </x:row>
    <x:row r="87">
      <x:c r="A87" s="17" t="str">
        <x:v>Frontier Estimates</x:v>
      </x:c>
      <x:c r="B87" s="17" t="str">
        <x:v>I4</x:v>
      </x:c>
      <x:c r="C87" s="17" t="str">
        <x:v>U+003D</x:v>
      </x:c>
      <x:c r="D87" s="23" t="str">
        <x:v>POWER(10,H4)/1E9</x:v>
      </x:c>
    </x:row>
    <x:row r="88">
      <x:c r="A88" s="17" t="str">
        <x:v>Frontier Estimates</x:v>
      </x:c>
      <x:c r="B88" s="17" t="str">
        <x:v>J4</x:v>
      </x:c>
      <x:c r="C88" s="17" t="str">
        <x:v>U+003D</x:v>
      </x:c>
      <x:c r="D88" s="23" t="str">
        <x:v>POWER(10,H4-'Regression Model'!$B$11)/1E9</x:v>
      </x:c>
    </x:row>
    <x:row r="89">
      <x:c r="A89" s="17" t="str">
        <x:v>Frontier Estimates</x:v>
      </x:c>
      <x:c r="B89" s="17" t="str">
        <x:v>K4</x:v>
      </x:c>
      <x:c r="C89" s="17" t="str">
        <x:v>U+003D</x:v>
      </x:c>
      <x:c r="D89" s="23" t="str">
        <x:v>POWER(10,H4+'Regression Model'!$B$11)/1E9</x:v>
      </x:c>
    </x:row>
    <x:row r="90">
      <x:c r="A90" s="17" t="str">
        <x:v>Frontier Estimates</x:v>
      </x:c>
      <x:c r="B90" s="17" t="str">
        <x:v>L4</x:v>
      </x:c>
      <x:c r="C90" s="17" t="str">
        <x:v>U+003D</x:v>
      </x:c>
      <x:c r="D90" s="23" t="str">
        <x:v>POWER(10,'Regression Model'!$B$7+'Regression Model'!$B$8*E4+'Regression Model'!$B$9*G4)/1E9</x:v>
      </x:c>
    </x:row>
    <x:row r="91">
      <x:c r="A91" s="17" t="str">
        <x:v>Frontier Estimates</x:v>
      </x:c>
      <x:c r="B91" s="17" t="str">
        <x:v>M4</x:v>
      </x:c>
      <x:c r="C91" s="17" t="str">
        <x:v>U+003D</x:v>
      </x:c>
      <x:c r="D91" s="23" t="str">
        <x:v>POWER(10,'Regression Model'!$B$7+'Regression Model'!$B$8*F4+'Regression Model'!$B$9*G4)/1E9</x:v>
      </x:c>
    </x:row>
    <x:row r="92">
      <x:c r="A92" s="17" t="str">
        <x:v>Frontier Estimates</x:v>
      </x:c>
      <x:c r="B92" s="17" t="str">
        <x:v>N4</x:v>
      </x:c>
      <x:c r="C92" s="17" t="str">
        <x:v>U+003D</x:v>
      </x:c>
      <x:c r="D92" s="23" t="str">
        <x:v>POWER(10,(D4-'Regression Model'!$B$18-'Regression Model'!$B$20*G4)/'Regression Model'!$B$19)/1E9</x:v>
      </x:c>
    </x:row>
    <x:row r="93">
      <x:c r="A93" s="17" t="str">
        <x:v>Frontier Estimates</x:v>
      </x:c>
      <x:c r="B93" s="17" t="str">
        <x:v>G5</x:v>
      </x:c>
      <x:c r="C93" s="17" t="str">
        <x:v>U+003D</x:v>
      </x:c>
      <x:c r="D93" s="23" t="str">
        <x:v>(C5-'Regression Model'!$B$4)/365.25</x:v>
      </x:c>
    </x:row>
    <x:row r="94">
      <x:c r="A94" s="17" t="str">
        <x:v>Frontier Estimates</x:v>
      </x:c>
      <x:c r="B94" s="17" t="str">
        <x:v>H5</x:v>
      </x:c>
      <x:c r="C94" s="17" t="str">
        <x:v>U+003D</x:v>
      </x:c>
      <x:c r="D94" s="23" t="str">
        <x:v>'Regression Model'!$B$7+'Regression Model'!$B$8*D5+'Regression Model'!$B$9*G5</x:v>
      </x:c>
    </x:row>
    <x:row r="95">
      <x:c r="A95" s="17" t="str">
        <x:v>Frontier Estimates</x:v>
      </x:c>
      <x:c r="B95" s="17" t="str">
        <x:v>I5</x:v>
      </x:c>
      <x:c r="C95" s="17" t="str">
        <x:v>U+003D</x:v>
      </x:c>
      <x:c r="D95" s="23" t="str">
        <x:v>POWER(10,H5)/1E9</x:v>
      </x:c>
    </x:row>
    <x:row r="96">
      <x:c r="A96" s="17" t="str">
        <x:v>Frontier Estimates</x:v>
      </x:c>
      <x:c r="B96" s="17" t="str">
        <x:v>J5</x:v>
      </x:c>
      <x:c r="C96" s="17" t="str">
        <x:v>U+003D</x:v>
      </x:c>
      <x:c r="D96" s="23" t="str">
        <x:v>POWER(10,H5-'Regression Model'!$B$11)/1E9</x:v>
      </x:c>
    </x:row>
    <x:row r="97">
      <x:c r="A97" s="17" t="str">
        <x:v>Frontier Estimates</x:v>
      </x:c>
      <x:c r="B97" s="17" t="str">
        <x:v>K5</x:v>
      </x:c>
      <x:c r="C97" s="17" t="str">
        <x:v>U+003D</x:v>
      </x:c>
      <x:c r="D97" s="23" t="str">
        <x:v>POWER(10,H5+'Regression Model'!$B$11)/1E9</x:v>
      </x:c>
    </x:row>
    <x:row r="98">
      <x:c r="A98" s="17" t="str">
        <x:v>Frontier Estimates</x:v>
      </x:c>
      <x:c r="B98" s="17" t="str">
        <x:v>L5</x:v>
      </x:c>
      <x:c r="C98" s="17" t="str">
        <x:v>U+003D</x:v>
      </x:c>
      <x:c r="D98" s="23" t="str">
        <x:v>POWER(10,'Regression Model'!$B$7+'Regression Model'!$B$8*E5+'Regression Model'!$B$9*G5)/1E9</x:v>
      </x:c>
    </x:row>
    <x:row r="99">
      <x:c r="A99" s="17" t="str">
        <x:v>Frontier Estimates</x:v>
      </x:c>
      <x:c r="B99" s="17" t="str">
        <x:v>M5</x:v>
      </x:c>
      <x:c r="C99" s="17" t="str">
        <x:v>U+003D</x:v>
      </x:c>
      <x:c r="D99" s="23" t="str">
        <x:v>POWER(10,'Regression Model'!$B$7+'Regression Model'!$B$8*F5+'Regression Model'!$B$9*G5)/1E9</x:v>
      </x:c>
    </x:row>
    <x:row r="100">
      <x:c r="A100" s="17" t="str">
        <x:v>Frontier Estimates</x:v>
      </x:c>
      <x:c r="B100" s="17" t="str">
        <x:v>N5</x:v>
      </x:c>
      <x:c r="C100" s="17" t="str">
        <x:v>U+003D</x:v>
      </x:c>
      <x:c r="D100" s="23" t="str">
        <x:v>POWER(10,(D5-'Regression Model'!$B$18-'Regression Model'!$B$20*G5)/'Regression Model'!$B$19)/1E9</x:v>
      </x:c>
    </x:row>
    <x:row r="101">
      <x:c r="A101" s="17" t="str">
        <x:v>Frontier Estimates</x:v>
      </x:c>
      <x:c r="B101" s="17" t="str">
        <x:v>G6</x:v>
      </x:c>
      <x:c r="C101" s="17" t="str">
        <x:v>U+003D</x:v>
      </x:c>
      <x:c r="D101" s="23" t="str">
        <x:v>(C6-'Regression Model'!$B$4)/365.25</x:v>
      </x:c>
    </x:row>
    <x:row r="102">
      <x:c r="A102" s="17" t="str">
        <x:v>Frontier Estimates</x:v>
      </x:c>
      <x:c r="B102" s="17" t="str">
        <x:v>H6</x:v>
      </x:c>
      <x:c r="C102" s="17" t="str">
        <x:v>U+003D</x:v>
      </x:c>
      <x:c r="D102" s="23" t="str">
        <x:v>'Regression Model'!$B$7+'Regression Model'!$B$8*D6+'Regression Model'!$B$9*G6</x:v>
      </x:c>
    </x:row>
    <x:row r="103">
      <x:c r="A103" s="17" t="str">
        <x:v>Frontier Estimates</x:v>
      </x:c>
      <x:c r="B103" s="17" t="str">
        <x:v>I6</x:v>
      </x:c>
      <x:c r="C103" s="17" t="str">
        <x:v>U+003D</x:v>
      </x:c>
      <x:c r="D103" s="23" t="str">
        <x:v>POWER(10,H6)/1E9</x:v>
      </x:c>
    </x:row>
    <x:row r="104">
      <x:c r="A104" s="17" t="str">
        <x:v>Frontier Estimates</x:v>
      </x:c>
      <x:c r="B104" s="17" t="str">
        <x:v>J6</x:v>
      </x:c>
      <x:c r="C104" s="17" t="str">
        <x:v>U+003D</x:v>
      </x:c>
      <x:c r="D104" s="23" t="str">
        <x:v>POWER(10,H6-'Regression Model'!$B$11)/1E9</x:v>
      </x:c>
    </x:row>
    <x:row r="105">
      <x:c r="A105" s="17" t="str">
        <x:v>Frontier Estimates</x:v>
      </x:c>
      <x:c r="B105" s="17" t="str">
        <x:v>K6</x:v>
      </x:c>
      <x:c r="C105" s="17" t="str">
        <x:v>U+003D</x:v>
      </x:c>
      <x:c r="D105" s="23" t="str">
        <x:v>POWER(10,H6+'Regression Model'!$B$11)/1E9</x:v>
      </x:c>
    </x:row>
    <x:row r="106">
      <x:c r="A106" s="17" t="str">
        <x:v>Frontier Estimates</x:v>
      </x:c>
      <x:c r="B106" s="17" t="str">
        <x:v>L6</x:v>
      </x:c>
      <x:c r="C106" s="17" t="str">
        <x:v>U+003D</x:v>
      </x:c>
      <x:c r="D106" s="23" t="str">
        <x:v>POWER(10,'Regression Model'!$B$7+'Regression Model'!$B$8*E6+'Regression Model'!$B$9*G6)/1E9</x:v>
      </x:c>
    </x:row>
    <x:row r="107">
      <x:c r="A107" s="17" t="str">
        <x:v>Frontier Estimates</x:v>
      </x:c>
      <x:c r="B107" s="17" t="str">
        <x:v>M6</x:v>
      </x:c>
      <x:c r="C107" s="17" t="str">
        <x:v>U+003D</x:v>
      </x:c>
      <x:c r="D107" s="23" t="str">
        <x:v>POWER(10,'Regression Model'!$B$7+'Regression Model'!$B$8*F6+'Regression Model'!$B$9*G6)/1E9</x:v>
      </x:c>
    </x:row>
    <x:row r="108">
      <x:c r="A108" s="17" t="str">
        <x:v>Frontier Estimates</x:v>
      </x:c>
      <x:c r="B108" s="17" t="str">
        <x:v>N6</x:v>
      </x:c>
      <x:c r="C108" s="17" t="str">
        <x:v>U+003D</x:v>
      </x:c>
      <x:c r="D108" s="23" t="str">
        <x:v>POWER(10,(D6-'Regression Model'!$B$18-'Regression Model'!$B$20*G6)/'Regression Model'!$B$19)/1E9</x:v>
      </x:c>
    </x:row>
    <x:row r="109">
      <x:c r="A109" s="17" t="str">
        <x:v>Frontier Estimates</x:v>
      </x:c>
      <x:c r="B109" s="17" t="str">
        <x:v>G7</x:v>
      </x:c>
      <x:c r="C109" s="17" t="str">
        <x:v>U+003D</x:v>
      </x:c>
      <x:c r="D109" s="23" t="str">
        <x:v>(C7-'Regression Model'!$B$4)/365.25</x:v>
      </x:c>
    </x:row>
    <x:row r="110">
      <x:c r="A110" s="17" t="str">
        <x:v>Frontier Estimates</x:v>
      </x:c>
      <x:c r="B110" s="17" t="str">
        <x:v>H7</x:v>
      </x:c>
      <x:c r="C110" s="17" t="str">
        <x:v>U+003D</x:v>
      </x:c>
      <x:c r="D110" s="23" t="str">
        <x:v>'Regression Model'!$B$7+'Regression Model'!$B$8*D7+'Regression Model'!$B$9*G7</x:v>
      </x:c>
    </x:row>
    <x:row r="111">
      <x:c r="A111" s="17" t="str">
        <x:v>Frontier Estimates</x:v>
      </x:c>
      <x:c r="B111" s="17" t="str">
        <x:v>I7</x:v>
      </x:c>
      <x:c r="C111" s="17" t="str">
        <x:v>U+003D</x:v>
      </x:c>
      <x:c r="D111" s="23" t="str">
        <x:v>POWER(10,H7)/1E9</x:v>
      </x:c>
    </x:row>
    <x:row r="112">
      <x:c r="A112" s="17" t="str">
        <x:v>Frontier Estimates</x:v>
      </x:c>
      <x:c r="B112" s="17" t="str">
        <x:v>J7</x:v>
      </x:c>
      <x:c r="C112" s="17" t="str">
        <x:v>U+003D</x:v>
      </x:c>
      <x:c r="D112" s="23" t="str">
        <x:v>POWER(10,H7-'Regression Model'!$B$11)/1E9</x:v>
      </x:c>
    </x:row>
    <x:row r="113">
      <x:c r="A113" s="17" t="str">
        <x:v>Frontier Estimates</x:v>
      </x:c>
      <x:c r="B113" s="17" t="str">
        <x:v>K7</x:v>
      </x:c>
      <x:c r="C113" s="17" t="str">
        <x:v>U+003D</x:v>
      </x:c>
      <x:c r="D113" s="23" t="str">
        <x:v>POWER(10,H7+'Regression Model'!$B$11)/1E9</x:v>
      </x:c>
    </x:row>
    <x:row r="114">
      <x:c r="A114" s="17" t="str">
        <x:v>Frontier Estimates</x:v>
      </x:c>
      <x:c r="B114" s="17" t="str">
        <x:v>L7</x:v>
      </x:c>
      <x:c r="C114" s="17" t="str">
        <x:v>U+003D</x:v>
      </x:c>
      <x:c r="D114" s="23" t="str">
        <x:v>POWER(10,'Regression Model'!$B$7+'Regression Model'!$B$8*E7+'Regression Model'!$B$9*G7)/1E9</x:v>
      </x:c>
    </x:row>
    <x:row r="115">
      <x:c r="A115" s="17" t="str">
        <x:v>Frontier Estimates</x:v>
      </x:c>
      <x:c r="B115" s="17" t="str">
        <x:v>M7</x:v>
      </x:c>
      <x:c r="C115" s="17" t="str">
        <x:v>U+003D</x:v>
      </x:c>
      <x:c r="D115" s="23" t="str">
        <x:v>POWER(10,'Regression Model'!$B$7+'Regression Model'!$B$8*F7+'Regression Model'!$B$9*G7)/1E9</x:v>
      </x:c>
    </x:row>
    <x:row r="116">
      <x:c r="A116" s="17" t="str">
        <x:v>Frontier Estimates</x:v>
      </x:c>
      <x:c r="B116" s="17" t="str">
        <x:v>N7</x:v>
      </x:c>
      <x:c r="C116" s="17" t="str">
        <x:v>U+003D</x:v>
      </x:c>
      <x:c r="D116" s="23" t="str">
        <x:v>POWER(10,(D7-'Regression Model'!$B$18-'Regression Model'!$B$20*G7)/'Regression Model'!$B$19)/1E9</x:v>
      </x:c>
    </x:row>
    <x:row r="117">
      <x:c r="A117" s="17" t="str">
        <x:v>Frontier Estimates</x:v>
      </x:c>
      <x:c r="B117" s="17" t="str">
        <x:v>G8</x:v>
      </x:c>
      <x:c r="C117" s="17" t="str">
        <x:v>U+003D</x:v>
      </x:c>
      <x:c r="D117" s="23" t="str">
        <x:v>(C8-'Regression Model'!$B$4)/365.25</x:v>
      </x:c>
    </x:row>
    <x:row r="118">
      <x:c r="A118" s="17" t="str">
        <x:v>Frontier Estimates</x:v>
      </x:c>
      <x:c r="B118" s="17" t="str">
        <x:v>H8</x:v>
      </x:c>
      <x:c r="C118" s="17" t="str">
        <x:v>U+003D</x:v>
      </x:c>
      <x:c r="D118" s="23" t="str">
        <x:v>'Regression Model'!$B$7+'Regression Model'!$B$8*D8+'Regression Model'!$B$9*G8</x:v>
      </x:c>
    </x:row>
    <x:row r="119">
      <x:c r="A119" s="17" t="str">
        <x:v>Frontier Estimates</x:v>
      </x:c>
      <x:c r="B119" s="17" t="str">
        <x:v>I8</x:v>
      </x:c>
      <x:c r="C119" s="17" t="str">
        <x:v>U+003D</x:v>
      </x:c>
      <x:c r="D119" s="23" t="str">
        <x:v>POWER(10,H8)/1E9</x:v>
      </x:c>
    </x:row>
    <x:row r="120">
      <x:c r="A120" s="17" t="str">
        <x:v>Frontier Estimates</x:v>
      </x:c>
      <x:c r="B120" s="17" t="str">
        <x:v>J8</x:v>
      </x:c>
      <x:c r="C120" s="17" t="str">
        <x:v>U+003D</x:v>
      </x:c>
      <x:c r="D120" s="23" t="str">
        <x:v>POWER(10,H8-'Regression Model'!$B$11)/1E9</x:v>
      </x:c>
    </x:row>
    <x:row r="121">
      <x:c r="A121" s="17" t="str">
        <x:v>Frontier Estimates</x:v>
      </x:c>
      <x:c r="B121" s="17" t="str">
        <x:v>K8</x:v>
      </x:c>
      <x:c r="C121" s="17" t="str">
        <x:v>U+003D</x:v>
      </x:c>
      <x:c r="D121" s="23" t="str">
        <x:v>POWER(10,H8+'Regression Model'!$B$11)/1E9</x:v>
      </x:c>
    </x:row>
    <x:row r="122">
      <x:c r="A122" s="17" t="str">
        <x:v>Frontier Estimates</x:v>
      </x:c>
      <x:c r="B122" s="17" t="str">
        <x:v>L8</x:v>
      </x:c>
      <x:c r="C122" s="17" t="str">
        <x:v>U+003D</x:v>
      </x:c>
      <x:c r="D122" s="23" t="str">
        <x:v>POWER(10,'Regression Model'!$B$7+'Regression Model'!$B$8*E8+'Regression Model'!$B$9*G8)/1E9</x:v>
      </x:c>
    </x:row>
    <x:row r="123">
      <x:c r="A123" s="17" t="str">
        <x:v>Frontier Estimates</x:v>
      </x:c>
      <x:c r="B123" s="17" t="str">
        <x:v>M8</x:v>
      </x:c>
      <x:c r="C123" s="17" t="str">
        <x:v>U+003D</x:v>
      </x:c>
      <x:c r="D123" s="23" t="str">
        <x:v>POWER(10,'Regression Model'!$B$7+'Regression Model'!$B$8*F8+'Regression Model'!$B$9*G8)/1E9</x:v>
      </x:c>
    </x:row>
    <x:row r="124">
      <x:c r="A124" s="17" t="str">
        <x:v>Frontier Estimates</x:v>
      </x:c>
      <x:c r="B124" s="17" t="str">
        <x:v>N8</x:v>
      </x:c>
      <x:c r="C124" s="17" t="str">
        <x:v>U+003D</x:v>
      </x:c>
      <x:c r="D124" s="23" t="str">
        <x:v>POWER(10,(D8-'Regression Model'!$B$18-'Regression Model'!$B$20*G8)/'Regression Model'!$B$19)/1E9</x:v>
      </x:c>
    </x:row>
    <x:row r="125">
      <x:c r="A125" s="17" t="str">
        <x:v>Frontier Estimates</x:v>
      </x:c>
      <x:c r="B125" s="17" t="str">
        <x:v>G9</x:v>
      </x:c>
      <x:c r="C125" s="17" t="str">
        <x:v>U+003D</x:v>
      </x:c>
      <x:c r="D125" s="23" t="str">
        <x:v>(C9-'Regression Model'!$B$4)/365.25</x:v>
      </x:c>
    </x:row>
    <x:row r="126">
      <x:c r="A126" s="17" t="str">
        <x:v>Frontier Estimates</x:v>
      </x:c>
      <x:c r="B126" s="17" t="str">
        <x:v>H9</x:v>
      </x:c>
      <x:c r="C126" s="17" t="str">
        <x:v>U+003D</x:v>
      </x:c>
      <x:c r="D126" s="23" t="str">
        <x:v>'Regression Model'!$B$7+'Regression Model'!$B$8*D9+'Regression Model'!$B$9*G9</x:v>
      </x:c>
    </x:row>
    <x:row r="127">
      <x:c r="A127" s="17" t="str">
        <x:v>Frontier Estimates</x:v>
      </x:c>
      <x:c r="B127" s="17" t="str">
        <x:v>I9</x:v>
      </x:c>
      <x:c r="C127" s="17" t="str">
        <x:v>U+003D</x:v>
      </x:c>
      <x:c r="D127" s="23" t="str">
        <x:v>POWER(10,H9)/1E9</x:v>
      </x:c>
    </x:row>
    <x:row r="128">
      <x:c r="A128" s="17" t="str">
        <x:v>Frontier Estimates</x:v>
      </x:c>
      <x:c r="B128" s="17" t="str">
        <x:v>J9</x:v>
      </x:c>
      <x:c r="C128" s="17" t="str">
        <x:v>U+003D</x:v>
      </x:c>
      <x:c r="D128" s="23" t="str">
        <x:v>POWER(10,H9-'Regression Model'!$B$11)/1E9</x:v>
      </x:c>
    </x:row>
    <x:row r="129">
      <x:c r="A129" s="17" t="str">
        <x:v>Frontier Estimates</x:v>
      </x:c>
      <x:c r="B129" s="17" t="str">
        <x:v>K9</x:v>
      </x:c>
      <x:c r="C129" s="17" t="str">
        <x:v>U+003D</x:v>
      </x:c>
      <x:c r="D129" s="23" t="str">
        <x:v>POWER(10,H9+'Regression Model'!$B$11)/1E9</x:v>
      </x:c>
    </x:row>
    <x:row r="130">
      <x:c r="A130" s="17" t="str">
        <x:v>Frontier Estimates</x:v>
      </x:c>
      <x:c r="B130" s="17" t="str">
        <x:v>L9</x:v>
      </x:c>
      <x:c r="C130" s="17" t="str">
        <x:v>U+003D</x:v>
      </x:c>
      <x:c r="D130" s="23" t="str">
        <x:v>POWER(10,'Regression Model'!$B$7+'Regression Model'!$B$8*E9+'Regression Model'!$B$9*G9)/1E9</x:v>
      </x:c>
    </x:row>
    <x:row r="131">
      <x:c r="A131" s="17" t="str">
        <x:v>Frontier Estimates</x:v>
      </x:c>
      <x:c r="B131" s="17" t="str">
        <x:v>M9</x:v>
      </x:c>
      <x:c r="C131" s="17" t="str">
        <x:v>U+003D</x:v>
      </x:c>
      <x:c r="D131" s="23" t="str">
        <x:v>POWER(10,'Regression Model'!$B$7+'Regression Model'!$B$8*F9+'Regression Model'!$B$9*G9)/1E9</x:v>
      </x:c>
    </x:row>
    <x:row r="132">
      <x:c r="A132" s="17" t="str">
        <x:v>Frontier Estimates</x:v>
      </x:c>
      <x:c r="B132" s="17" t="str">
        <x:v>N9</x:v>
      </x:c>
      <x:c r="C132" s="17" t="str">
        <x:v>U+003D</x:v>
      </x:c>
      <x:c r="D132" s="23" t="str">
        <x:v>POWER(10,(D9-'Regression Model'!$B$18-'Regression Model'!$B$20*G9)/'Regression Model'!$B$19)/1E9</x:v>
      </x:c>
    </x:row>
    <x:row r="133">
      <x:c r="A133" s="17" t="str">
        <x:v>Frontier Estimates</x:v>
      </x:c>
      <x:c r="B133" s="17" t="str">
        <x:v>G10</x:v>
      </x:c>
      <x:c r="C133" s="17" t="str">
        <x:v>U+003D</x:v>
      </x:c>
      <x:c r="D133" s="23" t="str">
        <x:v>(C10-'Regression Model'!$B$4)/365.25</x:v>
      </x:c>
    </x:row>
    <x:row r="134">
      <x:c r="A134" s="17" t="str">
        <x:v>Frontier Estimates</x:v>
      </x:c>
      <x:c r="B134" s="17" t="str">
        <x:v>H10</x:v>
      </x:c>
      <x:c r="C134" s="17" t="str">
        <x:v>U+003D</x:v>
      </x:c>
      <x:c r="D134" s="23" t="str">
        <x:v>'Regression Model'!$B$7+'Regression Model'!$B$8*D10+'Regression Model'!$B$9*G10</x:v>
      </x:c>
    </x:row>
    <x:row r="135">
      <x:c r="A135" s="17" t="str">
        <x:v>Frontier Estimates</x:v>
      </x:c>
      <x:c r="B135" s="17" t="str">
        <x:v>I10</x:v>
      </x:c>
      <x:c r="C135" s="17" t="str">
        <x:v>U+003D</x:v>
      </x:c>
      <x:c r="D135" s="23" t="str">
        <x:v>POWER(10,H10)/1E9</x:v>
      </x:c>
    </x:row>
    <x:row r="136">
      <x:c r="A136" s="17" t="str">
        <x:v>Frontier Estimates</x:v>
      </x:c>
      <x:c r="B136" s="17" t="str">
        <x:v>J10</x:v>
      </x:c>
      <x:c r="C136" s="17" t="str">
        <x:v>U+003D</x:v>
      </x:c>
      <x:c r="D136" s="23" t="str">
        <x:v>POWER(10,H10-'Regression Model'!$B$11)/1E9</x:v>
      </x:c>
    </x:row>
    <x:row r="137">
      <x:c r="A137" s="17" t="str">
        <x:v>Frontier Estimates</x:v>
      </x:c>
      <x:c r="B137" s="17" t="str">
        <x:v>K10</x:v>
      </x:c>
      <x:c r="C137" s="17" t="str">
        <x:v>U+003D</x:v>
      </x:c>
      <x:c r="D137" s="23" t="str">
        <x:v>POWER(10,H10+'Regression Model'!$B$11)/1E9</x:v>
      </x:c>
    </x:row>
    <x:row r="138">
      <x:c r="A138" s="17" t="str">
        <x:v>Frontier Estimates</x:v>
      </x:c>
      <x:c r="B138" s="17" t="str">
        <x:v>L10</x:v>
      </x:c>
      <x:c r="C138" s="17" t="str">
        <x:v>U+003D</x:v>
      </x:c>
      <x:c r="D138" s="23" t="str">
        <x:v>POWER(10,'Regression Model'!$B$7+'Regression Model'!$B$8*E10+'Regression Model'!$B$9*G10)/1E9</x:v>
      </x:c>
    </x:row>
    <x:row r="139">
      <x:c r="A139" s="17" t="str">
        <x:v>Frontier Estimates</x:v>
      </x:c>
      <x:c r="B139" s="17" t="str">
        <x:v>M10</x:v>
      </x:c>
      <x:c r="C139" s="17" t="str">
        <x:v>U+003D</x:v>
      </x:c>
      <x:c r="D139" s="23" t="str">
        <x:v>POWER(10,'Regression Model'!$B$7+'Regression Model'!$B$8*F10+'Regression Model'!$B$9*G10)/1E9</x:v>
      </x:c>
    </x:row>
    <x:row r="140">
      <x:c r="A140" s="17" t="str">
        <x:v>Frontier Estimates</x:v>
      </x:c>
      <x:c r="B140" s="17" t="str">
        <x:v>N10</x:v>
      </x:c>
      <x:c r="C140" s="17" t="str">
        <x:v>U+003D</x:v>
      </x:c>
      <x:c r="D140" s="23" t="str">
        <x:v>POWER(10,(D10-'Regression Model'!$B$18-'Regression Model'!$B$20*G10)/'Regression Model'!$B$19)/1E9</x:v>
      </x:c>
    </x:row>
    <x:row r="141">
      <x:c r="A141" s="17" t="str">
        <x:v>Frontier Estimates</x:v>
      </x:c>
      <x:c r="B141" s="17" t="str">
        <x:v>G11</x:v>
      </x:c>
      <x:c r="C141" s="17" t="str">
        <x:v>U+003D</x:v>
      </x:c>
      <x:c r="D141" s="23" t="str">
        <x:v>(C11-'Regression Model'!$B$4)/365.25</x:v>
      </x:c>
    </x:row>
    <x:row r="142">
      <x:c r="A142" s="17" t="str">
        <x:v>Frontier Estimates</x:v>
      </x:c>
      <x:c r="B142" s="17" t="str">
        <x:v>H11</x:v>
      </x:c>
      <x:c r="C142" s="17" t="str">
        <x:v>U+003D</x:v>
      </x:c>
      <x:c r="D142" s="23" t="str">
        <x:v>'Regression Model'!$B$7+'Regression Model'!$B$8*D11+'Regression Model'!$B$9*G11</x:v>
      </x:c>
    </x:row>
    <x:row r="143">
      <x:c r="A143" s="17" t="str">
        <x:v>Frontier Estimates</x:v>
      </x:c>
      <x:c r="B143" s="17" t="str">
        <x:v>I11</x:v>
      </x:c>
      <x:c r="C143" s="17" t="str">
        <x:v>U+003D</x:v>
      </x:c>
      <x:c r="D143" s="23" t="str">
        <x:v>POWER(10,H11)/1E9</x:v>
      </x:c>
    </x:row>
    <x:row r="144">
      <x:c r="A144" s="17" t="str">
        <x:v>Frontier Estimates</x:v>
      </x:c>
      <x:c r="B144" s="17" t="str">
        <x:v>J11</x:v>
      </x:c>
      <x:c r="C144" s="17" t="str">
        <x:v>U+003D</x:v>
      </x:c>
      <x:c r="D144" s="23" t="str">
        <x:v>POWER(10,H11-'Regression Model'!$B$11)/1E9</x:v>
      </x:c>
    </x:row>
    <x:row r="145">
      <x:c r="A145" s="17" t="str">
        <x:v>Frontier Estimates</x:v>
      </x:c>
      <x:c r="B145" s="17" t="str">
        <x:v>K11</x:v>
      </x:c>
      <x:c r="C145" s="17" t="str">
        <x:v>U+003D</x:v>
      </x:c>
      <x:c r="D145" s="23" t="str">
        <x:v>POWER(10,H11+'Regression Model'!$B$11)/1E9</x:v>
      </x:c>
    </x:row>
    <x:row r="146">
      <x:c r="A146" s="17" t="str">
        <x:v>Frontier Estimates</x:v>
      </x:c>
      <x:c r="B146" s="17" t="str">
        <x:v>L11</x:v>
      </x:c>
      <x:c r="C146" s="17" t="str">
        <x:v>U+003D</x:v>
      </x:c>
      <x:c r="D146" s="23" t="str">
        <x:v>POWER(10,'Regression Model'!$B$7+'Regression Model'!$B$8*E11+'Regression Model'!$B$9*G11)/1E9</x:v>
      </x:c>
    </x:row>
    <x:row r="147">
      <x:c r="A147" s="17" t="str">
        <x:v>Frontier Estimates</x:v>
      </x:c>
      <x:c r="B147" s="17" t="str">
        <x:v>M11</x:v>
      </x:c>
      <x:c r="C147" s="17" t="str">
        <x:v>U+003D</x:v>
      </x:c>
      <x:c r="D147" s="23" t="str">
        <x:v>POWER(10,'Regression Model'!$B$7+'Regression Model'!$B$8*F11+'Regression Model'!$B$9*G11)/1E9</x:v>
      </x:c>
    </x:row>
    <x:row r="148">
      <x:c r="A148" s="17" t="str">
        <x:v>Frontier Estimates</x:v>
      </x:c>
      <x:c r="B148" s="17" t="str">
        <x:v>N11</x:v>
      </x:c>
      <x:c r="C148" s="17" t="str">
        <x:v>U+003D</x:v>
      </x:c>
      <x:c r="D148" s="23" t="str">
        <x:v>POWER(10,(D11-'Regression Model'!$B$18-'Regression Model'!$B$20*G11)/'Regression Model'!$B$19)/1E9</x:v>
      </x:c>
    </x:row>
    <x:row r="149">
      <x:c r="A149" s="17" t="str">
        <x:v>Frontier Estimates</x:v>
      </x:c>
      <x:c r="B149" s="17" t="str">
        <x:v>G12</x:v>
      </x:c>
      <x:c r="C149" s="17" t="str">
        <x:v>U+003D</x:v>
      </x:c>
      <x:c r="D149" s="23" t="str">
        <x:v>(C12-'Regression Model'!$B$4)/365.25</x:v>
      </x:c>
    </x:row>
    <x:row r="150">
      <x:c r="A150" s="17" t="str">
        <x:v>Frontier Estimates</x:v>
      </x:c>
      <x:c r="B150" s="17" t="str">
        <x:v>H12</x:v>
      </x:c>
      <x:c r="C150" s="17" t="str">
        <x:v>U+003D</x:v>
      </x:c>
      <x:c r="D150" s="23" t="str">
        <x:v>'Regression Model'!$B$7+'Regression Model'!$B$8*D12+'Regression Model'!$B$9*G12</x:v>
      </x:c>
    </x:row>
    <x:row r="151">
      <x:c r="A151" s="17" t="str">
        <x:v>Frontier Estimates</x:v>
      </x:c>
      <x:c r="B151" s="17" t="str">
        <x:v>I12</x:v>
      </x:c>
      <x:c r="C151" s="17" t="str">
        <x:v>U+003D</x:v>
      </x:c>
      <x:c r="D151" s="23" t="str">
        <x:v>POWER(10,H12)/1E9</x:v>
      </x:c>
    </x:row>
    <x:row r="152">
      <x:c r="A152" s="17" t="str">
        <x:v>Frontier Estimates</x:v>
      </x:c>
      <x:c r="B152" s="17" t="str">
        <x:v>J12</x:v>
      </x:c>
      <x:c r="C152" s="17" t="str">
        <x:v>U+003D</x:v>
      </x:c>
      <x:c r="D152" s="23" t="str">
        <x:v>POWER(10,H12-'Regression Model'!$B$11)/1E9</x:v>
      </x:c>
    </x:row>
    <x:row r="153">
      <x:c r="A153" s="17" t="str">
        <x:v>Frontier Estimates</x:v>
      </x:c>
      <x:c r="B153" s="17" t="str">
        <x:v>K12</x:v>
      </x:c>
      <x:c r="C153" s="17" t="str">
        <x:v>U+003D</x:v>
      </x:c>
      <x:c r="D153" s="23" t="str">
        <x:v>POWER(10,H12+'Regression Model'!$B$11)/1E9</x:v>
      </x:c>
    </x:row>
    <x:row r="154">
      <x:c r="A154" s="17" t="str">
        <x:v>Frontier Estimates</x:v>
      </x:c>
      <x:c r="B154" s="17" t="str">
        <x:v>L12</x:v>
      </x:c>
      <x:c r="C154" s="17" t="str">
        <x:v>U+003D</x:v>
      </x:c>
      <x:c r="D154" s="23" t="str">
        <x:v>POWER(10,'Regression Model'!$B$7+'Regression Model'!$B$8*E12+'Regression Model'!$B$9*G12)/1E9</x:v>
      </x:c>
    </x:row>
    <x:row r="155">
      <x:c r="A155" s="17" t="str">
        <x:v>Frontier Estimates</x:v>
      </x:c>
      <x:c r="B155" s="17" t="str">
        <x:v>M12</x:v>
      </x:c>
      <x:c r="C155" s="17" t="str">
        <x:v>U+003D</x:v>
      </x:c>
      <x:c r="D155" s="23" t="str">
        <x:v>POWER(10,'Regression Model'!$B$7+'Regression Model'!$B$8*F12+'Regression Model'!$B$9*G12)/1E9</x:v>
      </x:c>
    </x:row>
    <x:row r="156">
      <x:c r="A156" s="17" t="str">
        <x:v>Frontier Estimates</x:v>
      </x:c>
      <x:c r="B156" s="17" t="str">
        <x:v>N12</x:v>
      </x:c>
      <x:c r="C156" s="17" t="str">
        <x:v>U+003D</x:v>
      </x:c>
      <x:c r="D156" s="23" t="str">
        <x:v>POWER(10,(D12-'Regression Model'!$B$18-'Regression Model'!$B$20*G12)/'Regression Model'!$B$19)/1E9</x:v>
      </x:c>
    </x:row>
    <x:row r="157">
      <x:c r="A157" s="17" t="str">
        <x:v>Frontier Estimates</x:v>
      </x:c>
      <x:c r="B157" s="17" t="str">
        <x:v>G13</x:v>
      </x:c>
      <x:c r="C157" s="17" t="str">
        <x:v>U+003D</x:v>
      </x:c>
      <x:c r="D157" s="23" t="str">
        <x:v>(C13-'Regression Model'!$B$4)/365.25</x:v>
      </x:c>
    </x:row>
    <x:row r="158">
      <x:c r="A158" s="17" t="str">
        <x:v>Frontier Estimates</x:v>
      </x:c>
      <x:c r="B158" s="17" t="str">
        <x:v>H13</x:v>
      </x:c>
      <x:c r="C158" s="17" t="str">
        <x:v>U+003D</x:v>
      </x:c>
      <x:c r="D158" s="23" t="str">
        <x:v>'Regression Model'!$B$7+'Regression Model'!$B$8*D13+'Regression Model'!$B$9*G13</x:v>
      </x:c>
    </x:row>
    <x:row r="159">
      <x:c r="A159" s="17" t="str">
        <x:v>Frontier Estimates</x:v>
      </x:c>
      <x:c r="B159" s="17" t="str">
        <x:v>I13</x:v>
      </x:c>
      <x:c r="C159" s="17" t="str">
        <x:v>U+003D</x:v>
      </x:c>
      <x:c r="D159" s="23" t="str">
        <x:v>POWER(10,H13)/1E9</x:v>
      </x:c>
    </x:row>
    <x:row r="160">
      <x:c r="A160" s="17" t="str">
        <x:v>Frontier Estimates</x:v>
      </x:c>
      <x:c r="B160" s="17" t="str">
        <x:v>J13</x:v>
      </x:c>
      <x:c r="C160" s="17" t="str">
        <x:v>U+003D</x:v>
      </x:c>
      <x:c r="D160" s="23" t="str">
        <x:v>POWER(10,H13-'Regression Model'!$B$11)/1E9</x:v>
      </x:c>
    </x:row>
    <x:row r="161">
      <x:c r="A161" s="17" t="str">
        <x:v>Frontier Estimates</x:v>
      </x:c>
      <x:c r="B161" s="17" t="str">
        <x:v>K13</x:v>
      </x:c>
      <x:c r="C161" s="17" t="str">
        <x:v>U+003D</x:v>
      </x:c>
      <x:c r="D161" s="23" t="str">
        <x:v>POWER(10,H13+'Regression Model'!$B$11)/1E9</x:v>
      </x:c>
    </x:row>
    <x:row r="162">
      <x:c r="A162" s="17" t="str">
        <x:v>Frontier Estimates</x:v>
      </x:c>
      <x:c r="B162" s="17" t="str">
        <x:v>L13</x:v>
      </x:c>
      <x:c r="C162" s="17" t="str">
        <x:v>U+003D</x:v>
      </x:c>
      <x:c r="D162" s="23" t="str">
        <x:v>POWER(10,'Regression Model'!$B$7+'Regression Model'!$B$8*E13+'Regression Model'!$B$9*G13)/1E9</x:v>
      </x:c>
    </x:row>
    <x:row r="163">
      <x:c r="A163" s="17" t="str">
        <x:v>Frontier Estimates</x:v>
      </x:c>
      <x:c r="B163" s="17" t="str">
        <x:v>M13</x:v>
      </x:c>
      <x:c r="C163" s="17" t="str">
        <x:v>U+003D</x:v>
      </x:c>
      <x:c r="D163" s="23" t="str">
        <x:v>POWER(10,'Regression Model'!$B$7+'Regression Model'!$B$8*F13+'Regression Model'!$B$9*G13)/1E9</x:v>
      </x:c>
    </x:row>
    <x:row r="164">
      <x:c r="A164" s="17" t="str">
        <x:v>Frontier Estimates</x:v>
      </x:c>
      <x:c r="B164" s="17" t="str">
        <x:v>N13</x:v>
      </x:c>
      <x:c r="C164" s="17" t="str">
        <x:v>U+003D</x:v>
      </x:c>
      <x:c r="D164" s="23" t="str">
        <x:v>POWER(10,(D13-'Regression Model'!$B$18-'Regression Model'!$B$20*G13)/'Regression Model'!$B$19)/1E9</x:v>
      </x:c>
    </x:row>
    <x:row r="165">
      <x:c r="A165" s="17" t="str">
        <x:v>Frontier Estimates</x:v>
      </x:c>
      <x:c r="B165" s="17" t="str">
        <x:v>G14</x:v>
      </x:c>
      <x:c r="C165" s="17" t="str">
        <x:v>U+003D</x:v>
      </x:c>
      <x:c r="D165" s="23" t="str">
        <x:v>(C14-'Regression Model'!$B$4)/365.25</x:v>
      </x:c>
    </x:row>
    <x:row r="166">
      <x:c r="A166" s="17" t="str">
        <x:v>Frontier Estimates</x:v>
      </x:c>
      <x:c r="B166" s="17" t="str">
        <x:v>H14</x:v>
      </x:c>
      <x:c r="C166" s="17" t="str">
        <x:v>U+003D</x:v>
      </x:c>
      <x:c r="D166" s="23" t="str">
        <x:v>'Regression Model'!$B$7+'Regression Model'!$B$8*D14+'Regression Model'!$B$9*G14</x:v>
      </x:c>
    </x:row>
    <x:row r="167">
      <x:c r="A167" s="17" t="str">
        <x:v>Frontier Estimates</x:v>
      </x:c>
      <x:c r="B167" s="17" t="str">
        <x:v>I14</x:v>
      </x:c>
      <x:c r="C167" s="17" t="str">
        <x:v>U+003D</x:v>
      </x:c>
      <x:c r="D167" s="23" t="str">
        <x:v>POWER(10,H14)/1E9</x:v>
      </x:c>
    </x:row>
    <x:row r="168">
      <x:c r="A168" s="17" t="str">
        <x:v>Frontier Estimates</x:v>
      </x:c>
      <x:c r="B168" s="17" t="str">
        <x:v>J14</x:v>
      </x:c>
      <x:c r="C168" s="17" t="str">
        <x:v>U+003D</x:v>
      </x:c>
      <x:c r="D168" s="23" t="str">
        <x:v>POWER(10,H14-'Regression Model'!$B$11)/1E9</x:v>
      </x:c>
    </x:row>
    <x:row r="169">
      <x:c r="A169" s="17" t="str">
        <x:v>Frontier Estimates</x:v>
      </x:c>
      <x:c r="B169" s="17" t="str">
        <x:v>K14</x:v>
      </x:c>
      <x:c r="C169" s="17" t="str">
        <x:v>U+003D</x:v>
      </x:c>
      <x:c r="D169" s="23" t="str">
        <x:v>POWER(10,H14+'Regression Model'!$B$11)/1E9</x:v>
      </x:c>
    </x:row>
    <x:row r="170">
      <x:c r="A170" s="17" t="str">
        <x:v>Frontier Estimates</x:v>
      </x:c>
      <x:c r="B170" s="17" t="str">
        <x:v>L14</x:v>
      </x:c>
      <x:c r="C170" s="17" t="str">
        <x:v>U+003D</x:v>
      </x:c>
      <x:c r="D170" s="23" t="str">
        <x:v>POWER(10,'Regression Model'!$B$7+'Regression Model'!$B$8*E14+'Regression Model'!$B$9*G14)/1E9</x:v>
      </x:c>
    </x:row>
    <x:row r="171">
      <x:c r="A171" s="17" t="str">
        <x:v>Frontier Estimates</x:v>
      </x:c>
      <x:c r="B171" s="17" t="str">
        <x:v>M14</x:v>
      </x:c>
      <x:c r="C171" s="17" t="str">
        <x:v>U+003D</x:v>
      </x:c>
      <x:c r="D171" s="23" t="str">
        <x:v>POWER(10,'Regression Model'!$B$7+'Regression Model'!$B$8*F14+'Regression Model'!$B$9*G14)/1E9</x:v>
      </x:c>
    </x:row>
    <x:row r="172">
      <x:c r="A172" s="17" t="str">
        <x:v>Frontier Estimates</x:v>
      </x:c>
      <x:c r="B172" s="17" t="str">
        <x:v>N14</x:v>
      </x:c>
      <x:c r="C172" s="17" t="str">
        <x:v>U+003D</x:v>
      </x:c>
      <x:c r="D172" s="23" t="str">
        <x:v>POWER(10,(D14-'Regression Model'!$B$18-'Regression Model'!$B$20*G14)/'Regression Model'!$B$19)/1E9</x:v>
      </x:c>
    </x:row>
    <x:row r="173">
      <x:c r="A173" s="17" t="str">
        <x:v>Frontier Estimates</x:v>
      </x:c>
      <x:c r="B173" s="17" t="str">
        <x:v>G15</x:v>
      </x:c>
      <x:c r="C173" s="17" t="str">
        <x:v>U+003D</x:v>
      </x:c>
      <x:c r="D173" s="23" t="str">
        <x:v>(C15-'Regression Model'!$B$4)/365.25</x:v>
      </x:c>
    </x:row>
    <x:row r="174">
      <x:c r="A174" s="17" t="str">
        <x:v>Frontier Estimates</x:v>
      </x:c>
      <x:c r="B174" s="17" t="str">
        <x:v>H15</x:v>
      </x:c>
      <x:c r="C174" s="17" t="str">
        <x:v>U+003D</x:v>
      </x:c>
      <x:c r="D174" s="23" t="str">
        <x:v>'Regression Model'!$B$7+'Regression Model'!$B$8*D15+'Regression Model'!$B$9*G15</x:v>
      </x:c>
    </x:row>
    <x:row r="175">
      <x:c r="A175" s="17" t="str">
        <x:v>Frontier Estimates</x:v>
      </x:c>
      <x:c r="B175" s="17" t="str">
        <x:v>I15</x:v>
      </x:c>
      <x:c r="C175" s="17" t="str">
        <x:v>U+003D</x:v>
      </x:c>
      <x:c r="D175" s="23" t="str">
        <x:v>POWER(10,H15)/1E9</x:v>
      </x:c>
    </x:row>
    <x:row r="176">
      <x:c r="A176" s="17" t="str">
        <x:v>Frontier Estimates</x:v>
      </x:c>
      <x:c r="B176" s="17" t="str">
        <x:v>J15</x:v>
      </x:c>
      <x:c r="C176" s="17" t="str">
        <x:v>U+003D</x:v>
      </x:c>
      <x:c r="D176" s="23" t="str">
        <x:v>POWER(10,H15-'Regression Model'!$B$11)/1E9</x:v>
      </x:c>
    </x:row>
    <x:row r="177">
      <x:c r="A177" s="17" t="str">
        <x:v>Frontier Estimates</x:v>
      </x:c>
      <x:c r="B177" s="17" t="str">
        <x:v>K15</x:v>
      </x:c>
      <x:c r="C177" s="17" t="str">
        <x:v>U+003D</x:v>
      </x:c>
      <x:c r="D177" s="23" t="str">
        <x:v>POWER(10,H15+'Regression Model'!$B$11)/1E9</x:v>
      </x:c>
    </x:row>
    <x:row r="178">
      <x:c r="A178" s="17" t="str">
        <x:v>Frontier Estimates</x:v>
      </x:c>
      <x:c r="B178" s="17" t="str">
        <x:v>L15</x:v>
      </x:c>
      <x:c r="C178" s="17" t="str">
        <x:v>U+003D</x:v>
      </x:c>
      <x:c r="D178" s="23" t="str">
        <x:v>POWER(10,'Regression Model'!$B$7+'Regression Model'!$B$8*E15+'Regression Model'!$B$9*G15)/1E9</x:v>
      </x:c>
    </x:row>
    <x:row r="179">
      <x:c r="A179" s="17" t="str">
        <x:v>Frontier Estimates</x:v>
      </x:c>
      <x:c r="B179" s="17" t="str">
        <x:v>M15</x:v>
      </x:c>
      <x:c r="C179" s="17" t="str">
        <x:v>U+003D</x:v>
      </x:c>
      <x:c r="D179" s="23" t="str">
        <x:v>POWER(10,'Regression Model'!$B$7+'Regression Model'!$B$8*F15+'Regression Model'!$B$9*G15)/1E9</x:v>
      </x:c>
    </x:row>
    <x:row r="180">
      <x:c r="A180" s="17" t="str">
        <x:v>Frontier Estimates</x:v>
      </x:c>
      <x:c r="B180" s="17" t="str">
        <x:v>N15</x:v>
      </x:c>
      <x:c r="C180" s="17" t="str">
        <x:v>U+003D</x:v>
      </x:c>
      <x:c r="D180" s="23" t="str">
        <x:v>POWER(10,(D15-'Regression Model'!$B$18-'Regression Model'!$B$20*G15)/'Regression Model'!$B$19)/1E9</x:v>
      </x:c>
    </x:row>
    <x:row r="181">
      <x:c r="A181" s="17" t="str">
        <x:v>Frontier Estimates</x:v>
      </x:c>
      <x:c r="B181" s="17" t="str">
        <x:v>G16</x:v>
      </x:c>
      <x:c r="C181" s="17" t="str">
        <x:v>U+003D</x:v>
      </x:c>
      <x:c r="D181" s="23" t="str">
        <x:v>(C16-'Regression Model'!$B$4)/365.25</x:v>
      </x:c>
    </x:row>
    <x:row r="182">
      <x:c r="A182" s="17" t="str">
        <x:v>Frontier Estimates</x:v>
      </x:c>
      <x:c r="B182" s="17" t="str">
        <x:v>H16</x:v>
      </x:c>
      <x:c r="C182" s="17" t="str">
        <x:v>U+003D</x:v>
      </x:c>
      <x:c r="D182" s="23" t="str">
        <x:v>'Regression Model'!$B$7+'Regression Model'!$B$8*D16+'Regression Model'!$B$9*G16</x:v>
      </x:c>
    </x:row>
    <x:row r="183">
      <x:c r="A183" s="17" t="str">
        <x:v>Frontier Estimates</x:v>
      </x:c>
      <x:c r="B183" s="17" t="str">
        <x:v>I16</x:v>
      </x:c>
      <x:c r="C183" s="17" t="str">
        <x:v>U+003D</x:v>
      </x:c>
      <x:c r="D183" s="23" t="str">
        <x:v>POWER(10,H16)/1E9</x:v>
      </x:c>
    </x:row>
    <x:row r="184">
      <x:c r="A184" s="17" t="str">
        <x:v>Frontier Estimates</x:v>
      </x:c>
      <x:c r="B184" s="17" t="str">
        <x:v>J16</x:v>
      </x:c>
      <x:c r="C184" s="17" t="str">
        <x:v>U+003D</x:v>
      </x:c>
      <x:c r="D184" s="23" t="str">
        <x:v>POWER(10,H16-'Regression Model'!$B$11)/1E9</x:v>
      </x:c>
    </x:row>
    <x:row r="185">
      <x:c r="A185" s="17" t="str">
        <x:v>Frontier Estimates</x:v>
      </x:c>
      <x:c r="B185" s="17" t="str">
        <x:v>K16</x:v>
      </x:c>
      <x:c r="C185" s="17" t="str">
        <x:v>U+003D</x:v>
      </x:c>
      <x:c r="D185" s="23" t="str">
        <x:v>POWER(10,H16+'Regression Model'!$B$11)/1E9</x:v>
      </x:c>
    </x:row>
    <x:row r="186">
      <x:c r="A186" s="17" t="str">
        <x:v>Frontier Estimates</x:v>
      </x:c>
      <x:c r="B186" s="17" t="str">
        <x:v>L16</x:v>
      </x:c>
      <x:c r="C186" s="17" t="str">
        <x:v>U+003D</x:v>
      </x:c>
      <x:c r="D186" s="23" t="str">
        <x:v>POWER(10,'Regression Model'!$B$7+'Regression Model'!$B$8*E16+'Regression Model'!$B$9*G16)/1E9</x:v>
      </x:c>
    </x:row>
    <x:row r="187">
      <x:c r="A187" s="17" t="str">
        <x:v>Frontier Estimates</x:v>
      </x:c>
      <x:c r="B187" s="17" t="str">
        <x:v>M16</x:v>
      </x:c>
      <x:c r="C187" s="17" t="str">
        <x:v>U+003D</x:v>
      </x:c>
      <x:c r="D187" s="23" t="str">
        <x:v>POWER(10,'Regression Model'!$B$7+'Regression Model'!$B$8*F16+'Regression Model'!$B$9*G16)/1E9</x:v>
      </x:c>
    </x:row>
    <x:row r="188">
      <x:c r="A188" s="17" t="str">
        <x:v>Frontier Estimates</x:v>
      </x:c>
      <x:c r="B188" s="17" t="str">
        <x:v>N16</x:v>
      </x:c>
      <x:c r="C188" s="17" t="str">
        <x:v>U+003D</x:v>
      </x:c>
      <x:c r="D188" s="23" t="str">
        <x:v>POWER(10,(D16-'Regression Model'!$B$18-'Regression Model'!$B$20*G16)/'Regression Model'!$B$19)/1E9</x:v>
      </x:c>
    </x:row>
    <x:row r="189">
      <x:c r="A189" s="17" t="str">
        <x:v>Frontier Estimates</x:v>
      </x:c>
      <x:c r="B189" s="17" t="str">
        <x:v>G17</x:v>
      </x:c>
      <x:c r="C189" s="17" t="str">
        <x:v>U+003D</x:v>
      </x:c>
      <x:c r="D189" s="23" t="str">
        <x:v>(C17-'Regression Model'!$B$4)/365.25</x:v>
      </x:c>
    </x:row>
    <x:row r="190">
      <x:c r="A190" s="17" t="str">
        <x:v>Frontier Estimates</x:v>
      </x:c>
      <x:c r="B190" s="17" t="str">
        <x:v>H17</x:v>
      </x:c>
      <x:c r="C190" s="17" t="str">
        <x:v>U+003D</x:v>
      </x:c>
      <x:c r="D190" s="23" t="str">
        <x:v>'Regression Model'!$B$7+'Regression Model'!$B$8*D17+'Regression Model'!$B$9*G17</x:v>
      </x:c>
    </x:row>
    <x:row r="191">
      <x:c r="A191" s="17" t="str">
        <x:v>Frontier Estimates</x:v>
      </x:c>
      <x:c r="B191" s="17" t="str">
        <x:v>I17</x:v>
      </x:c>
      <x:c r="C191" s="17" t="str">
        <x:v>U+003D</x:v>
      </x:c>
      <x:c r="D191" s="23" t="str">
        <x:v>POWER(10,H17)/1E9</x:v>
      </x:c>
    </x:row>
    <x:row r="192">
      <x:c r="A192" s="17" t="str">
        <x:v>Frontier Estimates</x:v>
      </x:c>
      <x:c r="B192" s="17" t="str">
        <x:v>J17</x:v>
      </x:c>
      <x:c r="C192" s="17" t="str">
        <x:v>U+003D</x:v>
      </x:c>
      <x:c r="D192" s="23" t="str">
        <x:v>POWER(10,H17-'Regression Model'!$B$11)/1E9</x:v>
      </x:c>
    </x:row>
    <x:row r="193">
      <x:c r="A193" s="17" t="str">
        <x:v>Frontier Estimates</x:v>
      </x:c>
      <x:c r="B193" s="17" t="str">
        <x:v>K17</x:v>
      </x:c>
      <x:c r="C193" s="17" t="str">
        <x:v>U+003D</x:v>
      </x:c>
      <x:c r="D193" s="23" t="str">
        <x:v>POWER(10,H17+'Regression Model'!$B$11)/1E9</x:v>
      </x:c>
    </x:row>
    <x:row r="194">
      <x:c r="A194" s="17" t="str">
        <x:v>Frontier Estimates</x:v>
      </x:c>
      <x:c r="B194" s="17" t="str">
        <x:v>L17</x:v>
      </x:c>
      <x:c r="C194" s="17" t="str">
        <x:v>U+003D</x:v>
      </x:c>
      <x:c r="D194" s="23" t="str">
        <x:v>POWER(10,'Regression Model'!$B$7+'Regression Model'!$B$8*E17+'Regression Model'!$B$9*G17)/1E9</x:v>
      </x:c>
    </x:row>
    <x:row r="195">
      <x:c r="A195" s="17" t="str">
        <x:v>Frontier Estimates</x:v>
      </x:c>
      <x:c r="B195" s="17" t="str">
        <x:v>M17</x:v>
      </x:c>
      <x:c r="C195" s="17" t="str">
        <x:v>U+003D</x:v>
      </x:c>
      <x:c r="D195" s="23" t="str">
        <x:v>POWER(10,'Regression Model'!$B$7+'Regression Model'!$B$8*F17+'Regression Model'!$B$9*G17)/1E9</x:v>
      </x:c>
    </x:row>
    <x:row r="196">
      <x:c r="A196" s="17" t="str">
        <x:v>Frontier Estimates</x:v>
      </x:c>
      <x:c r="B196" s="17" t="str">
        <x:v>N17</x:v>
      </x:c>
      <x:c r="C196" s="17" t="str">
        <x:v>U+003D</x:v>
      </x:c>
      <x:c r="D196" s="23" t="str">
        <x:v>POWER(10,(D17-'Regression Model'!$B$18-'Regression Model'!$B$20*G17)/'Regression Model'!$B$19)/1E9</x:v>
      </x:c>
    </x:row>
    <x:row r="197">
      <x:c r="A197" s="17" t="str">
        <x:v>Frontier Estimates</x:v>
      </x:c>
      <x:c r="B197" s="17" t="str">
        <x:v>G18</x:v>
      </x:c>
      <x:c r="C197" s="17" t="str">
        <x:v>U+003D</x:v>
      </x:c>
      <x:c r="D197" s="23" t="str">
        <x:v>(C18-'Regression Model'!$B$4)/365.25</x:v>
      </x:c>
    </x:row>
    <x:row r="198">
      <x:c r="A198" s="17" t="str">
        <x:v>Frontier Estimates</x:v>
      </x:c>
      <x:c r="B198" s="17" t="str">
        <x:v>H18</x:v>
      </x:c>
      <x:c r="C198" s="17" t="str">
        <x:v>U+003D</x:v>
      </x:c>
      <x:c r="D198" s="23" t="str">
        <x:v>'Regression Model'!$B$7+'Regression Model'!$B$8*D18+'Regression Model'!$B$9*G18</x:v>
      </x:c>
    </x:row>
    <x:row r="199">
      <x:c r="A199" s="17" t="str">
        <x:v>Frontier Estimates</x:v>
      </x:c>
      <x:c r="B199" s="17" t="str">
        <x:v>I18</x:v>
      </x:c>
      <x:c r="C199" s="17" t="str">
        <x:v>U+003D</x:v>
      </x:c>
      <x:c r="D199" s="23" t="str">
        <x:v>POWER(10,H18)/1E9</x:v>
      </x:c>
    </x:row>
    <x:row r="200">
      <x:c r="A200" s="17" t="str">
        <x:v>Frontier Estimates</x:v>
      </x:c>
      <x:c r="B200" s="17" t="str">
        <x:v>J18</x:v>
      </x:c>
      <x:c r="C200" s="17" t="str">
        <x:v>U+003D</x:v>
      </x:c>
      <x:c r="D200" s="23" t="str">
        <x:v>POWER(10,H18-'Regression Model'!$B$11)/1E9</x:v>
      </x:c>
    </x:row>
    <x:row r="201">
      <x:c r="A201" s="17" t="str">
        <x:v>Frontier Estimates</x:v>
      </x:c>
      <x:c r="B201" s="17" t="str">
        <x:v>K18</x:v>
      </x:c>
      <x:c r="C201" s="17" t="str">
        <x:v>U+003D</x:v>
      </x:c>
      <x:c r="D201" s="23" t="str">
        <x:v>POWER(10,H18+'Regression Model'!$B$11)/1E9</x:v>
      </x:c>
    </x:row>
    <x:row r="202">
      <x:c r="A202" s="17" t="str">
        <x:v>Frontier Estimates</x:v>
      </x:c>
      <x:c r="B202" s="17" t="str">
        <x:v>L18</x:v>
      </x:c>
      <x:c r="C202" s="17" t="str">
        <x:v>U+003D</x:v>
      </x:c>
      <x:c r="D202" s="23" t="str">
        <x:v>POWER(10,'Regression Model'!$B$7+'Regression Model'!$B$8*E18+'Regression Model'!$B$9*G18)/1E9</x:v>
      </x:c>
    </x:row>
    <x:row r="203">
      <x:c r="A203" s="17" t="str">
        <x:v>Frontier Estimates</x:v>
      </x:c>
      <x:c r="B203" s="17" t="str">
        <x:v>M18</x:v>
      </x:c>
      <x:c r="C203" s="17" t="str">
        <x:v>U+003D</x:v>
      </x:c>
      <x:c r="D203" s="23" t="str">
        <x:v>POWER(10,'Regression Model'!$B$7+'Regression Model'!$B$8*F18+'Regression Model'!$B$9*G18)/1E9</x:v>
      </x:c>
    </x:row>
    <x:row r="204">
      <x:c r="A204" s="17" t="str">
        <x:v>Frontier Estimates</x:v>
      </x:c>
      <x:c r="B204" s="17" t="str">
        <x:v>N18</x:v>
      </x:c>
      <x:c r="C204" s="17" t="str">
        <x:v>U+003D</x:v>
      </x:c>
      <x:c r="D204" s="23" t="str">
        <x:v>POWER(10,(D18-'Regression Model'!$B$18-'Regression Model'!$B$20*G18)/'Regression Model'!$B$19)/1E9</x:v>
      </x:c>
    </x:row>
    <x:row r="205">
      <x:c r="A205" s="17" t="str">
        <x:v>Frontier Estimates</x:v>
      </x:c>
      <x:c r="B205" s="17" t="str">
        <x:v>G19</x:v>
      </x:c>
      <x:c r="C205" s="17" t="str">
        <x:v>U+003D</x:v>
      </x:c>
      <x:c r="D205" s="23" t="str">
        <x:v>(C19-'Regression Model'!$B$4)/365.25</x:v>
      </x:c>
    </x:row>
    <x:row r="206">
      <x:c r="A206" s="17" t="str">
        <x:v>Frontier Estimates</x:v>
      </x:c>
      <x:c r="B206" s="17" t="str">
        <x:v>H19</x:v>
      </x:c>
      <x:c r="C206" s="17" t="str">
        <x:v>U+003D</x:v>
      </x:c>
      <x:c r="D206" s="23" t="str">
        <x:v>'Regression Model'!$B$7+'Regression Model'!$B$8*D19+'Regression Model'!$B$9*G19</x:v>
      </x:c>
    </x:row>
    <x:row r="207">
      <x:c r="A207" s="17" t="str">
        <x:v>Frontier Estimates</x:v>
      </x:c>
      <x:c r="B207" s="17" t="str">
        <x:v>I19</x:v>
      </x:c>
      <x:c r="C207" s="17" t="str">
        <x:v>U+003D</x:v>
      </x:c>
      <x:c r="D207" s="23" t="str">
        <x:v>POWER(10,H19)/1E9</x:v>
      </x:c>
    </x:row>
    <x:row r="208">
      <x:c r="A208" s="17" t="str">
        <x:v>Frontier Estimates</x:v>
      </x:c>
      <x:c r="B208" s="17" t="str">
        <x:v>J19</x:v>
      </x:c>
      <x:c r="C208" s="17" t="str">
        <x:v>U+003D</x:v>
      </x:c>
      <x:c r="D208" s="23" t="str">
        <x:v>POWER(10,H19-'Regression Model'!$B$11)/1E9</x:v>
      </x:c>
    </x:row>
    <x:row r="209">
      <x:c r="A209" s="17" t="str">
        <x:v>Frontier Estimates</x:v>
      </x:c>
      <x:c r="B209" s="17" t="str">
        <x:v>K19</x:v>
      </x:c>
      <x:c r="C209" s="17" t="str">
        <x:v>U+003D</x:v>
      </x:c>
      <x:c r="D209" s="23" t="str">
        <x:v>POWER(10,H19+'Regression Model'!$B$11)/1E9</x:v>
      </x:c>
    </x:row>
    <x:row r="210">
      <x:c r="A210" s="17" t="str">
        <x:v>Frontier Estimates</x:v>
      </x:c>
      <x:c r="B210" s="17" t="str">
        <x:v>L19</x:v>
      </x:c>
      <x:c r="C210" s="17" t="str">
        <x:v>U+003D</x:v>
      </x:c>
      <x:c r="D210" s="23" t="str">
        <x:v>POWER(10,'Regression Model'!$B$7+'Regression Model'!$B$8*E19+'Regression Model'!$B$9*G19)/1E9</x:v>
      </x:c>
    </x:row>
    <x:row r="211">
      <x:c r="A211" s="17" t="str">
        <x:v>Frontier Estimates</x:v>
      </x:c>
      <x:c r="B211" s="17" t="str">
        <x:v>M19</x:v>
      </x:c>
      <x:c r="C211" s="17" t="str">
        <x:v>U+003D</x:v>
      </x:c>
      <x:c r="D211" s="23" t="str">
        <x:v>POWER(10,'Regression Model'!$B$7+'Regression Model'!$B$8*F19+'Regression Model'!$B$9*G19)/1E9</x:v>
      </x:c>
    </x:row>
    <x:row r="212">
      <x:c r="A212" s="17" t="str">
        <x:v>Frontier Estimates</x:v>
      </x:c>
      <x:c r="B212" s="17" t="str">
        <x:v>N19</x:v>
      </x:c>
      <x:c r="C212" s="17" t="str">
        <x:v>U+003D</x:v>
      </x:c>
      <x:c r="D212" s="23" t="str">
        <x:v>POWER(10,(D19-'Regression Model'!$B$18-'Regression Model'!$B$20*G19)/'Regression Model'!$B$19)/1E9</x:v>
      </x:c>
    </x:row>
    <x:row r="213">
      <x:c r="A213" s="17" t="str">
        <x:v>Frontier Estimates</x:v>
      </x:c>
      <x:c r="B213" s="17" t="str">
        <x:v>G20</x:v>
      </x:c>
      <x:c r="C213" s="17" t="str">
        <x:v>U+003D</x:v>
      </x:c>
      <x:c r="D213" s="23" t="str">
        <x:v>(C20-'Regression Model'!$B$4)/365.25</x:v>
      </x:c>
    </x:row>
    <x:row r="214">
      <x:c r="A214" s="17" t="str">
        <x:v>Frontier Estimates</x:v>
      </x:c>
      <x:c r="B214" s="17" t="str">
        <x:v>H20</x:v>
      </x:c>
      <x:c r="C214" s="17" t="str">
        <x:v>U+003D</x:v>
      </x:c>
      <x:c r="D214" s="23" t="str">
        <x:v>'Regression Model'!$B$7+'Regression Model'!$B$8*D20+'Regression Model'!$B$9*G20</x:v>
      </x:c>
    </x:row>
    <x:row r="215">
      <x:c r="A215" s="17" t="str">
        <x:v>Frontier Estimates</x:v>
      </x:c>
      <x:c r="B215" s="17" t="str">
        <x:v>I20</x:v>
      </x:c>
      <x:c r="C215" s="17" t="str">
        <x:v>U+003D</x:v>
      </x:c>
      <x:c r="D215" s="23" t="str">
        <x:v>POWER(10,H20)/1E9</x:v>
      </x:c>
    </x:row>
    <x:row r="216">
      <x:c r="A216" s="17" t="str">
        <x:v>Frontier Estimates</x:v>
      </x:c>
      <x:c r="B216" s="17" t="str">
        <x:v>J20</x:v>
      </x:c>
      <x:c r="C216" s="17" t="str">
        <x:v>U+003D</x:v>
      </x:c>
      <x:c r="D216" s="23" t="str">
        <x:v>POWER(10,H20-'Regression Model'!$B$11)/1E9</x:v>
      </x:c>
    </x:row>
    <x:row r="217">
      <x:c r="A217" s="17" t="str">
        <x:v>Frontier Estimates</x:v>
      </x:c>
      <x:c r="B217" s="17" t="str">
        <x:v>K20</x:v>
      </x:c>
      <x:c r="C217" s="17" t="str">
        <x:v>U+003D</x:v>
      </x:c>
      <x:c r="D217" s="23" t="str">
        <x:v>POWER(10,H20+'Regression Model'!$B$11)/1E9</x:v>
      </x:c>
    </x:row>
    <x:row r="218">
      <x:c r="A218" s="17" t="str">
        <x:v>Frontier Estimates</x:v>
      </x:c>
      <x:c r="B218" s="17" t="str">
        <x:v>L20</x:v>
      </x:c>
      <x:c r="C218" s="17" t="str">
        <x:v>U+003D</x:v>
      </x:c>
      <x:c r="D218" s="23" t="str">
        <x:v>POWER(10,'Regression Model'!$B$7+'Regression Model'!$B$8*E20+'Regression Model'!$B$9*G20)/1E9</x:v>
      </x:c>
    </x:row>
    <x:row r="219">
      <x:c r="A219" s="17" t="str">
        <x:v>Frontier Estimates</x:v>
      </x:c>
      <x:c r="B219" s="17" t="str">
        <x:v>M20</x:v>
      </x:c>
      <x:c r="C219" s="17" t="str">
        <x:v>U+003D</x:v>
      </x:c>
      <x:c r="D219" s="23" t="str">
        <x:v>POWER(10,'Regression Model'!$B$7+'Regression Model'!$B$8*F20+'Regression Model'!$B$9*G20)/1E9</x:v>
      </x:c>
    </x:row>
    <x:row r="220">
      <x:c r="A220" s="17" t="str">
        <x:v>Frontier Estimates</x:v>
      </x:c>
      <x:c r="B220" s="17" t="str">
        <x:v>N20</x:v>
      </x:c>
      <x:c r="C220" s="17" t="str">
        <x:v>U+003D</x:v>
      </x:c>
      <x:c r="D220" s="23" t="str">
        <x:v>POWER(10,(D20-'Regression Model'!$B$18-'Regression Model'!$B$20*G20)/'Regression Model'!$B$19)/1E9</x:v>
      </x:c>
    </x:row>
    <x:row r="221">
      <x:c r="A221" s="17" t="str">
        <x:v>Frontier Estimates</x:v>
      </x:c>
      <x:c r="B221" s="17" t="str">
        <x:v>G21</x:v>
      </x:c>
      <x:c r="C221" s="17" t="str">
        <x:v>U+003D</x:v>
      </x:c>
      <x:c r="D221" s="23" t="str">
        <x:v>(C21-'Regression Model'!$B$4)/365.25</x:v>
      </x:c>
    </x:row>
    <x:row r="222">
      <x:c r="A222" s="17" t="str">
        <x:v>Frontier Estimates</x:v>
      </x:c>
      <x:c r="B222" s="17" t="str">
        <x:v>H21</x:v>
      </x:c>
      <x:c r="C222" s="17" t="str">
        <x:v>U+003D</x:v>
      </x:c>
      <x:c r="D222" s="23" t="str">
        <x:v>'Regression Model'!$B$7+'Regression Model'!$B$8*D21+'Regression Model'!$B$9*G21</x:v>
      </x:c>
    </x:row>
    <x:row r="223">
      <x:c r="A223" s="17" t="str">
        <x:v>Frontier Estimates</x:v>
      </x:c>
      <x:c r="B223" s="17" t="str">
        <x:v>I21</x:v>
      </x:c>
      <x:c r="C223" s="17" t="str">
        <x:v>U+003D</x:v>
      </x:c>
      <x:c r="D223" s="23" t="str">
        <x:v>POWER(10,H21)/1E9</x:v>
      </x:c>
    </x:row>
    <x:row r="224">
      <x:c r="A224" s="17" t="str">
        <x:v>Frontier Estimates</x:v>
      </x:c>
      <x:c r="B224" s="17" t="str">
        <x:v>J21</x:v>
      </x:c>
      <x:c r="C224" s="17" t="str">
        <x:v>U+003D</x:v>
      </x:c>
      <x:c r="D224" s="23" t="str">
        <x:v>POWER(10,H21-'Regression Model'!$B$11)/1E9</x:v>
      </x:c>
    </x:row>
    <x:row r="225">
      <x:c r="A225" s="17" t="str">
        <x:v>Frontier Estimates</x:v>
      </x:c>
      <x:c r="B225" s="17" t="str">
        <x:v>K21</x:v>
      </x:c>
      <x:c r="C225" s="17" t="str">
        <x:v>U+003D</x:v>
      </x:c>
      <x:c r="D225" s="23" t="str">
        <x:v>POWER(10,H21+'Regression Model'!$B$11)/1E9</x:v>
      </x:c>
    </x:row>
    <x:row r="226">
      <x:c r="A226" s="17" t="str">
        <x:v>Frontier Estimates</x:v>
      </x:c>
      <x:c r="B226" s="17" t="str">
        <x:v>L21</x:v>
      </x:c>
      <x:c r="C226" s="17" t="str">
        <x:v>U+003D</x:v>
      </x:c>
      <x:c r="D226" s="23" t="str">
        <x:v>POWER(10,'Regression Model'!$B$7+'Regression Model'!$B$8*E21+'Regression Model'!$B$9*G21)/1E9</x:v>
      </x:c>
    </x:row>
    <x:row r="227">
      <x:c r="A227" s="17" t="str">
        <x:v>Frontier Estimates</x:v>
      </x:c>
      <x:c r="B227" s="17" t="str">
        <x:v>M21</x:v>
      </x:c>
      <x:c r="C227" s="17" t="str">
        <x:v>U+003D</x:v>
      </x:c>
      <x:c r="D227" s="23" t="str">
        <x:v>POWER(10,'Regression Model'!$B$7+'Regression Model'!$B$8*F21+'Regression Model'!$B$9*G21)/1E9</x:v>
      </x:c>
    </x:row>
    <x:row r="228">
      <x:c r="A228" s="17" t="str">
        <x:v>Frontier Estimates</x:v>
      </x:c>
      <x:c r="B228" s="17" t="str">
        <x:v>N21</x:v>
      </x:c>
      <x:c r="C228" s="17" t="str">
        <x:v>U+003D</x:v>
      </x:c>
      <x:c r="D228" s="23" t="str">
        <x:v>POWER(10,(D21-'Regression Model'!$B$18-'Regression Model'!$B$20*G21)/'Regression Model'!$B$19)/1E9</x:v>
      </x:c>
    </x:row>
    <x:row r="229">
      <x:c r="A229" s="17" t="str">
        <x:v>Frontier Estimates</x:v>
      </x:c>
      <x:c r="B229" s="17" t="str">
        <x:v>G22</x:v>
      </x:c>
      <x:c r="C229" s="17" t="str">
        <x:v>U+003D</x:v>
      </x:c>
      <x:c r="D229" s="23" t="str">
        <x:v>(C22-'Regression Model'!$B$4)/365.25</x:v>
      </x:c>
    </x:row>
    <x:row r="230">
      <x:c r="A230" s="17" t="str">
        <x:v>Frontier Estimates</x:v>
      </x:c>
      <x:c r="B230" s="17" t="str">
        <x:v>H22</x:v>
      </x:c>
      <x:c r="C230" s="17" t="str">
        <x:v>U+003D</x:v>
      </x:c>
      <x:c r="D230" s="23" t="str">
        <x:v>'Regression Model'!$B$7+'Regression Model'!$B$8*D22+'Regression Model'!$B$9*G22</x:v>
      </x:c>
    </x:row>
    <x:row r="231">
      <x:c r="A231" s="17" t="str">
        <x:v>Frontier Estimates</x:v>
      </x:c>
      <x:c r="B231" s="17" t="str">
        <x:v>I22</x:v>
      </x:c>
      <x:c r="C231" s="17" t="str">
        <x:v>U+003D</x:v>
      </x:c>
      <x:c r="D231" s="23" t="str">
        <x:v>POWER(10,H22)/1E9</x:v>
      </x:c>
    </x:row>
    <x:row r="232">
      <x:c r="A232" s="17" t="str">
        <x:v>Frontier Estimates</x:v>
      </x:c>
      <x:c r="B232" s="17" t="str">
        <x:v>J22</x:v>
      </x:c>
      <x:c r="C232" s="17" t="str">
        <x:v>U+003D</x:v>
      </x:c>
      <x:c r="D232" s="23" t="str">
        <x:v>POWER(10,H22-'Regression Model'!$B$11)/1E9</x:v>
      </x:c>
    </x:row>
    <x:row r="233">
      <x:c r="A233" s="17" t="str">
        <x:v>Frontier Estimates</x:v>
      </x:c>
      <x:c r="B233" s="17" t="str">
        <x:v>K22</x:v>
      </x:c>
      <x:c r="C233" s="17" t="str">
        <x:v>U+003D</x:v>
      </x:c>
      <x:c r="D233" s="23" t="str">
        <x:v>POWER(10,H22+'Regression Model'!$B$11)/1E9</x:v>
      </x:c>
    </x:row>
    <x:row r="234">
      <x:c r="A234" s="17" t="str">
        <x:v>Frontier Estimates</x:v>
      </x:c>
      <x:c r="B234" s="17" t="str">
        <x:v>L22</x:v>
      </x:c>
      <x:c r="C234" s="17" t="str">
        <x:v>U+003D</x:v>
      </x:c>
      <x:c r="D234" s="23" t="str">
        <x:v>POWER(10,'Regression Model'!$B$7+'Regression Model'!$B$8*E22+'Regression Model'!$B$9*G22)/1E9</x:v>
      </x:c>
    </x:row>
    <x:row r="235">
      <x:c r="A235" s="17" t="str">
        <x:v>Frontier Estimates</x:v>
      </x:c>
      <x:c r="B235" s="17" t="str">
        <x:v>M22</x:v>
      </x:c>
      <x:c r="C235" s="17" t="str">
        <x:v>U+003D</x:v>
      </x:c>
      <x:c r="D235" s="23" t="str">
        <x:v>POWER(10,'Regression Model'!$B$7+'Regression Model'!$B$8*F22+'Regression Model'!$B$9*G22)/1E9</x:v>
      </x:c>
    </x:row>
    <x:row r="236">
      <x:c r="A236" s="17" t="str">
        <x:v>Frontier Estimates</x:v>
      </x:c>
      <x:c r="B236" s="17" t="str">
        <x:v>N22</x:v>
      </x:c>
      <x:c r="C236" s="17" t="str">
        <x:v>U+003D</x:v>
      </x:c>
      <x:c r="D236" s="23" t="str">
        <x:v>POWER(10,(D22-'Regression Model'!$B$18-'Regression Model'!$B$20*G22)/'Regression Model'!$B$19)/1E9</x:v>
      </x:c>
    </x:row>
    <x:row r="237">
      <x:c r="A237" s="17" t="str">
        <x:v>Frontier Estimates</x:v>
      </x:c>
      <x:c r="B237" s="17" t="str">
        <x:v>G23</x:v>
      </x:c>
      <x:c r="C237" s="17" t="str">
        <x:v>U+003D</x:v>
      </x:c>
      <x:c r="D237" s="23" t="str">
        <x:v>(C23-'Regression Model'!$B$4)/365.25</x:v>
      </x:c>
    </x:row>
    <x:row r="238">
      <x:c r="A238" s="17" t="str">
        <x:v>Frontier Estimates</x:v>
      </x:c>
      <x:c r="B238" s="17" t="str">
        <x:v>H23</x:v>
      </x:c>
      <x:c r="C238" s="17" t="str">
        <x:v>U+003D</x:v>
      </x:c>
      <x:c r="D238" s="23" t="str">
        <x:v>'Regression Model'!$B$7+'Regression Model'!$B$8*D23+'Regression Model'!$B$9*G23</x:v>
      </x:c>
    </x:row>
    <x:row r="239">
      <x:c r="A239" s="17" t="str">
        <x:v>Frontier Estimates</x:v>
      </x:c>
      <x:c r="B239" s="17" t="str">
        <x:v>I23</x:v>
      </x:c>
      <x:c r="C239" s="17" t="str">
        <x:v>U+003D</x:v>
      </x:c>
      <x:c r="D239" s="23" t="str">
        <x:v>POWER(10,H23)/1E9</x:v>
      </x:c>
    </x:row>
    <x:row r="240">
      <x:c r="A240" s="17" t="str">
        <x:v>Frontier Estimates</x:v>
      </x:c>
      <x:c r="B240" s="17" t="str">
        <x:v>J23</x:v>
      </x:c>
      <x:c r="C240" s="17" t="str">
        <x:v>U+003D</x:v>
      </x:c>
      <x:c r="D240" s="23" t="str">
        <x:v>POWER(10,H23-'Regression Model'!$B$11)/1E9</x:v>
      </x:c>
    </x:row>
    <x:row r="241">
      <x:c r="A241" s="17" t="str">
        <x:v>Frontier Estimates</x:v>
      </x:c>
      <x:c r="B241" s="17" t="str">
        <x:v>K23</x:v>
      </x:c>
      <x:c r="C241" s="17" t="str">
        <x:v>U+003D</x:v>
      </x:c>
      <x:c r="D241" s="23" t="str">
        <x:v>POWER(10,H23+'Regression Model'!$B$11)/1E9</x:v>
      </x:c>
    </x:row>
    <x:row r="242">
      <x:c r="A242" s="17" t="str">
        <x:v>Frontier Estimates</x:v>
      </x:c>
      <x:c r="B242" s="17" t="str">
        <x:v>L23</x:v>
      </x:c>
      <x:c r="C242" s="17" t="str">
        <x:v>U+003D</x:v>
      </x:c>
      <x:c r="D242" s="23" t="str">
        <x:v>POWER(10,'Regression Model'!$B$7+'Regression Model'!$B$8*E23+'Regression Model'!$B$9*G23)/1E9</x:v>
      </x:c>
    </x:row>
    <x:row r="243">
      <x:c r="A243" s="17" t="str">
        <x:v>Frontier Estimates</x:v>
      </x:c>
      <x:c r="B243" s="17" t="str">
        <x:v>M23</x:v>
      </x:c>
      <x:c r="C243" s="17" t="str">
        <x:v>U+003D</x:v>
      </x:c>
      <x:c r="D243" s="23" t="str">
        <x:v>POWER(10,'Regression Model'!$B$7+'Regression Model'!$B$8*F23+'Regression Model'!$B$9*G23)/1E9</x:v>
      </x:c>
    </x:row>
    <x:row r="244">
      <x:c r="A244" s="17" t="str">
        <x:v>Frontier Estimates</x:v>
      </x:c>
      <x:c r="B244" s="17" t="str">
        <x:v>N23</x:v>
      </x:c>
      <x:c r="C244" s="17" t="str">
        <x:v>U+003D</x:v>
      </x:c>
      <x:c r="D244" s="23" t="str">
        <x:v>POWER(10,(D23-'Regression Model'!$B$18-'Regression Model'!$B$20*G23)/'Regression Model'!$B$19)/1E9</x:v>
      </x:c>
    </x:row>
    <x:row r="245">
      <x:c r="A245" s="17" t="str">
        <x:v>Frontier Estimates</x:v>
      </x:c>
      <x:c r="B245" s="17" t="str">
        <x:v>G24</x:v>
      </x:c>
      <x:c r="C245" s="17" t="str">
        <x:v>U+003D</x:v>
      </x:c>
      <x:c r="D245" s="23" t="str">
        <x:v>(C24-'Regression Model'!$B$4)/365.25</x:v>
      </x:c>
    </x:row>
    <x:row r="246">
      <x:c r="A246" s="17" t="str">
        <x:v>Frontier Estimates</x:v>
      </x:c>
      <x:c r="B246" s="17" t="str">
        <x:v>H24</x:v>
      </x:c>
      <x:c r="C246" s="17" t="str">
        <x:v>U+003D</x:v>
      </x:c>
      <x:c r="D246" s="23" t="str">
        <x:v>'Regression Model'!$B$7+'Regression Model'!$B$8*D24+'Regression Model'!$B$9*G24</x:v>
      </x:c>
    </x:row>
    <x:row r="247">
      <x:c r="A247" s="17" t="str">
        <x:v>Frontier Estimates</x:v>
      </x:c>
      <x:c r="B247" s="17" t="str">
        <x:v>I24</x:v>
      </x:c>
      <x:c r="C247" s="17" t="str">
        <x:v>U+003D</x:v>
      </x:c>
      <x:c r="D247" s="23" t="str">
        <x:v>POWER(10,H24)/1E9</x:v>
      </x:c>
    </x:row>
    <x:row r="248">
      <x:c r="A248" s="17" t="str">
        <x:v>Frontier Estimates</x:v>
      </x:c>
      <x:c r="B248" s="17" t="str">
        <x:v>J24</x:v>
      </x:c>
      <x:c r="C248" s="17" t="str">
        <x:v>U+003D</x:v>
      </x:c>
      <x:c r="D248" s="23" t="str">
        <x:v>POWER(10,H24-'Regression Model'!$B$11)/1E9</x:v>
      </x:c>
    </x:row>
    <x:row r="249">
      <x:c r="A249" s="17" t="str">
        <x:v>Frontier Estimates</x:v>
      </x:c>
      <x:c r="B249" s="17" t="str">
        <x:v>K24</x:v>
      </x:c>
      <x:c r="C249" s="17" t="str">
        <x:v>U+003D</x:v>
      </x:c>
      <x:c r="D249" s="23" t="str">
        <x:v>POWER(10,H24+'Regression Model'!$B$11)/1E9</x:v>
      </x:c>
    </x:row>
    <x:row r="250">
      <x:c r="A250" s="17" t="str">
        <x:v>Frontier Estimates</x:v>
      </x:c>
      <x:c r="B250" s="17" t="str">
        <x:v>L24</x:v>
      </x:c>
      <x:c r="C250" s="17" t="str">
        <x:v>U+003D</x:v>
      </x:c>
      <x:c r="D250" s="23" t="str">
        <x:v>POWER(10,'Regression Model'!$B$7+'Regression Model'!$B$8*E24+'Regression Model'!$B$9*G24)/1E9</x:v>
      </x:c>
    </x:row>
    <x:row r="251">
      <x:c r="A251" s="17" t="str">
        <x:v>Frontier Estimates</x:v>
      </x:c>
      <x:c r="B251" s="17" t="str">
        <x:v>M24</x:v>
      </x:c>
      <x:c r="C251" s="17" t="str">
        <x:v>U+003D</x:v>
      </x:c>
      <x:c r="D251" s="23" t="str">
        <x:v>POWER(10,'Regression Model'!$B$7+'Regression Model'!$B$8*F24+'Regression Model'!$B$9*G24)/1E9</x:v>
      </x:c>
    </x:row>
    <x:row r="252">
      <x:c r="A252" s="17" t="str">
        <x:v>Frontier Estimates</x:v>
      </x:c>
      <x:c r="B252" s="17" t="str">
        <x:v>N24</x:v>
      </x:c>
      <x:c r="C252" s="17" t="str">
        <x:v>U+003D</x:v>
      </x:c>
      <x:c r="D252" s="23" t="str">
        <x:v>POWER(10,(D24-'Regression Model'!$B$18-'Regression Model'!$B$20*G24)/'Regression Model'!$B$19)/1E9</x:v>
      </x:c>
    </x:row>
    <x:row r="253">
      <x:c r="A253" s="17" t="str">
        <x:v>Frontier Estimates</x:v>
      </x:c>
      <x:c r="B253" s="17" t="str">
        <x:v>G25</x:v>
      </x:c>
      <x:c r="C253" s="17" t="str">
        <x:v>U+003D</x:v>
      </x:c>
      <x:c r="D253" s="23" t="str">
        <x:v>(C25-'Regression Model'!$B$4)/365.25</x:v>
      </x:c>
    </x:row>
    <x:row r="254">
      <x:c r="A254" s="17" t="str">
        <x:v>Frontier Estimates</x:v>
      </x:c>
      <x:c r="B254" s="17" t="str">
        <x:v>H25</x:v>
      </x:c>
      <x:c r="C254" s="17" t="str">
        <x:v>U+003D</x:v>
      </x:c>
      <x:c r="D254" s="23" t="str">
        <x:v>'Regression Model'!$B$7+'Regression Model'!$B$8*D25+'Regression Model'!$B$9*G25</x:v>
      </x:c>
    </x:row>
    <x:row r="255">
      <x:c r="A255" s="17" t="str">
        <x:v>Frontier Estimates</x:v>
      </x:c>
      <x:c r="B255" s="17" t="str">
        <x:v>I25</x:v>
      </x:c>
      <x:c r="C255" s="17" t="str">
        <x:v>U+003D</x:v>
      </x:c>
      <x:c r="D255" s="23" t="str">
        <x:v>POWER(10,H25)/1E9</x:v>
      </x:c>
    </x:row>
    <x:row r="256">
      <x:c r="A256" s="17" t="str">
        <x:v>Frontier Estimates</x:v>
      </x:c>
      <x:c r="B256" s="17" t="str">
        <x:v>J25</x:v>
      </x:c>
      <x:c r="C256" s="17" t="str">
        <x:v>U+003D</x:v>
      </x:c>
      <x:c r="D256" s="23" t="str">
        <x:v>POWER(10,H25-'Regression Model'!$B$11)/1E9</x:v>
      </x:c>
    </x:row>
    <x:row r="257">
      <x:c r="A257" s="17" t="str">
        <x:v>Frontier Estimates</x:v>
      </x:c>
      <x:c r="B257" s="17" t="str">
        <x:v>K25</x:v>
      </x:c>
      <x:c r="C257" s="17" t="str">
        <x:v>U+003D</x:v>
      </x:c>
      <x:c r="D257" s="23" t="str">
        <x:v>POWER(10,H25+'Regression Model'!$B$11)/1E9</x:v>
      </x:c>
    </x:row>
    <x:row r="258">
      <x:c r="A258" s="17" t="str">
        <x:v>Frontier Estimates</x:v>
      </x:c>
      <x:c r="B258" s="17" t="str">
        <x:v>L25</x:v>
      </x:c>
      <x:c r="C258" s="17" t="str">
        <x:v>U+003D</x:v>
      </x:c>
      <x:c r="D258" s="23" t="str">
        <x:v>POWER(10,'Regression Model'!$B$7+'Regression Model'!$B$8*E25+'Regression Model'!$B$9*G25)/1E9</x:v>
      </x:c>
    </x:row>
    <x:row r="259">
      <x:c r="A259" s="17" t="str">
        <x:v>Frontier Estimates</x:v>
      </x:c>
      <x:c r="B259" s="17" t="str">
        <x:v>M25</x:v>
      </x:c>
      <x:c r="C259" s="17" t="str">
        <x:v>U+003D</x:v>
      </x:c>
      <x:c r="D259" s="23" t="str">
        <x:v>POWER(10,'Regression Model'!$B$7+'Regression Model'!$B$8*F25+'Regression Model'!$B$9*G25)/1E9</x:v>
      </x:c>
    </x:row>
    <x:row r="260">
      <x:c r="A260" s="17" t="str">
        <x:v>Frontier Estimates</x:v>
      </x:c>
      <x:c r="B260" s="17" t="str">
        <x:v>N25</x:v>
      </x:c>
      <x:c r="C260" s="17" t="str">
        <x:v>U+003D</x:v>
      </x:c>
      <x:c r="D260" s="23" t="str">
        <x:v>POWER(10,(D25-'Regression Model'!$B$18-'Regression Model'!$B$20*G25)/'Regression Model'!$B$19)/1E9</x:v>
      </x:c>
    </x:row>
    <x:row r="261">
      <x:c r="A261" s="17" t="str">
        <x:v>Frontier Estimates</x:v>
      </x:c>
      <x:c r="B261" s="17" t="str">
        <x:v>G26</x:v>
      </x:c>
      <x:c r="C261" s="17" t="str">
        <x:v>U+003D</x:v>
      </x:c>
      <x:c r="D261" s="23" t="str">
        <x:v>(C26-'Regression Model'!$B$4)/365.25</x:v>
      </x:c>
    </x:row>
    <x:row r="262">
      <x:c r="A262" s="17" t="str">
        <x:v>Frontier Estimates</x:v>
      </x:c>
      <x:c r="B262" s="17" t="str">
        <x:v>H26</x:v>
      </x:c>
      <x:c r="C262" s="17" t="str">
        <x:v>U+003D</x:v>
      </x:c>
      <x:c r="D262" s="23" t="str">
        <x:v>'Regression Model'!$B$7+'Regression Model'!$B$8*D26+'Regression Model'!$B$9*G26</x:v>
      </x:c>
    </x:row>
    <x:row r="263">
      <x:c r="A263" s="17" t="str">
        <x:v>Frontier Estimates</x:v>
      </x:c>
      <x:c r="B263" s="17" t="str">
        <x:v>I26</x:v>
      </x:c>
      <x:c r="C263" s="17" t="str">
        <x:v>U+003D</x:v>
      </x:c>
      <x:c r="D263" s="23" t="str">
        <x:v>POWER(10,H26)/1E9</x:v>
      </x:c>
    </x:row>
    <x:row r="264">
      <x:c r="A264" s="17" t="str">
        <x:v>Frontier Estimates</x:v>
      </x:c>
      <x:c r="B264" s="17" t="str">
        <x:v>J26</x:v>
      </x:c>
      <x:c r="C264" s="17" t="str">
        <x:v>U+003D</x:v>
      </x:c>
      <x:c r="D264" s="23" t="str">
        <x:v>POWER(10,H26-'Regression Model'!$B$11)/1E9</x:v>
      </x:c>
    </x:row>
    <x:row r="265">
      <x:c r="A265" s="17" t="str">
        <x:v>Frontier Estimates</x:v>
      </x:c>
      <x:c r="B265" s="17" t="str">
        <x:v>K26</x:v>
      </x:c>
      <x:c r="C265" s="17" t="str">
        <x:v>U+003D</x:v>
      </x:c>
      <x:c r="D265" s="23" t="str">
        <x:v>POWER(10,H26+'Regression Model'!$B$11)/1E9</x:v>
      </x:c>
    </x:row>
    <x:row r="266">
      <x:c r="A266" s="17" t="str">
        <x:v>Frontier Estimates</x:v>
      </x:c>
      <x:c r="B266" s="17" t="str">
        <x:v>L26</x:v>
      </x:c>
      <x:c r="C266" s="17" t="str">
        <x:v>U+003D</x:v>
      </x:c>
      <x:c r="D266" s="23" t="str">
        <x:v>POWER(10,'Regression Model'!$B$7+'Regression Model'!$B$8*E26+'Regression Model'!$B$9*G26)/1E9</x:v>
      </x:c>
    </x:row>
    <x:row r="267">
      <x:c r="A267" s="17" t="str">
        <x:v>Frontier Estimates</x:v>
      </x:c>
      <x:c r="B267" s="17" t="str">
        <x:v>M26</x:v>
      </x:c>
      <x:c r="C267" s="17" t="str">
        <x:v>U+003D</x:v>
      </x:c>
      <x:c r="D267" s="23" t="str">
        <x:v>POWER(10,'Regression Model'!$B$7+'Regression Model'!$B$8*F26+'Regression Model'!$B$9*G26)/1E9</x:v>
      </x:c>
    </x:row>
    <x:row r="268">
      <x:c r="A268" s="17" t="str">
        <x:v>Frontier Estimates</x:v>
      </x:c>
      <x:c r="B268" s="17" t="str">
        <x:v>N26</x:v>
      </x:c>
      <x:c r="C268" s="17" t="str">
        <x:v>U+003D</x:v>
      </x:c>
      <x:c r="D268" s="23" t="str">
        <x:v>POWER(10,(D26-'Regression Model'!$B$18-'Regression Model'!$B$20*G26)/'Regression Model'!$B$19)/1E9</x:v>
      </x:c>
    </x:row>
    <x:row r="269">
      <x:c r="A269" s="17" t="str">
        <x:v>Frontier Estimates</x:v>
      </x:c>
      <x:c r="B269" s="17" t="str">
        <x:v>G27</x:v>
      </x:c>
      <x:c r="C269" s="17" t="str">
        <x:v>U+003D</x:v>
      </x:c>
      <x:c r="D269" s="23" t="str">
        <x:v>(C27-'Regression Model'!$B$4)/365.25</x:v>
      </x:c>
    </x:row>
    <x:row r="270">
      <x:c r="A270" s="17" t="str">
        <x:v>Frontier Estimates</x:v>
      </x:c>
      <x:c r="B270" s="17" t="str">
        <x:v>H27</x:v>
      </x:c>
      <x:c r="C270" s="17" t="str">
        <x:v>U+003D</x:v>
      </x:c>
      <x:c r="D270" s="23" t="str">
        <x:v>'Regression Model'!$B$7+'Regression Model'!$B$8*D27+'Regression Model'!$B$9*G27</x:v>
      </x:c>
    </x:row>
    <x:row r="271">
      <x:c r="A271" s="17" t="str">
        <x:v>Frontier Estimates</x:v>
      </x:c>
      <x:c r="B271" s="17" t="str">
        <x:v>I27</x:v>
      </x:c>
      <x:c r="C271" s="17" t="str">
        <x:v>U+003D</x:v>
      </x:c>
      <x:c r="D271" s="23" t="str">
        <x:v>POWER(10,H27)/1E9</x:v>
      </x:c>
    </x:row>
    <x:row r="272">
      <x:c r="A272" s="17" t="str">
        <x:v>Frontier Estimates</x:v>
      </x:c>
      <x:c r="B272" s="17" t="str">
        <x:v>J27</x:v>
      </x:c>
      <x:c r="C272" s="17" t="str">
        <x:v>U+003D</x:v>
      </x:c>
      <x:c r="D272" s="23" t="str">
        <x:v>POWER(10,H27-'Regression Model'!$B$11)/1E9</x:v>
      </x:c>
    </x:row>
    <x:row r="273">
      <x:c r="A273" s="17" t="str">
        <x:v>Frontier Estimates</x:v>
      </x:c>
      <x:c r="B273" s="17" t="str">
        <x:v>K27</x:v>
      </x:c>
      <x:c r="C273" s="17" t="str">
        <x:v>U+003D</x:v>
      </x:c>
      <x:c r="D273" s="23" t="str">
        <x:v>POWER(10,H27+'Regression Model'!$B$11)/1E9</x:v>
      </x:c>
    </x:row>
    <x:row r="274">
      <x:c r="A274" s="17" t="str">
        <x:v>Frontier Estimates</x:v>
      </x:c>
      <x:c r="B274" s="17" t="str">
        <x:v>L27</x:v>
      </x:c>
      <x:c r="C274" s="17" t="str">
        <x:v>U+003D</x:v>
      </x:c>
      <x:c r="D274" s="23" t="str">
        <x:v>POWER(10,'Regression Model'!$B$7+'Regression Model'!$B$8*E27+'Regression Model'!$B$9*G27)/1E9</x:v>
      </x:c>
    </x:row>
    <x:row r="275">
      <x:c r="A275" s="17" t="str">
        <x:v>Frontier Estimates</x:v>
      </x:c>
      <x:c r="B275" s="17" t="str">
        <x:v>M27</x:v>
      </x:c>
      <x:c r="C275" s="17" t="str">
        <x:v>U+003D</x:v>
      </x:c>
      <x:c r="D275" s="23" t="str">
        <x:v>POWER(10,'Regression Model'!$B$7+'Regression Model'!$B$8*F27+'Regression Model'!$B$9*G27)/1E9</x:v>
      </x:c>
    </x:row>
    <x:row r="276">
      <x:c r="A276" s="17" t="str">
        <x:v>Frontier Estimates</x:v>
      </x:c>
      <x:c r="B276" s="17" t="str">
        <x:v>N27</x:v>
      </x:c>
      <x:c r="C276" s="17" t="str">
        <x:v>U+003D</x:v>
      </x:c>
      <x:c r="D276" s="23" t="str">
        <x:v>POWER(10,(D27-'Regression Model'!$B$18-'Regression Model'!$B$20*G27)/'Regression Model'!$B$19)/1E9</x:v>
      </x:c>
    </x:row>
    <x:row r="277">
      <x:c r="A277" s="17" t="str">
        <x:v>Open Models 12mo</x:v>
      </x:c>
      <x:c r="B277" s="17" t="str">
        <x:v>J2</x:v>
      </x:c>
      <x:c r="C277" s="17" t="str">
        <x:v>U+003D</x:v>
      </x:c>
      <x:c r="D277" s="23" t="str">
        <x:v>LOG10(H2*1E9)</x:v>
      </x:c>
    </x:row>
    <x:row r="278">
      <x:c r="A278" s="17" t="str">
        <x:v>Open Models 12mo</x:v>
      </x:c>
      <x:c r="B278" s="17" t="str">
        <x:v>K2</x:v>
      </x:c>
      <x:c r="C278" s="17" t="str">
        <x:v>U+003D</x:v>
      </x:c>
      <x:c r="D278" s="23" t="str">
        <x:v>(C2-'Regression Model'!$B$4)/365.25</x:v>
      </x:c>
    </x:row>
    <x:row r="279">
      <x:c r="A279" s="17" t="str">
        <x:v>Open Models 12mo</x:v>
      </x:c>
      <x:c r="B279" s="17" t="str">
        <x:v>L2</x:v>
      </x:c>
      <x:c r="C279" s="17" t="str">
        <x:v>U+003D</x:v>
      </x:c>
      <x:c r="D279" s="23" t="str">
        <x:v>IFERROR(1/(((G2-F2)/3.92)^2),1)</x:v>
      </x:c>
    </x:row>
    <x:row r="280">
      <x:c r="A280" s="17" t="str">
        <x:v>Open Models 12mo</x:v>
      </x:c>
      <x:c r="B280" s="17" t="str">
        <x:v>J3</x:v>
      </x:c>
      <x:c r="C280" s="17" t="str">
        <x:v>U+003D</x:v>
      </x:c>
      <x:c r="D280" s="23" t="str">
        <x:v>LOG10(H3*1E9)</x:v>
      </x:c>
    </x:row>
    <x:row r="281">
      <x:c r="A281" s="17" t="str">
        <x:v>Open Models 12mo</x:v>
      </x:c>
      <x:c r="B281" s="17" t="str">
        <x:v>K3</x:v>
      </x:c>
      <x:c r="C281" s="17" t="str">
        <x:v>U+003D</x:v>
      </x:c>
      <x:c r="D281" s="23" t="str">
        <x:v>(C3-'Regression Model'!$B$4)/365.25</x:v>
      </x:c>
    </x:row>
    <x:row r="282">
      <x:c r="A282" s="17" t="str">
        <x:v>Open Models 12mo</x:v>
      </x:c>
      <x:c r="B282" s="17" t="str">
        <x:v>L3</x:v>
      </x:c>
      <x:c r="C282" s="17" t="str">
        <x:v>U+003D</x:v>
      </x:c>
      <x:c r="D282" s="23" t="str">
        <x:v>IFERROR(1/(((G3-F3)/3.92)^2),1)</x:v>
      </x:c>
    </x:row>
    <x:row r="283">
      <x:c r="A283" s="17" t="str">
        <x:v>Open Models 12mo</x:v>
      </x:c>
      <x:c r="B283" s="17" t="str">
        <x:v>J4</x:v>
      </x:c>
      <x:c r="C283" s="17" t="str">
        <x:v>U+003D</x:v>
      </x:c>
      <x:c r="D283" s="23" t="str">
        <x:v>LOG10(H4*1E9)</x:v>
      </x:c>
    </x:row>
    <x:row r="284">
      <x:c r="A284" s="17" t="str">
        <x:v>Open Models 12mo</x:v>
      </x:c>
      <x:c r="B284" s="17" t="str">
        <x:v>K4</x:v>
      </x:c>
      <x:c r="C284" s="17" t="str">
        <x:v>U+003D</x:v>
      </x:c>
      <x:c r="D284" s="23" t="str">
        <x:v>(C4-'Regression Model'!$B$4)/365.25</x:v>
      </x:c>
    </x:row>
    <x:row r="285">
      <x:c r="A285" s="17" t="str">
        <x:v>Open Models 12mo</x:v>
      </x:c>
      <x:c r="B285" s="17" t="str">
        <x:v>L4</x:v>
      </x:c>
      <x:c r="C285" s="17" t="str">
        <x:v>U+003D</x:v>
      </x:c>
      <x:c r="D285" s="23" t="str">
        <x:v>IFERROR(1/(((G4-F4)/3.92)^2),1)</x:v>
      </x:c>
    </x:row>
    <x:row r="286">
      <x:c r="A286" s="17" t="str">
        <x:v>Open Models 12mo</x:v>
      </x:c>
      <x:c r="B286" s="17" t="str">
        <x:v>J5</x:v>
      </x:c>
      <x:c r="C286" s="17" t="str">
        <x:v>U+003D</x:v>
      </x:c>
      <x:c r="D286" s="23" t="str">
        <x:v>LOG10(H5*1E9)</x:v>
      </x:c>
    </x:row>
    <x:row r="287">
      <x:c r="A287" s="17" t="str">
        <x:v>Open Models 12mo</x:v>
      </x:c>
      <x:c r="B287" s="17" t="str">
        <x:v>K5</x:v>
      </x:c>
      <x:c r="C287" s="17" t="str">
        <x:v>U+003D</x:v>
      </x:c>
      <x:c r="D287" s="23" t="str">
        <x:v>(C5-'Regression Model'!$B$4)/365.25</x:v>
      </x:c>
    </x:row>
    <x:row r="288">
      <x:c r="A288" s="17" t="str">
        <x:v>Open Models 12mo</x:v>
      </x:c>
      <x:c r="B288" s="17" t="str">
        <x:v>L5</x:v>
      </x:c>
      <x:c r="C288" s="17" t="str">
        <x:v>U+003D</x:v>
      </x:c>
      <x:c r="D288" s="23" t="str">
        <x:v>IFERROR(1/(((G5-F5)/3.92)^2),1)</x:v>
      </x:c>
    </x:row>
    <x:row r="289">
      <x:c r="A289" s="17" t="str">
        <x:v>Open Models 12mo</x:v>
      </x:c>
      <x:c r="B289" s="17" t="str">
        <x:v>J6</x:v>
      </x:c>
      <x:c r="C289" s="17" t="str">
        <x:v>U+003D</x:v>
      </x:c>
      <x:c r="D289" s="23" t="str">
        <x:v>LOG10(H6*1E9)</x:v>
      </x:c>
    </x:row>
    <x:row r="290">
      <x:c r="A290" s="17" t="str">
        <x:v>Open Models 12mo</x:v>
      </x:c>
      <x:c r="B290" s="17" t="str">
        <x:v>K6</x:v>
      </x:c>
      <x:c r="C290" s="17" t="str">
        <x:v>U+003D</x:v>
      </x:c>
      <x:c r="D290" s="23" t="str">
        <x:v>(C6-'Regression Model'!$B$4)/365.25</x:v>
      </x:c>
    </x:row>
    <x:row r="291">
      <x:c r="A291" s="17" t="str">
        <x:v>Open Models 12mo</x:v>
      </x:c>
      <x:c r="B291" s="17" t="str">
        <x:v>L6</x:v>
      </x:c>
      <x:c r="C291" s="17" t="str">
        <x:v>U+003D</x:v>
      </x:c>
      <x:c r="D291" s="23" t="str">
        <x:v>IFERROR(1/(((G6-F6)/3.92)^2),1)</x:v>
      </x:c>
    </x:row>
    <x:row r="292">
      <x:c r="A292" s="17" t="str">
        <x:v>Open Models 12mo</x:v>
      </x:c>
      <x:c r="B292" s="17" t="str">
        <x:v>J7</x:v>
      </x:c>
      <x:c r="C292" s="17" t="str">
        <x:v>U+003D</x:v>
      </x:c>
      <x:c r="D292" s="23" t="str">
        <x:v>LOG10(H7*1E9)</x:v>
      </x:c>
    </x:row>
    <x:row r="293">
      <x:c r="A293" s="17" t="str">
        <x:v>Open Models 12mo</x:v>
      </x:c>
      <x:c r="B293" s="17" t="str">
        <x:v>K7</x:v>
      </x:c>
      <x:c r="C293" s="17" t="str">
        <x:v>U+003D</x:v>
      </x:c>
      <x:c r="D293" s="23" t="str">
        <x:v>(C7-'Regression Model'!$B$4)/365.25</x:v>
      </x:c>
    </x:row>
    <x:row r="294">
      <x:c r="A294" s="17" t="str">
        <x:v>Open Models 12mo</x:v>
      </x:c>
      <x:c r="B294" s="17" t="str">
        <x:v>L7</x:v>
      </x:c>
      <x:c r="C294" s="17" t="str">
        <x:v>U+003D</x:v>
      </x:c>
      <x:c r="D294" s="23" t="str">
        <x:v>IFERROR(1/(((G7-F7)/3.92)^2),1)</x:v>
      </x:c>
    </x:row>
    <x:row r="295">
      <x:c r="A295" s="17" t="str">
        <x:v>Open Models 12mo</x:v>
      </x:c>
      <x:c r="B295" s="17" t="str">
        <x:v>J8</x:v>
      </x:c>
      <x:c r="C295" s="17" t="str">
        <x:v>U+003D</x:v>
      </x:c>
      <x:c r="D295" s="23" t="str">
        <x:v>LOG10(H8*1E9)</x:v>
      </x:c>
    </x:row>
    <x:row r="296">
      <x:c r="A296" s="17" t="str">
        <x:v>Open Models 12mo</x:v>
      </x:c>
      <x:c r="B296" s="17" t="str">
        <x:v>K8</x:v>
      </x:c>
      <x:c r="C296" s="17" t="str">
        <x:v>U+003D</x:v>
      </x:c>
      <x:c r="D296" s="23" t="str">
        <x:v>(C8-'Regression Model'!$B$4)/365.25</x:v>
      </x:c>
    </x:row>
    <x:row r="297">
      <x:c r="A297" s="17" t="str">
        <x:v>Open Models 12mo</x:v>
      </x:c>
      <x:c r="B297" s="17" t="str">
        <x:v>L8</x:v>
      </x:c>
      <x:c r="C297" s="17" t="str">
        <x:v>U+003D</x:v>
      </x:c>
      <x:c r="D297" s="23" t="str">
        <x:v>IFERROR(1/(((G8-F8)/3.92)^2),1)</x:v>
      </x:c>
    </x:row>
    <x:row r="298">
      <x:c r="A298" s="17" t="str">
        <x:v>Open Models 12mo</x:v>
      </x:c>
      <x:c r="B298" s="17" t="str">
        <x:v>J9</x:v>
      </x:c>
      <x:c r="C298" s="17" t="str">
        <x:v>U+003D</x:v>
      </x:c>
      <x:c r="D298" s="23" t="str">
        <x:v>LOG10(H9*1E9)</x:v>
      </x:c>
    </x:row>
    <x:row r="299">
      <x:c r="A299" s="17" t="str">
        <x:v>Open Models 12mo</x:v>
      </x:c>
      <x:c r="B299" s="17" t="str">
        <x:v>K9</x:v>
      </x:c>
      <x:c r="C299" s="17" t="str">
        <x:v>U+003D</x:v>
      </x:c>
      <x:c r="D299" s="23" t="str">
        <x:v>(C9-'Regression Model'!$B$4)/365.25</x:v>
      </x:c>
    </x:row>
    <x:row r="300">
      <x:c r="A300" s="17" t="str">
        <x:v>Open Models 12mo</x:v>
      </x:c>
      <x:c r="B300" s="17" t="str">
        <x:v>L9</x:v>
      </x:c>
      <x:c r="C300" s="17" t="str">
        <x:v>U+003D</x:v>
      </x:c>
      <x:c r="D300" s="23" t="str">
        <x:v>IFERROR(1/(((G9-F9)/3.92)^2),1)</x:v>
      </x:c>
    </x:row>
    <x:row r="301">
      <x:c r="A301" s="17" t="str">
        <x:v>Open Models 12mo</x:v>
      </x:c>
      <x:c r="B301" s="17" t="str">
        <x:v>J10</x:v>
      </x:c>
      <x:c r="C301" s="17" t="str">
        <x:v>U+003D</x:v>
      </x:c>
      <x:c r="D301" s="23" t="str">
        <x:v>LOG10(H10*1E9)</x:v>
      </x:c>
    </x:row>
    <x:row r="302">
      <x:c r="A302" s="17" t="str">
        <x:v>Open Models 12mo</x:v>
      </x:c>
      <x:c r="B302" s="17" t="str">
        <x:v>K10</x:v>
      </x:c>
      <x:c r="C302" s="17" t="str">
        <x:v>U+003D</x:v>
      </x:c>
      <x:c r="D302" s="23" t="str">
        <x:v>(C10-'Regression Model'!$B$4)/365.25</x:v>
      </x:c>
    </x:row>
    <x:row r="303">
      <x:c r="A303" s="17" t="str">
        <x:v>Open Models 12mo</x:v>
      </x:c>
      <x:c r="B303" s="17" t="str">
        <x:v>L10</x:v>
      </x:c>
      <x:c r="C303" s="17" t="str">
        <x:v>U+003D</x:v>
      </x:c>
      <x:c r="D303" s="23" t="str">
        <x:v>IFERROR(1/(((G10-F10)/3.92)^2),1)</x:v>
      </x:c>
    </x:row>
    <x:row r="304">
      <x:c r="A304" s="17" t="str">
        <x:v>Open Models 12mo</x:v>
      </x:c>
      <x:c r="B304" s="17" t="str">
        <x:v>J11</x:v>
      </x:c>
      <x:c r="C304" s="17" t="str">
        <x:v>U+003D</x:v>
      </x:c>
      <x:c r="D304" s="23" t="str">
        <x:v>LOG10(H11*1E9)</x:v>
      </x:c>
    </x:row>
    <x:row r="305">
      <x:c r="A305" s="17" t="str">
        <x:v>Open Models 12mo</x:v>
      </x:c>
      <x:c r="B305" s="17" t="str">
        <x:v>K11</x:v>
      </x:c>
      <x:c r="C305" s="17" t="str">
        <x:v>U+003D</x:v>
      </x:c>
      <x:c r="D305" s="23" t="str">
        <x:v>(C11-'Regression Model'!$B$4)/365.25</x:v>
      </x:c>
    </x:row>
    <x:row r="306">
      <x:c r="A306" s="17" t="str">
        <x:v>Open Models 12mo</x:v>
      </x:c>
      <x:c r="B306" s="17" t="str">
        <x:v>L11</x:v>
      </x:c>
      <x:c r="C306" s="17" t="str">
        <x:v>U+003D</x:v>
      </x:c>
      <x:c r="D306" s="23" t="str">
        <x:v>IFERROR(1/(((G11-F11)/3.92)^2),1)</x:v>
      </x:c>
    </x:row>
    <x:row r="307">
      <x:c r="A307" s="17" t="str">
        <x:v>Open Models 12mo</x:v>
      </x:c>
      <x:c r="B307" s="17" t="str">
        <x:v>J12</x:v>
      </x:c>
      <x:c r="C307" s="17" t="str">
        <x:v>U+003D</x:v>
      </x:c>
      <x:c r="D307" s="23" t="str">
        <x:v>LOG10(H12*1E9)</x:v>
      </x:c>
    </x:row>
    <x:row r="308">
      <x:c r="A308" s="17" t="str">
        <x:v>Open Models 12mo</x:v>
      </x:c>
      <x:c r="B308" s="17" t="str">
        <x:v>K12</x:v>
      </x:c>
      <x:c r="C308" s="17" t="str">
        <x:v>U+003D</x:v>
      </x:c>
      <x:c r="D308" s="23" t="str">
        <x:v>(C12-'Regression Model'!$B$4)/365.25</x:v>
      </x:c>
    </x:row>
    <x:row r="309">
      <x:c r="A309" s="17" t="str">
        <x:v>Open Models 12mo</x:v>
      </x:c>
      <x:c r="B309" s="17" t="str">
        <x:v>L12</x:v>
      </x:c>
      <x:c r="C309" s="17" t="str">
        <x:v>U+003D</x:v>
      </x:c>
      <x:c r="D309" s="23" t="str">
        <x:v>IFERROR(1/(((G12-F12)/3.92)^2),1)</x:v>
      </x:c>
    </x:row>
    <x:row r="310">
      <x:c r="A310" s="17" t="str">
        <x:v>Open Models 12mo</x:v>
      </x:c>
      <x:c r="B310" s="17" t="str">
        <x:v>J13</x:v>
      </x:c>
      <x:c r="C310" s="17" t="str">
        <x:v>U+003D</x:v>
      </x:c>
      <x:c r="D310" s="23" t="str">
        <x:v>LOG10(H13*1E9)</x:v>
      </x:c>
    </x:row>
    <x:row r="311">
      <x:c r="A311" s="17" t="str">
        <x:v>Open Models 12mo</x:v>
      </x:c>
      <x:c r="B311" s="17" t="str">
        <x:v>K13</x:v>
      </x:c>
      <x:c r="C311" s="17" t="str">
        <x:v>U+003D</x:v>
      </x:c>
      <x:c r="D311" s="23" t="str">
        <x:v>(C13-'Regression Model'!$B$4)/365.25</x:v>
      </x:c>
    </x:row>
    <x:row r="312">
      <x:c r="A312" s="17" t="str">
        <x:v>Open Models 12mo</x:v>
      </x:c>
      <x:c r="B312" s="17" t="str">
        <x:v>L13</x:v>
      </x:c>
      <x:c r="C312" s="17" t="str">
        <x:v>U+003D</x:v>
      </x:c>
      <x:c r="D312" s="23" t="str">
        <x:v>IFERROR(1/(((G13-F13)/3.92)^2),1)</x:v>
      </x:c>
    </x:row>
    <x:row r="313">
      <x:c r="A313" s="17" t="str">
        <x:v>Open Models 12mo</x:v>
      </x:c>
      <x:c r="B313" s="17" t="str">
        <x:v>J14</x:v>
      </x:c>
      <x:c r="C313" s="17" t="str">
        <x:v>U+003D</x:v>
      </x:c>
      <x:c r="D313" s="23" t="str">
        <x:v>LOG10(H14*1E9)</x:v>
      </x:c>
    </x:row>
    <x:row r="314">
      <x:c r="A314" s="17" t="str">
        <x:v>Open Models 12mo</x:v>
      </x:c>
      <x:c r="B314" s="17" t="str">
        <x:v>K14</x:v>
      </x:c>
      <x:c r="C314" s="17" t="str">
        <x:v>U+003D</x:v>
      </x:c>
      <x:c r="D314" s="23" t="str">
        <x:v>(C14-'Regression Model'!$B$4)/365.25</x:v>
      </x:c>
    </x:row>
    <x:row r="315">
      <x:c r="A315" s="17" t="str">
        <x:v>Open Models 12mo</x:v>
      </x:c>
      <x:c r="B315" s="17" t="str">
        <x:v>L14</x:v>
      </x:c>
      <x:c r="C315" s="17" t="str">
        <x:v>U+003D</x:v>
      </x:c>
      <x:c r="D315" s="23" t="str">
        <x:v>IFERROR(1/(((G14-F14)/3.92)^2),1)</x:v>
      </x:c>
    </x:row>
    <x:row r="316">
      <x:c r="A316" s="17" t="str">
        <x:v>Open Models 12mo</x:v>
      </x:c>
      <x:c r="B316" s="17" t="str">
        <x:v>J15</x:v>
      </x:c>
      <x:c r="C316" s="17" t="str">
        <x:v>U+003D</x:v>
      </x:c>
      <x:c r="D316" s="23" t="str">
        <x:v>LOG10(H15*1E9)</x:v>
      </x:c>
    </x:row>
    <x:row r="317">
      <x:c r="A317" s="17" t="str">
        <x:v>Open Models 12mo</x:v>
      </x:c>
      <x:c r="B317" s="17" t="str">
        <x:v>K15</x:v>
      </x:c>
      <x:c r="C317" s="17" t="str">
        <x:v>U+003D</x:v>
      </x:c>
      <x:c r="D317" s="23" t="str">
        <x:v>(C15-'Regression Model'!$B$4)/365.25</x:v>
      </x:c>
    </x:row>
    <x:row r="318">
      <x:c r="A318" s="17" t="str">
        <x:v>Open Models 12mo</x:v>
      </x:c>
      <x:c r="B318" s="17" t="str">
        <x:v>L15</x:v>
      </x:c>
      <x:c r="C318" s="17" t="str">
        <x:v>U+003D</x:v>
      </x:c>
      <x:c r="D318" s="23" t="str">
        <x:v>IFERROR(1/(((G15-F15)/3.92)^2),1)</x:v>
      </x:c>
    </x:row>
    <x:row r="319">
      <x:c r="A319" s="17" t="str">
        <x:v>Open Models 12mo</x:v>
      </x:c>
      <x:c r="B319" s="17" t="str">
        <x:v>J16</x:v>
      </x:c>
      <x:c r="C319" s="17" t="str">
        <x:v>U+003D</x:v>
      </x:c>
      <x:c r="D319" s="23" t="str">
        <x:v>LOG10(H16*1E9)</x:v>
      </x:c>
    </x:row>
    <x:row r="320">
      <x:c r="A320" s="17" t="str">
        <x:v>Open Models 12mo</x:v>
      </x:c>
      <x:c r="B320" s="17" t="str">
        <x:v>K16</x:v>
      </x:c>
      <x:c r="C320" s="17" t="str">
        <x:v>U+003D</x:v>
      </x:c>
      <x:c r="D320" s="23" t="str">
        <x:v>(C16-'Regression Model'!$B$4)/365.25</x:v>
      </x:c>
    </x:row>
    <x:row r="321">
      <x:c r="A321" s="17" t="str">
        <x:v>Open Models 12mo</x:v>
      </x:c>
      <x:c r="B321" s="17" t="str">
        <x:v>L16</x:v>
      </x:c>
      <x:c r="C321" s="17" t="str">
        <x:v>U+003D</x:v>
      </x:c>
      <x:c r="D321" s="23" t="str">
        <x:v>IFERROR(1/(((G16-F16)/3.92)^2),1)</x:v>
      </x:c>
    </x:row>
    <x:row r="322">
      <x:c r="A322" s="17" t="str">
        <x:v>Open Models 12mo</x:v>
      </x:c>
      <x:c r="B322" s="17" t="str">
        <x:v>J17</x:v>
      </x:c>
      <x:c r="C322" s="17" t="str">
        <x:v>U+003D</x:v>
      </x:c>
      <x:c r="D322" s="23" t="str">
        <x:v>LOG10(H17*1E9)</x:v>
      </x:c>
    </x:row>
    <x:row r="323">
      <x:c r="A323" s="17" t="str">
        <x:v>Open Models 12mo</x:v>
      </x:c>
      <x:c r="B323" s="17" t="str">
        <x:v>K17</x:v>
      </x:c>
      <x:c r="C323" s="17" t="str">
        <x:v>U+003D</x:v>
      </x:c>
      <x:c r="D323" s="23" t="str">
        <x:v>(C17-'Regression Model'!$B$4)/365.25</x:v>
      </x:c>
    </x:row>
    <x:row r="324">
      <x:c r="A324" s="17" t="str">
        <x:v>Open Models 12mo</x:v>
      </x:c>
      <x:c r="B324" s="17" t="str">
        <x:v>L17</x:v>
      </x:c>
      <x:c r="C324" s="17" t="str">
        <x:v>U+003D</x:v>
      </x:c>
      <x:c r="D324" s="23" t="str">
        <x:v>IFERROR(1/(((G17-F17)/3.92)^2),1)</x:v>
      </x:c>
    </x:row>
    <x:row r="325">
      <x:c r="A325" s="17" t="str">
        <x:v>Open Models 12mo</x:v>
      </x:c>
      <x:c r="B325" s="17" t="str">
        <x:v>J18</x:v>
      </x:c>
      <x:c r="C325" s="17" t="str">
        <x:v>U+003D</x:v>
      </x:c>
      <x:c r="D325" s="23" t="str">
        <x:v>LOG10(H18*1E9)</x:v>
      </x:c>
    </x:row>
    <x:row r="326">
      <x:c r="A326" s="17" t="str">
        <x:v>Open Models 12mo</x:v>
      </x:c>
      <x:c r="B326" s="17" t="str">
        <x:v>K18</x:v>
      </x:c>
      <x:c r="C326" s="17" t="str">
        <x:v>U+003D</x:v>
      </x:c>
      <x:c r="D326" s="23" t="str">
        <x:v>(C18-'Regression Model'!$B$4)/365.25</x:v>
      </x:c>
    </x:row>
    <x:row r="327">
      <x:c r="A327" s="17" t="str">
        <x:v>Open Models 12mo</x:v>
      </x:c>
      <x:c r="B327" s="17" t="str">
        <x:v>L18</x:v>
      </x:c>
      <x:c r="C327" s="17" t="str">
        <x:v>U+003D</x:v>
      </x:c>
      <x:c r="D327" s="23" t="str">
        <x:v>IFERROR(1/(((G18-F18)/3.92)^2),1)</x:v>
      </x:c>
    </x:row>
    <x:row r="328">
      <x:c r="A328" s="17" t="str">
        <x:v>Regression Data</x:v>
      </x:c>
      <x:c r="B328" s="17" t="str">
        <x:v>I2</x:v>
      </x:c>
      <x:c r="C328" s="17" t="str">
        <x:v>U+003D</x:v>
      </x:c>
      <x:c r="D328" s="23" t="str">
        <x:v>LOG10(H2*1E9)</x:v>
      </x:c>
    </x:row>
    <x:row r="329">
      <x:c r="A329" s="17" t="str">
        <x:v>Regression Data</x:v>
      </x:c>
      <x:c r="B329" s="17" t="str">
        <x:v>J2</x:v>
      </x:c>
      <x:c r="C329" s="17" t="str">
        <x:v>U+003D</x:v>
      </x:c>
      <x:c r="D329" s="23" t="str">
        <x:v>(C2-'Regression Model'!$B$4)/365.25</x:v>
      </x:c>
    </x:row>
    <x:row r="330">
      <x:c r="A330" s="17" t="str">
        <x:v>Regression Data</x:v>
      </x:c>
      <x:c r="B330" s="17" t="str">
        <x:v>K2</x:v>
      </x:c>
      <x:c r="C330" s="17" t="str">
        <x:v>U+003D</x:v>
      </x:c>
      <x:c r="D330" s="23" t="str">
        <x:v>IFERROR(1/(((G2-F2)/3.92)^2),1)</x:v>
      </x:c>
    </x:row>
    <x:row r="331">
      <x:c r="A331" s="17" t="str">
        <x:v>Regression Data</x:v>
      </x:c>
      <x:c r="B331" s="17" t="str">
        <x:v>I3</x:v>
      </x:c>
      <x:c r="C331" s="17" t="str">
        <x:v>U+003D</x:v>
      </x:c>
      <x:c r="D331" s="23" t="str">
        <x:v>LOG10(H3*1E9)</x:v>
      </x:c>
    </x:row>
    <x:row r="332">
      <x:c r="A332" s="17" t="str">
        <x:v>Regression Data</x:v>
      </x:c>
      <x:c r="B332" s="17" t="str">
        <x:v>J3</x:v>
      </x:c>
      <x:c r="C332" s="17" t="str">
        <x:v>U+003D</x:v>
      </x:c>
      <x:c r="D332" s="23" t="str">
        <x:v>(C3-'Regression Model'!$B$4)/365.25</x:v>
      </x:c>
    </x:row>
    <x:row r="333">
      <x:c r="A333" s="17" t="str">
        <x:v>Regression Data</x:v>
      </x:c>
      <x:c r="B333" s="17" t="str">
        <x:v>K3</x:v>
      </x:c>
      <x:c r="C333" s="17" t="str">
        <x:v>U+003D</x:v>
      </x:c>
      <x:c r="D333" s="23" t="str">
        <x:v>IFERROR(1/(((G3-F3)/3.92)^2),1)</x:v>
      </x:c>
    </x:row>
    <x:row r="334">
      <x:c r="A334" s="17" t="str">
        <x:v>Regression Data</x:v>
      </x:c>
      <x:c r="B334" s="17" t="str">
        <x:v>I4</x:v>
      </x:c>
      <x:c r="C334" s="17" t="str">
        <x:v>U+003D</x:v>
      </x:c>
      <x:c r="D334" s="23" t="str">
        <x:v>LOG10(H4*1E9)</x:v>
      </x:c>
    </x:row>
    <x:row r="335">
      <x:c r="A335" s="17" t="str">
        <x:v>Regression Data</x:v>
      </x:c>
      <x:c r="B335" s="17" t="str">
        <x:v>J4</x:v>
      </x:c>
      <x:c r="C335" s="17" t="str">
        <x:v>U+003D</x:v>
      </x:c>
      <x:c r="D335" s="23" t="str">
        <x:v>(C4-'Regression Model'!$B$4)/365.25</x:v>
      </x:c>
    </x:row>
    <x:row r="336">
      <x:c r="A336" s="17" t="str">
        <x:v>Regression Data</x:v>
      </x:c>
      <x:c r="B336" s="17" t="str">
        <x:v>K4</x:v>
      </x:c>
      <x:c r="C336" s="17" t="str">
        <x:v>U+003D</x:v>
      </x:c>
      <x:c r="D336" s="23" t="str">
        <x:v>IFERROR(1/(((G4-F4)/3.92)^2),1)</x:v>
      </x:c>
    </x:row>
    <x:row r="337">
      <x:c r="A337" s="17" t="str">
        <x:v>Regression Data</x:v>
      </x:c>
      <x:c r="B337" s="17" t="str">
        <x:v>I5</x:v>
      </x:c>
      <x:c r="C337" s="17" t="str">
        <x:v>U+003D</x:v>
      </x:c>
      <x:c r="D337" s="23" t="str">
        <x:v>LOG10(H5*1E9)</x:v>
      </x:c>
    </x:row>
    <x:row r="338">
      <x:c r="A338" s="17" t="str">
        <x:v>Regression Data</x:v>
      </x:c>
      <x:c r="B338" s="17" t="str">
        <x:v>J5</x:v>
      </x:c>
      <x:c r="C338" s="17" t="str">
        <x:v>U+003D</x:v>
      </x:c>
      <x:c r="D338" s="23" t="str">
        <x:v>(C5-'Regression Model'!$B$4)/365.25</x:v>
      </x:c>
    </x:row>
    <x:row r="339">
      <x:c r="A339" s="17" t="str">
        <x:v>Regression Data</x:v>
      </x:c>
      <x:c r="B339" s="17" t="str">
        <x:v>K5</x:v>
      </x:c>
      <x:c r="C339" s="17" t="str">
        <x:v>U+003D</x:v>
      </x:c>
      <x:c r="D339" s="23" t="str">
        <x:v>IFERROR(1/(((G5-F5)/3.92)^2),1)</x:v>
      </x:c>
    </x:row>
    <x:row r="340">
      <x:c r="A340" s="17" t="str">
        <x:v>Regression Data</x:v>
      </x:c>
      <x:c r="B340" s="17" t="str">
        <x:v>I6</x:v>
      </x:c>
      <x:c r="C340" s="17" t="str">
        <x:v>U+003D</x:v>
      </x:c>
      <x:c r="D340" s="23" t="str">
        <x:v>LOG10(H6*1E9)</x:v>
      </x:c>
    </x:row>
    <x:row r="341">
      <x:c r="A341" s="17" t="str">
        <x:v>Regression Data</x:v>
      </x:c>
      <x:c r="B341" s="17" t="str">
        <x:v>J6</x:v>
      </x:c>
      <x:c r="C341" s="17" t="str">
        <x:v>U+003D</x:v>
      </x:c>
      <x:c r="D341" s="23" t="str">
        <x:v>(C6-'Regression Model'!$B$4)/365.25</x:v>
      </x:c>
    </x:row>
    <x:row r="342">
      <x:c r="A342" s="17" t="str">
        <x:v>Regression Data</x:v>
      </x:c>
      <x:c r="B342" s="17" t="str">
        <x:v>K6</x:v>
      </x:c>
      <x:c r="C342" s="17" t="str">
        <x:v>U+003D</x:v>
      </x:c>
      <x:c r="D342" s="23" t="str">
        <x:v>IFERROR(1/(((G6-F6)/3.92)^2),1)</x:v>
      </x:c>
    </x:row>
    <x:row r="343">
      <x:c r="A343" s="17" t="str">
        <x:v>Regression Data</x:v>
      </x:c>
      <x:c r="B343" s="17" t="str">
        <x:v>I7</x:v>
      </x:c>
      <x:c r="C343" s="17" t="str">
        <x:v>U+003D</x:v>
      </x:c>
      <x:c r="D343" s="23" t="str">
        <x:v>LOG10(H7*1E9)</x:v>
      </x:c>
    </x:row>
    <x:row r="344">
      <x:c r="A344" s="17" t="str">
        <x:v>Regression Data</x:v>
      </x:c>
      <x:c r="B344" s="17" t="str">
        <x:v>J7</x:v>
      </x:c>
      <x:c r="C344" s="17" t="str">
        <x:v>U+003D</x:v>
      </x:c>
      <x:c r="D344" s="23" t="str">
        <x:v>(C7-'Regression Model'!$B$4)/365.25</x:v>
      </x:c>
    </x:row>
    <x:row r="345">
      <x:c r="A345" s="17" t="str">
        <x:v>Regression Data</x:v>
      </x:c>
      <x:c r="B345" s="17" t="str">
        <x:v>K7</x:v>
      </x:c>
      <x:c r="C345" s="17" t="str">
        <x:v>U+003D</x:v>
      </x:c>
      <x:c r="D345" s="23" t="str">
        <x:v>IFERROR(1/(((G7-F7)/3.92)^2),1)</x:v>
      </x:c>
    </x:row>
    <x:row r="346">
      <x:c r="A346" s="17" t="str">
        <x:v>Regression Data</x:v>
      </x:c>
      <x:c r="B346" s="17" t="str">
        <x:v>I8</x:v>
      </x:c>
      <x:c r="C346" s="17" t="str">
        <x:v>U+003D</x:v>
      </x:c>
      <x:c r="D346" s="23" t="str">
        <x:v>LOG10(H8*1E9)</x:v>
      </x:c>
    </x:row>
    <x:row r="347">
      <x:c r="A347" s="17" t="str">
        <x:v>Regression Data</x:v>
      </x:c>
      <x:c r="B347" s="17" t="str">
        <x:v>J8</x:v>
      </x:c>
      <x:c r="C347" s="17" t="str">
        <x:v>U+003D</x:v>
      </x:c>
      <x:c r="D347" s="23" t="str">
        <x:v>(C8-'Regression Model'!$B$4)/365.25</x:v>
      </x:c>
    </x:row>
    <x:row r="348">
      <x:c r="A348" s="17" t="str">
        <x:v>Regression Data</x:v>
      </x:c>
      <x:c r="B348" s="17" t="str">
        <x:v>K8</x:v>
      </x:c>
      <x:c r="C348" s="17" t="str">
        <x:v>U+003D</x:v>
      </x:c>
      <x:c r="D348" s="23" t="str">
        <x:v>IFERROR(1/(((G8-F8)/3.92)^2),1)</x:v>
      </x:c>
    </x:row>
    <x:row r="349">
      <x:c r="A349" s="17" t="str">
        <x:v>Regression Data</x:v>
      </x:c>
      <x:c r="B349" s="17" t="str">
        <x:v>I9</x:v>
      </x:c>
      <x:c r="C349" s="17" t="str">
        <x:v>U+003D</x:v>
      </x:c>
      <x:c r="D349" s="23" t="str">
        <x:v>LOG10(H9*1E9)</x:v>
      </x:c>
    </x:row>
    <x:row r="350">
      <x:c r="A350" s="17" t="str">
        <x:v>Regression Data</x:v>
      </x:c>
      <x:c r="B350" s="17" t="str">
        <x:v>J9</x:v>
      </x:c>
      <x:c r="C350" s="17" t="str">
        <x:v>U+003D</x:v>
      </x:c>
      <x:c r="D350" s="23" t="str">
        <x:v>(C9-'Regression Model'!$B$4)/365.25</x:v>
      </x:c>
    </x:row>
    <x:row r="351">
      <x:c r="A351" s="17" t="str">
        <x:v>Regression Data</x:v>
      </x:c>
      <x:c r="B351" s="17" t="str">
        <x:v>K9</x:v>
      </x:c>
      <x:c r="C351" s="17" t="str">
        <x:v>U+003D</x:v>
      </x:c>
      <x:c r="D351" s="23" t="str">
        <x:v>IFERROR(1/(((G9-F9)/3.92)^2),1)</x:v>
      </x:c>
    </x:row>
    <x:row r="352">
      <x:c r="A352" s="17" t="str">
        <x:v>Regression Data</x:v>
      </x:c>
      <x:c r="B352" s="17" t="str">
        <x:v>I10</x:v>
      </x:c>
      <x:c r="C352" s="17" t="str">
        <x:v>U+003D</x:v>
      </x:c>
      <x:c r="D352" s="23" t="str">
        <x:v>LOG10(H10*1E9)</x:v>
      </x:c>
    </x:row>
    <x:row r="353">
      <x:c r="A353" s="17" t="str">
        <x:v>Regression Data</x:v>
      </x:c>
      <x:c r="B353" s="17" t="str">
        <x:v>J10</x:v>
      </x:c>
      <x:c r="C353" s="17" t="str">
        <x:v>U+003D</x:v>
      </x:c>
      <x:c r="D353" s="23" t="str">
        <x:v>(C10-'Regression Model'!$B$4)/365.25</x:v>
      </x:c>
    </x:row>
    <x:row r="354">
      <x:c r="A354" s="17" t="str">
        <x:v>Regression Data</x:v>
      </x:c>
      <x:c r="B354" s="17" t="str">
        <x:v>K10</x:v>
      </x:c>
      <x:c r="C354" s="17" t="str">
        <x:v>U+003D</x:v>
      </x:c>
      <x:c r="D354" s="23" t="str">
        <x:v>IFERROR(1/(((G10-F10)/3.92)^2),1)</x:v>
      </x:c>
    </x:row>
    <x:row r="355">
      <x:c r="A355" s="17" t="str">
        <x:v>Regression Data</x:v>
      </x:c>
      <x:c r="B355" s="17" t="str">
        <x:v>I11</x:v>
      </x:c>
      <x:c r="C355" s="17" t="str">
        <x:v>U+003D</x:v>
      </x:c>
      <x:c r="D355" s="23" t="str">
        <x:v>LOG10(H11*1E9)</x:v>
      </x:c>
    </x:row>
    <x:row r="356">
      <x:c r="A356" s="17" t="str">
        <x:v>Regression Data</x:v>
      </x:c>
      <x:c r="B356" s="17" t="str">
        <x:v>J11</x:v>
      </x:c>
      <x:c r="C356" s="17" t="str">
        <x:v>U+003D</x:v>
      </x:c>
      <x:c r="D356" s="23" t="str">
        <x:v>(C11-'Regression Model'!$B$4)/365.25</x:v>
      </x:c>
    </x:row>
    <x:row r="357">
      <x:c r="A357" s="17" t="str">
        <x:v>Regression Data</x:v>
      </x:c>
      <x:c r="B357" s="17" t="str">
        <x:v>K11</x:v>
      </x:c>
      <x:c r="C357" s="17" t="str">
        <x:v>U+003D</x:v>
      </x:c>
      <x:c r="D357" s="23" t="str">
        <x:v>IFERROR(1/(((G11-F11)/3.92)^2),1)</x:v>
      </x:c>
    </x:row>
    <x:row r="358">
      <x:c r="A358" s="17" t="str">
        <x:v>Regression Data</x:v>
      </x:c>
      <x:c r="B358" s="17" t="str">
        <x:v>I12</x:v>
      </x:c>
      <x:c r="C358" s="17" t="str">
        <x:v>U+003D</x:v>
      </x:c>
      <x:c r="D358" s="23" t="str">
        <x:v>LOG10(H12*1E9)</x:v>
      </x:c>
    </x:row>
    <x:row r="359">
      <x:c r="A359" s="17" t="str">
        <x:v>Regression Data</x:v>
      </x:c>
      <x:c r="B359" s="17" t="str">
        <x:v>J12</x:v>
      </x:c>
      <x:c r="C359" s="17" t="str">
        <x:v>U+003D</x:v>
      </x:c>
      <x:c r="D359" s="23" t="str">
        <x:v>(C12-'Regression Model'!$B$4)/365.25</x:v>
      </x:c>
    </x:row>
    <x:row r="360">
      <x:c r="A360" s="17" t="str">
        <x:v>Regression Data</x:v>
      </x:c>
      <x:c r="B360" s="17" t="str">
        <x:v>K12</x:v>
      </x:c>
      <x:c r="C360" s="17" t="str">
        <x:v>U+003D</x:v>
      </x:c>
      <x:c r="D360" s="23" t="str">
        <x:v>IFERROR(1/(((G12-F12)/3.92)^2),1)</x:v>
      </x:c>
    </x:row>
    <x:row r="361">
      <x:c r="A361" s="17" t="str">
        <x:v>Regression Data</x:v>
      </x:c>
      <x:c r="B361" s="17" t="str">
        <x:v>I13</x:v>
      </x:c>
      <x:c r="C361" s="17" t="str">
        <x:v>U+003D</x:v>
      </x:c>
      <x:c r="D361" s="23" t="str">
        <x:v>LOG10(H13*1E9)</x:v>
      </x:c>
    </x:row>
    <x:row r="362">
      <x:c r="A362" s="17" t="str">
        <x:v>Regression Data</x:v>
      </x:c>
      <x:c r="B362" s="17" t="str">
        <x:v>J13</x:v>
      </x:c>
      <x:c r="C362" s="17" t="str">
        <x:v>U+003D</x:v>
      </x:c>
      <x:c r="D362" s="23" t="str">
        <x:v>(C13-'Regression Model'!$B$4)/365.25</x:v>
      </x:c>
    </x:row>
    <x:row r="363">
      <x:c r="A363" s="17" t="str">
        <x:v>Regression Data</x:v>
      </x:c>
      <x:c r="B363" s="17" t="str">
        <x:v>K13</x:v>
      </x:c>
      <x:c r="C363" s="17" t="str">
        <x:v>U+003D</x:v>
      </x:c>
      <x:c r="D363" s="23" t="str">
        <x:v>IFERROR(1/(((G13-F13)/3.92)^2),1)</x:v>
      </x:c>
    </x:row>
    <x:row r="364">
      <x:c r="A364" s="17" t="str">
        <x:v>Regression Data</x:v>
      </x:c>
      <x:c r="B364" s="17" t="str">
        <x:v>I14</x:v>
      </x:c>
      <x:c r="C364" s="17" t="str">
        <x:v>U+003D</x:v>
      </x:c>
      <x:c r="D364" s="23" t="str">
        <x:v>LOG10(H14*1E9)</x:v>
      </x:c>
    </x:row>
    <x:row r="365">
      <x:c r="A365" s="17" t="str">
        <x:v>Regression Data</x:v>
      </x:c>
      <x:c r="B365" s="17" t="str">
        <x:v>J14</x:v>
      </x:c>
      <x:c r="C365" s="17" t="str">
        <x:v>U+003D</x:v>
      </x:c>
      <x:c r="D365" s="23" t="str">
        <x:v>(C14-'Regression Model'!$B$4)/365.25</x:v>
      </x:c>
    </x:row>
    <x:row r="366">
      <x:c r="A366" s="17" t="str">
        <x:v>Regression Data</x:v>
      </x:c>
      <x:c r="B366" s="17" t="str">
        <x:v>K14</x:v>
      </x:c>
      <x:c r="C366" s="17" t="str">
        <x:v>U+003D</x:v>
      </x:c>
      <x:c r="D366" s="23" t="str">
        <x:v>IFERROR(1/(((G14-F14)/3.92)^2),1)</x:v>
      </x:c>
    </x:row>
    <x:row r="367">
      <x:c r="A367" s="17" t="str">
        <x:v>Regression Data</x:v>
      </x:c>
      <x:c r="B367" s="17" t="str">
        <x:v>I15</x:v>
      </x:c>
      <x:c r="C367" s="17" t="str">
        <x:v>U+003D</x:v>
      </x:c>
      <x:c r="D367" s="23" t="str">
        <x:v>LOG10(H15*1E9)</x:v>
      </x:c>
    </x:row>
    <x:row r="368">
      <x:c r="A368" s="17" t="str">
        <x:v>Regression Data</x:v>
      </x:c>
      <x:c r="B368" s="17" t="str">
        <x:v>J15</x:v>
      </x:c>
      <x:c r="C368" s="17" t="str">
        <x:v>U+003D</x:v>
      </x:c>
      <x:c r="D368" s="23" t="str">
        <x:v>(C15-'Regression Model'!$B$4)/365.25</x:v>
      </x:c>
    </x:row>
    <x:row r="369">
      <x:c r="A369" s="17" t="str">
        <x:v>Regression Data</x:v>
      </x:c>
      <x:c r="B369" s="17" t="str">
        <x:v>K15</x:v>
      </x:c>
      <x:c r="C369" s="17" t="str">
        <x:v>U+003D</x:v>
      </x:c>
      <x:c r="D369" s="23" t="str">
        <x:v>IFERROR(1/(((G15-F15)/3.92)^2),1)</x:v>
      </x:c>
    </x:row>
    <x:row r="370">
      <x:c r="A370" s="17" t="str">
        <x:v>Regression Data</x:v>
      </x:c>
      <x:c r="B370" s="17" t="str">
        <x:v>I16</x:v>
      </x:c>
      <x:c r="C370" s="17" t="str">
        <x:v>U+003D</x:v>
      </x:c>
      <x:c r="D370" s="23" t="str">
        <x:v>LOG10(H16*1E9)</x:v>
      </x:c>
    </x:row>
    <x:row r="371">
      <x:c r="A371" s="17" t="str">
        <x:v>Regression Data</x:v>
      </x:c>
      <x:c r="B371" s="17" t="str">
        <x:v>J16</x:v>
      </x:c>
      <x:c r="C371" s="17" t="str">
        <x:v>U+003D</x:v>
      </x:c>
      <x:c r="D371" s="23" t="str">
        <x:v>(C16-'Regression Model'!$B$4)/365.25</x:v>
      </x:c>
    </x:row>
    <x:row r="372">
      <x:c r="A372" s="17" t="str">
        <x:v>Regression Data</x:v>
      </x:c>
      <x:c r="B372" s="17" t="str">
        <x:v>K16</x:v>
      </x:c>
      <x:c r="C372" s="17" t="str">
        <x:v>U+003D</x:v>
      </x:c>
      <x:c r="D372" s="23" t="str">
        <x:v>IFERROR(1/(((G16-F16)/3.92)^2),1)</x:v>
      </x:c>
    </x:row>
    <x:row r="373">
      <x:c r="A373" s="17" t="str">
        <x:v>Regression Data</x:v>
      </x:c>
      <x:c r="B373" s="17" t="str">
        <x:v>I17</x:v>
      </x:c>
      <x:c r="C373" s="17" t="str">
        <x:v>U+003D</x:v>
      </x:c>
      <x:c r="D373" s="23" t="str">
        <x:v>LOG10(H17*1E9)</x:v>
      </x:c>
    </x:row>
    <x:row r="374">
      <x:c r="A374" s="17" t="str">
        <x:v>Regression Data</x:v>
      </x:c>
      <x:c r="B374" s="17" t="str">
        <x:v>J17</x:v>
      </x:c>
      <x:c r="C374" s="17" t="str">
        <x:v>U+003D</x:v>
      </x:c>
      <x:c r="D374" s="23" t="str">
        <x:v>(C17-'Regression Model'!$B$4)/365.25</x:v>
      </x:c>
    </x:row>
    <x:row r="375">
      <x:c r="A375" s="17" t="str">
        <x:v>Regression Data</x:v>
      </x:c>
      <x:c r="B375" s="17" t="str">
        <x:v>K17</x:v>
      </x:c>
      <x:c r="C375" s="17" t="str">
        <x:v>U+003D</x:v>
      </x:c>
      <x:c r="D375" s="23" t="str">
        <x:v>IFERROR(1/(((G17-F17)/3.92)^2),1)</x:v>
      </x:c>
    </x:row>
    <x:row r="376">
      <x:c r="A376" s="17" t="str">
        <x:v>Regression Data</x:v>
      </x:c>
      <x:c r="B376" s="17" t="str">
        <x:v>I18</x:v>
      </x:c>
      <x:c r="C376" s="17" t="str">
        <x:v>U+003D</x:v>
      </x:c>
      <x:c r="D376" s="23" t="str">
        <x:v>LOG10(H18*1E9)</x:v>
      </x:c>
    </x:row>
    <x:row r="377">
      <x:c r="A377" s="17" t="str">
        <x:v>Regression Data</x:v>
      </x:c>
      <x:c r="B377" s="17" t="str">
        <x:v>J18</x:v>
      </x:c>
      <x:c r="C377" s="17" t="str">
        <x:v>U+003D</x:v>
      </x:c>
      <x:c r="D377" s="23" t="str">
        <x:v>(C18-'Regression Model'!$B$4)/365.25</x:v>
      </x:c>
    </x:row>
    <x:row r="378">
      <x:c r="A378" s="17" t="str">
        <x:v>Regression Data</x:v>
      </x:c>
      <x:c r="B378" s="17" t="str">
        <x:v>K18</x:v>
      </x:c>
      <x:c r="C378" s="17" t="str">
        <x:v>U+003D</x:v>
      </x:c>
      <x:c r="D378" s="23" t="str">
        <x:v>IFERROR(1/(((G18-F18)/3.92)^2),1)</x:v>
      </x:c>
    </x:row>
    <x:row r="379">
      <x:c r="A379" s="17" t="str">
        <x:v>Regression Data</x:v>
      </x:c>
      <x:c r="B379" s="17" t="str">
        <x:v>I19</x:v>
      </x:c>
      <x:c r="C379" s="17" t="str">
        <x:v>U+003D</x:v>
      </x:c>
      <x:c r="D379" s="23" t="str">
        <x:v>LOG10(H19*1E9)</x:v>
      </x:c>
    </x:row>
    <x:row r="380">
      <x:c r="A380" s="17" t="str">
        <x:v>Regression Data</x:v>
      </x:c>
      <x:c r="B380" s="17" t="str">
        <x:v>J19</x:v>
      </x:c>
      <x:c r="C380" s="17" t="str">
        <x:v>U+003D</x:v>
      </x:c>
      <x:c r="D380" s="23" t="str">
        <x:v>(C19-'Regression Model'!$B$4)/365.25</x:v>
      </x:c>
    </x:row>
    <x:row r="381">
      <x:c r="A381" s="17" t="str">
        <x:v>Regression Data</x:v>
      </x:c>
      <x:c r="B381" s="17" t="str">
        <x:v>K19</x:v>
      </x:c>
      <x:c r="C381" s="17" t="str">
        <x:v>U+003D</x:v>
      </x:c>
      <x:c r="D381" s="23" t="str">
        <x:v>IFERROR(1/(((G19-F19)/3.92)^2),1)</x:v>
      </x:c>
    </x:row>
    <x:row r="382">
      <x:c r="A382" s="17" t="str">
        <x:v>Regression Data</x:v>
      </x:c>
      <x:c r="B382" s="17" t="str">
        <x:v>I20</x:v>
      </x:c>
      <x:c r="C382" s="17" t="str">
        <x:v>U+003D</x:v>
      </x:c>
      <x:c r="D382" s="23" t="str">
        <x:v>LOG10(H20*1E9)</x:v>
      </x:c>
    </x:row>
    <x:row r="383">
      <x:c r="A383" s="17" t="str">
        <x:v>Regression Data</x:v>
      </x:c>
      <x:c r="B383" s="17" t="str">
        <x:v>J20</x:v>
      </x:c>
      <x:c r="C383" s="17" t="str">
        <x:v>U+003D</x:v>
      </x:c>
      <x:c r="D383" s="23" t="str">
        <x:v>(C20-'Regression Model'!$B$4)/365.25</x:v>
      </x:c>
    </x:row>
    <x:row r="384">
      <x:c r="A384" s="17" t="str">
        <x:v>Regression Data</x:v>
      </x:c>
      <x:c r="B384" s="17" t="str">
        <x:v>K20</x:v>
      </x:c>
      <x:c r="C384" s="17" t="str">
        <x:v>U+003D</x:v>
      </x:c>
      <x:c r="D384" s="23" t="str">
        <x:v>IFERROR(1/(((G20-F20)/3.92)^2),1)</x:v>
      </x:c>
    </x:row>
    <x:row r="385">
      <x:c r="A385" s="17" t="str">
        <x:v>Regression Data</x:v>
      </x:c>
      <x:c r="B385" s="17" t="str">
        <x:v>I21</x:v>
      </x:c>
      <x:c r="C385" s="17" t="str">
        <x:v>U+003D</x:v>
      </x:c>
      <x:c r="D385" s="23" t="str">
        <x:v>LOG10(H21*1E9)</x:v>
      </x:c>
    </x:row>
    <x:row r="386">
      <x:c r="A386" s="17" t="str">
        <x:v>Regression Data</x:v>
      </x:c>
      <x:c r="B386" s="17" t="str">
        <x:v>J21</x:v>
      </x:c>
      <x:c r="C386" s="17" t="str">
        <x:v>U+003D</x:v>
      </x:c>
      <x:c r="D386" s="23" t="str">
        <x:v>(C21-'Regression Model'!$B$4)/365.25</x:v>
      </x:c>
    </x:row>
    <x:row r="387">
      <x:c r="A387" s="17" t="str">
        <x:v>Regression Data</x:v>
      </x:c>
      <x:c r="B387" s="17" t="str">
        <x:v>K21</x:v>
      </x:c>
      <x:c r="C387" s="17" t="str">
        <x:v>U+003D</x:v>
      </x:c>
      <x:c r="D387" s="23" t="str">
        <x:v>IFERROR(1/(((G21-F21)/3.92)^2),1)</x:v>
      </x:c>
    </x:row>
    <x:row r="388">
      <x:c r="A388" s="17" t="str">
        <x:v>Regression Data</x:v>
      </x:c>
      <x:c r="B388" s="17" t="str">
        <x:v>I22</x:v>
      </x:c>
      <x:c r="C388" s="17" t="str">
        <x:v>U+003D</x:v>
      </x:c>
      <x:c r="D388" s="23" t="str">
        <x:v>LOG10(H22*1E9)</x:v>
      </x:c>
    </x:row>
    <x:row r="389">
      <x:c r="A389" s="17" t="str">
        <x:v>Regression Data</x:v>
      </x:c>
      <x:c r="B389" s="17" t="str">
        <x:v>J22</x:v>
      </x:c>
      <x:c r="C389" s="17" t="str">
        <x:v>U+003D</x:v>
      </x:c>
      <x:c r="D389" s="23" t="str">
        <x:v>(C22-'Regression Model'!$B$4)/365.25</x:v>
      </x:c>
    </x:row>
    <x:row r="390">
      <x:c r="A390" s="17" t="str">
        <x:v>Regression Data</x:v>
      </x:c>
      <x:c r="B390" s="17" t="str">
        <x:v>K22</x:v>
      </x:c>
      <x:c r="C390" s="17" t="str">
        <x:v>U+003D</x:v>
      </x:c>
      <x:c r="D390" s="23" t="str">
        <x:v>IFERROR(1/(((G22-F22)/3.92)^2),1)</x:v>
      </x:c>
    </x:row>
    <x:row r="391">
      <x:c r="A391" s="17" t="str">
        <x:v>Regression Data</x:v>
      </x:c>
      <x:c r="B391" s="17" t="str">
        <x:v>I23</x:v>
      </x:c>
      <x:c r="C391" s="17" t="str">
        <x:v>U+003D</x:v>
      </x:c>
      <x:c r="D391" s="23" t="str">
        <x:v>LOG10(H23*1E9)</x:v>
      </x:c>
    </x:row>
    <x:row r="392">
      <x:c r="A392" s="17" t="str">
        <x:v>Regression Data</x:v>
      </x:c>
      <x:c r="B392" s="17" t="str">
        <x:v>J23</x:v>
      </x:c>
      <x:c r="C392" s="17" t="str">
        <x:v>U+003D</x:v>
      </x:c>
      <x:c r="D392" s="23" t="str">
        <x:v>(C23-'Regression Model'!$B$4)/365.25</x:v>
      </x:c>
    </x:row>
    <x:row r="393">
      <x:c r="A393" s="17" t="str">
        <x:v>Regression Data</x:v>
      </x:c>
      <x:c r="B393" s="17" t="str">
        <x:v>K23</x:v>
      </x:c>
      <x:c r="C393" s="17" t="str">
        <x:v>U+003D</x:v>
      </x:c>
      <x:c r="D393" s="23" t="str">
        <x:v>IFERROR(1/(((G23-F23)/3.92)^2),1)</x:v>
      </x:c>
    </x:row>
    <x:row r="394">
      <x:c r="A394" s="17" t="str">
        <x:v>Regression Data</x:v>
      </x:c>
      <x:c r="B394" s="17" t="str">
        <x:v>I24</x:v>
      </x:c>
      <x:c r="C394" s="17" t="str">
        <x:v>U+003D</x:v>
      </x:c>
      <x:c r="D394" s="23" t="str">
        <x:v>LOG10(H24*1E9)</x:v>
      </x:c>
    </x:row>
    <x:row r="395">
      <x:c r="A395" s="17" t="str">
        <x:v>Regression Data</x:v>
      </x:c>
      <x:c r="B395" s="17" t="str">
        <x:v>J24</x:v>
      </x:c>
      <x:c r="C395" s="17" t="str">
        <x:v>U+003D</x:v>
      </x:c>
      <x:c r="D395" s="23" t="str">
        <x:v>(C24-'Regression Model'!$B$4)/365.25</x:v>
      </x:c>
    </x:row>
    <x:row r="396">
      <x:c r="A396" s="17" t="str">
        <x:v>Regression Data</x:v>
      </x:c>
      <x:c r="B396" s="17" t="str">
        <x:v>K24</x:v>
      </x:c>
      <x:c r="C396" s="17" t="str">
        <x:v>U+003D</x:v>
      </x:c>
      <x:c r="D396" s="23" t="str">
        <x:v>IFERROR(1/(((G24-F24)/3.92)^2),1)</x:v>
      </x:c>
    </x:row>
    <x:row r="397">
      <x:c r="A397" s="17" t="str">
        <x:v>Regression Data</x:v>
      </x:c>
      <x:c r="B397" s="17" t="str">
        <x:v>I25</x:v>
      </x:c>
      <x:c r="C397" s="17" t="str">
        <x:v>U+003D</x:v>
      </x:c>
      <x:c r="D397" s="23" t="str">
        <x:v>LOG10(H25*1E9)</x:v>
      </x:c>
    </x:row>
    <x:row r="398">
      <x:c r="A398" s="17" t="str">
        <x:v>Regression Data</x:v>
      </x:c>
      <x:c r="B398" s="17" t="str">
        <x:v>J25</x:v>
      </x:c>
      <x:c r="C398" s="17" t="str">
        <x:v>U+003D</x:v>
      </x:c>
      <x:c r="D398" s="23" t="str">
        <x:v>(C25-'Regression Model'!$B$4)/365.25</x:v>
      </x:c>
    </x:row>
    <x:row r="399">
      <x:c r="A399" s="17" t="str">
        <x:v>Regression Data</x:v>
      </x:c>
      <x:c r="B399" s="17" t="str">
        <x:v>K25</x:v>
      </x:c>
      <x:c r="C399" s="17" t="str">
        <x:v>U+003D</x:v>
      </x:c>
      <x:c r="D399" s="23" t="str">
        <x:v>IFERROR(1/(((G25-F25)/3.92)^2),1)</x:v>
      </x:c>
    </x:row>
    <x:row r="400">
      <x:c r="A400" s="17" t="str">
        <x:v>Regression Data</x:v>
      </x:c>
      <x:c r="B400" s="17" t="str">
        <x:v>I26</x:v>
      </x:c>
      <x:c r="C400" s="17" t="str">
        <x:v>U+003D</x:v>
      </x:c>
      <x:c r="D400" s="23" t="str">
        <x:v>LOG10(H26*1E9)</x:v>
      </x:c>
    </x:row>
    <x:row r="401">
      <x:c r="A401" s="17" t="str">
        <x:v>Regression Data</x:v>
      </x:c>
      <x:c r="B401" s="17" t="str">
        <x:v>J26</x:v>
      </x:c>
      <x:c r="C401" s="17" t="str">
        <x:v>U+003D</x:v>
      </x:c>
      <x:c r="D401" s="23" t="str">
        <x:v>(C26-'Regression Model'!$B$4)/365.25</x:v>
      </x:c>
    </x:row>
    <x:row r="402">
      <x:c r="A402" s="17" t="str">
        <x:v>Regression Data</x:v>
      </x:c>
      <x:c r="B402" s="17" t="str">
        <x:v>K26</x:v>
      </x:c>
      <x:c r="C402" s="17" t="str">
        <x:v>U+003D</x:v>
      </x:c>
      <x:c r="D402" s="23" t="str">
        <x:v>IFERROR(1/(((G26-F26)/3.92)^2),1)</x:v>
      </x:c>
    </x:row>
    <x:row r="403">
      <x:c r="A403" s="17" t="str">
        <x:v>Regression Data</x:v>
      </x:c>
      <x:c r="B403" s="17" t="str">
        <x:v>I27</x:v>
      </x:c>
      <x:c r="C403" s="17" t="str">
        <x:v>U+003D</x:v>
      </x:c>
      <x:c r="D403" s="23" t="str">
        <x:v>LOG10(H27*1E9)</x:v>
      </x:c>
    </x:row>
    <x:row r="404">
      <x:c r="A404" s="17" t="str">
        <x:v>Regression Data</x:v>
      </x:c>
      <x:c r="B404" s="17" t="str">
        <x:v>J27</x:v>
      </x:c>
      <x:c r="C404" s="17" t="str">
        <x:v>U+003D</x:v>
      </x:c>
      <x:c r="D404" s="23" t="str">
        <x:v>(C27-'Regression Model'!$B$4)/365.25</x:v>
      </x:c>
    </x:row>
    <x:row r="405">
      <x:c r="A405" s="17" t="str">
        <x:v>Regression Data</x:v>
      </x:c>
      <x:c r="B405" s="17" t="str">
        <x:v>K27</x:v>
      </x:c>
      <x:c r="C405" s="17" t="str">
        <x:v>U+003D</x:v>
      </x:c>
      <x:c r="D405" s="23" t="str">
        <x:v>IFERROR(1/(((G27-F27)/3.92)^2),1)</x:v>
      </x:c>
    </x:row>
    <x:row r="406">
      <x:c r="A406" s="17" t="str">
        <x:v>Regression Data</x:v>
      </x:c>
      <x:c r="B406" s="17" t="str">
        <x:v>I28</x:v>
      </x:c>
      <x:c r="C406" s="17" t="str">
        <x:v>U+003D</x:v>
      </x:c>
      <x:c r="D406" s="23" t="str">
        <x:v>LOG10(H28*1E9)</x:v>
      </x:c>
    </x:row>
    <x:row r="407">
      <x:c r="A407" s="17" t="str">
        <x:v>Regression Data</x:v>
      </x:c>
      <x:c r="B407" s="17" t="str">
        <x:v>J28</x:v>
      </x:c>
      <x:c r="C407" s="17" t="str">
        <x:v>U+003D</x:v>
      </x:c>
      <x:c r="D407" s="23" t="str">
        <x:v>(C28-'Regression Model'!$B$4)/365.25</x:v>
      </x:c>
    </x:row>
    <x:row r="408">
      <x:c r="A408" s="17" t="str">
        <x:v>Regression Data</x:v>
      </x:c>
      <x:c r="B408" s="17" t="str">
        <x:v>K28</x:v>
      </x:c>
      <x:c r="C408" s="17" t="str">
        <x:v>U+003D</x:v>
      </x:c>
      <x:c r="D408" s="23" t="str">
        <x:v>IFERROR(1/(((G28-F28)/3.92)^2),1)</x:v>
      </x:c>
    </x:row>
    <x:row r="409">
      <x:c r="A409" s="17" t="str">
        <x:v>Regression Data</x:v>
      </x:c>
      <x:c r="B409" s="17" t="str">
        <x:v>I29</x:v>
      </x:c>
      <x:c r="C409" s="17" t="str">
        <x:v>U+003D</x:v>
      </x:c>
      <x:c r="D409" s="23" t="str">
        <x:v>LOG10(H29*1E9)</x:v>
      </x:c>
    </x:row>
    <x:row r="410">
      <x:c r="A410" s="17" t="str">
        <x:v>Regression Data</x:v>
      </x:c>
      <x:c r="B410" s="17" t="str">
        <x:v>J29</x:v>
      </x:c>
      <x:c r="C410" s="17" t="str">
        <x:v>U+003D</x:v>
      </x:c>
      <x:c r="D410" s="23" t="str">
        <x:v>(C29-'Regression Model'!$B$4)/365.25</x:v>
      </x:c>
    </x:row>
    <x:row r="411">
      <x:c r="A411" s="17" t="str">
        <x:v>Regression Data</x:v>
      </x:c>
      <x:c r="B411" s="17" t="str">
        <x:v>K29</x:v>
      </x:c>
      <x:c r="C411" s="17" t="str">
        <x:v>U+003D</x:v>
      </x:c>
      <x:c r="D411" s="23" t="str">
        <x:v>IFERROR(1/(((G29-F29)/3.92)^2),1)</x:v>
      </x:c>
    </x:row>
    <x:row r="412">
      <x:c r="A412" s="17" t="str">
        <x:v>Regression Data</x:v>
      </x:c>
      <x:c r="B412" s="17" t="str">
        <x:v>I30</x:v>
      </x:c>
      <x:c r="C412" s="17" t="str">
        <x:v>U+003D</x:v>
      </x:c>
      <x:c r="D412" s="23" t="str">
        <x:v>LOG10(H30*1E9)</x:v>
      </x:c>
    </x:row>
    <x:row r="413">
      <x:c r="A413" s="17" t="str">
        <x:v>Regression Data</x:v>
      </x:c>
      <x:c r="B413" s="17" t="str">
        <x:v>J30</x:v>
      </x:c>
      <x:c r="C413" s="17" t="str">
        <x:v>U+003D</x:v>
      </x:c>
      <x:c r="D413" s="23" t="str">
        <x:v>(C30-'Regression Model'!$B$4)/365.25</x:v>
      </x:c>
    </x:row>
    <x:row r="414">
      <x:c r="A414" s="17" t="str">
        <x:v>Regression Data</x:v>
      </x:c>
      <x:c r="B414" s="17" t="str">
        <x:v>K30</x:v>
      </x:c>
      <x:c r="C414" s="17" t="str">
        <x:v>U+003D</x:v>
      </x:c>
      <x:c r="D414" s="23" t="str">
        <x:v>IFERROR(1/(((G30-F30)/3.92)^2),1)</x:v>
      </x:c>
    </x:row>
    <x:row r="415">
      <x:c r="A415" s="17" t="str">
        <x:v>Regression Data</x:v>
      </x:c>
      <x:c r="B415" s="17" t="str">
        <x:v>I31</x:v>
      </x:c>
      <x:c r="C415" s="17" t="str">
        <x:v>U+003D</x:v>
      </x:c>
      <x:c r="D415" s="23" t="str">
        <x:v>LOG10(H31*1E9)</x:v>
      </x:c>
    </x:row>
    <x:row r="416">
      <x:c r="A416" s="17" t="str">
        <x:v>Regression Data</x:v>
      </x:c>
      <x:c r="B416" s="17" t="str">
        <x:v>J31</x:v>
      </x:c>
      <x:c r="C416" s="17" t="str">
        <x:v>U+003D</x:v>
      </x:c>
      <x:c r="D416" s="23" t="str">
        <x:v>(C31-'Regression Model'!$B$4)/365.25</x:v>
      </x:c>
    </x:row>
    <x:row r="417">
      <x:c r="A417" s="17" t="str">
        <x:v>Regression Data</x:v>
      </x:c>
      <x:c r="B417" s="17" t="str">
        <x:v>K31</x:v>
      </x:c>
      <x:c r="C417" s="17" t="str">
        <x:v>U+003D</x:v>
      </x:c>
      <x:c r="D417" s="23" t="str">
        <x:v>IFERROR(1/(((G31-F31)/3.92)^2),1)</x:v>
      </x:c>
    </x:row>
    <x:row r="418">
      <x:c r="A418" s="17" t="str">
        <x:v>Regression Data</x:v>
      </x:c>
      <x:c r="B418" s="17" t="str">
        <x:v>I32</x:v>
      </x:c>
      <x:c r="C418" s="17" t="str">
        <x:v>U+003D</x:v>
      </x:c>
      <x:c r="D418" s="23" t="str">
        <x:v>LOG10(H32*1E9)</x:v>
      </x:c>
    </x:row>
    <x:row r="419">
      <x:c r="A419" s="17" t="str">
        <x:v>Regression Data</x:v>
      </x:c>
      <x:c r="B419" s="17" t="str">
        <x:v>J32</x:v>
      </x:c>
      <x:c r="C419" s="17" t="str">
        <x:v>U+003D</x:v>
      </x:c>
      <x:c r="D419" s="23" t="str">
        <x:v>(C32-'Regression Model'!$B$4)/365.25</x:v>
      </x:c>
    </x:row>
    <x:row r="420">
      <x:c r="A420" s="17" t="str">
        <x:v>Regression Data</x:v>
      </x:c>
      <x:c r="B420" s="17" t="str">
        <x:v>K32</x:v>
      </x:c>
      <x:c r="C420" s="17" t="str">
        <x:v>U+003D</x:v>
      </x:c>
      <x:c r="D420" s="23" t="str">
        <x:v>IFERROR(1/(((G32-F32)/3.92)^2),1)</x:v>
      </x:c>
    </x:row>
    <x:row r="421">
      <x:c r="A421" s="17" t="str">
        <x:v>Regression Data</x:v>
      </x:c>
      <x:c r="B421" s="17" t="str">
        <x:v>I33</x:v>
      </x:c>
      <x:c r="C421" s="17" t="str">
        <x:v>U+003D</x:v>
      </x:c>
      <x:c r="D421" s="23" t="str">
        <x:v>LOG10(H33*1E9)</x:v>
      </x:c>
    </x:row>
    <x:row r="422">
      <x:c r="A422" s="17" t="str">
        <x:v>Regression Data</x:v>
      </x:c>
      <x:c r="B422" s="17" t="str">
        <x:v>J33</x:v>
      </x:c>
      <x:c r="C422" s="17" t="str">
        <x:v>U+003D</x:v>
      </x:c>
      <x:c r="D422" s="23" t="str">
        <x:v>(C33-'Regression Model'!$B$4)/365.25</x:v>
      </x:c>
    </x:row>
    <x:row r="423">
      <x:c r="A423" s="17" t="str">
        <x:v>Regression Data</x:v>
      </x:c>
      <x:c r="B423" s="17" t="str">
        <x:v>K33</x:v>
      </x:c>
      <x:c r="C423" s="17" t="str">
        <x:v>U+003D</x:v>
      </x:c>
      <x:c r="D423" s="23" t="str">
        <x:v>IFERROR(1/(((G33-F33)/3.92)^2),1)</x:v>
      </x:c>
    </x:row>
    <x:row r="424">
      <x:c r="A424" s="17" t="str">
        <x:v>Regression Data</x:v>
      </x:c>
      <x:c r="B424" s="17" t="str">
        <x:v>I34</x:v>
      </x:c>
      <x:c r="C424" s="17" t="str">
        <x:v>U+003D</x:v>
      </x:c>
      <x:c r="D424" s="23" t="str">
        <x:v>LOG10(H34*1E9)</x:v>
      </x:c>
    </x:row>
    <x:row r="425">
      <x:c r="A425" s="17" t="str">
        <x:v>Regression Data</x:v>
      </x:c>
      <x:c r="B425" s="17" t="str">
        <x:v>J34</x:v>
      </x:c>
      <x:c r="C425" s="17" t="str">
        <x:v>U+003D</x:v>
      </x:c>
      <x:c r="D425" s="23" t="str">
        <x:v>(C34-'Regression Model'!$B$4)/365.25</x:v>
      </x:c>
    </x:row>
    <x:row r="426">
      <x:c r="A426" s="17" t="str">
        <x:v>Regression Data</x:v>
      </x:c>
      <x:c r="B426" s="17" t="str">
        <x:v>K34</x:v>
      </x:c>
      <x:c r="C426" s="17" t="str">
        <x:v>U+003D</x:v>
      </x:c>
      <x:c r="D426" s="23" t="str">
        <x:v>IFERROR(1/(((G34-F34)/3.92)^2),1)</x:v>
      </x:c>
    </x:row>
    <x:row r="427">
      <x:c r="A427" s="17" t="str">
        <x:v>Regression Data</x:v>
      </x:c>
      <x:c r="B427" s="17" t="str">
        <x:v>I35</x:v>
      </x:c>
      <x:c r="C427" s="17" t="str">
        <x:v>U+003D</x:v>
      </x:c>
      <x:c r="D427" s="23" t="str">
        <x:v>LOG10(H35*1E9)</x:v>
      </x:c>
    </x:row>
    <x:row r="428">
      <x:c r="A428" s="17" t="str">
        <x:v>Regression Data</x:v>
      </x:c>
      <x:c r="B428" s="17" t="str">
        <x:v>J35</x:v>
      </x:c>
      <x:c r="C428" s="17" t="str">
        <x:v>U+003D</x:v>
      </x:c>
      <x:c r="D428" s="23" t="str">
        <x:v>(C35-'Regression Model'!$B$4)/365.25</x:v>
      </x:c>
    </x:row>
    <x:row r="429">
      <x:c r="A429" s="17" t="str">
        <x:v>Regression Data</x:v>
      </x:c>
      <x:c r="B429" s="17" t="str">
        <x:v>K35</x:v>
      </x:c>
      <x:c r="C429" s="17" t="str">
        <x:v>U+003D</x:v>
      </x:c>
      <x:c r="D429" s="23" t="str">
        <x:v>IFERROR(1/(((G35-F35)/3.92)^2),1)</x:v>
      </x:c>
    </x:row>
    <x:row r="430">
      <x:c r="A430" s="17" t="str">
        <x:v>Regression Data</x:v>
      </x:c>
      <x:c r="B430" s="17" t="str">
        <x:v>I36</x:v>
      </x:c>
      <x:c r="C430" s="17" t="str">
        <x:v>U+003D</x:v>
      </x:c>
      <x:c r="D430" s="23" t="str">
        <x:v>LOG10(H36*1E9)</x:v>
      </x:c>
    </x:row>
    <x:row r="431">
      <x:c r="A431" s="17" t="str">
        <x:v>Regression Data</x:v>
      </x:c>
      <x:c r="B431" s="17" t="str">
        <x:v>J36</x:v>
      </x:c>
      <x:c r="C431" s="17" t="str">
        <x:v>U+003D</x:v>
      </x:c>
      <x:c r="D431" s="23" t="str">
        <x:v>(C36-'Regression Model'!$B$4)/365.25</x:v>
      </x:c>
    </x:row>
    <x:row r="432">
      <x:c r="A432" s="17" t="str">
        <x:v>Regression Data</x:v>
      </x:c>
      <x:c r="B432" s="17" t="str">
        <x:v>K36</x:v>
      </x:c>
      <x:c r="C432" s="17" t="str">
        <x:v>U+003D</x:v>
      </x:c>
      <x:c r="D432" s="23" t="str">
        <x:v>IFERROR(1/(((G36-F36)/3.92)^2),1)</x:v>
      </x:c>
    </x:row>
    <x:row r="433">
      <x:c r="A433" s="17" t="str">
        <x:v>Regression Data</x:v>
      </x:c>
      <x:c r="B433" s="17" t="str">
        <x:v>I37</x:v>
      </x:c>
      <x:c r="C433" s="17" t="str">
        <x:v>U+003D</x:v>
      </x:c>
      <x:c r="D433" s="23" t="str">
        <x:v>LOG10(H37*1E9)</x:v>
      </x:c>
    </x:row>
    <x:row r="434">
      <x:c r="A434" s="17" t="str">
        <x:v>Regression Data</x:v>
      </x:c>
      <x:c r="B434" s="17" t="str">
        <x:v>J37</x:v>
      </x:c>
      <x:c r="C434" s="17" t="str">
        <x:v>U+003D</x:v>
      </x:c>
      <x:c r="D434" s="23" t="str">
        <x:v>(C37-'Regression Model'!$B$4)/365.25</x:v>
      </x:c>
    </x:row>
    <x:row r="435">
      <x:c r="A435" s="17" t="str">
        <x:v>Regression Data</x:v>
      </x:c>
      <x:c r="B435" s="17" t="str">
        <x:v>K37</x:v>
      </x:c>
      <x:c r="C435" s="17" t="str">
        <x:v>U+003D</x:v>
      </x:c>
      <x:c r="D435" s="23" t="str">
        <x:v>IFERROR(1/(((G37-F37)/3.92)^2),1)</x:v>
      </x:c>
    </x:row>
    <x:row r="436">
      <x:c r="A436" s="17" t="str">
        <x:v>Regression Data</x:v>
      </x:c>
      <x:c r="B436" s="17" t="str">
        <x:v>I38</x:v>
      </x:c>
      <x:c r="C436" s="17" t="str">
        <x:v>U+003D</x:v>
      </x:c>
      <x:c r="D436" s="23" t="str">
        <x:v>LOG10(H38*1E9)</x:v>
      </x:c>
    </x:row>
    <x:row r="437">
      <x:c r="A437" s="17" t="str">
        <x:v>Regression Data</x:v>
      </x:c>
      <x:c r="B437" s="17" t="str">
        <x:v>J38</x:v>
      </x:c>
      <x:c r="C437" s="17" t="str">
        <x:v>U+003D</x:v>
      </x:c>
      <x:c r="D437" s="23" t="str">
        <x:v>(C38-'Regression Model'!$B$4)/365.25</x:v>
      </x:c>
    </x:row>
    <x:row r="438">
      <x:c r="A438" s="17" t="str">
        <x:v>Regression Data</x:v>
      </x:c>
      <x:c r="B438" s="17" t="str">
        <x:v>K38</x:v>
      </x:c>
      <x:c r="C438" s="17" t="str">
        <x:v>U+003D</x:v>
      </x:c>
      <x:c r="D438" s="23" t="str">
        <x:v>IFERROR(1/(((G38-F38)/3.92)^2),1)</x:v>
      </x:c>
    </x:row>
    <x:row r="439">
      <x:c r="A439" s="17" t="str">
        <x:v>Regression Data</x:v>
      </x:c>
      <x:c r="B439" s="17" t="str">
        <x:v>I39</x:v>
      </x:c>
      <x:c r="C439" s="17" t="str">
        <x:v>U+003D</x:v>
      </x:c>
      <x:c r="D439" s="23" t="str">
        <x:v>LOG10(H39*1E9)</x:v>
      </x:c>
    </x:row>
    <x:row r="440">
      <x:c r="A440" s="17" t="str">
        <x:v>Regression Data</x:v>
      </x:c>
      <x:c r="B440" s="17" t="str">
        <x:v>J39</x:v>
      </x:c>
      <x:c r="C440" s="17" t="str">
        <x:v>U+003D</x:v>
      </x:c>
      <x:c r="D440" s="23" t="str">
        <x:v>(C39-'Regression Model'!$B$4)/365.25</x:v>
      </x:c>
    </x:row>
    <x:row r="441">
      <x:c r="A441" s="17" t="str">
        <x:v>Regression Data</x:v>
      </x:c>
      <x:c r="B441" s="17" t="str">
        <x:v>K39</x:v>
      </x:c>
      <x:c r="C441" s="17" t="str">
        <x:v>U+003D</x:v>
      </x:c>
      <x:c r="D441" s="23" t="str">
        <x:v>IFERROR(1/(((G39-F39)/3.92)^2),1)</x:v>
      </x:c>
    </x:row>
    <x:row r="442">
      <x:c r="A442" s="17" t="str">
        <x:v>Regression Data</x:v>
      </x:c>
      <x:c r="B442" s="17" t="str">
        <x:v>I40</x:v>
      </x:c>
      <x:c r="C442" s="17" t="str">
        <x:v>U+003D</x:v>
      </x:c>
      <x:c r="D442" s="23" t="str">
        <x:v>LOG10(H40*1E9)</x:v>
      </x:c>
    </x:row>
    <x:row r="443">
      <x:c r="A443" s="17" t="str">
        <x:v>Regression Data</x:v>
      </x:c>
      <x:c r="B443" s="17" t="str">
        <x:v>J40</x:v>
      </x:c>
      <x:c r="C443" s="17" t="str">
        <x:v>U+003D</x:v>
      </x:c>
      <x:c r="D443" s="23" t="str">
        <x:v>(C40-'Regression Model'!$B$4)/365.25</x:v>
      </x:c>
    </x:row>
    <x:row r="444">
      <x:c r="A444" s="17" t="str">
        <x:v>Regression Data</x:v>
      </x:c>
      <x:c r="B444" s="17" t="str">
        <x:v>K40</x:v>
      </x:c>
      <x:c r="C444" s="17" t="str">
        <x:v>U+003D</x:v>
      </x:c>
      <x:c r="D444" s="23" t="str">
        <x:v>IFERROR(1/(((G40-F40)/3.92)^2),1)</x:v>
      </x:c>
    </x:row>
    <x:row r="445">
      <x:c r="A445" s="17" t="str">
        <x:v>Regression Data</x:v>
      </x:c>
      <x:c r="B445" s="17" t="str">
        <x:v>I41</x:v>
      </x:c>
      <x:c r="C445" s="17" t="str">
        <x:v>U+003D</x:v>
      </x:c>
      <x:c r="D445" s="23" t="str">
        <x:v>LOG10(H41*1E9)</x:v>
      </x:c>
    </x:row>
    <x:row r="446">
      <x:c r="A446" s="17" t="str">
        <x:v>Regression Data</x:v>
      </x:c>
      <x:c r="B446" s="17" t="str">
        <x:v>J41</x:v>
      </x:c>
      <x:c r="C446" s="17" t="str">
        <x:v>U+003D</x:v>
      </x:c>
      <x:c r="D446" s="23" t="str">
        <x:v>(C41-'Regression Model'!$B$4)/365.25</x:v>
      </x:c>
    </x:row>
    <x:row r="447">
      <x:c r="A447" s="17" t="str">
        <x:v>Regression Data</x:v>
      </x:c>
      <x:c r="B447" s="17" t="str">
        <x:v>K41</x:v>
      </x:c>
      <x:c r="C447" s="17" t="str">
        <x:v>U+003D</x:v>
      </x:c>
      <x:c r="D447" s="23" t="str">
        <x:v>IFERROR(1/(((G41-F41)/3.92)^2),1)</x:v>
      </x:c>
    </x:row>
    <x:row r="448">
      <x:c r="A448" s="17" t="str">
        <x:v>Regression Data</x:v>
      </x:c>
      <x:c r="B448" s="17" t="str">
        <x:v>I42</x:v>
      </x:c>
      <x:c r="C448" s="17" t="str">
        <x:v>U+003D</x:v>
      </x:c>
      <x:c r="D448" s="23" t="str">
        <x:v>LOG10(H42*1E9)</x:v>
      </x:c>
    </x:row>
    <x:row r="449">
      <x:c r="A449" s="17" t="str">
        <x:v>Regression Data</x:v>
      </x:c>
      <x:c r="B449" s="17" t="str">
        <x:v>J42</x:v>
      </x:c>
      <x:c r="C449" s="17" t="str">
        <x:v>U+003D</x:v>
      </x:c>
      <x:c r="D449" s="23" t="str">
        <x:v>(C42-'Regression Model'!$B$4)/365.25</x:v>
      </x:c>
    </x:row>
    <x:row r="450">
      <x:c r="A450" s="17" t="str">
        <x:v>Regression Data</x:v>
      </x:c>
      <x:c r="B450" s="17" t="str">
        <x:v>K42</x:v>
      </x:c>
      <x:c r="C450" s="17" t="str">
        <x:v>U+003D</x:v>
      </x:c>
      <x:c r="D450" s="23" t="str">
        <x:v>IFERROR(1/(((G42-F42)/3.92)^2),1)</x:v>
      </x:c>
    </x:row>
    <x:row r="451">
      <x:c r="A451" s="17" t="str">
        <x:v>Regression Data</x:v>
      </x:c>
      <x:c r="B451" s="17" t="str">
        <x:v>I43</x:v>
      </x:c>
      <x:c r="C451" s="17" t="str">
        <x:v>U+003D</x:v>
      </x:c>
      <x:c r="D451" s="23" t="str">
        <x:v>LOG10(H43*1E9)</x:v>
      </x:c>
    </x:row>
    <x:row r="452">
      <x:c r="A452" s="17" t="str">
        <x:v>Regression Data</x:v>
      </x:c>
      <x:c r="B452" s="17" t="str">
        <x:v>J43</x:v>
      </x:c>
      <x:c r="C452" s="17" t="str">
        <x:v>U+003D</x:v>
      </x:c>
      <x:c r="D452" s="23" t="str">
        <x:v>(C43-'Regression Model'!$B$4)/365.25</x:v>
      </x:c>
    </x:row>
    <x:row r="453">
      <x:c r="A453" s="17" t="str">
        <x:v>Regression Data</x:v>
      </x:c>
      <x:c r="B453" s="17" t="str">
        <x:v>K43</x:v>
      </x:c>
      <x:c r="C453" s="17" t="str">
        <x:v>U+003D</x:v>
      </x:c>
      <x:c r="D453" s="23" t="str">
        <x:v>IFERROR(1/(((G43-F43)/3.92)^2),1)</x:v>
      </x:c>
    </x:row>
    <x:row r="454">
      <x:c r="A454" s="17" t="str">
        <x:v>Regression Data</x:v>
      </x:c>
      <x:c r="B454" s="17" t="str">
        <x:v>I44</x:v>
      </x:c>
      <x:c r="C454" s="17" t="str">
        <x:v>U+003D</x:v>
      </x:c>
      <x:c r="D454" s="23" t="str">
        <x:v>LOG10(H44*1E9)</x:v>
      </x:c>
    </x:row>
    <x:row r="455">
      <x:c r="A455" s="17" t="str">
        <x:v>Regression Data</x:v>
      </x:c>
      <x:c r="B455" s="17" t="str">
        <x:v>J44</x:v>
      </x:c>
      <x:c r="C455" s="17" t="str">
        <x:v>U+003D</x:v>
      </x:c>
      <x:c r="D455" s="23" t="str">
        <x:v>(C44-'Regression Model'!$B$4)/365.25</x:v>
      </x:c>
    </x:row>
    <x:row r="456">
      <x:c r="A456" s="17" t="str">
        <x:v>Regression Data</x:v>
      </x:c>
      <x:c r="B456" s="17" t="str">
        <x:v>K44</x:v>
      </x:c>
      <x:c r="C456" s="17" t="str">
        <x:v>U+003D</x:v>
      </x:c>
      <x:c r="D456" s="23" t="str">
        <x:v>IFERROR(1/(((G44-F44)/3.92)^2),1)</x:v>
      </x:c>
    </x:row>
    <x:row r="457">
      <x:c r="A457" s="17" t="str">
        <x:v>Regression Data</x:v>
      </x:c>
      <x:c r="B457" s="17" t="str">
        <x:v>I45</x:v>
      </x:c>
      <x:c r="C457" s="17" t="str">
        <x:v>U+003D</x:v>
      </x:c>
      <x:c r="D457" s="23" t="str">
        <x:v>LOG10(H45*1E9)</x:v>
      </x:c>
    </x:row>
    <x:row r="458">
      <x:c r="A458" s="17" t="str">
        <x:v>Regression Data</x:v>
      </x:c>
      <x:c r="B458" s="17" t="str">
        <x:v>J45</x:v>
      </x:c>
      <x:c r="C458" s="17" t="str">
        <x:v>U+003D</x:v>
      </x:c>
      <x:c r="D458" s="23" t="str">
        <x:v>(C45-'Regression Model'!$B$4)/365.25</x:v>
      </x:c>
    </x:row>
    <x:row r="459">
      <x:c r="A459" s="17" t="str">
        <x:v>Regression Data</x:v>
      </x:c>
      <x:c r="B459" s="17" t="str">
        <x:v>K45</x:v>
      </x:c>
      <x:c r="C459" s="17" t="str">
        <x:v>U+003D</x:v>
      </x:c>
      <x:c r="D459" s="23" t="str">
        <x:v>IFERROR(1/(((G45-F45)/3.92)^2),1)</x:v>
      </x:c>
    </x:row>
    <x:row r="460">
      <x:c r="A460" s="17" t="str">
        <x:v>Regression Data</x:v>
      </x:c>
      <x:c r="B460" s="17" t="str">
        <x:v>I46</x:v>
      </x:c>
      <x:c r="C460" s="17" t="str">
        <x:v>U+003D</x:v>
      </x:c>
      <x:c r="D460" s="23" t="str">
        <x:v>LOG10(H46*1E9)</x:v>
      </x:c>
    </x:row>
    <x:row r="461">
      <x:c r="A461" s="17" t="str">
        <x:v>Regression Data</x:v>
      </x:c>
      <x:c r="B461" s="17" t="str">
        <x:v>J46</x:v>
      </x:c>
      <x:c r="C461" s="17" t="str">
        <x:v>U+003D</x:v>
      </x:c>
      <x:c r="D461" s="23" t="str">
        <x:v>(C46-'Regression Model'!$B$4)/365.25</x:v>
      </x:c>
    </x:row>
    <x:row r="462">
      <x:c r="A462" s="17" t="str">
        <x:v>Regression Data</x:v>
      </x:c>
      <x:c r="B462" s="17" t="str">
        <x:v>K46</x:v>
      </x:c>
      <x:c r="C462" s="17" t="str">
        <x:v>U+003D</x:v>
      </x:c>
      <x:c r="D462" s="23" t="str">
        <x:v>IFERROR(1/(((G46-F46)/3.92)^2),1)</x:v>
      </x:c>
    </x:row>
    <x:row r="463">
      <x:c r="A463" s="17" t="str">
        <x:v>Regression Data</x:v>
      </x:c>
      <x:c r="B463" s="17" t="str">
        <x:v>I47</x:v>
      </x:c>
      <x:c r="C463" s="17" t="str">
        <x:v>U+003D</x:v>
      </x:c>
      <x:c r="D463" s="23" t="str">
        <x:v>LOG10(H47*1E9)</x:v>
      </x:c>
    </x:row>
    <x:row r="464">
      <x:c r="A464" s="17" t="str">
        <x:v>Regression Data</x:v>
      </x:c>
      <x:c r="B464" s="17" t="str">
        <x:v>J47</x:v>
      </x:c>
      <x:c r="C464" s="17" t="str">
        <x:v>U+003D</x:v>
      </x:c>
      <x:c r="D464" s="23" t="str">
        <x:v>(C47-'Regression Model'!$B$4)/365.25</x:v>
      </x:c>
    </x:row>
    <x:row r="465">
      <x:c r="A465" s="17" t="str">
        <x:v>Regression Data</x:v>
      </x:c>
      <x:c r="B465" s="17" t="str">
        <x:v>K47</x:v>
      </x:c>
      <x:c r="C465" s="17" t="str">
        <x:v>U+003D</x:v>
      </x:c>
      <x:c r="D465" s="23" t="str">
        <x:v>IFERROR(1/(((G47-F47)/3.92)^2),1)</x:v>
      </x:c>
    </x:row>
    <x:row r="466">
      <x:c r="A466" s="17" t="str">
        <x:v>Regression Data</x:v>
      </x:c>
      <x:c r="B466" s="17" t="str">
        <x:v>I48</x:v>
      </x:c>
      <x:c r="C466" s="17" t="str">
        <x:v>U+003D</x:v>
      </x:c>
      <x:c r="D466" s="23" t="str">
        <x:v>LOG10(H48*1E9)</x:v>
      </x:c>
    </x:row>
    <x:row r="467">
      <x:c r="A467" s="17" t="str">
        <x:v>Regression Data</x:v>
      </x:c>
      <x:c r="B467" s="17" t="str">
        <x:v>J48</x:v>
      </x:c>
      <x:c r="C467" s="17" t="str">
        <x:v>U+003D</x:v>
      </x:c>
      <x:c r="D467" s="23" t="str">
        <x:v>(C48-'Regression Model'!$B$4)/365.25</x:v>
      </x:c>
    </x:row>
    <x:row r="468">
      <x:c r="A468" s="17" t="str">
        <x:v>Regression Data</x:v>
      </x:c>
      <x:c r="B468" s="17" t="str">
        <x:v>K48</x:v>
      </x:c>
      <x:c r="C468" s="17" t="str">
        <x:v>U+003D</x:v>
      </x:c>
      <x:c r="D468" s="23" t="str">
        <x:v>IFERROR(1/(((G48-F48)/3.92)^2),1)</x:v>
      </x:c>
    </x:row>
    <x:row r="469">
      <x:c r="A469" s="17" t="str">
        <x:v>Regression Data</x:v>
      </x:c>
      <x:c r="B469" s="17" t="str">
        <x:v>I49</x:v>
      </x:c>
      <x:c r="C469" s="17" t="str">
        <x:v>U+003D</x:v>
      </x:c>
      <x:c r="D469" s="23" t="str">
        <x:v>LOG10(H49*1E9)</x:v>
      </x:c>
    </x:row>
    <x:row r="470">
      <x:c r="A470" s="17" t="str">
        <x:v>Regression Data</x:v>
      </x:c>
      <x:c r="B470" s="17" t="str">
        <x:v>J49</x:v>
      </x:c>
      <x:c r="C470" s="17" t="str">
        <x:v>U+003D</x:v>
      </x:c>
      <x:c r="D470" s="23" t="str">
        <x:v>(C49-'Regression Model'!$B$4)/365.25</x:v>
      </x:c>
    </x:row>
    <x:row r="471">
      <x:c r="A471" s="17" t="str">
        <x:v>Regression Data</x:v>
      </x:c>
      <x:c r="B471" s="17" t="str">
        <x:v>K49</x:v>
      </x:c>
      <x:c r="C471" s="17" t="str">
        <x:v>U+003D</x:v>
      </x:c>
      <x:c r="D471" s="23" t="str">
        <x:v>IFERROR(1/(((G49-F49)/3.92)^2),1)</x:v>
      </x:c>
    </x:row>
    <x:row r="472">
      <x:c r="A472" s="17" t="str">
        <x:v>Regression Data</x:v>
      </x:c>
      <x:c r="B472" s="17" t="str">
        <x:v>I50</x:v>
      </x:c>
      <x:c r="C472" s="17" t="str">
        <x:v>U+003D</x:v>
      </x:c>
      <x:c r="D472" s="23" t="str">
        <x:v>LOG10(H50*1E9)</x:v>
      </x:c>
    </x:row>
    <x:row r="473">
      <x:c r="A473" s="17" t="str">
        <x:v>Regression Data</x:v>
      </x:c>
      <x:c r="B473" s="17" t="str">
        <x:v>J50</x:v>
      </x:c>
      <x:c r="C473" s="17" t="str">
        <x:v>U+003D</x:v>
      </x:c>
      <x:c r="D473" s="23" t="str">
        <x:v>(C50-'Regression Model'!$B$4)/365.25</x:v>
      </x:c>
    </x:row>
    <x:row r="474">
      <x:c r="A474" s="17" t="str">
        <x:v>Regression Data</x:v>
      </x:c>
      <x:c r="B474" s="17" t="str">
        <x:v>K50</x:v>
      </x:c>
      <x:c r="C474" s="17" t="str">
        <x:v>U+003D</x:v>
      </x:c>
      <x:c r="D474" s="23" t="str">
        <x:v>IFERROR(1/(((G50-F50)/3.92)^2),1)</x:v>
      </x:c>
    </x:row>
    <x:row r="475">
      <x:c r="A475" s="17" t="str">
        <x:v>Regression Data</x:v>
      </x:c>
      <x:c r="B475" s="17" t="str">
        <x:v>I51</x:v>
      </x:c>
      <x:c r="C475" s="17" t="str">
        <x:v>U+003D</x:v>
      </x:c>
      <x:c r="D475" s="23" t="str">
        <x:v>LOG10(H51*1E9)</x:v>
      </x:c>
    </x:row>
    <x:row r="476">
      <x:c r="A476" s="17" t="str">
        <x:v>Regression Data</x:v>
      </x:c>
      <x:c r="B476" s="17" t="str">
        <x:v>J51</x:v>
      </x:c>
      <x:c r="C476" s="17" t="str">
        <x:v>U+003D</x:v>
      </x:c>
      <x:c r="D476" s="23" t="str">
        <x:v>(C51-'Regression Model'!$B$4)/365.25</x:v>
      </x:c>
    </x:row>
    <x:row r="477">
      <x:c r="A477" s="17" t="str">
        <x:v>Regression Data</x:v>
      </x:c>
      <x:c r="B477" s="17" t="str">
        <x:v>K51</x:v>
      </x:c>
      <x:c r="C477" s="17" t="str">
        <x:v>U+003D</x:v>
      </x:c>
      <x:c r="D477" s="23" t="str">
        <x:v>IFERROR(1/(((G51-F51)/3.92)^2),1)</x:v>
      </x:c>
    </x:row>
    <x:row r="478">
      <x:c r="A478" s="17" t="str">
        <x:v>Regression Data</x:v>
      </x:c>
      <x:c r="B478" s="17" t="str">
        <x:v>I52</x:v>
      </x:c>
      <x:c r="C478" s="17" t="str">
        <x:v>U+003D</x:v>
      </x:c>
      <x:c r="D478" s="23" t="str">
        <x:v>LOG10(H52*1E9)</x:v>
      </x:c>
    </x:row>
    <x:row r="479">
      <x:c r="A479" s="17" t="str">
        <x:v>Regression Data</x:v>
      </x:c>
      <x:c r="B479" s="17" t="str">
        <x:v>J52</x:v>
      </x:c>
      <x:c r="C479" s="17" t="str">
        <x:v>U+003D</x:v>
      </x:c>
      <x:c r="D479" s="23" t="str">
        <x:v>(C52-'Regression Model'!$B$4)/365.25</x:v>
      </x:c>
    </x:row>
    <x:row r="480">
      <x:c r="A480" s="17" t="str">
        <x:v>Regression Data</x:v>
      </x:c>
      <x:c r="B480" s="17" t="str">
        <x:v>K52</x:v>
      </x:c>
      <x:c r="C480" s="17" t="str">
        <x:v>U+003D</x:v>
      </x:c>
      <x:c r="D480" s="23" t="str">
        <x:v>IFERROR(1/(((G52-F52)/3.92)^2),1)</x:v>
      </x:c>
    </x:row>
    <x:row r="481">
      <x:c r="A481" s="17" t="str">
        <x:v>Regression Data</x:v>
      </x:c>
      <x:c r="B481" s="17" t="str">
        <x:v>I53</x:v>
      </x:c>
      <x:c r="C481" s="17" t="str">
        <x:v>U+003D</x:v>
      </x:c>
      <x:c r="D481" s="23" t="str">
        <x:v>LOG10(H53*1E9)</x:v>
      </x:c>
    </x:row>
    <x:row r="482">
      <x:c r="A482" s="17" t="str">
        <x:v>Regression Data</x:v>
      </x:c>
      <x:c r="B482" s="17" t="str">
        <x:v>J53</x:v>
      </x:c>
      <x:c r="C482" s="17" t="str">
        <x:v>U+003D</x:v>
      </x:c>
      <x:c r="D482" s="23" t="str">
        <x:v>(C53-'Regression Model'!$B$4)/365.25</x:v>
      </x:c>
    </x:row>
    <x:row r="483">
      <x:c r="A483" s="17" t="str">
        <x:v>Regression Data</x:v>
      </x:c>
      <x:c r="B483" s="17" t="str">
        <x:v>K53</x:v>
      </x:c>
      <x:c r="C483" s="17" t="str">
        <x:v>U+003D</x:v>
      </x:c>
      <x:c r="D483" s="23" t="str">
        <x:v>IFERROR(1/(((G53-F53)/3.92)^2),1)</x:v>
      </x:c>
    </x:row>
    <x:row r="484">
      <x:c r="A484" s="17" t="str">
        <x:v>Regression Data</x:v>
      </x:c>
      <x:c r="B484" s="17" t="str">
        <x:v>I54</x:v>
      </x:c>
      <x:c r="C484" s="17" t="str">
        <x:v>U+003D</x:v>
      </x:c>
      <x:c r="D484" s="23" t="str">
        <x:v>LOG10(H54*1E9)</x:v>
      </x:c>
    </x:row>
    <x:row r="485">
      <x:c r="A485" s="17" t="str">
        <x:v>Regression Data</x:v>
      </x:c>
      <x:c r="B485" s="17" t="str">
        <x:v>J54</x:v>
      </x:c>
      <x:c r="C485" s="17" t="str">
        <x:v>U+003D</x:v>
      </x:c>
      <x:c r="D485" s="23" t="str">
        <x:v>(C54-'Regression Model'!$B$4)/365.25</x:v>
      </x:c>
    </x:row>
    <x:row r="486">
      <x:c r="A486" s="17" t="str">
        <x:v>Regression Data</x:v>
      </x:c>
      <x:c r="B486" s="17" t="str">
        <x:v>K54</x:v>
      </x:c>
      <x:c r="C486" s="17" t="str">
        <x:v>U+003D</x:v>
      </x:c>
      <x:c r="D486" s="23" t="str">
        <x:v>IFERROR(1/(((G54-F54)/3.92)^2),1)</x:v>
      </x:c>
    </x:row>
    <x:row r="487">
      <x:c r="A487" s="17" t="str">
        <x:v>Regression Data</x:v>
      </x:c>
      <x:c r="B487" s="17" t="str">
        <x:v>I55</x:v>
      </x:c>
      <x:c r="C487" s="17" t="str">
        <x:v>U+003D</x:v>
      </x:c>
      <x:c r="D487" s="23" t="str">
        <x:v>LOG10(H55*1E9)</x:v>
      </x:c>
    </x:row>
    <x:row r="488">
      <x:c r="A488" s="17" t="str">
        <x:v>Regression Data</x:v>
      </x:c>
      <x:c r="B488" s="17" t="str">
        <x:v>J55</x:v>
      </x:c>
      <x:c r="C488" s="17" t="str">
        <x:v>U+003D</x:v>
      </x:c>
      <x:c r="D488" s="23" t="str">
        <x:v>(C55-'Regression Model'!$B$4)/365.25</x:v>
      </x:c>
    </x:row>
    <x:row r="489">
      <x:c r="A489" s="17" t="str">
        <x:v>Regression Data</x:v>
      </x:c>
      <x:c r="B489" s="17" t="str">
        <x:v>K55</x:v>
      </x:c>
      <x:c r="C489" s="17" t="str">
        <x:v>U+003D</x:v>
      </x:c>
      <x:c r="D489" s="23" t="str">
        <x:v>IFERROR(1/(((G55-F55)/3.92)^2),1)</x:v>
      </x:c>
    </x:row>
    <x:row r="490">
      <x:c r="A490" s="17" t="str">
        <x:v>Regression Data</x:v>
      </x:c>
      <x:c r="B490" s="17" t="str">
        <x:v>I56</x:v>
      </x:c>
      <x:c r="C490" s="17" t="str">
        <x:v>U+003D</x:v>
      </x:c>
      <x:c r="D490" s="23" t="str">
        <x:v>LOG10(H56*1E9)</x:v>
      </x:c>
    </x:row>
    <x:row r="491">
      <x:c r="A491" s="17" t="str">
        <x:v>Regression Data</x:v>
      </x:c>
      <x:c r="B491" s="17" t="str">
        <x:v>J56</x:v>
      </x:c>
      <x:c r="C491" s="17" t="str">
        <x:v>U+003D</x:v>
      </x:c>
      <x:c r="D491" s="23" t="str">
        <x:v>(C56-'Regression Model'!$B$4)/365.25</x:v>
      </x:c>
    </x:row>
    <x:row r="492">
      <x:c r="A492" s="17" t="str">
        <x:v>Regression Data</x:v>
      </x:c>
      <x:c r="B492" s="17" t="str">
        <x:v>K56</x:v>
      </x:c>
      <x:c r="C492" s="17" t="str">
        <x:v>U+003D</x:v>
      </x:c>
      <x:c r="D492" s="23" t="str">
        <x:v>IFERROR(1/(((G56-F56)/3.92)^2),1)</x:v>
      </x:c>
    </x:row>
    <x:row r="493">
      <x:c r="A493" s="17" t="str">
        <x:v>Regression Data</x:v>
      </x:c>
      <x:c r="B493" s="17" t="str">
        <x:v>I57</x:v>
      </x:c>
      <x:c r="C493" s="17" t="str">
        <x:v>U+003D</x:v>
      </x:c>
      <x:c r="D493" s="23" t="str">
        <x:v>LOG10(H57*1E9)</x:v>
      </x:c>
    </x:row>
    <x:row r="494">
      <x:c r="A494" s="17" t="str">
        <x:v>Regression Data</x:v>
      </x:c>
      <x:c r="B494" s="17" t="str">
        <x:v>J57</x:v>
      </x:c>
      <x:c r="C494" s="17" t="str">
        <x:v>U+003D</x:v>
      </x:c>
      <x:c r="D494" s="23" t="str">
        <x:v>(C57-'Regression Model'!$B$4)/365.25</x:v>
      </x:c>
    </x:row>
    <x:row r="495">
      <x:c r="A495" s="17" t="str">
        <x:v>Regression Data</x:v>
      </x:c>
      <x:c r="B495" s="17" t="str">
        <x:v>K57</x:v>
      </x:c>
      <x:c r="C495" s="17" t="str">
        <x:v>U+003D</x:v>
      </x:c>
      <x:c r="D495" s="23" t="str">
        <x:v>IFERROR(1/(((G57-F57)/3.92)^2),1)</x:v>
      </x:c>
    </x:row>
    <x:row r="496">
      <x:c r="A496" s="17" t="str">
        <x:v>Regression Data</x:v>
      </x:c>
      <x:c r="B496" s="17" t="str">
        <x:v>I58</x:v>
      </x:c>
      <x:c r="C496" s="17" t="str">
        <x:v>U+003D</x:v>
      </x:c>
      <x:c r="D496" s="23" t="str">
        <x:v>LOG10(H58*1E9)</x:v>
      </x:c>
    </x:row>
    <x:row r="497">
      <x:c r="A497" s="17" t="str">
        <x:v>Regression Data</x:v>
      </x:c>
      <x:c r="B497" s="17" t="str">
        <x:v>J58</x:v>
      </x:c>
      <x:c r="C497" s="17" t="str">
        <x:v>U+003D</x:v>
      </x:c>
      <x:c r="D497" s="23" t="str">
        <x:v>(C58-'Regression Model'!$B$4)/365.25</x:v>
      </x:c>
    </x:row>
    <x:row r="498">
      <x:c r="A498" s="17" t="str">
        <x:v>Regression Data</x:v>
      </x:c>
      <x:c r="B498" s="17" t="str">
        <x:v>K58</x:v>
      </x:c>
      <x:c r="C498" s="17" t="str">
        <x:v>U+003D</x:v>
      </x:c>
      <x:c r="D498" s="23" t="str">
        <x:v>IFERROR(1/(((G58-F58)/3.92)^2),1)</x:v>
      </x:c>
    </x:row>
    <x:row r="499">
      <x:c r="A499" s="17" t="str">
        <x:v>Regression Data</x:v>
      </x:c>
      <x:c r="B499" s="17" t="str">
        <x:v>I59</x:v>
      </x:c>
      <x:c r="C499" s="17" t="str">
        <x:v>U+003D</x:v>
      </x:c>
      <x:c r="D499" s="23" t="str">
        <x:v>LOG10(H59*1E9)</x:v>
      </x:c>
    </x:row>
    <x:row r="500">
      <x:c r="A500" s="17" t="str">
        <x:v>Regression Data</x:v>
      </x:c>
      <x:c r="B500" s="17" t="str">
        <x:v>J59</x:v>
      </x:c>
      <x:c r="C500" s="17" t="str">
        <x:v>U+003D</x:v>
      </x:c>
      <x:c r="D500" s="23" t="str">
        <x:v>(C59-'Regression Model'!$B$4)/365.25</x:v>
      </x:c>
    </x:row>
    <x:row r="501">
      <x:c r="A501" s="17" t="str">
        <x:v>Regression Data</x:v>
      </x:c>
      <x:c r="B501" s="17" t="str">
        <x:v>K59</x:v>
      </x:c>
      <x:c r="C501" s="17" t="str">
        <x:v>U+003D</x:v>
      </x:c>
      <x:c r="D501" s="23" t="str">
        <x:v>IFERROR(1/(((G59-F59)/3.92)^2),1)</x:v>
      </x:c>
    </x:row>
    <x:row r="502">
      <x:c r="A502" s="17" t="str">
        <x:v>Regression Model</x:v>
      </x:c>
      <x:c r="B502" s="17" t="str">
        <x:v>B13</x:v>
      </x:c>
      <x:c r="C502" s="17" t="str">
        <x:v>U+003D</x:v>
      </x:c>
      <x:c r="D502" s="23" t="str">
        <x:v>POWER(10,B8)</x:v>
      </x:c>
    </x:row>
    <x:row r="503">
      <x:c r="A503" s="17" t="str">
        <x:v>Regression Model</x:v>
      </x:c>
      <x:c r="B503" s="17" t="str">
        <x:v>B14</x:v>
      </x:c>
      <x:c r="C503" s="17" t="str">
        <x:v>U+003D</x:v>
      </x:c>
      <x:c r="D503" s="23" t="str">
        <x:v>POWER(10,B9)</x:v>
      </x:c>
    </x:row>
    <x:row r="504">
      <x:c r="A504" s="18" t="str">
        <x:v>Regression Model</x:v>
      </x:c>
      <x:c r="B504" s="18" t="str">
        <x:v>B15</x:v>
      </x:c>
      <x:c r="C504" s="18" t="str">
        <x:v>U+003D</x:v>
      </x:c>
      <x:c r="D504" s="24" t="str">
        <x:v>1/B14</x:v>
      </x:c>
    </x:row>
  </x:sheetData>
  <x:mergeCells>
    <x:mergeCell ref="A1:D1"/>
    <x:mergeCell ref="A2:D3"/>
  </x:mergeCells>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defaultRowHeight="15"/>
  <x:cols>
    <x:col min="1" max="1" width="36" hidden="0" customWidth="1"/>
    <x:col min="2" max="2" width="3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34" customHeight="1">
      <x:c r="A1" s="71" t="str">
        <x:v>ECI-implied parameter counts for current frontier models</x:v>
      </x:c>
      <x:c r="B1" s="71"/>
      <x:c r="C1" s="71"/>
      <x:c r="D1" s="71"/>
      <x:c r="E1" s="71"/>
      <x:c r="F1" s="71"/>
      <x:c r="G1" s="71"/>
      <x:c r="H1" s="71"/>
      <x:c r="I1" s="71"/>
      <x:c r="J1" s="71"/>
      <x:c r="K1" s="71"/>
      <x:c r="L1" s="71"/>
      <x:c r="M1" s="71"/>
      <x:c r="N1" s="71"/>
      <x:c r="O1" s="71"/>
      <x:c r="P1" s="71"/>
      <x:c r="Q1" s="71"/>
      <x:c r="R1" s="71"/>
      <x:c r="S1" s="71"/>
      <x:c r="T1" s="71"/>
      <x:c r="U1" s="71"/>
      <x:c r="V1" s="71"/>
      <x:c r="W1" s="71"/>
      <x:c r="X1" s="71"/>
      <x:c r="Y1" s="71"/>
      <x:c r="Z1" s="71"/>
    </x:row>
    <x:row r="2">
      <x:c r="A2" s="16"/>
      <x:c r="B2" s="16"/>
      <x:c r="C2" s="16"/>
      <x:c r="D2" s="16"/>
      <x:c r="E2" s="16"/>
      <x:c r="F2" s="16"/>
      <x:c r="G2" s="16"/>
      <x:c r="H2" s="16"/>
      <x:c r="I2" s="16"/>
      <x:c r="J2" s="16"/>
      <x:c r="K2" s="16"/>
      <x:c r="L2" s="16"/>
      <x:c r="M2" s="16"/>
      <x:c r="N2" s="16"/>
      <x:c r="O2" s="16"/>
      <x:c r="P2" s="16"/>
      <x:c r="Q2" s="16"/>
      <x:c r="R2" s="16"/>
      <x:c r="S2" s="16"/>
      <x:c r="T2" s="16"/>
      <x:c r="U2" s="16"/>
      <x:c r="V2" s="16"/>
      <x:c r="W2" s="16"/>
      <x:c r="X2" s="16"/>
      <x:c r="Y2" s="16"/>
      <x:c r="Z2" s="16"/>
    </x:row>
    <x:row r="3">
      <x:c r="A3" s="17" t="str">
        <x:v>As of</x:v>
      </x:c>
      <x:c r="B3" s="17" t="n">
        <x:v>46219</x:v>
      </x:c>
      <x:c r="C3" s="17"/>
      <x:c r="D3" s="17" t="str">
        <x:v>Central model: log10(total parameters) = 3.4585 + 0.0643 × ECI − 0.3509 × years since 2023-01-01. This directly predicts parameter count from ECI and release date, with current estimates interpreted as open-weight-equivalent total parameter counts, not confirmed proprietary architecture disclosures.</x:v>
      </x:c>
      <x:c r="E3" s="17"/>
      <x:c r="F3" s="17"/>
      <x:c r="G3" s="17"/>
      <x:c r="H3" s="17"/>
      <x:c r="I3" s="17"/>
      <x:c r="J3" s="17"/>
      <x:c r="K3" s="17"/>
      <x:c r="L3" s="17"/>
      <x:c r="M3" s="17"/>
      <x:c r="N3" s="17"/>
      <x:c r="O3" s="17"/>
      <x:c r="P3" s="17"/>
      <x:c r="Q3" s="17"/>
      <x:c r="R3" s="17"/>
      <x:c r="S3" s="17"/>
      <x:c r="T3" s="17"/>
      <x:c r="U3" s="17"/>
      <x:c r="V3" s="17"/>
      <x:c r="W3" s="17"/>
      <x:c r="X3" s="17"/>
      <x:c r="Y3" s="17"/>
      <x:c r="Z3" s="17"/>
    </x:row>
    <x:row r="4">
      <x:c r="A4" s="17" t="str">
        <x:v>Open-weight last-year rows</x:v>
      </x:c>
      <x:c r="B4" s="17" t="n">
        <x:v>17</x:v>
      </x:c>
      <x:c r="C4" s="17"/>
      <x:c r="D4" s="17"/>
      <x:c r="E4" s="17"/>
      <x:c r="F4" s="17"/>
      <x:c r="G4" s="17"/>
      <x:c r="H4" s="17"/>
      <x:c r="I4" s="17"/>
      <x:c r="J4" s="17"/>
      <x:c r="K4" s="17"/>
      <x:c r="L4" s="17"/>
      <x:c r="M4" s="17"/>
      <x:c r="N4" s="17"/>
      <x:c r="O4" s="17"/>
      <x:c r="P4" s="17"/>
      <x:c r="Q4" s="17"/>
      <x:c r="R4" s="17"/>
      <x:c r="S4" s="17"/>
      <x:c r="T4" s="17"/>
      <x:c r="U4" s="17"/>
      <x:c r="V4" s="17"/>
      <x:c r="W4" s="17"/>
      <x:c r="X4" s="17"/>
      <x:c r="Y4" s="17"/>
      <x:c r="Z4" s="17"/>
    </x:row>
    <x:row r="5">
      <x:c r="A5" s="17" t="str">
        <x:v>Central regression rows</x:v>
      </x:c>
      <x:c r="B5" s="17" t="n">
        <x:v>58</x:v>
      </x:c>
      <x:c r="C5" s="17"/>
      <x:c r="D5" s="17"/>
      <x:c r="E5" s="17"/>
      <x:c r="F5" s="17"/>
      <x:c r="G5" s="17"/>
      <x:c r="H5" s="17"/>
      <x:c r="I5" s="17"/>
      <x:c r="J5" s="17"/>
      <x:c r="K5" s="17"/>
      <x:c r="L5" s="17"/>
      <x:c r="M5" s="17"/>
      <x:c r="N5" s="17"/>
      <x:c r="O5" s="17"/>
      <x:c r="P5" s="17"/>
      <x:c r="Q5" s="17"/>
      <x:c r="R5" s="17"/>
      <x:c r="S5" s="17"/>
      <x:c r="T5" s="17"/>
      <x:c r="U5" s="17"/>
      <x:c r="V5" s="17"/>
      <x:c r="W5" s="17"/>
      <x:c r="X5" s="17"/>
      <x:c r="Y5" s="17"/>
      <x:c r="Z5" s="17"/>
    </x:row>
    <x:row r="6">
      <x:c r="A6" s="17" t="str">
        <x:v>Central weighted R^2</x:v>
      </x:c>
      <x:c r="B6" s="17" t="n">
        <x:v>0.7340008127462208</x:v>
      </x:c>
      <x:c r="C6" s="17"/>
      <x:c r="D6" s="17"/>
      <x:c r="E6" s="17"/>
      <x:c r="F6" s="17"/>
      <x:c r="G6" s="17"/>
      <x:c r="H6" s="17"/>
      <x:c r="I6" s="17"/>
      <x:c r="J6" s="17"/>
      <x:c r="K6" s="17"/>
      <x:c r="L6" s="17"/>
      <x:c r="M6" s="17"/>
      <x:c r="N6" s="17"/>
      <x:c r="O6" s="17"/>
      <x:c r="P6" s="17"/>
      <x:c r="Q6" s="17"/>
      <x:c r="R6" s="17"/>
      <x:c r="S6" s="17"/>
      <x:c r="T6" s="17"/>
      <x:c r="U6" s="17"/>
      <x:c r="V6" s="17"/>
      <x:c r="W6" s="17"/>
      <x:c r="X6" s="17"/>
      <x:c r="Y6" s="17"/>
      <x:c r="Z6" s="17"/>
    </x:row>
    <x:row r="7">
      <x:c r="A7" s="17" t="str">
        <x:v>RMSE log10 params</x:v>
      </x:c>
      <x:c r="B7" s="17" t="n">
        <x:v>0.4568124596472265</x:v>
      </x:c>
      <x:c r="C7" s="17"/>
      <x:c r="D7" s="17"/>
      <x:c r="E7" s="17"/>
      <x:c r="F7" s="17"/>
      <x:c r="G7" s="17"/>
      <x:c r="H7" s="17"/>
      <x:c r="I7" s="17"/>
      <x:c r="J7" s="17"/>
      <x:c r="K7" s="17"/>
      <x:c r="L7" s="17"/>
      <x:c r="M7" s="17"/>
      <x:c r="N7" s="17"/>
      <x:c r="O7" s="17"/>
      <x:c r="P7" s="17"/>
      <x:c r="Q7" s="17"/>
      <x:c r="R7" s="17"/>
      <x:c r="S7" s="17"/>
      <x:c r="T7" s="17"/>
      <x:c r="U7" s="17"/>
      <x:c r="V7" s="17"/>
      <x:c r="W7" s="17"/>
      <x:c r="X7" s="17"/>
      <x:c r="Y7" s="17"/>
      <x:c r="Z7" s="17"/>
    </x:row>
    <x:row r="8">
      <x:c r="A8" s="17" t="str">
        <x:v>Param factor per +1 ECI</x:v>
      </x:c>
      <x:c r="B8" s="17" t="n">
        <x:v>1.1595714836601247</x:v>
      </x:c>
      <x:c r="C8" s="17"/>
      <x:c r="D8" s="17"/>
      <x:c r="E8" s="17"/>
      <x:c r="F8" s="17"/>
      <x:c r="G8" s="17"/>
      <x:c r="H8" s="17"/>
      <x:c r="I8" s="17"/>
      <x:c r="J8" s="17"/>
      <x:c r="K8" s="17"/>
      <x:c r="L8" s="17"/>
      <x:c r="M8" s="17"/>
      <x:c r="N8" s="17"/>
      <x:c r="O8" s="17"/>
      <x:c r="P8" s="17"/>
      <x:c r="Q8" s="17"/>
      <x:c r="R8" s="17"/>
      <x:c r="S8" s="17"/>
      <x:c r="T8" s="17"/>
      <x:c r="U8" s="17"/>
      <x:c r="V8" s="17"/>
      <x:c r="W8" s="17"/>
      <x:c r="X8" s="17"/>
      <x:c r="Y8" s="17"/>
      <x:c r="Z8" s="17"/>
    </x:row>
    <x:row r="9">
      <x:c r="A9" s="17" t="str">
        <x:v>Later-year parameter multiplier</x:v>
      </x:c>
      <x:c r="B9" s="17" t="n">
        <x:v>0.4457301881304288</x:v>
      </x:c>
      <x:c r="C9" s="17"/>
      <x:c r="D9" s="17"/>
      <x:c r="E9" s="17"/>
      <x:c r="F9" s="17"/>
      <x:c r="G9" s="17"/>
      <x:c r="H9" s="17"/>
      <x:c r="I9" s="17"/>
      <x:c r="J9" s="17"/>
      <x:c r="K9" s="17"/>
      <x:c r="L9" s="17"/>
      <x:c r="M9" s="17"/>
      <x:c r="N9" s="17"/>
      <x:c r="O9" s="17"/>
      <x:c r="P9" s="17"/>
      <x:c r="Q9" s="17"/>
      <x:c r="R9" s="17"/>
      <x:c r="S9" s="17"/>
      <x:c r="T9" s="17"/>
      <x:c r="U9" s="17"/>
      <x:c r="V9" s="17"/>
      <x:c r="W9" s="17"/>
      <x:c r="X9" s="17"/>
      <x:c r="Y9" s="17"/>
      <x:c r="Z9" s="17"/>
    </x:row>
    <x:row r="10">
      <x:c r="A10" s="17" t="str">
        <x:v>Yearly efficiency gain</x:v>
      </x:c>
      <x:c r="B10" s="17" t="n">
        <x:v>2.243509698533997</x:v>
      </x:c>
      <x:c r="C10" s="17"/>
      <x:c r="D10" s="17"/>
      <x:c r="E10" s="17"/>
      <x:c r="F10" s="17"/>
      <x:c r="G10" s="17"/>
      <x:c r="H10" s="17"/>
      <x:c r="I10" s="17"/>
      <x:c r="J10" s="17"/>
      <x:c r="K10" s="17"/>
      <x:c r="L10" s="17"/>
      <x:c r="M10" s="17"/>
      <x:c r="N10" s="17"/>
      <x:c r="O10" s="17"/>
      <x:c r="P10" s="17"/>
      <x:c r="Q10" s="17"/>
      <x:c r="R10" s="17"/>
      <x:c r="S10" s="17"/>
      <x:c r="T10" s="17"/>
      <x:c r="U10" s="17"/>
      <x:c r="V10" s="17"/>
      <x:c r="W10" s="17"/>
      <x:c r="X10" s="17"/>
      <x:c r="Y10" s="17"/>
      <x:c r="Z10" s="17"/>
    </x:row>
    <x:row r="11">
      <x:c r="A11" s="17" t="str">
        <x:v>Top frontier target count</x:v>
      </x:c>
      <x:c r="B11" s="17" t="n">
        <x:v>26</x:v>
      </x:c>
      <x:c r="C11" s="17"/>
      <x:c r="D11" s="17"/>
      <x:c r="E11" s="17"/>
      <x:c r="F11" s="17"/>
      <x:c r="G11" s="17"/>
      <x:c r="H11" s="17"/>
      <x:c r="I11" s="17"/>
      <x:c r="J11" s="17"/>
      <x:c r="K11" s="17"/>
      <x:c r="L11" s="17"/>
      <x:c r="M11" s="17"/>
      <x:c r="N11" s="17"/>
      <x:c r="O11" s="17"/>
      <x:c r="P11" s="17"/>
      <x:c r="Q11" s="17"/>
      <x:c r="R11" s="17"/>
      <x:c r="S11" s="17"/>
      <x:c r="T11" s="17"/>
      <x:c r="U11" s="17"/>
      <x:c r="V11" s="17"/>
      <x:c r="W11" s="17"/>
      <x:c r="X11" s="17"/>
      <x:c r="Y11" s="17"/>
      <x:c r="Z11" s="17"/>
    </x:row>
    <x:row r="12">
      <x:c r="A12" s="17" t="str">
        <x:v>Definition of open source</x:v>
      </x:c>
      <x:c r="B12" s="17" t="str">
        <x:v>Epoch open weights</x:v>
      </x:c>
      <x:c r="C12" s="17"/>
      <x:c r="D12" s="17"/>
      <x:c r="E12" s="17"/>
      <x:c r="F12" s="17"/>
      <x:c r="G12" s="17"/>
      <x:c r="H12" s="17"/>
      <x:c r="I12" s="17"/>
      <x:c r="J12" s="17"/>
      <x:c r="K12" s="17"/>
      <x:c r="L12" s="17"/>
      <x:c r="M12" s="17"/>
      <x:c r="N12" s="17"/>
      <x:c r="O12" s="17"/>
      <x:c r="P12" s="17"/>
      <x:c r="Q12" s="17"/>
      <x:c r="R12" s="17"/>
      <x:c r="S12" s="17"/>
      <x:c r="T12" s="17"/>
      <x:c r="U12" s="17"/>
      <x:c r="V12" s="17"/>
      <x:c r="W12" s="17"/>
      <x:c r="X12" s="17"/>
      <x:c r="Y12" s="17"/>
      <x:c r="Z12" s="17"/>
    </x:row>
    <x:row r="13">
      <x:c r="A13" s="17"/>
      <x:c r="B13" s="17"/>
      <x:c r="C13" s="17"/>
      <x:c r="D13" s="17"/>
      <x:c r="E13" s="17"/>
      <x:c r="F13" s="17"/>
      <x:c r="G13" s="17"/>
      <x:c r="H13" s="17"/>
      <x:c r="I13" s="17"/>
      <x:c r="J13" s="17"/>
      <x:c r="K13" s="17"/>
      <x:c r="L13" s="17"/>
      <x:c r="M13" s="17"/>
      <x:c r="N13" s="17"/>
      <x:c r="O13" s="17"/>
      <x:c r="P13" s="17"/>
      <x:c r="Q13" s="17"/>
      <x:c r="R13" s="17"/>
      <x:c r="S13" s="17"/>
      <x:c r="T13" s="17"/>
      <x:c r="U13" s="17"/>
      <x:c r="V13" s="17"/>
      <x:c r="W13" s="17"/>
      <x:c r="X13" s="17"/>
      <x:c r="Y13" s="17"/>
      <x:c r="Z13" s="17"/>
    </x:row>
    <x:row r="14">
      <x:c r="A14" s="17"/>
      <x:c r="B14" s="17"/>
      <x:c r="C14" s="17"/>
      <x:c r="D14" s="17"/>
      <x:c r="E14" s="17"/>
      <x:c r="F14" s="17"/>
      <x:c r="G14" s="17"/>
      <x:c r="H14" s="17"/>
      <x:c r="I14" s="17"/>
      <x:c r="J14" s="17"/>
      <x:c r="K14" s="17"/>
      <x:c r="L14" s="17"/>
      <x:c r="M14" s="17"/>
      <x:c r="N14" s="17"/>
      <x:c r="O14" s="17"/>
      <x:c r="P14" s="17"/>
      <x:c r="Q14" s="17"/>
      <x:c r="R14" s="17"/>
      <x:c r="S14" s="17"/>
      <x:c r="T14" s="17"/>
      <x:c r="U14" s="17"/>
      <x:c r="V14" s="17"/>
      <x:c r="W14" s="17"/>
      <x:c r="X14" s="17"/>
      <x:c r="Y14" s="17"/>
      <x:c r="Z14" s="17"/>
    </x:row>
    <x:row r="15">
      <x:c r="A15" s="17" t="str">
        <x:v>Model</x:v>
      </x:c>
      <x:c r="B15" s="17" t="str">
        <x:v>Org</x:v>
      </x:c>
      <x:c r="C15" s="17" t="str">
        <x:v>Release</x:v>
      </x:c>
      <x:c r="D15" s="17" t="str">
        <x:v>ECI</x:v>
      </x:c>
      <x:c r="E15" s="17" t="str">
        <x:v>Implied params (B)</x:v>
      </x:c>
      <x:c r="F15" s="17" t="str">
        <x:v>1σ range (B)</x:v>
      </x:c>
      <x:c r="G15" s="17"/>
      <x:c r="H15" s="17"/>
      <x:c r="I15" s="17"/>
      <x:c r="J15" s="17"/>
      <x:c r="K15" s="17"/>
      <x:c r="L15" s="17"/>
      <x:c r="M15" s="17"/>
      <x:c r="N15" s="17"/>
      <x:c r="O15" s="17"/>
      <x:c r="P15" s="17"/>
      <x:c r="Q15" s="17"/>
      <x:c r="R15" s="17"/>
      <x:c r="S15" s="17"/>
      <x:c r="T15" s="17"/>
      <x:c r="U15" s="17"/>
      <x:c r="V15" s="17"/>
      <x:c r="W15" s="17"/>
      <x:c r="X15" s="17"/>
      <x:c r="Y15" s="17"/>
      <x:c r="Z15" s="17"/>
    </x:row>
    <x:row r="16">
      <x:c r="A16" s="17" t="str">
        <x:v>GPT-5.6 Sol</x:v>
      </x:c>
      <x:c r="B16" s="17" t="str">
        <x:v>OpenAI</x:v>
      </x:c>
      <x:c r="C16" s="17" t="n">
        <x:v>46212</x:v>
      </x:c>
      <x:c r="D16" s="17" t="n">
        <x:v>161.77</x:v>
      </x:c>
      <x:c r="E16" s="17" t="n">
        <x:v>4219.995410540012</x:v>
      </x:c>
      <x:c r="F16" s="17" t="str">
        <x:v>1,474–12,082</x:v>
      </x:c>
      <x:c r="G16" s="17"/>
      <x:c r="H16" s="17"/>
      <x:c r="I16" s="17"/>
      <x:c r="J16" s="17"/>
      <x:c r="K16" s="17"/>
      <x:c r="L16" s="17"/>
      <x:c r="M16" s="17"/>
      <x:c r="N16" s="17"/>
      <x:c r="O16" s="17"/>
      <x:c r="P16" s="17"/>
      <x:c r="Q16" s="17"/>
      <x:c r="R16" s="17"/>
      <x:c r="S16" s="17"/>
      <x:c r="T16" s="17"/>
      <x:c r="U16" s="17"/>
      <x:c r="V16" s="17"/>
      <x:c r="W16" s="17"/>
      <x:c r="X16" s="17"/>
      <x:c r="Y16" s="17"/>
      <x:c r="Z16" s="17"/>
    </x:row>
    <x:row r="17">
      <x:c r="A17" s="17" t="str">
        <x:v>GPT-5.5 Pro</x:v>
      </x:c>
      <x:c r="B17" s="17" t="str">
        <x:v>OpenAI</x:v>
      </x:c>
      <x:c r="C17" s="17" t="n">
        <x:v>46135</x:v>
      </x:c>
      <x:c r="D17" s="17" t="n">
        <x:v>160.73</x:v>
      </x:c>
      <x:c r="E17" s="17" t="n">
        <x:v>4289.663793839491</x:v>
      </x:c>
      <x:c r="F17" s="17" t="str">
        <x:v>1,498–12,281</x:v>
      </x:c>
      <x:c r="G17" s="17"/>
      <x:c r="H17" s="17"/>
      <x:c r="I17" s="17"/>
      <x:c r="J17" s="17"/>
      <x:c r="K17" s="17"/>
      <x:c r="L17" s="17"/>
      <x:c r="M17" s="17"/>
      <x:c r="N17" s="17"/>
      <x:c r="O17" s="17"/>
      <x:c r="P17" s="17"/>
      <x:c r="Q17" s="17"/>
      <x:c r="R17" s="17"/>
      <x:c r="S17" s="17"/>
      <x:c r="T17" s="17"/>
      <x:c r="U17" s="17"/>
      <x:c r="V17" s="17"/>
      <x:c r="W17" s="17"/>
      <x:c r="X17" s="17"/>
      <x:c r="Y17" s="17"/>
      <x:c r="Z17" s="17"/>
    </x:row>
    <x:row r="18">
      <x:c r="A18" s="17" t="str">
        <x:v>Claude Fable 5</x:v>
      </x:c>
      <x:c r="B18" s="17" t="str">
        <x:v>Anthropic</x:v>
      </x:c>
      <x:c r="C18" s="17" t="n">
        <x:v>46182</x:v>
      </x:c>
      <x:c r="D18" s="17" t="n">
        <x:v>160.44</x:v>
      </x:c>
      <x:c r="E18" s="17" t="n">
        <x:v>3703.5645574827186</x:v>
      </x:c>
      <x:c r="F18" s="17" t="str">
        <x:v>1,294–10,603</x:v>
      </x:c>
      <x:c r="G18" s="17"/>
      <x:c r="H18" s="17"/>
      <x:c r="I18" s="17"/>
      <x:c r="J18" s="17"/>
      <x:c r="K18" s="17"/>
      <x:c r="L18" s="17"/>
      <x:c r="M18" s="17"/>
      <x:c r="N18" s="17"/>
      <x:c r="O18" s="17"/>
      <x:c r="P18" s="17"/>
      <x:c r="Q18" s="17"/>
      <x:c r="R18" s="17"/>
      <x:c r="S18" s="17"/>
      <x:c r="T18" s="17"/>
      <x:c r="U18" s="17"/>
      <x:c r="V18" s="17"/>
      <x:c r="W18" s="17"/>
      <x:c r="X18" s="17"/>
      <x:c r="Y18" s="17"/>
      <x:c r="Z18" s="17"/>
    </x:row>
    <x:row r="19">
      <x:c r="A19" s="17" t="str">
        <x:v>GPT-5.5</x:v>
      </x:c>
      <x:c r="B19" s="17" t="str">
        <x:v>OpenAI</x:v>
      </x:c>
      <x:c r="C19" s="17" t="n">
        <x:v>46135</x:v>
      </x:c>
      <x:c r="D19" s="17" t="n">
        <x:v>158.33</x:v>
      </x:c>
      <x:c r="E19" s="17" t="n">
        <x:v>3006.832193551858</x:v>
      </x:c>
      <x:c r="F19" s="17" t="str">
        <x:v>1,050–8,608</x:v>
      </x:c>
      <x:c r="G19" s="17"/>
      <x:c r="H19" s="17"/>
      <x:c r="I19" s="17"/>
      <x:c r="J19" s="17"/>
      <x:c r="K19" s="17"/>
      <x:c r="L19" s="17"/>
      <x:c r="M19" s="17"/>
      <x:c r="N19" s="17"/>
      <x:c r="O19" s="17"/>
      <x:c r="P19" s="17"/>
      <x:c r="Q19" s="17"/>
      <x:c r="R19" s="17"/>
      <x:c r="S19" s="17"/>
      <x:c r="T19" s="17"/>
      <x:c r="U19" s="17"/>
      <x:c r="V19" s="17"/>
      <x:c r="W19" s="17"/>
      <x:c r="X19" s="17"/>
      <x:c r="Y19" s="17"/>
      <x:c r="Z19" s="17"/>
    </x:row>
    <x:row r="20">
      <x:c r="A20" s="17" t="str">
        <x:v>GPT-5.6 Terra</x:v>
      </x:c>
      <x:c r="B20" s="17" t="str">
        <x:v>OpenAI</x:v>
      </x:c>
      <x:c r="C20" s="17" t="n">
        <x:v>46212</x:v>
      </x:c>
      <x:c r="D20" s="17" t="n">
        <x:v>158.25</x:v>
      </x:c>
      <x:c r="E20" s="17" t="n">
        <x:v>2506.020879298851</x:v>
      </x:c>
      <x:c r="F20" s="17" t="str">
        <x:v>875–7,175</x:v>
      </x:c>
      <x:c r="G20" s="17"/>
      <x:c r="H20" s="17"/>
      <x:c r="I20" s="17"/>
      <x:c r="J20" s="17"/>
      <x:c r="K20" s="17"/>
      <x:c r="L20" s="17"/>
      <x:c r="M20" s="17"/>
      <x:c r="N20" s="17"/>
      <x:c r="O20" s="17"/>
      <x:c r="P20" s="17"/>
      <x:c r="Q20" s="17"/>
      <x:c r="R20" s="17"/>
      <x:c r="S20" s="17"/>
      <x:c r="T20" s="17"/>
      <x:c r="U20" s="17"/>
      <x:c r="V20" s="17"/>
      <x:c r="W20" s="17"/>
      <x:c r="X20" s="17"/>
      <x:c r="Y20" s="17"/>
      <x:c r="Z20" s="17"/>
    </x:row>
    <x:row r="21">
      <x:c r="A21" s="17" t="str">
        <x:v>Claude Opus 4.8</x:v>
      </x:c>
      <x:c r="B21" s="17" t="str">
        <x:v>Anthropic</x:v>
      </x:c>
      <x:c r="C21" s="17" t="n">
        <x:v>46170</x:v>
      </x:c>
      <x:c r="D21" s="17" t="n">
        <x:v>157.85</x:v>
      </x:c>
      <x:c r="E21" s="17" t="n">
        <x:v>2591.903247744197</x:v>
      </x:c>
      <x:c r="F21" s="17" t="str">
        <x:v>905–7,420</x:v>
      </x:c>
      <x:c r="G21" s="17"/>
      <x:c r="H21" s="17"/>
      <x:c r="I21" s="17"/>
      <x:c r="J21" s="17"/>
      <x:c r="K21" s="17"/>
      <x:c r="L21" s="17"/>
      <x:c r="M21" s="17"/>
      <x:c r="N21" s="17"/>
      <x:c r="O21" s="17"/>
      <x:c r="P21" s="17"/>
      <x:c r="Q21" s="17"/>
      <x:c r="R21" s="17"/>
      <x:c r="S21" s="17"/>
      <x:c r="T21" s="17"/>
      <x:c r="U21" s="17"/>
      <x:c r="V21" s="17"/>
      <x:c r="W21" s="17"/>
      <x:c r="X21" s="17"/>
      <x:c r="Y21" s="17"/>
      <x:c r="Z21" s="17"/>
    </x:row>
    <x:row r="22">
      <x:c r="A22" s="17" t="str">
        <x:v>GPT-5.4 Pro</x:v>
      </x:c>
      <x:c r="B22" s="17" t="str">
        <x:v>OpenAI</x:v>
      </x:c>
      <x:c r="C22" s="17" t="n">
        <x:v>46086</x:v>
      </x:c>
      <x:c r="D22" s="17" t="n">
        <x:v>157.83</x:v>
      </x:c>
      <x:c r="E22" s="17" t="n">
        <x:v>3111.9962015629517</x:v>
      </x:c>
      <x:c r="F22" s="17" t="str">
        <x:v>1,087–8,909</x:v>
      </x:c>
      <x:c r="G22" s="17"/>
      <x:c r="H22" s="17"/>
      <x:c r="I22" s="17"/>
      <x:c r="J22" s="17"/>
      <x:c r="K22" s="17"/>
      <x:c r="L22" s="17"/>
      <x:c r="M22" s="17"/>
      <x:c r="N22" s="17"/>
      <x:c r="O22" s="17"/>
      <x:c r="P22" s="17"/>
      <x:c r="Q22" s="17"/>
      <x:c r="R22" s="17"/>
      <x:c r="S22" s="17"/>
      <x:c r="T22" s="17"/>
      <x:c r="U22" s="17"/>
      <x:c r="V22" s="17"/>
      <x:c r="W22" s="17"/>
      <x:c r="X22" s="17"/>
      <x:c r="Y22" s="17"/>
      <x:c r="Z22" s="17"/>
    </x:row>
    <x:row r="23">
      <x:c r="A23" s="17" t="str">
        <x:v>GPT-5.4</x:v>
      </x:c>
      <x:c r="B23" s="17" t="str">
        <x:v>OpenAI</x:v>
      </x:c>
      <x:c r="C23" s="17" t="n">
        <x:v>46086</x:v>
      </x:c>
      <x:c r="D23" s="17" t="n">
        <x:v>156.03</x:v>
      </x:c>
      <x:c r="E23" s="17" t="n">
        <x:v>2383.9849553817717</x:v>
      </x:c>
      <x:c r="F23" s="17" t="str">
        <x:v>833–6,825</x:v>
      </x:c>
      <x:c r="G23" s="17"/>
      <x:c r="H23" s="17"/>
      <x:c r="I23" s="17"/>
      <x:c r="J23" s="17"/>
      <x:c r="K23" s="17"/>
      <x:c r="L23" s="17"/>
      <x:c r="M23" s="17"/>
      <x:c r="N23" s="17"/>
      <x:c r="O23" s="17"/>
      <x:c r="P23" s="17"/>
      <x:c r="Q23" s="17"/>
      <x:c r="R23" s="17"/>
      <x:c r="S23" s="17"/>
      <x:c r="T23" s="17"/>
      <x:c r="U23" s="17"/>
      <x:c r="V23" s="17"/>
      <x:c r="W23" s="17"/>
      <x:c r="X23" s="17"/>
      <x:c r="Y23" s="17"/>
      <x:c r="Z23" s="17"/>
    </x:row>
    <x:row r="24">
      <x:c r="A24" s="17" t="str">
        <x:v>Claude Opus 4.7</x:v>
      </x:c>
      <x:c r="B24" s="17" t="str">
        <x:v>Anthropic</x:v>
      </x:c>
      <x:c r="C24" s="17" t="n">
        <x:v>46128</x:v>
      </x:c>
      <x:c r="D24" s="17" t="n">
        <x:v>156.01</x:v>
      </x:c>
      <x:c r="E24" s="17" t="n">
        <x:v>2166.029905201433</x:v>
      </x:c>
      <x:c r="F24" s="17" t="str">
        <x:v>757–6,201</x:v>
      </x:c>
      <x:c r="G24" s="17"/>
      <x:c r="H24" s="17"/>
      <x:c r="I24" s="17"/>
      <x:c r="J24" s="17"/>
      <x:c r="K24" s="17"/>
      <x:c r="L24" s="17"/>
      <x:c r="M24" s="17"/>
      <x:c r="N24" s="17"/>
      <x:c r="O24" s="17"/>
      <x:c r="P24" s="17"/>
      <x:c r="Q24" s="17"/>
      <x:c r="R24" s="17"/>
      <x:c r="S24" s="17"/>
      <x:c r="T24" s="17"/>
      <x:c r="U24" s="17"/>
      <x:c r="V24" s="17"/>
      <x:c r="W24" s="17"/>
      <x:c r="X24" s="17"/>
      <x:c r="Y24" s="17"/>
      <x:c r="Z24" s="17"/>
    </x:row>
    <x:row r="25">
      <x:c r="A25" s="17" t="str">
        <x:v>GPT-5.6 Luna</x:v>
      </x:c>
      <x:c r="B25" s="17" t="str">
        <x:v>OpenAI</x:v>
      </x:c>
      <x:c r="C25" s="17" t="n">
        <x:v>46212</x:v>
      </x:c>
      <x:c r="D25" s="17" t="n">
        <x:v>155.62</x:v>
      </x:c>
      <x:c r="E25" s="17" t="n">
        <x:v>1697.7830371135199</x:v>
      </x:c>
      <x:c r="F25" s="17" t="str">
        <x:v>593–4,861</x:v>
      </x:c>
      <x:c r="G25" s="17"/>
      <x:c r="H25" s="17"/>
      <x:c r="I25" s="17"/>
      <x:c r="J25" s="17"/>
      <x:c r="K25" s="17"/>
      <x:c r="L25" s="17"/>
      <x:c r="M25" s="17"/>
      <x:c r="N25" s="17"/>
      <x:c r="O25" s="17"/>
      <x:c r="P25" s="17"/>
      <x:c r="Q25" s="17"/>
      <x:c r="R25" s="17"/>
      <x:c r="S25" s="17"/>
      <x:c r="T25" s="17"/>
      <x:c r="U25" s="17"/>
      <x:c r="V25" s="17"/>
      <x:c r="W25" s="17"/>
      <x:c r="X25" s="17"/>
      <x:c r="Y25" s="17"/>
      <x:c r="Z25" s="17"/>
    </x:row>
    <x:row r="26">
      <x:c r="A26" s="17"/>
      <x:c r="B26" s="17"/>
      <x:c r="C26" s="17"/>
      <x:c r="D26" s="17"/>
      <x:c r="E26" s="17"/>
      <x:c r="F26" s="17"/>
      <x:c r="G26" s="17"/>
      <x:c r="H26" s="17"/>
      <x:c r="I26" s="17"/>
      <x:c r="J26" s="17"/>
      <x:c r="K26" s="17"/>
      <x:c r="L26" s="17"/>
      <x:c r="M26" s="17"/>
      <x:c r="N26" s="17"/>
      <x:c r="O26" s="17"/>
      <x:c r="P26" s="17"/>
      <x:c r="Q26" s="17"/>
      <x:c r="R26" s="17"/>
      <x:c r="S26" s="17"/>
      <x:c r="T26" s="17"/>
      <x:c r="U26" s="17"/>
      <x:c r="V26" s="17"/>
      <x:c r="W26" s="17"/>
      <x:c r="X26" s="17"/>
      <x:c r="Y26" s="17"/>
      <x:c r="Z26" s="17"/>
    </x:row>
    <x:row r="27">
      <x:c r="A27" s="17"/>
      <x:c r="B27" s="17"/>
      <x:c r="C27" s="17"/>
      <x:c r="D27" s="17"/>
      <x:c r="E27" s="17"/>
      <x:c r="F27" s="17"/>
      <x:c r="G27" s="17"/>
      <x:c r="H27" s="17"/>
      <x:c r="I27" s="17"/>
      <x:c r="J27" s="17"/>
      <x:c r="K27" s="17"/>
      <x:c r="L27" s="17"/>
      <x:c r="M27" s="17"/>
      <x:c r="N27" s="17"/>
      <x:c r="O27" s="17"/>
      <x:c r="P27" s="17"/>
      <x:c r="Q27" s="17"/>
      <x:c r="R27" s="17"/>
      <x:c r="S27" s="17"/>
      <x:c r="T27" s="17"/>
      <x:c r="U27" s="17"/>
      <x:c r="V27" s="17"/>
      <x:c r="W27" s="17"/>
      <x:c r="X27" s="17"/>
      <x:c r="Y27" s="17"/>
      <x:c r="Z27" s="17"/>
    </x:row>
    <x:row r="28">
      <x:c r="A28" s="18" t="str">
        <x:v>Reading note: estimates are regression-implied open-weight-equivalent total parameter counts. Treat them as rough scale indicators, especially for MoE/reasoning models where active parameters, data quality, post-training, and test-time compute can dominate raw total parameters.</x:v>
      </x:c>
      <x:c r="B28" s="18"/>
      <x:c r="C28" s="18"/>
      <x:c r="D28" s="18"/>
      <x:c r="E28" s="18"/>
      <x:c r="F28" s="18"/>
      <x:c r="G28" s="18"/>
      <x:c r="H28" s="18"/>
      <x:c r="I28" s="18"/>
      <x:c r="J28" s="18"/>
      <x:c r="K28" s="18"/>
      <x:c r="L28" s="18"/>
      <x:c r="M28" s="18"/>
      <x:c r="N28" s="18"/>
      <x:c r="O28" s="18"/>
      <x:c r="P28" s="18"/>
      <x:c r="Q28" s="18"/>
      <x:c r="R28" s="18"/>
      <x:c r="S28" s="18"/>
      <x:c r="T28" s="18"/>
      <x:c r="U28" s="18"/>
      <x:c r="V28" s="18"/>
      <x:c r="W28" s="18"/>
      <x:c r="X28" s="18"/>
      <x:c r="Y28" s="18"/>
      <x:c r="Z28" s="18"/>
    </x:row>
  </x:sheetData>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defaultRowHeight="15"/>
  <x:cols>
    <x:col min="1" max="1" width="36" hidden="0" customWidth="1"/>
    <x:col min="2" max="2" width="3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34" customHeight="1">
      <x:c r="A1" s="71" t="str">
        <x:v>Model</x:v>
      </x:c>
      <x:c r="B1" s="71" t="str">
        <x:v>Organization</x:v>
      </x:c>
      <x:c r="C1" s="71" t="str">
        <x:v>Release date</x:v>
      </x:c>
      <x:c r="D1" s="71" t="str">
        <x:v>ECI</x:v>
      </x:c>
      <x:c r="E1" s="71" t="str">
        <x:v>ECI CI low</x:v>
      </x:c>
      <x:c r="F1" s="71" t="str">
        <x:v>ECI CI high</x:v>
      </x:c>
      <x:c r="G1" s="71" t="str">
        <x:v>Years since base</x:v>
      </x:c>
      <x:c r="H1" s="71" t="str">
        <x:v>Implied log10 total params</x:v>
      </x:c>
      <x:c r="I1" s="71" t="str">
        <x:v>Implied total params (B)</x:v>
      </x:c>
      <x:c r="J1" s="71" t="str">
        <x:v>1-sigma low total params (B)</x:v>
      </x:c>
      <x:c r="K1" s="71" t="str">
        <x:v>1-sigma high total params (B)</x:v>
      </x:c>
      <x:c r="L1" s="71" t="str">
        <x:v>ECI-CI low params (B)</x:v>
      </x:c>
      <x:c r="M1" s="71" t="str">
        <x:v>ECI-CI high params (B)</x:v>
      </x:c>
      <x:c r="N1" s="71" t="str">
        <x:v>Inverse-spec implied total params (B)</x:v>
      </x:c>
      <x:c r="O1" s="71" t="str">
        <x:v>Epoch direct/rumor params (B)</x:v>
      </x:c>
      <x:c r="P1" s="71" t="str">
        <x:v>Epoch direct/rumor params notes</x:v>
      </x:c>
      <x:c r="Q1" s="71" t="str">
        <x:v>Source URL</x:v>
      </x:c>
      <x:c r="R1" s="71" t="str">
        <x:v>Epoch direct/rumor source URL</x:v>
      </x:c>
      <x:c r="S1" s="71"/>
      <x:c r="T1" s="71"/>
      <x:c r="U1" s="71"/>
      <x:c r="V1" s="71"/>
      <x:c r="W1" s="71"/>
      <x:c r="X1" s="71"/>
      <x:c r="Y1" s="71"/>
      <x:c r="Z1" s="71"/>
    </x:row>
    <x:row r="2">
      <x:c r="A2" s="16" t="str">
        <x:v>GPT-5.6 Sol</x:v>
      </x:c>
      <x:c r="B2" s="16" t="str">
        <x:v>OpenAI</x:v>
      </x:c>
      <x:c r="C2" s="16" t="n">
        <x:v>46212</x:v>
      </x:c>
      <x:c r="D2" s="16" t="n">
        <x:v>161.77</x:v>
      </x:c>
      <x:c r="E2" s="16" t="n">
        <x:v>159.26</x:v>
      </x:c>
      <x:c r="F2" s="16" t="n">
        <x:v>166.01</x:v>
      </x:c>
      <x:c r="G2" s="16" t="n">
        <x:v>3.5181382614647503</x:v>
      </x:c>
      <x:c r="H2" s="16" t="n">
        <x:v>12.625311978644557</x:v>
      </x:c>
      <x:c r="I2" s="16" t="n">
        <x:v>4219.995410540012</x:v>
      </x:c>
      <x:c r="J2" s="16" t="n">
        <x:v>1474.0069084371821</x:v>
      </x:c>
      <x:c r="K2" s="16" t="n">
        <x:v>12081.599592949058</x:v>
      </x:c>
      <x:c r="L2" s="16" t="n">
        <x:v>2910.215750954111</x:v>
      </x:c>
      <x:c r="M2" s="16" t="n">
        <x:v>7905.575513310822</x:v>
      </x:c>
      <x:c r="N2" s="16" t="n">
        <x:v>33021.45616672974</x:v>
      </x:c>
      <x:c r="O2" s="16"/>
      <x:c r="P2" s="16"/>
      <x:c r="Q2" s="16" t="str">
        <x:v>https://epoch.ai/data/eci_scores.csv</x:v>
      </x:c>
      <x:c r="R2" s="16"/>
      <x:c r="S2" s="16"/>
      <x:c r="T2" s="16"/>
      <x:c r="U2" s="16"/>
      <x:c r="V2" s="16"/>
      <x:c r="W2" s="16"/>
      <x:c r="X2" s="16"/>
      <x:c r="Y2" s="16"/>
      <x:c r="Z2" s="16"/>
    </x:row>
    <x:row r="3">
      <x:c r="A3" s="17" t="str">
        <x:v>GPT-5.5 Pro</x:v>
      </x:c>
      <x:c r="B3" s="17" t="str">
        <x:v>OpenAI</x:v>
      </x:c>
      <x:c r="C3" s="17" t="n">
        <x:v>46135</x:v>
      </x:c>
      <x:c r="D3" s="17" t="n">
        <x:v>160.73</x:v>
      </x:c>
      <x:c r="E3" s="17" t="n">
        <x:v>158.24</x:v>
      </x:c>
      <x:c r="F3" s="17" t="n">
        <x:v>164.36</x:v>
      </x:c>
      <x:c r="G3" s="17" t="n">
        <x:v>3.3073237508555784</x:v>
      </x:c>
      <x:c r="H3" s="17" t="n">
        <x:v>12.632423255307785</x:v>
      </x:c>
      <x:c r="I3" s="17" t="n">
        <x:v>4289.663793839491</x:v>
      </x:c>
      <x:c r="J3" s="17" t="n">
        <x:v>1498.3414558223747</x:v>
      </x:c>
      <x:c r="K3" s="17" t="n">
        <x:v>12281.056092169443</x:v>
      </x:c>
      <x:c r="L3" s="17" t="n">
        <x:v>2967.0332558334026</x:v>
      </x:c>
      <x:c r="M3" s="17" t="n">
        <x:v>7342.150404468478</x:v>
      </x:c>
      <x:c r="N3" s="17" t="n">
        <x:v>54435.12473562062</x:v>
      </x:c>
      <x:c r="O3" s="17"/>
      <x:c r="P3" s="17"/>
      <x:c r="Q3" s="17" t="str">
        <x:v>https://epoch.ai/data/eci_scores.csv</x:v>
      </x:c>
      <x:c r="R3" s="17"/>
      <x:c r="S3" s="17"/>
      <x:c r="T3" s="17"/>
      <x:c r="U3" s="17"/>
      <x:c r="V3" s="17"/>
      <x:c r="W3" s="17"/>
      <x:c r="X3" s="17"/>
      <x:c r="Y3" s="17"/>
      <x:c r="Z3" s="17"/>
    </x:row>
    <x:row r="4">
      <x:c r="A4" s="17" t="str">
        <x:v>Claude Fable 5</x:v>
      </x:c>
      <x:c r="B4" s="17" t="str">
        <x:v>Anthropic</x:v>
      </x:c>
      <x:c r="C4" s="17" t="n">
        <x:v>46182</x:v>
      </x:c>
      <x:c r="D4" s="17" t="n">
        <x:v>160.44</x:v>
      </x:c>
      <x:c r="E4" s="17" t="n">
        <x:v>158.05</x:v>
      </x:c>
      <x:c r="F4" s="17" t="n">
        <x:v>164.61</x:v>
      </x:c>
      <x:c r="G4" s="17" t="n">
        <x:v>3.436002737850787</x:v>
      </x:c>
      <x:c r="H4" s="17" t="n">
        <x:v>12.568619919316802</x:v>
      </x:c>
      <x:c r="I4" s="17" t="n">
        <x:v>3703.5645574827186</x:v>
      </x:c>
      <x:c r="J4" s="17" t="n">
        <x:v>1293.6221991943</x:v>
      </x:c>
      <x:c r="K4" s="17" t="n">
        <x:v>10603.088320519757</x:v>
      </x:c>
      <x:c r="L4" s="17" t="n">
        <x:v>2599.8532265445615</x:v>
      </x:c>
      <x:c r="M4" s="17" t="n">
        <x:v>6866.581912310386</x:v>
      </x:c>
      <x:c r="N4" s="17" t="n">
        <x:v>27789.088221602997</x:v>
      </x:c>
      <x:c r="O4" s="17"/>
      <x:c r="P4" s="17"/>
      <x:c r="Q4" s="17" t="str">
        <x:v>https://epoch.ai/data/eci_scores.csv</x:v>
      </x:c>
      <x:c r="R4" s="17"/>
      <x:c r="S4" s="17"/>
      <x:c r="T4" s="17"/>
      <x:c r="U4" s="17"/>
      <x:c r="V4" s="17"/>
      <x:c r="W4" s="17"/>
      <x:c r="X4" s="17"/>
      <x:c r="Y4" s="17"/>
      <x:c r="Z4" s="17"/>
    </x:row>
    <x:row r="5">
      <x:c r="A5" s="17" t="str">
        <x:v>GPT-5.5</x:v>
      </x:c>
      <x:c r="B5" s="17" t="str">
        <x:v>OpenAI</x:v>
      </x:c>
      <x:c r="C5" s="17" t="n">
        <x:v>46135</x:v>
      </x:c>
      <x:c r="D5" s="17" t="n">
        <x:v>158.33</x:v>
      </x:c>
      <x:c r="E5" s="17" t="n">
        <x:v>156.44</x:v>
      </x:c>
      <x:c r="F5" s="17" t="n">
        <x:v>161.43</x:v>
      </x:c>
      <x:c r="G5" s="17" t="n">
        <x:v>3.3073237508555784</x:v>
      </x:c>
      <x:c r="H5" s="17" t="n">
        <x:v>12.478109191503243</x:v>
      </x:c>
      <x:c r="I5" s="17" t="n">
        <x:v>3006.832193551858</x:v>
      </x:c>
      <x:c r="J5" s="17" t="n">
        <x:v>1050.2597739175296</x:v>
      </x:c>
      <x:c r="K5" s="17" t="n">
        <x:v>8608.384387089565</x:v>
      </x:c>
      <x:c r="L5" s="17" t="n">
        <x:v>2272.9342151740957</x:v>
      </x:c>
      <x:c r="M5" s="17" t="n">
        <x:v>4758.07763509126</x:v>
      </x:c>
      <x:c r="N5" s="17" t="n">
        <x:v>20987.221629082116</x:v>
      </x:c>
      <x:c r="O5" s="17"/>
      <x:c r="P5" s="17"/>
      <x:c r="Q5" s="17" t="str">
        <x:v>https://epoch.ai/data/eci_scores.csv</x:v>
      </x:c>
      <x:c r="R5" s="17"/>
      <x:c r="S5" s="17"/>
      <x:c r="T5" s="17"/>
      <x:c r="U5" s="17"/>
      <x:c r="V5" s="17"/>
      <x:c r="W5" s="17"/>
      <x:c r="X5" s="17"/>
      <x:c r="Y5" s="17"/>
      <x:c r="Z5" s="17"/>
    </x:row>
    <x:row r="6">
      <x:c r="A6" s="17" t="str">
        <x:v>GPT-5.6 Terra</x:v>
      </x:c>
      <x:c r="B6" s="17" t="str">
        <x:v>OpenAI</x:v>
      </x:c>
      <x:c r="C6" s="17" t="n">
        <x:v>46212</x:v>
      </x:c>
      <x:c r="D6" s="17" t="n">
        <x:v>158.25</x:v>
      </x:c>
      <x:c r="E6" s="17" t="n">
        <x:v>155.39</x:v>
      </x:c>
      <x:c r="F6" s="17" t="n">
        <x:v>161.26</x:v>
      </x:c>
      <x:c r="G6" s="17" t="n">
        <x:v>3.5181382614647503</x:v>
      </x:c>
      <x:c r="H6" s="17" t="n">
        <x:v>12.398984685064557</x:v>
      </x:c>
      <x:c r="I6" s="17" t="n">
        <x:v>2506.020879298851</x:v>
      </x:c>
      <x:c r="J6" s="17" t="n">
        <x:v>875.3308308223112</x:v>
      </x:c>
      <x:c r="K6" s="17" t="n">
        <x:v>7174.590939041917</x:v>
      </x:c>
      <x:c r="L6" s="17" t="n">
        <x:v>1640.9439953199253</x:v>
      </x:c>
      <x:c r="M6" s="17" t="n">
        <x:v>3913.093634871584</x:v>
      </x:c>
      <x:c r="N6" s="17" t="n">
        <x:v>8160.321811942581</x:v>
      </x:c>
      <x:c r="O6" s="17"/>
      <x:c r="P6" s="17"/>
      <x:c r="Q6" s="17" t="str">
        <x:v>https://epoch.ai/data/eci_scores.csv</x:v>
      </x:c>
      <x:c r="R6" s="17"/>
      <x:c r="S6" s="17"/>
      <x:c r="T6" s="17"/>
      <x:c r="U6" s="17"/>
      <x:c r="V6" s="17"/>
      <x:c r="W6" s="17"/>
      <x:c r="X6" s="17"/>
      <x:c r="Y6" s="17"/>
      <x:c r="Z6" s="17"/>
    </x:row>
    <x:row r="7">
      <x:c r="A7" s="17" t="str">
        <x:v>Claude Opus 4.8</x:v>
      </x:c>
      <x:c r="B7" s="17" t="str">
        <x:v>Anthropic</x:v>
      </x:c>
      <x:c r="C7" s="17" t="n">
        <x:v>46170</x:v>
      </x:c>
      <x:c r="D7" s="17" t="n">
        <x:v>157.85</x:v>
      </x:c>
      <x:c r="E7" s="17" t="n">
        <x:v>155.12</x:v>
      </x:c>
      <x:c r="F7" s="17" t="n">
        <x:v>160.58</x:v>
      </x:c>
      <x:c r="G7" s="17" t="n">
        <x:v>3.403148528405202</x:v>
      </x:c>
      <x:c r="H7" s="17" t="n">
        <x:v>12.413618785873304</x:v>
      </x:c>
      <x:c r="I7" s="17" t="n">
        <x:v>2591.903247744197</x:v>
      </x:c>
      <x:c r="J7" s="17" t="n">
        <x:v>905.3287791814986</x:v>
      </x:c>
      <x:c r="K7" s="17" t="n">
        <x:v>7420.46712768877</x:v>
      </x:c>
      <x:c r="L7" s="17" t="n">
        <x:v>1730.1610798620338</x:v>
      </x:c>
      <x:c r="M7" s="17" t="n">
        <x:v>3882.8537549825232</x:v>
      </x:c>
      <x:c r="N7" s="17" t="n">
        <x:v>11454.218504464401</x:v>
      </x:c>
      <x:c r="O7" s="17"/>
      <x:c r="P7" s="17"/>
      <x:c r="Q7" s="17" t="str">
        <x:v>https://epoch.ai/data/eci_scores.csv</x:v>
      </x:c>
      <x:c r="R7" s="17"/>
      <x:c r="S7" s="17"/>
      <x:c r="T7" s="17"/>
      <x:c r="U7" s="17"/>
      <x:c r="V7" s="17"/>
      <x:c r="W7" s="17"/>
      <x:c r="X7" s="17"/>
      <x:c r="Y7" s="17"/>
      <x:c r="Z7" s="17"/>
    </x:row>
    <x:row r="8">
      <x:c r="A8" s="17" t="str">
        <x:v>GPT-5.4 Pro</x:v>
      </x:c>
      <x:c r="B8" s="17" t="str">
        <x:v>OpenAI</x:v>
      </x:c>
      <x:c r="C8" s="17" t="n">
        <x:v>46086</x:v>
      </x:c>
      <x:c r="D8" s="17" t="n">
        <x:v>157.83</x:v>
      </x:c>
      <x:c r="E8" s="17" t="n">
        <x:v>155.96</x:v>
      </x:c>
      <x:c r="F8" s="17" t="n">
        <x:v>160.88</x:v>
      </x:c>
      <x:c r="G8" s="17" t="n">
        <x:v>3.1731690622861053</x:v>
      </x:c>
      <x:c r="H8" s="17" t="n">
        <x:v>12.493039058227273</x:v>
      </x:c>
      <x:c r="I8" s="17" t="n">
        <x:v>3111.9962015629517</x:v>
      </x:c>
      <x:c r="J8" s="17" t="n">
        <x:v>1086.99262768797</x:v>
      </x:c>
      <x:c r="K8" s="17" t="n">
        <x:v>8909.462780020125</x:v>
      </x:c>
      <x:c r="L8" s="17" t="n">
        <x:v>2359.4060218084537</x:v>
      </x:c>
      <x:c r="M8" s="17" t="n">
        <x:v>4888.172397300232</x:v>
      </x:c>
      <x:c r="N8" s="17" t="n">
        <x:v>30761.478672901896</x:v>
      </x:c>
      <x:c r="O8" s="17"/>
      <x:c r="P8" s="17"/>
      <x:c r="Q8" s="17" t="str">
        <x:v>https://epoch.ai/data/eci_scores.csv</x:v>
      </x:c>
      <x:c r="R8" s="17"/>
      <x:c r="S8" s="17"/>
      <x:c r="T8" s="17"/>
      <x:c r="U8" s="17"/>
      <x:c r="V8" s="17"/>
      <x:c r="W8" s="17"/>
      <x:c r="X8" s="17"/>
      <x:c r="Y8" s="17"/>
      <x:c r="Z8" s="17"/>
    </x:row>
    <x:row r="9">
      <x:c r="A9" s="17" t="str">
        <x:v>GPT-5.4</x:v>
      </x:c>
      <x:c r="B9" s="17" t="str">
        <x:v>OpenAI</x:v>
      </x:c>
      <x:c r="C9" s="17" t="n">
        <x:v>46086</x:v>
      </x:c>
      <x:c r="D9" s="17" t="n">
        <x:v>156.03</x:v>
      </x:c>
      <x:c r="E9" s="17" t="n">
        <x:v>154.45</x:v>
      </x:c>
      <x:c r="F9" s="17" t="n">
        <x:v>158.37</x:v>
      </x:c>
      <x:c r="G9" s="17" t="n">
        <x:v>3.1731690622861053</x:v>
      </x:c>
      <x:c r="H9" s="17" t="n">
        <x:v>12.377303510373864</x:v>
      </x:c>
      <x:c r="I9" s="17" t="n">
        <x:v>2383.9849553817717</x:v>
      </x:c>
      <x:c r="J9" s="17" t="n">
        <x:v>832.7047667081156</x:v>
      </x:c>
      <x:c r="K9" s="17" t="n">
        <x:v>6825.209239469623</x:v>
      </x:c>
      <x:c r="L9" s="17" t="n">
        <x:v>1886.7459149878896</x:v>
      </x:c>
      <x:c r="M9" s="17" t="n">
        <x:v>3371.0075296460873</x:v>
      </x:c>
      <x:c r="N9" s="17" t="n">
        <x:v>15050.953101257812</x:v>
      </x:c>
      <x:c r="O9" s="17"/>
      <x:c r="P9" s="17"/>
      <x:c r="Q9" s="17" t="str">
        <x:v>https://epoch.ai/data/eci_scores.csv</x:v>
      </x:c>
      <x:c r="R9" s="17"/>
      <x:c r="S9" s="17"/>
      <x:c r="T9" s="17"/>
      <x:c r="U9" s="17"/>
      <x:c r="V9" s="17"/>
      <x:c r="W9" s="17"/>
      <x:c r="X9" s="17"/>
      <x:c r="Y9" s="17"/>
      <x:c r="Z9" s="17"/>
    </x:row>
    <x:row r="10">
      <x:c r="A10" s="17" t="str">
        <x:v>Claude Opus 4.7</x:v>
      </x:c>
      <x:c r="B10" s="17" t="str">
        <x:v>Anthropic</x:v>
      </x:c>
      <x:c r="C10" s="17" t="n">
        <x:v>46128</x:v>
      </x:c>
      <x:c r="D10" s="17" t="n">
        <x:v>156.01</x:v>
      </x:c>
      <x:c r="E10" s="17" t="n">
        <x:v>154.07</x:v>
      </x:c>
      <x:c r="F10" s="17" t="n">
        <x:v>158.4</x:v>
      </x:c>
      <x:c r="G10" s="17" t="n">
        <x:v>3.2881587953456535</x:v>
      </x:c>
      <x:c r="H10" s="17" t="n">
        <x:v>12.335664448399323</x:v>
      </x:c>
      <x:c r="I10" s="17" t="n">
        <x:v>2166.029905201433</x:v>
      </x:c>
      <x:c r="J10" s="17" t="n">
        <x:v>756.5750038907953</x:v>
      </x:c>
      <x:c r="K10" s="17" t="n">
        <x:v>6201.216701713995</x:v>
      </x:c>
      <x:c r="L10" s="17" t="n">
        <x:v>1625.2764660152163</x:v>
      </x:c>
      <x:c r="M10" s="17" t="n">
        <x:v>3085.5709489468813</x:v>
      </x:c>
      <x:c r="N10" s="17" t="n">
        <x:v>9075.468986386677</x:v>
      </x:c>
      <x:c r="O10" s="17"/>
      <x:c r="P10" s="17"/>
      <x:c r="Q10" s="17" t="str">
        <x:v>https://epoch.ai/data/eci_scores.csv</x:v>
      </x:c>
      <x:c r="R10" s="17"/>
      <x:c r="S10" s="17"/>
      <x:c r="T10" s="17"/>
      <x:c r="U10" s="17"/>
      <x:c r="V10" s="17"/>
      <x:c r="W10" s="17"/>
      <x:c r="X10" s="17"/>
      <x:c r="Y10" s="17"/>
      <x:c r="Z10" s="17"/>
    </x:row>
    <x:row r="11">
      <x:c r="A11" s="17" t="str">
        <x:v>GPT-5.6 Luna</x:v>
      </x:c>
      <x:c r="B11" s="17" t="str">
        <x:v>OpenAI</x:v>
      </x:c>
      <x:c r="C11" s="17" t="n">
        <x:v>46212</x:v>
      </x:c>
      <x:c r="D11" s="17" t="n">
        <x:v>155.62</x:v>
      </x:c>
      <x:c r="E11" s="17" t="n">
        <x:v>152.89</x:v>
      </x:c>
      <x:c r="F11" s="17" t="n">
        <x:v>158.51</x:v>
      </x:c>
      <x:c r="G11" s="17" t="n">
        <x:v>3.5181382614647503</x:v>
      </x:c>
      <x:c r="H11" s="17" t="n">
        <x:v>12.22988219014541</x:v>
      </x:c>
      <x:c r="I11" s="17" t="n">
        <x:v>1697.7830371135199</x:v>
      </x:c>
      <x:c r="J11" s="17" t="n">
        <x:v>593.020532553743</x:v>
      </x:c>
      <x:c r="K11" s="17" t="n">
        <x:v>4860.653354948012</x:v>
      </x:c>
      <x:c r="L11" s="17" t="n">
        <x:v>1133.313188067611</x:v>
      </x:c>
      <x:c r="M11" s="17" t="n">
        <x:v>2604.36614979715</x:v>
      </x:c>
      <x:c r="N11" s="17" t="n">
        <x:v>2871.5426393134812</x:v>
      </x:c>
      <x:c r="O11" s="17"/>
      <x:c r="P11" s="17"/>
      <x:c r="Q11" s="17" t="str">
        <x:v>https://epoch.ai/data/eci_scores.csv</x:v>
      </x:c>
      <x:c r="R11" s="17"/>
      <x:c r="S11" s="17"/>
      <x:c r="T11" s="17"/>
      <x:c r="U11" s="17"/>
      <x:c r="V11" s="17"/>
      <x:c r="W11" s="17"/>
      <x:c r="X11" s="17"/>
      <x:c r="Y11" s="17"/>
      <x:c r="Z11" s="17"/>
    </x:row>
    <x:row r="12">
      <x:c r="A12" s="17" t="str">
        <x:v>GPT-5.3 Codex</x:v>
      </x:c>
      <x:c r="B12" s="17" t="str">
        <x:v>OpenAI</x:v>
      </x:c>
      <x:c r="C12" s="17" t="n">
        <x:v>46058</x:v>
      </x:c>
      <x:c r="D12" s="17" t="n">
        <x:v>155.49</x:v>
      </x:c>
      <x:c r="E12" s="17" t="n">
        <x:v>153.29</x:v>
      </x:c>
      <x:c r="F12" s="17" t="n">
        <x:v>158.84</x:v>
      </x:c>
      <x:c r="G12" s="17" t="n">
        <x:v>3.0965092402464065</x:v>
      </x:c>
      <x:c r="H12" s="17" t="n">
        <x:v>12.369484920313067</x:v>
      </x:c>
      <x:c r="I12" s="17" t="n">
        <x:v>2341.4501733106463</x:v>
      </x:c>
      <x:c r="J12" s="17" t="n">
        <x:v>817.847745189771</x:v>
      </x:c>
      <x:c r="K12" s="17" t="n">
        <x:v>6703.434650693252</x:v>
      </x:c>
      <x:c r="L12" s="17" t="n">
        <x:v>1690.559115661147</x:v>
      </x:c>
      <x:c r="M12" s="17" t="n">
        <x:v>3844.869770198277</x:v>
      </x:c>
      <x:c r="N12" s="17" t="n">
        <x:v>16927.574945359123</x:v>
      </x:c>
      <x:c r="O12" s="17"/>
      <x:c r="P12" s="17"/>
      <x:c r="Q12" s="17" t="str">
        <x:v>https://epoch.ai/data/eci_scores.csv</x:v>
      </x:c>
      <x:c r="R12" s="17"/>
      <x:c r="S12" s="17"/>
      <x:c r="T12" s="17"/>
      <x:c r="U12" s="17"/>
      <x:c r="V12" s="17"/>
      <x:c r="W12" s="17"/>
      <x:c r="X12" s="17"/>
      <x:c r="Y12" s="17"/>
      <x:c r="Z12" s="17"/>
    </x:row>
    <x:row r="13">
      <x:c r="A13" s="17" t="str">
        <x:v>Claude Opus 4.6</x:v>
      </x:c>
      <x:c r="B13" s="17" t="str">
        <x:v>Anthropic</x:v>
      </x:c>
      <x:c r="C13" s="17" t="n">
        <x:v>46058</x:v>
      </x:c>
      <x:c r="D13" s="17" t="n">
        <x:v>155.31</x:v>
      </x:c>
      <x:c r="E13" s="17" t="n">
        <x:v>153.34</x:v>
      </x:c>
      <x:c r="F13" s="17" t="n">
        <x:v>157.92</x:v>
      </x:c>
      <x:c r="G13" s="17" t="n">
        <x:v>3.0965092402464065</x:v>
      </x:c>
      <x:c r="H13" s="17" t="n">
        <x:v>12.357911365527725</x:v>
      </x:c>
      <x:c r="I13" s="17" t="n">
        <x:v>2279.8767280894963</x:v>
      </x:c>
      <x:c r="J13" s="17" t="n">
        <x:v>796.3406877636968</x:v>
      </x:c>
      <x:c r="K13" s="17" t="n">
        <x:v>6527.153484874371</x:v>
      </x:c>
      <x:c r="L13" s="17" t="n">
        <x:v>1703.1199576192569</x:v>
      </x:c>
      <x:c r="M13" s="17" t="n">
        <x:v>3355.273369551312</x:v>
      </x:c>
      <x:c r="N13" s="17" t="n">
        <x:v>15759.789947561645</x:v>
      </x:c>
      <x:c r="O13" s="17"/>
      <x:c r="P13" s="17"/>
      <x:c r="Q13" s="17" t="str">
        <x:v>https://epoch.ai/data/eci_scores.csv</x:v>
      </x:c>
      <x:c r="R13" s="17"/>
      <x:c r="S13" s="17"/>
      <x:c r="T13" s="17"/>
      <x:c r="U13" s="17"/>
      <x:c r="V13" s="17"/>
      <x:c r="W13" s="17"/>
      <x:c r="X13" s="17"/>
      <x:c r="Y13" s="17"/>
      <x:c r="Z13" s="17"/>
    </x:row>
    <x:row r="14">
      <x:c r="A14" s="17" t="str">
        <x:v>Gemini 3.1 Pro</x:v>
      </x:c>
      <x:c r="B14" s="17" t="str">
        <x:v>Google DeepMind</x:v>
      </x:c>
      <x:c r="C14" s="17" t="n">
        <x:v>46072</x:v>
      </x:c>
      <x:c r="D14" s="17" t="n">
        <x:v>154.84</x:v>
      </x:c>
      <x:c r="E14" s="17" t="n">
        <x:v>152.95</x:v>
      </x:c>
      <x:c r="F14" s="17" t="n">
        <x:v>157.9</x:v>
      </x:c>
      <x:c r="G14" s="17" t="n">
        <x:v>3.134839151266256</x:v>
      </x:c>
      <x:c r="H14" s="17" t="n">
        <x:v>12.314240490885055</x:v>
      </x:c>
      <x:c r="I14" s="17" t="n">
        <x:v>2061.771304576371</x:v>
      </x:c>
      <x:c r="J14" s="17" t="n">
        <x:v>720.1584008770805</x:v>
      </x:c>
      <x:c r="K14" s="17" t="n">
        <x:v>5902.730437077987</x:v>
      </x:c>
      <x:c r="L14" s="17" t="n">
        <x:v>1558.54076329416</x:v>
      </x:c>
      <x:c r="M14" s="17" t="n">
        <x:v>3243.328379683012</x:v>
      </x:c>
      <x:c r="N14" s="17" t="n">
        <x:v>11076.649215109259</x:v>
      </x:c>
      <x:c r="O14" s="17"/>
      <x:c r="P14" s="17"/>
      <x:c r="Q14" s="17" t="str">
        <x:v>https://epoch.ai/data/eci_scores.csv</x:v>
      </x:c>
      <x:c r="R14" s="17"/>
      <x:c r="S14" s="17"/>
      <x:c r="T14" s="17"/>
      <x:c r="U14" s="17"/>
      <x:c r="V14" s="17"/>
      <x:c r="W14" s="17"/>
      <x:c r="X14" s="17"/>
      <x:c r="Y14" s="17"/>
      <x:c r="Z14" s="17"/>
    </x:row>
    <x:row r="15">
      <x:c r="A15" s="17" t="str">
        <x:v>GPT-5.2 Pro</x:v>
      </x:c>
      <x:c r="B15" s="17" t="str">
        <x:v>OpenAI</x:v>
      </x:c>
      <x:c r="C15" s="17" t="n">
        <x:v>46002</x:v>
      </x:c>
      <x:c r="D15" s="17" t="n">
        <x:v>154.65</x:v>
      </x:c>
      <x:c r="E15" s="17" t="n">
        <x:v>152.88</x:v>
      </x:c>
      <x:c r="F15" s="17" t="n">
        <x:v>157.03</x:v>
      </x:c>
      <x:c r="G15" s="17" t="n">
        <x:v>2.943189596167009</x:v>
      </x:c>
      <x:c r="H15" s="17" t="n">
        <x:v>12.369279146571925</x:v>
      </x:c>
      <x:c r="I15" s="17" t="n">
        <x:v>2340.341029960614</x:v>
      </x:c>
      <x:c r="J15" s="17" t="n">
        <x:v>817.4603312707151</x:v>
      </x:c>
      <x:c r="K15" s="17" t="n">
        <x:v>6700.25923827152</x:v>
      </x:c>
      <x:c r="L15" s="17" t="n">
        <x:v>1800.8292020273595</x:v>
      </x:c>
      <x:c r="M15" s="17" t="n">
        <x:v>3328.9499052128454</x:v>
      </x:c>
      <x:c r="N15" s="17" t="n">
        <x:v>23553.131576258005</x:v>
      </x:c>
      <x:c r="O15" s="17"/>
      <x:c r="P15" s="17"/>
      <x:c r="Q15" s="17" t="str">
        <x:v>https://epoch.ai/data/eci_scores.csv</x:v>
      </x:c>
      <x:c r="R15" s="17"/>
      <x:c r="S15" s="17"/>
      <x:c r="T15" s="17"/>
      <x:c r="U15" s="17"/>
      <x:c r="V15" s="17"/>
      <x:c r="W15" s="17"/>
      <x:c r="X15" s="17"/>
      <x:c r="Y15" s="17"/>
      <x:c r="Z15" s="17"/>
    </x:row>
    <x:row r="16">
      <x:c r="A16" s="17" t="str">
        <x:v>Gemini 3.5 Flash</x:v>
      </x:c>
      <x:c r="B16" s="17" t="str">
        <x:v>Google</x:v>
      </x:c>
      <x:c r="C16" s="17" t="n">
        <x:v>46161</x:v>
      </x:c>
      <x:c r="D16" s="17" t="n">
        <x:v>154.58</x:v>
      </x:c>
      <x:c r="E16" s="17" t="n">
        <x:v>152.84</x:v>
      </x:c>
      <x:c r="F16" s="17" t="n">
        <x:v>157.2</x:v>
      </x:c>
      <x:c r="G16" s="17" t="n">
        <x:v>3.378507871321013</x:v>
      </x:c>
      <x:c r="H16" s="17" t="n">
        <x:v>12.212012969248791</x:v>
      </x:c>
      <x:c r="I16" s="17" t="n">
        <x:v>1629.3446887060481</x:v>
      </x:c>
      <x:c r="J16" s="17" t="n">
        <x:v>569.115625429274</x:v>
      </x:c>
      <x:c r="K16" s="17" t="n">
        <x:v>4664.718373550482</x:v>
      </x:c>
      <x:c r="L16" s="17" t="n">
        <x:v>1259.3175998997358</x:v>
      </x:c>
      <x:c r="M16" s="17" t="n">
        <x:v>2401.444139640455</x:v>
      </x:c>
      <x:c r="N16" s="17" t="n">
        <x:v>3478.0191932364205</x:v>
      </x:c>
      <x:c r="O16" s="17"/>
      <x:c r="P16" s="17"/>
      <x:c r="Q16" s="17" t="str">
        <x:v>https://epoch.ai/data/eci_scores.csv</x:v>
      </x:c>
      <x:c r="R16" s="17"/>
      <x:c r="S16" s="17"/>
      <x:c r="T16" s="17"/>
      <x:c r="U16" s="17"/>
      <x:c r="V16" s="17"/>
      <x:c r="W16" s="17"/>
      <x:c r="X16" s="17"/>
      <x:c r="Y16" s="17"/>
      <x:c r="Z16" s="17"/>
    </x:row>
    <x:row r="17">
      <x:c r="A17" s="17" t="str">
        <x:v>Muse Spark</x:v>
      </x:c>
      <x:c r="B17" s="17" t="str">
        <x:v>Meta AI</x:v>
      </x:c>
      <x:c r="C17" s="17" t="n">
        <x:v>46120</x:v>
      </x:c>
      <x:c r="D17" s="17" t="n">
        <x:v>154.27</x:v>
      </x:c>
      <x:c r="E17" s="17" t="n">
        <x:v>151.76</x:v>
      </x:c>
      <x:c r="F17" s="17" t="n">
        <x:v>158.17</x:v>
      </x:c>
      <x:c r="G17" s="17" t="n">
        <x:v>3.266255989048597</x:v>
      </x:c>
      <x:c r="H17" s="17" t="n">
        <x:v>12.231473059082521</x:v>
      </x:c>
      <x:c r="I17" s="17" t="n">
        <x:v>1704.0136096740468</x:v>
      </x:c>
      <x:c r="J17" s="17" t="n">
        <x:v>595.1968161996442</x:v>
      </x:c>
      <x:c r="K17" s="17" t="n">
        <x:v>4878.491119113131</x:v>
      </x:c>
      <x:c r="L17" s="17" t="n">
        <x:v>1175.1309573294059</x:v>
      </x:c>
      <x:c r="M17" s="17" t="n">
        <x:v>3035.522195619995</x:v>
      </x:c>
      <x:c r="N17" s="17" t="n">
        <x:v>4999.926364942744</x:v>
      </x:c>
      <x:c r="O17" s="17"/>
      <x:c r="P17" s="17"/>
      <x:c r="Q17" s="17" t="str">
        <x:v>https://epoch.ai/data/eci_scores.csv</x:v>
      </x:c>
      <x:c r="R17" s="17"/>
      <x:c r="S17" s="17"/>
      <x:c r="T17" s="17"/>
      <x:c r="U17" s="17"/>
      <x:c r="V17" s="17"/>
      <x:c r="W17" s="17"/>
      <x:c r="X17" s="17"/>
      <x:c r="Y17" s="17"/>
      <x:c r="Z17" s="17"/>
    </x:row>
    <x:row r="18">
      <x:c r="A18" s="17" t="str">
        <x:v>GPT-5.2</x:v>
      </x:c>
      <x:c r="B18" s="17" t="str">
        <x:v>OpenAI</x:v>
      </x:c>
      <x:c r="C18" s="17" t="n">
        <x:v>46002</x:v>
      </x:c>
      <x:c r="D18" s="17" t="n">
        <x:v>153.7</x:v>
      </x:c>
      <x:c r="E18" s="17" t="n">
        <x:v>152.26</x:v>
      </x:c>
      <x:c r="F18" s="17" t="n">
        <x:v>155.46</x:v>
      </x:c>
      <x:c r="G18" s="17" t="n">
        <x:v>2.943189596167009</x:v>
      </x:c>
      <x:c r="H18" s="17" t="n">
        <x:v>12.308196496315958</x:v>
      </x:c>
      <x:c r="I18" s="17" t="n">
        <x:v>2033.2767578789833</x:v>
      </x:c>
      <x:c r="J18" s="17" t="n">
        <x:v>710.2055088479013</x:v>
      </x:c>
      <x:c r="K18" s="17" t="n">
        <x:v>5821.152219499693</x:v>
      </x:c>
      <x:c r="L18" s="17" t="n">
        <x:v>1642.8883805101905</x:v>
      </x:c>
      <x:c r="M18" s="17" t="n">
        <x:v>2638.5184970950336</x:v>
      </x:c>
      <x:c r="N18" s="17" t="n">
        <x:v>16151.156793225238</x:v>
      </x:c>
      <x:c r="O18" s="17"/>
      <x:c r="P18" s="17"/>
      <x:c r="Q18" s="17" t="str">
        <x:v>https://epoch.ai/data/eci_scores.csv</x:v>
      </x:c>
      <x:c r="R18" s="17"/>
      <x:c r="S18" s="17"/>
      <x:c r="T18" s="17"/>
      <x:c r="U18" s="17"/>
      <x:c r="V18" s="17"/>
      <x:c r="W18" s="17"/>
      <x:c r="X18" s="17"/>
      <x:c r="Y18" s="17"/>
      <x:c r="Z18" s="17"/>
    </x:row>
    <x:row r="19">
      <x:c r="A19" s="17" t="str">
        <x:v>Gemini 3 Pro</x:v>
      </x:c>
      <x:c r="B19" s="17" t="str">
        <x:v>Google DeepMind</x:v>
      </x:c>
      <x:c r="C19" s="17" t="n">
        <x:v>45979</x:v>
      </x:c>
      <x:c r="D19" s="17" t="n">
        <x:v>153.24</x:v>
      </x:c>
      <x:c r="E19" s="17" t="n">
        <x:v>151.34</x:v>
      </x:c>
      <x:c r="F19" s="17" t="n">
        <x:v>155.77</x:v>
      </x:c>
      <x:c r="G19" s="17" t="n">
        <x:v>2.8802190280629705</x:v>
      </x:c>
      <x:c r="H19" s="17" t="n">
        <x:v>12.300717766543547</x:v>
      </x:c>
      <x:c r="I19" s="17" t="n">
        <x:v>1998.5626485058056</x:v>
      </x:c>
      <x:c r="J19" s="17" t="n">
        <x:v>698.0801788277533</x:v>
      </x:c>
      <x:c r="K19" s="17" t="n">
        <x:v>5721.767758411167</x:v>
      </x:c>
      <x:c r="L19" s="17" t="n">
        <x:v>1508.5248406510163</x:v>
      </x:c>
      <x:c r="M19" s="17" t="n">
        <x:v>2906.635067170561</x:v>
      </x:c>
      <x:c r="N19" s="17" t="n">
        <x:v>17672.1070306673</x:v>
      </x:c>
      <x:c r="O19" s="17"/>
      <x:c r="P19" s="17"/>
      <x:c r="Q19" s="17" t="str">
        <x:v>https://epoch.ai/data/eci_scores.csv</x:v>
      </x:c>
      <x:c r="R19" s="17"/>
      <x:c r="S19" s="17"/>
      <x:c r="T19" s="17"/>
      <x:c r="U19" s="17"/>
      <x:c r="V19" s="17"/>
      <x:c r="W19" s="17"/>
      <x:c r="X19" s="17"/>
      <x:c r="Y19" s="17"/>
      <x:c r="Z19" s="17"/>
    </x:row>
    <x:row r="20">
      <x:c r="A20" s="17" t="str">
        <x:v>Claude Sonnet 5</x:v>
      </x:c>
      <x:c r="B20" s="17" t="str">
        <x:v>Anthropic</x:v>
      </x:c>
      <x:c r="C20" s="17" t="n">
        <x:v>46203</x:v>
      </x:c>
      <x:c r="D20" s="17" t="n">
        <x:v>153.2</x:v>
      </x:c>
      <x:c r="E20" s="17" t="n">
        <x:v>150.47</x:v>
      </x:c>
      <x:c r="F20" s="17" t="n">
        <x:v>155.24</x:v>
      </x:c>
      <x:c r="G20" s="17" t="n">
        <x:v>3.4934976043805612</x:v>
      </x:c>
      <x:c r="H20" s="17" t="n">
        <x:v>12.08292927111834</x:v>
      </x:c>
      <x:c r="I20" s="17" t="n">
        <x:v>1210.400992477501</x:v>
      </x:c>
      <x:c r="J20" s="17" t="n">
        <x:v>422.7823140363915</x:v>
      </x:c>
      <x:c r="K20" s="17" t="n">
        <x:v>3465.3071189359434</x:v>
      </x:c>
      <x:c r="L20" s="17" t="n">
        <x:v>807.9733261778113</x:v>
      </x:c>
      <x:c r="M20" s="17" t="n">
        <x:v>1637.1792262349986</x:v>
      </x:c>
      <x:c r="N20" s="17" t="n">
        <x:v>1222.0246333370444</x:v>
      </x:c>
      <x:c r="O20" s="17"/>
      <x:c r="P20" s="17"/>
      <x:c r="Q20" s="17" t="str">
        <x:v>https://epoch.ai/data/eci_scores.csv</x:v>
      </x:c>
      <x:c r="R20" s="17"/>
      <x:c r="S20" s="17"/>
      <x:c r="T20" s="17"/>
      <x:c r="U20" s="17"/>
      <x:c r="V20" s="17"/>
      <x:c r="W20" s="17"/>
      <x:c r="X20" s="17"/>
      <x:c r="Y20" s="17"/>
      <x:c r="Z20" s="17"/>
    </x:row>
    <x:row r="21">
      <x:c r="A21" s="17" t="str">
        <x:v>Claude Sonnet 4.6</x:v>
      </x:c>
      <x:c r="B21" s="17" t="str">
        <x:v>Anthropic</x:v>
      </x:c>
      <x:c r="C21" s="17" t="n">
        <x:v>46070</x:v>
      </x:c>
      <x:c r="D21" s="17" t="n">
        <x:v>153.18</x:v>
      </x:c>
      <x:c r="E21" s="17" t="n">
        <x:v>149.67</x:v>
      </x:c>
      <x:c r="F21" s="17" t="n">
        <x:v>156.08</x:v>
      </x:c>
      <x:c r="G21" s="17" t="n">
        <x:v>3.1293634496919918</x:v>
      </x:c>
      <x:c r="H21" s="17" t="n">
        <x:v>12.209428173488952</x:v>
      </x:c>
      <x:c r="I21" s="17" t="n">
        <x:v>1619.6760989411607</x:v>
      </x:c>
      <x:c r="J21" s="17" t="n">
        <x:v>565.7384729156258</x:v>
      </x:c>
      <x:c r="K21" s="17" t="n">
        <x:v>4637.037767577286</x:v>
      </x:c>
      <x:c r="L21" s="17" t="n">
        <x:v>963.2607294431879</x:v>
      </x:c>
      <x:c r="M21" s="17" t="n">
        <x:v>2488.2327421949426</x:v>
      </x:c>
      <x:c r="N21" s="17" t="n">
        <x:v>5866.893263564347</x:v>
      </x:c>
      <x:c r="O21" s="17"/>
      <x:c r="P21" s="17"/>
      <x:c r="Q21" s="17" t="str">
        <x:v>https://epoch.ai/data/eci_scores.csv</x:v>
      </x:c>
      <x:c r="R21" s="17"/>
      <x:c r="S21" s="17"/>
      <x:c r="T21" s="17"/>
      <x:c r="U21" s="17"/>
      <x:c r="V21" s="17"/>
      <x:c r="W21" s="17"/>
      <x:c r="X21" s="17"/>
      <x:c r="Y21" s="17"/>
      <x:c r="Z21" s="17"/>
    </x:row>
    <x:row r="22">
      <x:c r="A22" s="17" t="str">
        <x:v>Grok 4.5</x:v>
      </x:c>
      <x:c r="B22" s="17" t="str">
        <x:v>xAI</x:v>
      </x:c>
      <x:c r="C22" s="17" t="n">
        <x:v>46211</x:v>
      </x:c>
      <x:c r="D22" s="17" t="n">
        <x:v>153.17</x:v>
      </x:c>
      <x:c r="E22" s="17" t="n">
        <x:v>151.65</x:v>
      </x:c>
      <x:c r="F22" s="17" t="n">
        <x:v>156.15</x:v>
      </x:c>
      <x:c r="G22" s="17" t="n">
        <x:v>3.515400410677618</x:v>
      </x:c>
      <x:c r="H22" s="17" t="n">
        <x:v>12.07331403837929</x:v>
      </x:c>
      <x:c r="I22" s="17" t="n">
        <x:v>1183.8973225467546</x:v>
      </x:c>
      <x:c r="J22" s="17" t="n">
        <x:v>413.52481757578283</x:v>
      </x:c>
      <x:c r="K22" s="17" t="n">
        <x:v>3389.4286648866328</x:v>
      </x:c>
      <x:c r="L22" s="17" t="n">
        <x:v>945.3264248679156</x:v>
      </x:c>
      <x:c r="M22" s="17" t="n">
        <x:v>1840.4357791043367</x:v>
      </x:c>
      <x:c r="N22" s="17" t="n">
        <x:v>1098.2880978648589</x:v>
      </x:c>
      <x:c r="O22" s="17"/>
      <x:c r="P22" s="17"/>
      <x:c r="Q22" s="17" t="str">
        <x:v>https://epoch.ai/data/eci_scores.csv</x:v>
      </x:c>
      <x:c r="R22" s="17"/>
      <x:c r="S22" s="17"/>
      <x:c r="T22" s="17"/>
      <x:c r="U22" s="17"/>
      <x:c r="V22" s="17"/>
      <x:c r="W22" s="17"/>
      <x:c r="X22" s="17"/>
      <x:c r="Y22" s="17"/>
      <x:c r="Z22" s="17"/>
    </x:row>
    <x:row r="23">
      <x:c r="A23" s="17" t="str">
        <x:v>Qwen3.7-Max</x:v>
      </x:c>
      <x:c r="B23" s="17" t="str">
        <x:v>Alibaba</x:v>
      </x:c>
      <x:c r="C23" s="17" t="n">
        <x:v>46161</x:v>
      </x:c>
      <x:c r="D23" s="17" t="n">
        <x:v>153.05</x:v>
      </x:c>
      <x:c r="E23" s="17" t="n">
        <x:v>151.09</x:v>
      </x:c>
      <x:c r="F23" s="17" t="n">
        <x:v>155.37</x:v>
      </x:c>
      <x:c r="G23" s="17" t="n">
        <x:v>3.378507871321013</x:v>
      </x:c>
      <x:c r="H23" s="17" t="n">
        <x:v>12.113637753573395</x:v>
      </x:c>
      <x:c r="I23" s="17" t="n">
        <x:v>1299.085554555833</x:v>
      </x:c>
      <x:c r="J23" s="17" t="n">
        <x:v>453.7590437382042</x:v>
      </x:c>
      <x:c r="K23" s="17" t="n">
        <x:v>3719.2058237616284</x:v>
      </x:c>
      <x:c r="L23" s="17" t="n">
        <x:v>971.8843782309697</x:v>
      </x:c>
      <x:c r="M23" s="17" t="n">
        <x:v>1831.5046062280194</x:v>
      </x:c>
      <x:c r="N23" s="17" t="n">
        <x:v>1894.3283107668897</x:v>
      </x:c>
      <x:c r="O23" s="17"/>
      <x:c r="P23" s="17"/>
      <x:c r="Q23" s="17" t="str">
        <x:v>https://epoch.ai/data/eci_scores.csv</x:v>
      </x:c>
      <x:c r="R23" s="17"/>
      <x:c r="S23" s="17"/>
      <x:c r="T23" s="17"/>
      <x:c r="U23" s="17"/>
      <x:c r="V23" s="17"/>
      <x:c r="W23" s="17"/>
      <x:c r="X23" s="17"/>
      <x:c r="Y23" s="17"/>
      <x:c r="Z23" s="17"/>
    </x:row>
    <x:row r="24">
      <x:c r="A24" s="17" t="str">
        <x:v>Grok 4.20</x:v>
      </x:c>
      <x:c r="B24" s="17" t="str">
        <x:v>xAI</x:v>
      </x:c>
      <x:c r="C24" s="17" t="n">
        <x:v>46070</x:v>
      </x:c>
      <x:c r="D24" s="17" t="n">
        <x:v>152.56</x:v>
      </x:c>
      <x:c r="E24" s="17" t="n">
        <x:v>149.24</x:v>
      </x:c>
      <x:c r="F24" s="17" t="n">
        <x:v>154.54</x:v>
      </x:c>
      <x:c r="G24" s="17" t="n">
        <x:v>3.1293634496919918</x:v>
      </x:c>
      <x:c r="H24" s="17" t="n">
        <x:v>12.169563707006112</x:v>
      </x:c>
      <x:c r="I24" s="17" t="n">
        <x:v>1477.6232194284905</x:v>
      </x:c>
      <x:c r="J24" s="17" t="n">
        <x:v>516.1206640331569</x:v>
      </x:c>
      <x:c r="K24" s="17" t="n">
        <x:v>4230.348697013131</x:v>
      </x:c>
      <x:c r="L24" s="17" t="n">
        <x:v>903.8490767517472</x:v>
      </x:c>
      <x:c r="M24" s="17" t="n">
        <x:v>1980.9467876614353</x:v>
      </x:c>
      <x:c r="N24" s="17" t="n">
        <x:v>4586.4614739472345</x:v>
      </x:c>
      <x:c r="O24" s="17"/>
      <x:c r="P24" s="17"/>
      <x:c r="Q24" s="17" t="str">
        <x:v>https://epoch.ai/data/eci_scores.csv</x:v>
      </x:c>
      <x:c r="R24" s="17"/>
      <x:c r="S24" s="17"/>
      <x:c r="T24" s="17"/>
      <x:c r="U24" s="17"/>
      <x:c r="V24" s="17"/>
      <x:c r="W24" s="17"/>
      <x:c r="X24" s="17"/>
      <x:c r="Y24" s="17"/>
      <x:c r="Z24" s="17"/>
    </x:row>
    <x:row r="25">
      <x:c r="A25" s="17" t="str">
        <x:v>Gemini 3 Flash</x:v>
      </x:c>
      <x:c r="B25" s="17" t="str">
        <x:v>Google DeepMind</x:v>
      </x:c>
      <x:c r="C25" s="17" t="n">
        <x:v>46008</x:v>
      </x:c>
      <x:c r="D25" s="17" t="n">
        <x:v>150.62</x:v>
      </x:c>
      <x:c r="E25" s="17" t="n">
        <x:v>146.15</x:v>
      </x:c>
      <x:c r="F25" s="17" t="n">
        <x:v>152.88</x:v>
      </x:c>
      <x:c r="G25" s="17" t="n">
        <x:v>2.9596167008898013</x:v>
      </x:c>
      <x:c r="H25" s="17" t="n">
        <x:v>12.10439538422734</x:v>
      </x:c>
      <x:c r="I25" s="17" t="n">
        <x:v>1271.7313699890424</x:v>
      </x:c>
      <x:c r="J25" s="17" t="n">
        <x:v>444.20447007079923</x:v>
      </x:c>
      <x:c r="K25" s="17" t="n">
        <x:v>3640.8923961445826</x:v>
      </x:c>
      <x:c r="L25" s="17" t="n">
        <x:v>656.1232695736276</x:v>
      </x:c>
      <x:c r="M25" s="17" t="n">
        <x:v>1777.0833354529962</x:v>
      </x:c>
      <x:c r="N25" s="17" t="n">
        <x:v>4426.990530594806</x:v>
      </x:c>
      <x:c r="O25" s="17"/>
      <x:c r="P25" s="17"/>
      <x:c r="Q25" s="17" t="str">
        <x:v>https://epoch.ai/data/eci_scores.csv</x:v>
      </x:c>
      <x:c r="R25" s="17"/>
      <x:c r="S25" s="17"/>
      <x:c r="T25" s="17"/>
      <x:c r="U25" s="17"/>
      <x:c r="V25" s="17"/>
      <x:c r="W25" s="17"/>
      <x:c r="X25" s="17"/>
      <x:c r="Y25" s="17"/>
      <x:c r="Z25" s="17"/>
    </x:row>
    <x:row r="26">
      <x:c r="A26" s="17" t="str">
        <x:v>GPT-5 Pro</x:v>
      </x:c>
      <x:c r="B26" s="17" t="str">
        <x:v>OpenAI</x:v>
      </x:c>
      <x:c r="C26" s="17" t="n">
        <x:v>45937</x:v>
      </x:c>
      <x:c r="D26" s="17" t="n">
        <x:v>150.43</x:v>
      </x:c>
      <x:c r="E26" s="17" t="n">
        <x:v>148.94</x:v>
      </x:c>
      <x:c r="F26" s="17" t="n">
        <x:v>152.05</x:v>
      </x:c>
      <x:c r="G26" s="17" t="n">
        <x:v>2.7652292950034223</x:v>
      </x:c>
      <x:c r="H26" s="17" t="n">
        <x:v>12.160394828281897</x:v>
      </x:c>
      <x:c r="I26" s="17" t="n">
        <x:v>1446.7544547286714</x:v>
      </x:c>
      <x:c r="J26" s="17" t="n">
        <x:v>505.3384787471704</x:v>
      </x:c>
      <x:c r="K26" s="17" t="n">
        <x:v>4141.973232409379</x:v>
      </x:c>
      <x:c r="L26" s="17" t="n">
        <x:v>1160.356698445603</x:v>
      </x:c>
      <x:c r="M26" s="17" t="n">
        <x:v>1838.894531718363</x:v>
      </x:c>
      <x:c r="N26" s="17" t="n">
        <x:v>9525.714318531229</x:v>
      </x:c>
      <x:c r="O26" s="17"/>
      <x:c r="P26" s="17"/>
      <x:c r="Q26" s="17" t="str">
        <x:v>https://epoch.ai/data/eci_scores.csv</x:v>
      </x:c>
      <x:c r="R26" s="17"/>
      <x:c r="S26" s="17"/>
      <x:c r="T26" s="17"/>
      <x:c r="U26" s="17"/>
      <x:c r="V26" s="17"/>
      <x:c r="W26" s="17"/>
      <x:c r="X26" s="17"/>
      <x:c r="Y26" s="17"/>
      <x:c r="Z26" s="17"/>
    </x:row>
    <x:row r="27">
      <x:c r="A27" s="18" t="str">
        <x:v>GPT-5</x:v>
      </x:c>
      <x:c r="B27" s="18" t="str">
        <x:v>OpenAI</x:v>
      </x:c>
      <x:c r="C27" s="18" t="n">
        <x:v>45876</x:v>
      </x:c>
      <x:c r="D27" s="18" t="n">
        <x:v>150</x:v>
      </x:c>
      <x:c r="E27" s="18"/>
      <x:c r="F27" s="18"/>
      <x:c r="G27" s="18" t="n">
        <x:v>2.598220396988364</x:v>
      </x:c>
      <x:c r="H27" s="18" t="n">
        <x:v>12.191354982279131</x:v>
      </x:c>
      <x:c r="I27" s="18" t="n">
        <x:v>1553.6564139664945</x:v>
      </x:c>
      <x:c r="J27" s="18" t="n">
        <x:v>542.6783834419618</x:v>
      </x:c>
      <x:c r="K27" s="18" t="n">
        <x:v>4448.027277868131</x:v>
      </x:c>
      <x:c r="L27" s="18" t="n">
        <x:v>3.521486229811942e-7</x:v>
      </x:c>
      <x:c r="M27" s="18" t="n">
        <x:v>3.521486229811942e-7</x:v>
      </x:c>
      <x:c r="N27" s="18" t="n">
        <x:v>16550.344860449088</x:v>
      </x:c>
      <x:c r="O27" s="18"/>
      <x:c r="P27" s="18"/>
      <x:c r="Q27" s="18" t="str">
        <x:v>https://epoch.ai/data/eci_scores.csv</x:v>
      </x:c>
      <x:c r="R27" s="18"/>
      <x:c r="S27" s="18"/>
      <x:c r="T27" s="18"/>
      <x:c r="U27" s="18"/>
      <x:c r="V27" s="18"/>
      <x:c r="W27" s="18"/>
      <x:c r="X27" s="18"/>
      <x:c r="Y27" s="18"/>
      <x:c r="Z27" s="18"/>
    </x:row>
  </x:sheetData>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defaultRowHeight="15"/>
  <x:cols>
    <x:col min="1" max="1" width="36" hidden="0" customWidth="1"/>
    <x:col min="2" max="2" width="3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34" customHeight="1">
      <x:c r="A1" s="71" t="str">
        <x:v>Model</x:v>
      </x:c>
      <x:c r="B1" s="71" t="str">
        <x:v>Organization</x:v>
      </x:c>
      <x:c r="C1" s="71" t="str">
        <x:v>Release date</x:v>
      </x:c>
      <x:c r="D1" s="71" t="str">
        <x:v>Model accessibility</x:v>
      </x:c>
      <x:c r="E1" s="71" t="str">
        <x:v>ECI</x:v>
      </x:c>
      <x:c r="F1" s="71" t="str">
        <x:v>ECI CI low</x:v>
      </x:c>
      <x:c r="G1" s="71" t="str">
        <x:v>ECI CI high</x:v>
      </x:c>
      <x:c r="H1" s="71" t="str">
        <x:v>Total params (B)</x:v>
      </x:c>
      <x:c r="I1" s="71" t="str">
        <x:v>Active params (B)</x:v>
      </x:c>
      <x:c r="J1" s="71" t="str">
        <x:v>Log10 total params</x:v>
      </x:c>
      <x:c r="K1" s="71" t="str">
        <x:v>Years since base</x:v>
      </x:c>
      <x:c r="L1" s="71" t="str">
        <x:v>WLS weight</x:v>
      </x:c>
      <x:c r="M1" s="71" t="str">
        <x:v>Source URL</x:v>
      </x:c>
      <x:c r="N1" s="71" t="str">
        <x:v>Match / assumption</x:v>
      </x:c>
      <x:c r="O1" s="71" t="str">
        <x:v>Parameters notes</x:v>
      </x:c>
      <x:c r="P1" s="71" t="str">
        <x:v>Training compute notes</x:v>
      </x:c>
      <x:c r="Q1" s="71"/>
      <x:c r="R1" s="71"/>
      <x:c r="S1" s="71"/>
      <x:c r="T1" s="71"/>
      <x:c r="U1" s="71"/>
      <x:c r="V1" s="71"/>
      <x:c r="W1" s="71"/>
      <x:c r="X1" s="71"/>
      <x:c r="Y1" s="71"/>
      <x:c r="Z1" s="71"/>
    </x:row>
    <x:row r="2">
      <x:c r="A2" s="16" t="str">
        <x:v>Qwen3-235B-A22B-Instruct (Jul 2025)</x:v>
      </x:c>
      <x:c r="B2" s="16" t="str">
        <x:v>Alibaba</x:v>
      </x:c>
      <x:c r="C2" s="16" t="n">
        <x:v>45863</x:v>
      </x:c>
      <x:c r="D2" s="16" t="str">
        <x:v>Open weights (unrestricted)</x:v>
      </x:c>
      <x:c r="E2" s="16" t="n">
        <x:v>138.96</x:v>
      </x:c>
      <x:c r="F2" s="16" t="n">
        <x:v>135.35</x:v>
      </x:c>
      <x:c r="G2" s="16" t="n">
        <x:v>140.84</x:v>
      </x:c>
      <x:c r="H2" s="16" t="n">
        <x:v>235</x:v>
      </x:c>
      <x:c r="I2" s="16" t="n">
        <x:v>22</x:v>
      </x:c>
      <x:c r="J2" s="16" t="n">
        <x:v>11.3710678622717</x:v>
      </x:c>
      <x:c r="K2" s="16" t="n">
        <x:v>2.5626283367556466</x:v>
      </x:c>
      <x:c r="L2" s="16" t="n">
        <x:v>0.5098324159508412</x:v>
      </x:c>
      <x:c r="M2" s="16" t="str">
        <x:v>https://qwenlm.github.io/blog/qwen3/</x:v>
      </x:c>
      <x:c r="N2" s="16" t="str">
        <x:v>Filled from Qwen3-235B-A22B same-family architecture in Epoch data</x:v>
      </x:c>
      <x:c r="O2" s="16" t="str">
        <x:v>235 billion total parameters and 22 billion activated parameters
Number of Layers: 94
Number of Attention Heads (GQA): 64 for Q and 4 for KV
Number of Experts: 128
Number of Activated Experts: 8
Context Length: 32,768 natively and 131,072 tokens with YaRN.</x:v>
      </x:c>
      <x:c r="P2" s="16" t="str">
        <x:v>6 FLOP / parameter / token * 22*10^9 active parameters * 36000000000000 tokens = 4.752e+24 FLOP</x:v>
      </x:c>
      <x:c r="Q2" s="16"/>
      <x:c r="R2" s="16"/>
      <x:c r="S2" s="16"/>
      <x:c r="T2" s="16"/>
      <x:c r="U2" s="16"/>
      <x:c r="V2" s="16"/>
      <x:c r="W2" s="16"/>
      <x:c r="X2" s="16"/>
      <x:c r="Y2" s="16"/>
      <x:c r="Z2" s="16"/>
    </x:row>
    <x:row r="3">
      <x:c r="A3" s="17" t="str">
        <x:v>Qwen3-235B-A22B-Thinking (Jul 2025)</x:v>
      </x:c>
      <x:c r="B3" s="17" t="str">
        <x:v>Alibaba</x:v>
      </x:c>
      <x:c r="C3" s="17" t="n">
        <x:v>45863</x:v>
      </x:c>
      <x:c r="D3" s="17" t="str">
        <x:v>Open weights (unrestricted)</x:v>
      </x:c>
      <x:c r="E3" s="17" t="n">
        <x:v>144.78</x:v>
      </x:c>
      <x:c r="F3" s="17" t="n">
        <x:v>142.35</x:v>
      </x:c>
      <x:c r="G3" s="17" t="n">
        <x:v>147.4</x:v>
      </x:c>
      <x:c r="H3" s="17" t="n">
        <x:v>235</x:v>
      </x:c>
      <x:c r="I3" s="17" t="n">
        <x:v>22</x:v>
      </x:c>
      <x:c r="J3" s="17" t="n">
        <x:v>11.3710678622717</x:v>
      </x:c>
      <x:c r="K3" s="17" t="n">
        <x:v>2.5626283367556466</x:v>
      </x:c>
      <x:c r="L3" s="17" t="n">
        <x:v>0.6025448485442577</x:v>
      </x:c>
      <x:c r="M3" s="17" t="str">
        <x:v>https://qwenlm.github.io/blog/qwen3/</x:v>
      </x:c>
      <x:c r="N3" s="17" t="str">
        <x:v>Exact/near-exact name match in Epoch all_ai_models.csv</x:v>
      </x:c>
      <x:c r="O3" s="17" t="str">
        <x:v>235 billion total parameters and 22 billion activated parameters
Number of Layers: 94
Number of Attention Heads (GQA): 64 for Q and 4 for KV
Number of Experts: 128
Number of Activated Experts: 8
Context Length: 32,768 natively and 131,072 tokens with YaRN.</x:v>
      </x:c>
      <x:c r="P3" s="17" t="str">
        <x:v>6 FLOP / parameter / token * 22*10^9 active parameters * 36000000000000 tokens = 4.752e+24 FLOP</x:v>
      </x:c>
      <x:c r="Q3" s="17"/>
      <x:c r="R3" s="17"/>
      <x:c r="S3" s="17"/>
      <x:c r="T3" s="17"/>
      <x:c r="U3" s="17"/>
      <x:c r="V3" s="17"/>
      <x:c r="W3" s="17"/>
      <x:c r="X3" s="17"/>
      <x:c r="Y3" s="17"/>
      <x:c r="Z3" s="17"/>
    </x:row>
    <x:row r="4">
      <x:c r="A4" s="17" t="str">
        <x:v>gpt-oss-120b</x:v>
      </x:c>
      <x:c r="B4" s="17" t="str">
        <x:v>OpenAI</x:v>
      </x:c>
      <x:c r="C4" s="17" t="n">
        <x:v>45874</x:v>
      </x:c>
      <x:c r="D4" s="17" t="str">
        <x:v>Open weights (unrestricted)</x:v>
      </x:c>
      <x:c r="E4" s="17" t="n">
        <x:v>140.57</x:v>
      </x:c>
      <x:c r="F4" s="17" t="n">
        <x:v>136.18</x:v>
      </x:c>
      <x:c r="G4" s="17" t="n">
        <x:v>143.08</x:v>
      </x:c>
      <x:c r="H4" s="17" t="n">
        <x:v>116.83</x:v>
      </x:c>
      <x:c r="I4" s="17" t="n">
        <x:v>116.83</x:v>
      </x:c>
      <x:c r="J4" s="17" t="n">
        <x:v>11.0675543766935</x:v>
      </x:c>
      <x:c r="K4" s="17" t="n">
        <x:v>2.5927446954141</x:v>
      </x:c>
      <x:c r="L4" s="17" t="n">
        <x:v>0.32275572358748106</x:v>
      </x:c>
      <x:c r="M4" s="17" t="str">
        <x:v>https://cdn.openai.com/pdf/419b6906-9da6-406c-a19d-1bb078ac7637/oai_gpt-oss_model_card.pdf</x:v>
      </x:c>
      <x:c r="N4" s="17" t="str">
        <x:v>Exact/near-exact name match in Epoch all_ai_models.csv Assumed dense/non-MoE: active params equal total params.</x:v>
      </x:c>
      <x:c r="O4" s="17" t="str">
        <x:v>Total parameters: 116.83B</x:v>
      </x:c>
      <x:c r="P4" s="17" t="str">
        <x:v>"The training run for gpt-oss-120b required 2.1 million H100-hours to complete"
(2.1e6 hours)*(1,979 H100 FLOP/s)*(30% utilization)*(60*60) = 4.49e24
They also do post training similar to o3, which we assume adds at least 10% as much compute, so we multiply this estimate by 1.1 to get 4.94e24
</x:v>
      </x:c>
      <x:c r="Q4" s="17"/>
      <x:c r="R4" s="17"/>
      <x:c r="S4" s="17"/>
      <x:c r="T4" s="17"/>
      <x:c r="U4" s="17"/>
      <x:c r="V4" s="17"/>
      <x:c r="W4" s="17"/>
      <x:c r="X4" s="17"/>
      <x:c r="Y4" s="17"/>
      <x:c r="Z4" s="17"/>
    </x:row>
    <x:row r="5">
      <x:c r="A5" s="17" t="str">
        <x:v>DeepSeek-V3.1</x:v>
      </x:c>
      <x:c r="B5" s="17" t="str">
        <x:v>DeepSeek</x:v>
      </x:c>
      <x:c r="C5" s="17" t="n">
        <x:v>45890</x:v>
      </x:c>
      <x:c r="D5" s="17" t="str">
        <x:v>Open weights (unrestricted)</x:v>
      </x:c>
      <x:c r="E5" s="17" t="n">
        <x:v>138.68</x:v>
      </x:c>
      <x:c r="F5" s="17" t="n">
        <x:v>135.73</x:v>
      </x:c>
      <x:c r="G5" s="17" t="n">
        <x:v>142.57</x:v>
      </x:c>
      <x:c r="H5" s="17" t="n">
        <x:v>671</x:v>
      </x:c>
      <x:c r="I5" s="17" t="n">
        <x:v>37</x:v>
      </x:c>
      <x:c r="J5" s="17" t="n">
        <x:v>11.826722520169</x:v>
      </x:c>
      <x:c r="K5" s="17" t="n">
        <x:v>2.6365503080082138</x:v>
      </x:c>
      <x:c r="L5" s="17" t="n">
        <x:v>0.32844293970794397</x:v>
      </x:c>
      <x:c r="M5" s="17" t="str">
        <x:v>https://api-docs.deepseek.com/news/news250821
https://huggingface.co/deepseek-ai/DeepSeek-V3.1</x:v>
      </x:c>
      <x:c r="N5" s="17" t="str">
        <x:v>Exact/near-exact name match in Epoch all_ai_models.csv</x:v>
      </x:c>
      <x:c r="O5" s="17" t="str">
        <x:v>671B total, 37B active</x:v>
      </x:c>
      <x:c r="P5" s="17" t="str">
        <x:v>This was based on V3 which was trained on 14.8T tokens for a total of 14.8T + 840B = 15.64T pretraining tokens. Adding the FLOPs from continued pretraining onto our estimate for V3, which is 3.4e24 FLOPs, we get 3.4e24 + 1.9e23 = 3.59e24</x:v>
      </x:c>
      <x:c r="Q5" s="17"/>
      <x:c r="R5" s="17"/>
      <x:c r="S5" s="17"/>
      <x:c r="T5" s="17"/>
      <x:c r="U5" s="17"/>
      <x:c r="V5" s="17"/>
      <x:c r="W5" s="17"/>
      <x:c r="X5" s="17"/>
      <x:c r="Y5" s="17"/>
      <x:c r="Z5" s="17"/>
    </x:row>
    <x:row r="6">
      <x:c r="A6" s="17" t="str">
        <x:v>DeepSeek-V3.2-Exp</x:v>
      </x:c>
      <x:c r="B6" s="17" t="str">
        <x:v>DeepSeek</x:v>
      </x:c>
      <x:c r="C6" s="17" t="n">
        <x:v>45929</x:v>
      </x:c>
      <x:c r="D6" s="17" t="str">
        <x:v>Open weights (unrestricted)</x:v>
      </x:c>
      <x:c r="E6" s="17" t="n">
        <x:v>144.86</x:v>
      </x:c>
      <x:c r="F6" s="17" t="n">
        <x:v>141.79</x:v>
      </x:c>
      <x:c r="G6" s="17" t="n">
        <x:v>146.71</x:v>
      </x:c>
      <x:c r="H6" s="17" t="n">
        <x:v>671</x:v>
      </x:c>
      <x:c r="I6" s="17" t="n">
        <x:v>37</x:v>
      </x:c>
      <x:c r="J6" s="17" t="n">
        <x:v>11.826722520169</x:v>
      </x:c>
      <x:c r="K6" s="17" t="n">
        <x:v>2.7433264887063653</x:v>
      </x:c>
      <x:c r="L6" s="17" t="n">
        <x:v>0.6348073236829886</x:v>
      </x:c>
      <x:c r="M6" s="17" t="str">
        <x:v>https://github.com/deepseek-ai/DeepSeek-V3.2-Exp/blob/main/DeepSeek_V3_2.pdf</x:v>
      </x:c>
      <x:c r="N6" s="17" t="str">
        <x:v>Exact/near-exact name match in Epoch all_ai_models.csv</x:v>
      </x:c>
      <x:c r="O6" s="17" t="str">
        <x:v>671B total, 37B active (assuming same as in the base model)</x:v>
      </x:c>
      <x:c r="P6" s="17" t="str">
        <x:v>3.594058e+24 FLOP [base model] + 2.095014e+23 FLOP = 3.8035594e+24 FLOP for pre-training plus continued pre-training
Then, "this framework allocates a
post-training computational budget exceeding 10% of the pre-training cost", so 4.18e24</x:v>
      </x:c>
      <x:c r="Q6" s="17"/>
      <x:c r="R6" s="17"/>
      <x:c r="S6" s="17"/>
      <x:c r="T6" s="17"/>
      <x:c r="U6" s="17"/>
      <x:c r="V6" s="17"/>
      <x:c r="W6" s="17"/>
      <x:c r="X6" s="17"/>
      <x:c r="Y6" s="17"/>
      <x:c r="Z6" s="17"/>
    </x:row>
    <x:row r="7">
      <x:c r="A7" s="17" t="str">
        <x:v>GLM-4.6</x:v>
      </x:c>
      <x:c r="B7" s="17" t="str">
        <x:v>Z.ai (Zhipu AI),Tsinghua University</x:v>
      </x:c>
      <x:c r="C7" s="17" t="n">
        <x:v>45930</x:v>
      </x:c>
      <x:c r="D7" s="17" t="str">
        <x:v>Open weights (unrestricted)</x:v>
      </x:c>
      <x:c r="E7" s="17" t="n">
        <x:v>140.95</x:v>
      </x:c>
      <x:c r="F7" s="17" t="n">
        <x:v>136.28</x:v>
      </x:c>
      <x:c r="G7" s="17" t="n">
        <x:v>142.51</x:v>
      </x:c>
      <x:c r="H7" s="17" t="n">
        <x:v>357</x:v>
      </x:c>
      <x:c r="I7" s="17" t="n">
        <x:v>32</x:v>
      </x:c>
      <x:c r="J7" s="17" t="n">
        <x:v>11.5526682161122</x:v>
      </x:c>
      <x:c r="K7" s="17" t="n">
        <x:v>2.746064339493498</x:v>
      </x:c>
      <x:c r="L7" s="17" t="n">
        <x:v>0.3959096073728077</x:v>
      </x:c>
      <x:c r="M7" s="17" t="str">
        <x:v>https://z.ai/blog/glm-4.6</x:v>
      </x:c>
      <x:c r="N7" s="17" t="str">
        <x:v>Exact/near-exact name match in Epoch all_ai_models.csv</x:v>
      </x:c>
      <x:c r="O7" s="17" t="str">
        <x:v>Similarly to GLM 4.5: 355 billion total parameters (reported) with 32 billion active parameters (assumed)</x:v>
      </x:c>
      <x:c r="P7" s="17" t="str">
        <x:v>6 FLOP/parameter/token * 32000000000 active parameters [very likely assumption - everything else is reported to be same as at GLM 4.5] * 23000000000000 tokens = 4.42e24 FLOP</x:v>
      </x:c>
      <x:c r="Q7" s="17"/>
      <x:c r="R7" s="17"/>
      <x:c r="S7" s="17"/>
      <x:c r="T7" s="17"/>
      <x:c r="U7" s="17"/>
      <x:c r="V7" s="17"/>
      <x:c r="W7" s="17"/>
      <x:c r="X7" s="17"/>
      <x:c r="Y7" s="17"/>
      <x:c r="Z7" s="17"/>
    </x:row>
    <x:row r="8">
      <x:c r="A8" s="17" t="str">
        <x:v>Kimi K2 Thinking</x:v>
      </x:c>
      <x:c r="B8" s="17" t="str">
        <x:v>Moonshot</x:v>
      </x:c>
      <x:c r="C8" s="17" t="n">
        <x:v>45967</x:v>
      </x:c>
      <x:c r="D8" s="17" t="str">
        <x:v>Open weights (restricted use)</x:v>
      </x:c>
      <x:c r="E8" s="17" t="n">
        <x:v>146.01</x:v>
      </x:c>
      <x:c r="F8" s="17" t="n">
        <x:v>143.68</x:v>
      </x:c>
      <x:c r="G8" s="17" t="n">
        <x:v>147.44</x:v>
      </x:c>
      <x:c r="H8" s="17" t="n">
        <x:v>1000</x:v>
      </x:c>
      <x:c r="I8" s="17" t="n">
        <x:v>32</x:v>
      </x:c>
      <x:c r="J8" s="17" t="n">
        <x:v>12</x:v>
      </x:c>
      <x:c r="K8" s="17" t="n">
        <x:v>2.847364818617385</x:v>
      </x:c>
      <x:c r="L8" s="17" t="n">
        <x:v>1.0869171570846587</x:v>
      </x:c>
      <x:c r="M8" s="17" t="str">
        <x:v>https://moonshotai.github.io/Kimi-K2/thinking</x:v>
      </x:c>
      <x:c r="N8" s="17" t="str">
        <x:v>Exact/near-exact name match in Epoch all_ai_models.csv</x:v>
      </x:c>
      <x:c r="O8" s="17" t="str">
        <x:v>Total Parameters	1T
Activated Parameters	32B</x:v>
      </x:c>
      <x:c r="P8" s="17" t="str">
        <x:v>Assuming the additional post-training contributed between 1% and 100% of Kimi K2's training compute (which we confidently estimate at 2.976e+24), we get a range of 3.0e24 to 6.0e24, and a geometric mean of 4.2e24.</x:v>
      </x:c>
      <x:c r="Q8" s="17"/>
      <x:c r="R8" s="17"/>
      <x:c r="S8" s="17"/>
      <x:c r="T8" s="17"/>
      <x:c r="U8" s="17"/>
      <x:c r="V8" s="17"/>
      <x:c r="W8" s="17"/>
      <x:c r="X8" s="17"/>
      <x:c r="Y8" s="17"/>
      <x:c r="Z8" s="17"/>
    </x:row>
    <x:row r="9">
      <x:c r="A9" s="17" t="str">
        <x:v>DeepSeek-V3.2</x:v>
      </x:c>
      <x:c r="B9" s="17" t="str">
        <x:v>DeepSeek</x:v>
      </x:c>
      <x:c r="C9" s="17" t="n">
        <x:v>45992</x:v>
      </x:c>
      <x:c r="D9" s="17" t="str">
        <x:v>Open weights (unrestricted)</x:v>
      </x:c>
      <x:c r="E9" s="17" t="n">
        <x:v>146.56</x:v>
      </x:c>
      <x:c r="F9" s="17" t="n">
        <x:v>144.63</x:v>
      </x:c>
      <x:c r="G9" s="17" t="n">
        <x:v>147.62</x:v>
      </x:c>
      <x:c r="H9" s="17" t="n">
        <x:v>671</x:v>
      </x:c>
      <x:c r="I9" s="17" t="n">
        <x:v>37</x:v>
      </x:c>
      <x:c r="J9" s="17" t="n">
        <x:v>11.826722520169</x:v>
      </x:c>
      <x:c r="K9" s="17" t="n">
        <x:v>2.915811088295688</x:v>
      </x:c>
      <x:c r="L9" s="17" t="n">
        <x:v>1.7188174628919035</x:v>
      </x:c>
      <x:c r="M9" s="17" t="str">
        <x:v>https://github.com/deepseek-ai/DeepSeek-V3.2-Exp/blob/main/DeepSeek_V3_2.pdf</x:v>
      </x:c>
      <x:c r="N9" s="17" t="str">
        <x:v>Filled from DeepSeek-V3.2-Exp / DeepSeek-V3.1 same-family architecture in Epoch data</x:v>
      </x:c>
      <x:c r="O9" s="17" t="str">
        <x:v>671B total, 37B active (assuming same as in the base model)</x:v>
      </x:c>
      <x:c r="P9" s="17" t="str">
        <x:v>3.594058e+24 FLOP [base model] + 2.095014e+23 FLOP = 3.8035594e+24 FLOP for pre-training plus continued pre-training
Then, "this framework allocates a
post-training computational budget exceeding 10% of the pre-training cost", so 4.18e24</x:v>
      </x:c>
      <x:c r="Q9" s="17"/>
      <x:c r="R9" s="17"/>
      <x:c r="S9" s="17"/>
      <x:c r="T9" s="17"/>
      <x:c r="U9" s="17"/>
      <x:c r="V9" s="17"/>
      <x:c r="W9" s="17"/>
      <x:c r="X9" s="17"/>
      <x:c r="Y9" s="17"/>
      <x:c r="Z9" s="17"/>
    </x:row>
    <x:row r="10">
      <x:c r="A10" s="17" t="str">
        <x:v>GLM-4.7</x:v>
      </x:c>
      <x:c r="B10" s="17" t="str">
        <x:v>Z.ai (Zhipu AI)</x:v>
      </x:c>
      <x:c r="C10" s="17" t="n">
        <x:v>46013</x:v>
      </x:c>
      <x:c r="D10" s="17" t="str">
        <x:v>Open weights (unrestricted)</x:v>
      </x:c>
      <x:c r="E10" s="17" t="n">
        <x:v>143.73</x:v>
      </x:c>
      <x:c r="F10" s="17" t="n">
        <x:v>141.11</x:v>
      </x:c>
      <x:c r="G10" s="17" t="n">
        <x:v>145.38</x:v>
      </x:c>
      <x:c r="H10" s="17" t="n">
        <x:v>358</x:v>
      </x:c>
      <x:c r="I10" s="17" t="n">
        <x:v>32</x:v>
      </x:c>
      <x:c r="J10" s="17" t="n">
        <x:v>11.5538830266439</x:v>
      </x:c>
      <x:c r="K10" s="17" t="n">
        <x:v>2.973305954825462</x:v>
      </x:c>
      <x:c r="L10" s="17" t="n">
        <x:v>0.8427841977962982</x:v>
      </x:c>
      <x:c r="M10" s="17" t="str">
        <x:v>https://z.ai/blog/glm-4.7</x:v>
      </x:c>
      <x:c r="N10" s="17" t="str">
        <x:v>Exact/near-exact name match in Epoch all_ai_models.csv</x:v>
      </x:c>
      <x:c r="O10" s="17" t="str">
        <x:v>mixture of experts (MoE) with 358B total, 32B active</x:v>
      </x:c>
      <x:c r="P10" s="17" t="str">
        <x:v>Training tokens not disclosed.
Presuming this is a post-training update from GLM-4.5 (23T tokens) with minor additional compute, training compute is at least:
6 FLOP/parameter/token * 32B active parameters * 23T tokens = 4.42e24 FLOP</x:v>
      </x:c>
      <x:c r="Q10" s="17"/>
      <x:c r="R10" s="17"/>
      <x:c r="S10" s="17"/>
      <x:c r="T10" s="17"/>
      <x:c r="U10" s="17"/>
      <x:c r="V10" s="17"/>
      <x:c r="W10" s="17"/>
      <x:c r="X10" s="17"/>
      <x:c r="Y10" s="17"/>
      <x:c r="Z10" s="17"/>
    </x:row>
    <x:row r="11">
      <x:c r="A11" s="17" t="str">
        <x:v>Kimi K2.5</x:v>
      </x:c>
      <x:c r="B11" s="17" t="str">
        <x:v>Moonshot</x:v>
      </x:c>
      <x:c r="C11" s="17" t="n">
        <x:v>46055</x:v>
      </x:c>
      <x:c r="D11" s="17" t="str">
        <x:v>Open weights (unrestricted)</x:v>
      </x:c>
      <x:c r="E11" s="17" t="n">
        <x:v>148.24</x:v>
      </x:c>
      <x:c r="F11" s="17" t="n">
        <x:v>146.58</x:v>
      </x:c>
      <x:c r="G11" s="17" t="n">
        <x:v>149.36</x:v>
      </x:c>
      <x:c r="H11" s="17" t="n">
        <x:v>1040</x:v>
      </x:c>
      <x:c r="I11" s="17" t="n">
        <x:v>32</x:v>
      </x:c>
      <x:c r="J11" s="17" t="n">
        <x:v>12.0170333392988</x:v>
      </x:c>
      <x:c r="K11" s="17" t="n">
        <x:v>3.0882956878850103</x:v>
      </x:c>
      <x:c r="L11" s="17" t="n">
        <x:v>1.9883028828735556</x:v>
      </x:c>
      <x:c r="M11" s="17" t="str">
        <x:v>https://arxiv.org/abs/2602.02276</x:v>
      </x:c>
      <x:c r="N11" s="17" t="str">
        <x:v>Exact/near-exact name match in Epoch all_ai_models.csv</x:v>
      </x:c>
      <x:c r="O11" s="17" t="str">
        <x:v>"The model comprises 1.04 trillion total parameters"</x:v>
      </x:c>
      <x:c r="P11" s="17" t="str">
        <x:v>Per section 3.2, "The joint pre-training stage continues from a near-end Kimi K2 checkpoint over additional 15T vision-text tokens at 4K sequence length"
Kimi K2 was pretrained on 15T tokens. A near-end checkpoint of K2 was trained into K2.5 over another 15T tokens (or 15.2 to 15.5T tokens). This makes for a total of ~30T.
There are an additional 1T tokens in "Stage 1" used to train the ViT encoder, which is likely much smaller than the full LLM, so we omit those tokens to calculate training compute.
30e12 tokens * 32B parameters * 6 = 5.76e24 FLOP
Per Kimi talk (timestamp 26:00), the 15 trillion tokens of K2.5 were additive, for 30T training tokens overall: https://x.com/Kimi_Moonshot/status/2035011542115393973?s=20</x:v>
      </x:c>
      <x:c r="Q11" s="17"/>
      <x:c r="R11" s="17"/>
      <x:c r="S11" s="17"/>
      <x:c r="T11" s="17"/>
      <x:c r="U11" s="17"/>
      <x:c r="V11" s="17"/>
      <x:c r="W11" s="17"/>
      <x:c r="X11" s="17"/>
      <x:c r="Y11" s="17"/>
      <x:c r="Z11" s="17"/>
    </x:row>
    <x:row r="12">
      <x:c r="A12" s="17" t="str">
        <x:v>GLM-5</x:v>
      </x:c>
      <x:c r="B12" s="17" t="str">
        <x:v>Z.ai (Zhipu AI)</x:v>
      </x:c>
      <x:c r="C12" s="17" t="n">
        <x:v>46064</x:v>
      </x:c>
      <x:c r="D12" s="17" t="str">
        <x:v>Open weights (unrestricted)</x:v>
      </x:c>
      <x:c r="E12" s="17" t="n">
        <x:v>146.39</x:v>
      </x:c>
      <x:c r="F12" s="17" t="n">
        <x:v>144.52</x:v>
      </x:c>
      <x:c r="G12" s="17" t="n">
        <x:v>147.86</x:v>
      </x:c>
      <x:c r="H12" s="17" t="n">
        <x:v>744</x:v>
      </x:c>
      <x:c r="I12" s="17" t="n">
        <x:v>40</x:v>
      </x:c>
      <x:c r="J12" s="17" t="n">
        <x:v>11.8715729355459</x:v>
      </x:c>
      <x:c r="K12" s="17" t="n">
        <x:v>3.1129363449691994</x:v>
      </x:c>
      <x:c r="L12" s="17" t="n">
        <x:v>1.3774606475671383</x:v>
      </x:c>
      <x:c r="M12" s="17" t="str">
        <x:v>https://arxiv.org/pdf/2602.15763</x:v>
      </x:c>
      <x:c r="N12" s="17" t="str">
        <x:v>Exact/near-exact name match in Epoch all_ai_models.csv</x:v>
      </x:c>
      <x:c r="O12" s="17" t="str">
        <x:v>"GLM-5 scales to 256 experts and reduces its layer count to 80 to minimize expert parallelism communication overhead. This results in a 744B parameter model"</x:v>
      </x:c>
      <x:c r="P12" s="17" t="str">
        <x:v>6 * 40B parameters * 28.5e12 tokens = 6.84e24 FLOP estimated</x:v>
      </x:c>
      <x:c r="Q12" s="17"/>
      <x:c r="R12" s="17"/>
      <x:c r="S12" s="17"/>
      <x:c r="T12" s="17"/>
      <x:c r="U12" s="17"/>
      <x:c r="V12" s="17"/>
      <x:c r="W12" s="17"/>
      <x:c r="X12" s="17"/>
      <x:c r="Y12" s="17"/>
      <x:c r="Z12" s="17"/>
    </x:row>
    <x:row r="13">
      <x:c r="A13" s="17" t="str">
        <x:v>MiniMax-M2.5</x:v>
      </x:c>
      <x:c r="B13" s="17" t="str">
        <x:v>MiniMax</x:v>
      </x:c>
      <x:c r="C13" s="17" t="n">
        <x:v>46065</x:v>
      </x:c>
      <x:c r="D13" s="17" t="str">
        <x:v>Open weights (unrestricted)</x:v>
      </x:c>
      <x:c r="E13" s="17" t="n">
        <x:v>147.07</x:v>
      </x:c>
      <x:c r="F13" s="17" t="n">
        <x:v>142.34</x:v>
      </x:c>
      <x:c r="G13" s="17" t="n">
        <x:v>148.14</x:v>
      </x:c>
      <x:c r="H13" s="17" t="n">
        <x:v>229</x:v>
      </x:c>
      <x:c r="I13" s="17" t="n">
        <x:v>10</x:v>
      </x:c>
      <x:c r="J13" s="17" t="n">
        <x:v>11.3598354823399</x:v>
      </x:c>
      <x:c r="K13" s="17" t="n">
        <x:v>3.1156741957563314</x:v>
      </x:c>
      <x:c r="L13" s="17" t="n">
        <x:v>0.4567895362663522</x:v>
      </x:c>
      <x:c r="M13" s="17" t="str">
        <x:v>https://www.minimax.io/news/minimax-m25</x:v>
      </x:c>
      <x:c r="N13" s="17" t="str">
        <x:v>Exact/near-exact name match in Epoch all_ai_models.csv</x:v>
      </x:c>
      <x:c r="O13" s="17" t="str">
        <x:v>HF lists 229B params
10B active parameters</x:v>
      </x:c>
      <x:c r="P13" s="17"/>
      <x:c r="Q13" s="17"/>
      <x:c r="R13" s="17"/>
      <x:c r="S13" s="17"/>
      <x:c r="T13" s="17"/>
      <x:c r="U13" s="17"/>
      <x:c r="V13" s="17"/>
      <x:c r="W13" s="17"/>
      <x:c r="X13" s="17"/>
      <x:c r="Y13" s="17"/>
      <x:c r="Z13" s="17"/>
    </x:row>
    <x:row r="14">
      <x:c r="A14" s="17" t="str">
        <x:v>MiniMax-M2.7</x:v>
      </x:c>
      <x:c r="B14" s="17" t="str">
        <x:v>MiniMax</x:v>
      </x:c>
      <x:c r="C14" s="17" t="n">
        <x:v>46099</x:v>
      </x:c>
      <x:c r="D14" s="17" t="str">
        <x:v>Open weights (non-commercial)</x:v>
      </x:c>
      <x:c r="E14" s="17" t="n">
        <x:v>145.61</x:v>
      </x:c>
      <x:c r="F14" s="17" t="n">
        <x:v>138.06</x:v>
      </x:c>
      <x:c r="G14" s="17" t="n">
        <x:v>147.75</x:v>
      </x:c>
      <x:c r="H14" s="17" t="n">
        <x:v>229</x:v>
      </x:c>
      <x:c r="I14" s="17" t="n">
        <x:v>10</x:v>
      </x:c>
      <x:c r="J14" s="17" t="n">
        <x:v>11.3598354823399</x:v>
      </x:c>
      <x:c r="K14" s="17" t="n">
        <x:v>3.2087611225188226</x:v>
      </x:c>
      <x:c r="L14" s="17" t="n">
        <x:v>0.16365322947385472</x:v>
      </x:c>
      <x:c r="M14" s="17" t="str">
        <x:v>https://www.minimax.io/news/minimax-m25</x:v>
      </x:c>
      <x:c r="N14" s="17" t="str">
        <x:v>Filled from MiniMax-M2/M2.5 same-family architecture in Epoch data</x:v>
      </x:c>
      <x:c r="O14" s="17" t="str">
        <x:v>HF lists 229B params
10B active parameters</x:v>
      </x:c>
      <x:c r="P14" s="17"/>
      <x:c r="Q14" s="17"/>
      <x:c r="R14" s="17"/>
      <x:c r="S14" s="17"/>
      <x:c r="T14" s="17"/>
      <x:c r="U14" s="17"/>
      <x:c r="V14" s="17"/>
      <x:c r="W14" s="17"/>
      <x:c r="X14" s="17"/>
      <x:c r="Y14" s="17"/>
      <x:c r="Z14" s="17"/>
    </x:row>
    <x:row r="15">
      <x:c r="A15" s="17" t="str">
        <x:v>Kimi K2.6</x:v>
      </x:c>
      <x:c r="B15" s="17" t="str">
        <x:v>Moonshot</x:v>
      </x:c>
      <x:c r="C15" s="17" t="n">
        <x:v>46132</x:v>
      </x:c>
      <x:c r="D15" s="17" t="str">
        <x:v>Open weights (unrestricted)</x:v>
      </x:c>
      <x:c r="E15" s="17" t="n">
        <x:v>151.02</x:v>
      </x:c>
      <x:c r="F15" s="17" t="n">
        <x:v>149.18</x:v>
      </x:c>
      <x:c r="G15" s="17" t="n">
        <x:v>152.53</x:v>
      </x:c>
      <x:c r="H15" s="17" t="n">
        <x:v>1040</x:v>
      </x:c>
      <x:c r="I15" s="17" t="n">
        <x:v>32</x:v>
      </x:c>
      <x:c r="J15" s="17" t="n">
        <x:v>12.0170333392988</x:v>
      </x:c>
      <x:c r="K15" s="17" t="n">
        <x:v>3.299110198494182</x:v>
      </x:c>
      <x:c r="L15" s="17" t="n">
        <x:v>1.3692492760080244</x:v>
      </x:c>
      <x:c r="M15" s="17" t="str">
        <x:v>https://www.kimi.com/ai-models/kimi-k2-6</x:v>
      </x:c>
      <x:c r="N15" s="17" t="str">
        <x:v>Exact/near-exact name match in Epoch all_ai_models.csv Assumed 32B active params from same Kimi K2.x family where Epoch gives 32B active.</x:v>
      </x:c>
      <x:c r="O15" s="17"/>
      <x:c r="P15" s="17"/>
      <x:c r="Q15" s="17"/>
      <x:c r="R15" s="17"/>
      <x:c r="S15" s="17"/>
      <x:c r="T15" s="17"/>
      <x:c r="U15" s="17"/>
      <x:c r="V15" s="17"/>
      <x:c r="W15" s="17"/>
      <x:c r="X15" s="17"/>
      <x:c r="Y15" s="17"/>
      <x:c r="Z15" s="17"/>
    </x:row>
    <x:row r="16">
      <x:c r="A16" s="17" t="str">
        <x:v>DeepSeek-V4-Pro</x:v>
      </x:c>
      <x:c r="B16" s="17" t="str">
        <x:v>DeepSeek</x:v>
      </x:c>
      <x:c r="C16" s="17" t="n">
        <x:v>46136</x:v>
      </x:c>
      <x:c r="D16" s="17" t="str">
        <x:v>Open weights (unrestricted)</x:v>
      </x:c>
      <x:c r="E16" s="17" t="n">
        <x:v>149.74</x:v>
      </x:c>
      <x:c r="F16" s="17" t="n">
        <x:v>147.87</x:v>
      </x:c>
      <x:c r="G16" s="17" t="n">
        <x:v>152.06</x:v>
      </x:c>
      <x:c r="H16" s="17" t="n">
        <x:v>1600</x:v>
      </x:c>
      <x:c r="I16" s="17" t="n">
        <x:v>49</x:v>
      </x:c>
      <x:c r="J16" s="17" t="n">
        <x:v>12.2041199826559</x:v>
      </x:c>
      <x:c r="K16" s="17" t="n">
        <x:v>3.3100616016427105</x:v>
      </x:c>
      <x:c r="L16" s="17" t="n">
        <x:v>0.8752741212456079</x:v>
      </x:c>
      <x:c r="M16" s="17" t="str">
        <x:v>https://huggingface.co/deepseek-ai/DeepSeek-V4-Pro/blob/main/DeepSeek_V4.pdf</x:v>
      </x:c>
      <x:c r="N16" s="17" t="str">
        <x:v>Exact/near-exact name match in Epoch all_ai_models.csv</x:v>
      </x:c>
      <x:c r="O16" s="17" t="str">
        <x:v>1.6T total, 49B active</x:v>
      </x:c>
      <x:c r="P16" s="17" t="str">
        <x:v>6 * 49e9 active parameters * 33e12 tokens = 9.702E24 for pre-training</x:v>
      </x:c>
      <x:c r="Q16" s="17"/>
      <x:c r="R16" s="17"/>
      <x:c r="S16" s="17"/>
      <x:c r="T16" s="17"/>
      <x:c r="U16" s="17"/>
      <x:c r="V16" s="17"/>
      <x:c r="W16" s="17"/>
      <x:c r="X16" s="17"/>
      <x:c r="Y16" s="17"/>
      <x:c r="Z16" s="17"/>
    </x:row>
    <x:row r="17">
      <x:c r="A17" s="17" t="str">
        <x:v>Kimi K2.7 Code</x:v>
      </x:c>
      <x:c r="B17" s="17" t="str">
        <x:v>Moonshot</x:v>
      </x:c>
      <x:c r="C17" s="17" t="n">
        <x:v>46185</x:v>
      </x:c>
      <x:c r="D17" s="17" t="str">
        <x:v>Open weights (unrestricted)</x:v>
      </x:c>
      <x:c r="E17" s="17" t="n">
        <x:v>150.07</x:v>
      </x:c>
      <x:c r="F17" s="17" t="n">
        <x:v>148.48</x:v>
      </x:c>
      <x:c r="G17" s="17" t="n">
        <x:v>151.25</x:v>
      </x:c>
      <x:c r="H17" s="17" t="n">
        <x:v>1040</x:v>
      </x:c>
      <x:c r="I17" s="17" t="n">
        <x:v>32</x:v>
      </x:c>
      <x:c r="J17" s="17" t="n">
        <x:v>12.0170333392988</x:v>
      </x:c>
      <x:c r="K17" s="17" t="n">
        <x:v>3.4442162902121836</x:v>
      </x:c>
      <x:c r="L17" s="17" t="n">
        <x:v>2.0026847736839897</x:v>
      </x:c>
      <x:c r="M17" s="17" t="str">
        <x:v>https://platform.kimi.ai/docs/guide/kimi-k2-7-code-quickstart</x:v>
      </x:c>
      <x:c r="N17" s="17" t="str">
        <x:v>Exact/near-exact name match in Epoch all_ai_models.csv Assumed 32B active params from same Kimi K2.x family where Epoch gives 32B active.</x:v>
      </x:c>
      <x:c r="O17" s="17"/>
      <x:c r="P17" s="17"/>
      <x:c r="Q17" s="17"/>
      <x:c r="R17" s="17"/>
      <x:c r="S17" s="17"/>
      <x:c r="T17" s="17"/>
      <x:c r="U17" s="17"/>
      <x:c r="V17" s="17"/>
      <x:c r="W17" s="17"/>
      <x:c r="X17" s="17"/>
      <x:c r="Y17" s="17"/>
      <x:c r="Z17" s="17"/>
    </x:row>
    <x:row r="18">
      <x:c r="A18" s="18" t="str">
        <x:v>GLM-5.2</x:v>
      </x:c>
      <x:c r="B18" s="18" t="str">
        <x:v>Z.ai (Zhipu AI)</x:v>
      </x:c>
      <x:c r="C18" s="18" t="n">
        <x:v>46189</x:v>
      </x:c>
      <x:c r="D18" s="18" t="str">
        <x:v>Open weights (unrestricted)</x:v>
      </x:c>
      <x:c r="E18" s="18" t="n">
        <x:v>151.6</x:v>
      </x:c>
      <x:c r="F18" s="18" t="n">
        <x:v>149.97</x:v>
      </x:c>
      <x:c r="G18" s="18" t="n">
        <x:v>153.86</x:v>
      </x:c>
      <x:c r="H18" s="18" t="n">
        <x:v>744</x:v>
      </x:c>
      <x:c r="I18" s="18" t="n">
        <x:v>40</x:v>
      </x:c>
      <x:c r="J18" s="18" t="n">
        <x:v>11.8715729355459</x:v>
      </x:c>
      <x:c r="K18" s="18" t="n">
        <x:v>3.455167693360712</x:v>
      </x:c>
      <x:c r="L18" s="18" t="n">
        <x:v>1.0154836407372332</x:v>
      </x:c>
      <x:c r="M18" s="18" t="str">
        <x:v>https://z.ai/blog/glm-5.2</x:v>
      </x:c>
      <x:c r="N18" s="18" t="str">
        <x:v>Exact/near-exact name match in Epoch all_ai_models.csv Assumed 40B active params from GLM-5 family compute notes.</x:v>
      </x:c>
      <x:c r="O18" s="18"/>
      <x:c r="P18" s="18"/>
      <x:c r="Q18" s="18"/>
      <x:c r="R18" s="18"/>
      <x:c r="S18" s="18"/>
      <x:c r="T18" s="18"/>
      <x:c r="U18" s="18"/>
      <x:c r="V18" s="18"/>
      <x:c r="W18" s="18"/>
      <x:c r="X18" s="18"/>
      <x:c r="Y18" s="18"/>
      <x:c r="Z18" s="18"/>
    </x:row>
  </x:sheetData>
  <x:pageMargins left="0.7" right="0.7" top="0.75" bottom="0.75" header="0.3" footer="0.3"/>
</x:worksheet>
</file>

<file path=xl/worksheets/sheet20.xml><?xml version="1.0" encoding="utf-8"?>
<x:worksheet xmlns:x="http://schemas.openxmlformats.org/spreadsheetml/2006/main">
  <x:sheetViews>
    <x:sheetView showGridLines="0" workbookViewId="0"/>
  </x:sheetViews>
  <x:sheetFormatPr defaultRowHeight="15"/>
  <x:cols>
    <x:col min="1" max="1" width="36" hidden="0" customWidth="1"/>
    <x:col min="2" max="2" width="3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34" customHeight="1">
      <x:c r="A1" s="71" t="str">
        <x:v>Model</x:v>
      </x:c>
      <x:c r="B1" s="71" t="str">
        <x:v>Organization</x:v>
      </x:c>
      <x:c r="C1" s="71" t="str">
        <x:v>Release date</x:v>
      </x:c>
      <x:c r="D1" s="71" t="str">
        <x:v>Model accessibility</x:v>
      </x:c>
      <x:c r="E1" s="71" t="str">
        <x:v>ECI</x:v>
      </x:c>
      <x:c r="F1" s="71" t="str">
        <x:v>ECI CI low</x:v>
      </x:c>
      <x:c r="G1" s="71" t="str">
        <x:v>ECI CI high</x:v>
      </x:c>
      <x:c r="H1" s="71" t="str">
        <x:v>Total params (B)</x:v>
      </x:c>
      <x:c r="I1" s="71" t="str">
        <x:v>Log10 total params</x:v>
      </x:c>
      <x:c r="J1" s="71" t="str">
        <x:v>Years since base</x:v>
      </x:c>
      <x:c r="K1" s="71" t="str">
        <x:v>WLS weight</x:v>
      </x:c>
      <x:c r="L1" s="71" t="str">
        <x:v>Source URL</x:v>
      </x:c>
      <x:c r="M1" s="71" t="str">
        <x:v>Match / assumption</x:v>
      </x:c>
      <x:c r="N1" s="71"/>
      <x:c r="O1" s="71"/>
      <x:c r="P1" s="71"/>
      <x:c r="Q1" s="71"/>
      <x:c r="R1" s="71"/>
      <x:c r="S1" s="71"/>
      <x:c r="T1" s="71"/>
      <x:c r="U1" s="71"/>
      <x:c r="V1" s="71"/>
      <x:c r="W1" s="71"/>
      <x:c r="X1" s="71"/>
      <x:c r="Y1" s="71"/>
      <x:c r="Z1" s="71"/>
    </x:row>
    <x:row r="2">
      <x:c r="A2" s="16" t="str">
        <x:v>LLaMA-65B</x:v>
      </x:c>
      <x:c r="B2" s="16" t="str">
        <x:v>Meta AI</x:v>
      </x:c>
      <x:c r="C2" s="16" t="n">
        <x:v>44981</x:v>
      </x:c>
      <x:c r="D2" s="16" t="str">
        <x:v>Open weights (non-commercial)</x:v>
      </x:c>
      <x:c r="E2" s="16" t="n">
        <x:v>109.93</x:v>
      </x:c>
      <x:c r="F2" s="16" t="n">
        <x:v>100.46</x:v>
      </x:c>
      <x:c r="G2" s="16" t="n">
        <x:v>114.37</x:v>
      </x:c>
      <x:c r="H2" s="16" t="n">
        <x:v>65.2</x:v>
      </x:c>
      <x:c r="I2" s="16" t="n">
        <x:v>10.8142475957319</x:v>
      </x:c>
      <x:c r="J2" s="16" t="n">
        <x:v>0.14784394250513347</x:v>
      </x:c>
      <x:c r="K2" s="16" t="n">
        <x:v>0.07941780398897905</x:v>
      </x:c>
      <x:c r="L2" s="16" t="str">
        <x:v>https://arxiv.org/abs/2302.13971</x:v>
      </x:c>
      <x:c r="M2" s="16" t="str">
        <x:v>Exact/near-exact name match in Epoch all_ai_models.csv Assumed dense/non-MoE: active params equal total params.</x:v>
      </x:c>
      <x:c r="N2" s="16"/>
      <x:c r="O2" s="16"/>
      <x:c r="P2" s="16"/>
      <x:c r="Q2" s="16"/>
      <x:c r="R2" s="16"/>
      <x:c r="S2" s="16"/>
      <x:c r="T2" s="16"/>
      <x:c r="U2" s="16"/>
      <x:c r="V2" s="16"/>
      <x:c r="W2" s="16"/>
      <x:c r="X2" s="16"/>
      <x:c r="Y2" s="16"/>
      <x:c r="Z2" s="16"/>
    </x:row>
    <x:row r="3">
      <x:c r="A3" s="17" t="str">
        <x:v>LLaMA-13B</x:v>
      </x:c>
      <x:c r="B3" s="17" t="str">
        <x:v>Meta AI</x:v>
      </x:c>
      <x:c r="C3" s="17" t="n">
        <x:v>44984</x:v>
      </x:c>
      <x:c r="D3" s="17" t="str">
        <x:v>Open weights (non-commercial)</x:v>
      </x:c>
      <x:c r="E3" s="17" t="n">
        <x:v>100.3</x:v>
      </x:c>
      <x:c r="F3" s="17" t="n">
        <x:v>89.58</x:v>
      </x:c>
      <x:c r="G3" s="17" t="n">
        <x:v>106.66</x:v>
      </x:c>
      <x:c r="H3" s="17" t="n">
        <x:v>13</x:v>
      </x:c>
      <x:c r="I3" s="17" t="n">
        <x:v>10.1139433523068</x:v>
      </x:c>
      <x:c r="J3" s="17" t="n">
        <x:v>0.15605749486652978</x:v>
      </x:c>
      <x:c r="K3" s="17" t="n">
        <x:v>0.052674012362268215</x:v>
      </x:c>
      <x:c r="L3" s="17" t="str">
        <x:v>https://arxiv.org/abs/2302.13971</x:v>
      </x:c>
      <x:c r="M3" s="17" t="str">
        <x:v>Exact/near-exact name match in Epoch all_ai_models.csv</x:v>
      </x:c>
      <x:c r="N3" s="17"/>
      <x:c r="O3" s="17"/>
      <x:c r="P3" s="17"/>
      <x:c r="Q3" s="17"/>
      <x:c r="R3" s="17"/>
      <x:c r="S3" s="17"/>
      <x:c r="T3" s="17"/>
      <x:c r="U3" s="17"/>
      <x:c r="V3" s="17"/>
      <x:c r="W3" s="17"/>
      <x:c r="X3" s="17"/>
      <x:c r="Y3" s="17"/>
      <x:c r="Z3" s="17"/>
    </x:row>
    <x:row r="4">
      <x:c r="A4" s="17" t="str">
        <x:v>LLaMA-33B</x:v>
      </x:c>
      <x:c r="B4" s="17" t="str">
        <x:v>Meta AI</x:v>
      </x:c>
      <x:c r="C4" s="17" t="n">
        <x:v>44984</x:v>
      </x:c>
      <x:c r="D4" s="17" t="str">
        <x:v>Open weights (non-commercial)</x:v>
      </x:c>
      <x:c r="E4" s="17" t="n">
        <x:v>107.16</x:v>
      </x:c>
      <x:c r="F4" s="17" t="n">
        <x:v>96.33</x:v>
      </x:c>
      <x:c r="G4" s="17" t="n">
        <x:v>112.28</x:v>
      </x:c>
      <x:c r="H4" s="17" t="n">
        <x:v>32.5</x:v>
      </x:c>
      <x:c r="I4" s="17" t="n">
        <x:v>10.5118833609789</x:v>
      </x:c>
      <x:c r="J4" s="17" t="n">
        <x:v>0.15605749486652978</x:v>
      </x:c>
      <x:c r="K4" s="17" t="n">
        <x:v>0.06040192215092222</x:v>
      </x:c>
      <x:c r="L4" s="17" t="str">
        <x:v>https://arxiv.org/abs/2302.13971</x:v>
      </x:c>
      <x:c r="M4" s="17" t="str">
        <x:v>Exact/near-exact name match in Epoch all_ai_models.csv Assumed dense/non-MoE: active params equal total params.</x:v>
      </x:c>
      <x:c r="N4" s="17"/>
      <x:c r="O4" s="17"/>
      <x:c r="P4" s="17"/>
      <x:c r="Q4" s="17"/>
      <x:c r="R4" s="17"/>
      <x:c r="S4" s="17"/>
      <x:c r="T4" s="17"/>
      <x:c r="U4" s="17"/>
      <x:c r="V4" s="17"/>
      <x:c r="W4" s="17"/>
      <x:c r="X4" s="17"/>
      <x:c r="Y4" s="17"/>
      <x:c r="Z4" s="17"/>
    </x:row>
    <x:row r="5">
      <x:c r="A5" s="17" t="str">
        <x:v>Falcon-40B</x:v>
      </x:c>
      <x:c r="B5" s="17" t="str">
        <x:v>Technology Innovation Institute</x:v>
      </x:c>
      <x:c r="C5" s="17" t="n">
        <x:v>45000</x:v>
      </x:c>
      <x:c r="D5" s="17" t="str">
        <x:v>Open weights (unrestricted)</x:v>
      </x:c>
      <x:c r="E5" s="17" t="n">
        <x:v>104.19</x:v>
      </x:c>
      <x:c r="F5" s="17" t="n">
        <x:v>94.99</x:v>
      </x:c>
      <x:c r="G5" s="17" t="n">
        <x:v>110.58</x:v>
      </x:c>
      <x:c r="H5" s="17" t="n">
        <x:v>40</x:v>
      </x:c>
      <x:c r="I5" s="17" t="n">
        <x:v>10.602059991328</x:v>
      </x:c>
      <x:c r="J5" s="17" t="n">
        <x:v>0.1998631074606434</x:v>
      </x:c>
      <x:c r="K5" s="17" t="n">
        <x:v>0.0632236993418175</x:v>
      </x:c>
      <x:c r="L5" s="17" t="str">
        <x:v>https://arxiv.org/abs/2311.16867; https://www.tii.ae/news/abu-dhabi-based-technology-innovation-institute-introduces-falcon-llm-foundational-large</x:v>
      </x:c>
      <x:c r="M5" s="17" t="str">
        <x:v>Exact/near-exact name match in Epoch all_ai_models.csv Assumed dense/non-MoE: active params equal total params.</x:v>
      </x:c>
      <x:c r="N5" s="17"/>
      <x:c r="O5" s="17"/>
      <x:c r="P5" s="17"/>
      <x:c r="Q5" s="17"/>
      <x:c r="R5" s="17"/>
      <x:c r="S5" s="17"/>
      <x:c r="T5" s="17"/>
      <x:c r="U5" s="17"/>
      <x:c r="V5" s="17"/>
      <x:c r="W5" s="17"/>
      <x:c r="X5" s="17"/>
      <x:c r="Y5" s="17"/>
      <x:c r="Z5" s="17"/>
    </x:row>
    <x:row r="6">
      <x:c r="A6" s="17" t="str">
        <x:v>Cerebras-GPT-13B</x:v>
      </x:c>
      <x:c r="B6" s="17" t="str">
        <x:v>Cerebras Systems</x:v>
      </x:c>
      <x:c r="C6" s="17" t="n">
        <x:v>45022</x:v>
      </x:c>
      <x:c r="D6" s="17" t="str">
        <x:v>Open weights (unrestricted)</x:v>
      </x:c>
      <x:c r="E6" s="17" t="n">
        <x:v>82.95</x:v>
      </x:c>
      <x:c r="F6" s="17" t="n">
        <x:v>67.22</x:v>
      </x:c>
      <x:c r="G6" s="17" t="n">
        <x:v>92.99</x:v>
      </x:c>
      <x:c r="H6" s="17" t="n">
        <x:v>13</x:v>
      </x:c>
      <x:c r="I6" s="17" t="n">
        <x:v>10.1139433523068</x:v>
      </x:c>
      <x:c r="J6" s="17" t="n">
        <x:v>0.2600958247775496</x:v>
      </x:c>
      <x:c r="K6" s="17" t="n">
        <x:v>0.023138931315181965</x:v>
      </x:c>
      <x:c r="L6" s="17" t="str">
        <x:v>https://arxiv.org/abs/2304.03208</x:v>
      </x:c>
      <x:c r="M6" s="17" t="str">
        <x:v>Exact/near-exact name match in Epoch all_ai_models.csv Assumed dense/non-MoE: active params equal total params.</x:v>
      </x:c>
      <x:c r="N6" s="17"/>
      <x:c r="O6" s="17"/>
      <x:c r="P6" s="17"/>
      <x:c r="Q6" s="17"/>
      <x:c r="R6" s="17"/>
      <x:c r="S6" s="17"/>
      <x:c r="T6" s="17"/>
      <x:c r="U6" s="17"/>
      <x:c r="V6" s="17"/>
      <x:c r="W6" s="17"/>
      <x:c r="X6" s="17"/>
      <x:c r="Y6" s="17"/>
      <x:c r="Z6" s="17"/>
    </x:row>
    <x:row r="7">
      <x:c r="A7" s="17" t="str">
        <x:v>Dolly 2.0-12b</x:v>
      </x:c>
      <x:c r="B7" s="17" t="str">
        <x:v>Databricks</x:v>
      </x:c>
      <x:c r="C7" s="17" t="n">
        <x:v>45028</x:v>
      </x:c>
      <x:c r="D7" s="17" t="str">
        <x:v>Open weights (unrestricted)</x:v>
      </x:c>
      <x:c r="E7" s="17" t="n">
        <x:v>89.37</x:v>
      </x:c>
      <x:c r="F7" s="17" t="n">
        <x:v>74.42</x:v>
      </x:c>
      <x:c r="G7" s="17" t="n">
        <x:v>98.45</x:v>
      </x:c>
      <x:c r="H7" s="17" t="n">
        <x:v>12</x:v>
      </x:c>
      <x:c r="I7" s="17" t="n">
        <x:v>10.0791812460476</x:v>
      </x:c>
      <x:c r="J7" s="17" t="n">
        <x:v>0.27652292950034224</x:v>
      </x:c>
      <x:c r="K7" s="17" t="n">
        <x:v>0.02661120817732169</x:v>
      </x:c>
      <x:c r="L7" s="17" t="str">
        <x:v>https://www.databricks.com/blog/2023/04/12/dolly-first-open-commercially-viable-instruction-tuned-llm</x:v>
      </x:c>
      <x:c r="M7" s="17" t="str">
        <x:v>Exact/near-exact name match in Epoch all_ai_models.csv Assumed dense/non-MoE: active params equal total params.</x:v>
      </x:c>
      <x:c r="N7" s="17"/>
      <x:c r="O7" s="17"/>
      <x:c r="P7" s="17"/>
      <x:c r="Q7" s="17"/>
      <x:c r="R7" s="17"/>
      <x:c r="S7" s="17"/>
      <x:c r="T7" s="17"/>
      <x:c r="U7" s="17"/>
      <x:c r="V7" s="17"/>
      <x:c r="W7" s="17"/>
      <x:c r="X7" s="17"/>
      <x:c r="Y7" s="17"/>
      <x:c r="Z7" s="17"/>
    </x:row>
    <x:row r="8">
      <x:c r="A8" s="17" t="str">
        <x:v>MPT-30B</x:v>
      </x:c>
      <x:c r="B8" s="17" t="str">
        <x:v>MosaicML</x:v>
      </x:c>
      <x:c r="C8" s="17" t="n">
        <x:v>45099</x:v>
      </x:c>
      <x:c r="D8" s="17" t="str">
        <x:v>Open weights (unrestricted)</x:v>
      </x:c>
      <x:c r="E8" s="17" t="n">
        <x:v>100.38</x:v>
      </x:c>
      <x:c r="F8" s="17" t="n">
        <x:v>89.25</x:v>
      </x:c>
      <x:c r="G8" s="17" t="n">
        <x:v>106.66</x:v>
      </x:c>
      <x:c r="H8" s="17" t="n">
        <x:v>30</x:v>
      </x:c>
      <x:c r="I8" s="17" t="n">
        <x:v>10.4771212547197</x:v>
      </x:c>
      <x:c r="J8" s="17" t="n">
        <x:v>0.47091033538672145</x:v>
      </x:c>
      <x:c r="K8" s="17" t="n">
        <x:v>0.05069610478901754</x:v>
      </x:c>
      <x:c r="L8" s="17" t="str">
        <x:v>https://huggingface.co/mosaicml/mpt-30b</x:v>
      </x:c>
      <x:c r="M8" s="17" t="str">
        <x:v>Exact/near-exact name match in Epoch all_ai_models.csv Assumed dense/non-MoE: active params equal total params.</x:v>
      </x:c>
      <x:c r="N8" s="17"/>
      <x:c r="O8" s="17"/>
      <x:c r="P8" s="17"/>
      <x:c r="Q8" s="17"/>
      <x:c r="R8" s="17"/>
      <x:c r="S8" s="17"/>
      <x:c r="T8" s="17"/>
      <x:c r="U8" s="17"/>
      <x:c r="V8" s="17"/>
      <x:c r="W8" s="17"/>
      <x:c r="X8" s="17"/>
      <x:c r="Y8" s="17"/>
      <x:c r="Z8" s="17"/>
    </x:row>
    <x:row r="9">
      <x:c r="A9" s="17" t="str">
        <x:v>Llama 2-13B</x:v>
      </x:c>
      <x:c r="B9" s="17" t="str">
        <x:v>Meta AI</x:v>
      </x:c>
      <x:c r="C9" s="17" t="n">
        <x:v>45125</x:v>
      </x:c>
      <x:c r="D9" s="17" t="str">
        <x:v>Open weights (restricted use)</x:v>
      </x:c>
      <x:c r="E9" s="17" t="n">
        <x:v>105.91</x:v>
      </x:c>
      <x:c r="F9" s="17" t="n">
        <x:v>95.41</x:v>
      </x:c>
      <x:c r="G9" s="17" t="n">
        <x:v>111.37</x:v>
      </x:c>
      <x:c r="H9" s="17" t="n">
        <x:v>13</x:v>
      </x:c>
      <x:c r="I9" s="17" t="n">
        <x:v>10.1139433523068</x:v>
      </x:c>
      <x:c r="J9" s="17" t="n">
        <x:v>0.5420944558521561</x:v>
      </x:c>
      <x:c r="K9" s="17" t="n">
        <x:v>0.060326254232071344</x:v>
      </x:c>
      <x:c r="L9" s="17" t="str">
        <x:v>https://ai.meta.com/research/publications/llama-2-open-foundation-and-fine-tuned-chat-models/
https://arxiv.org/abs/2307.09288</x:v>
      </x:c>
      <x:c r="M9" s="17" t="str">
        <x:v>Exact/near-exact name match in Epoch all_ai_models.csv Assumed dense/non-MoE: active params equal total params.</x:v>
      </x:c>
      <x:c r="N9" s="17"/>
      <x:c r="O9" s="17"/>
      <x:c r="P9" s="17"/>
      <x:c r="Q9" s="17"/>
      <x:c r="R9" s="17"/>
      <x:c r="S9" s="17"/>
      <x:c r="T9" s="17"/>
      <x:c r="U9" s="17"/>
      <x:c r="V9" s="17"/>
      <x:c r="W9" s="17"/>
      <x:c r="X9" s="17"/>
      <x:c r="Y9" s="17"/>
      <x:c r="Z9" s="17"/>
    </x:row>
    <x:row r="10">
      <x:c r="A10" s="17" t="str">
        <x:v>Llama 2-70B</x:v>
      </x:c>
      <x:c r="B10" s="17" t="str">
        <x:v>Meta AI</x:v>
      </x:c>
      <x:c r="C10" s="17" t="n">
        <x:v>45125</x:v>
      </x:c>
      <x:c r="D10" s="17" t="str">
        <x:v>Open weights (restricted use)</x:v>
      </x:c>
      <x:c r="E10" s="17" t="n">
        <x:v>113.72</x:v>
      </x:c>
      <x:c r="F10" s="17" t="n">
        <x:v>104.07</x:v>
      </x:c>
      <x:c r="G10" s="17" t="n">
        <x:v>117.82</x:v>
      </x:c>
      <x:c r="H10" s="17" t="n">
        <x:v>70</x:v>
      </x:c>
      <x:c r="I10" s="17" t="n">
        <x:v>10.8450980400143</x:v>
      </x:c>
      <x:c r="J10" s="17" t="n">
        <x:v>0.5420944558521561</x:v>
      </x:c>
      <x:c r="K10" s="17" t="n">
        <x:v>0.081276826446281</x:v>
      </x:c>
      <x:c r="L10" s="17" t="str">
        <x:v>https://ai.meta.com/research/publications/llama-2-open-foundation-and-fine-tuned-chat-models/
https://arxiv.org/abs/2307.09288</x:v>
      </x:c>
      <x:c r="M10" s="17" t="str">
        <x:v>Exact/near-exact name match in Epoch all_ai_models.csv Assumed dense/non-MoE: active params equal total params.</x:v>
      </x:c>
      <x:c r="N10" s="17"/>
      <x:c r="O10" s="17"/>
      <x:c r="P10" s="17"/>
      <x:c r="Q10" s="17"/>
      <x:c r="R10" s="17"/>
      <x:c r="S10" s="17"/>
      <x:c r="T10" s="17"/>
      <x:c r="U10" s="17"/>
      <x:c r="V10" s="17"/>
      <x:c r="W10" s="17"/>
      <x:c r="X10" s="17"/>
      <x:c r="Y10" s="17"/>
      <x:c r="Z10" s="17"/>
    </x:row>
    <x:row r="11">
      <x:c r="A11" s="17" t="str">
        <x:v>Stable Beluga 2</x:v>
      </x:c>
      <x:c r="B11" s="17" t="str">
        <x:v>Stability AI</x:v>
      </x:c>
      <x:c r="C11" s="17" t="n">
        <x:v>45127</x:v>
      </x:c>
      <x:c r="D11" s="17" t="str">
        <x:v>Open weights (non-commercial)</x:v>
      </x:c>
      <x:c r="E11" s="17" t="n">
        <x:v>116.91</x:v>
      </x:c>
      <x:c r="F11" s="17" t="n">
        <x:v>107.97</x:v>
      </x:c>
      <x:c r="G11" s="17" t="n">
        <x:v>120.27</x:v>
      </x:c>
      <x:c r="H11" s="17" t="n">
        <x:v>70</x:v>
      </x:c>
      <x:c r="I11" s="17" t="n">
        <x:v>10.8450980400143</x:v>
      </x:c>
      <x:c r="J11" s="17" t="n">
        <x:v>0.5475701574264202</x:v>
      </x:c>
      <x:c r="K11" s="17" t="n">
        <x:v>0.1015691717892789</x:v>
      </x:c>
      <x:c r="L11" s="17" t="str">
        <x:v>https://stability.ai/news/stable-beluga-large-instruction-fine-tuned-models, https://huggingface.co/stabilityai/StableBeluga2</x:v>
      </x:c>
      <x:c r="M11" s="17" t="str">
        <x:v>Exact/near-exact name match in Epoch all_ai_models.csv Assumed dense/non-MoE: active params equal total params.</x:v>
      </x:c>
      <x:c r="N11" s="17"/>
      <x:c r="O11" s="17"/>
      <x:c r="P11" s="17"/>
      <x:c r="Q11" s="17"/>
      <x:c r="R11" s="17"/>
      <x:c r="S11" s="17"/>
      <x:c r="T11" s="17"/>
      <x:c r="U11" s="17"/>
      <x:c r="V11" s="17"/>
      <x:c r="W11" s="17"/>
      <x:c r="X11" s="17"/>
      <x:c r="Y11" s="17"/>
      <x:c r="Z11" s="17"/>
    </x:row>
    <x:row r="12">
      <x:c r="A12" s="17" t="str">
        <x:v>Baichuan2-13B</x:v>
      </x:c>
      <x:c r="B12" s="17" t="str">
        <x:v>Baichuan</x:v>
      </x:c>
      <x:c r="C12" s="17" t="n">
        <x:v>45175</x:v>
      </x:c>
      <x:c r="D12" s="17" t="str">
        <x:v>Open weights (restricted use)</x:v>
      </x:c>
      <x:c r="E12" s="17" t="n">
        <x:v>102.93</x:v>
      </x:c>
      <x:c r="F12" s="17" t="n">
        <x:v>89.49</x:v>
      </x:c>
      <x:c r="G12" s="17" t="n">
        <x:v>110.46</x:v>
      </x:c>
      <x:c r="H12" s="17" t="n">
        <x:v>13</x:v>
      </x:c>
      <x:c r="I12" s="17" t="n">
        <x:v>10.1139433523068</x:v>
      </x:c>
      <x:c r="J12" s="17" t="n">
        <x:v>0.6789869952087612</x:v>
      </x:c>
      <x:c r="K12" s="17" t="n">
        <x:v>0.034944213740409416</x:v>
      </x:c>
      <x:c r="L12" s="17" t="str">
        <x:v>https://huggingface.co/baichuan-inc/Baichuan2-13B-Base, https://arxiv.org/abs/2309.10305</x:v>
      </x:c>
      <x:c r="M12" s="17" t="str">
        <x:v>Exact/near-exact name match in Epoch all_ai_models.csv Assumed dense/non-MoE: active params equal total params.</x:v>
      </x:c>
      <x:c r="N12" s="17"/>
      <x:c r="O12" s="17"/>
      <x:c r="P12" s="17"/>
      <x:c r="Q12" s="17"/>
      <x:c r="R12" s="17"/>
      <x:c r="S12" s="17"/>
      <x:c r="T12" s="17"/>
      <x:c r="U12" s="17"/>
      <x:c r="V12" s="17"/>
      <x:c r="W12" s="17"/>
      <x:c r="X12" s="17"/>
      <x:c r="Y12" s="17"/>
      <x:c r="Z12" s="17"/>
    </x:row>
    <x:row r="13">
      <x:c r="A13" s="17" t="str">
        <x:v>Falcon-180B</x:v>
      </x:c>
      <x:c r="B13" s="17" t="str">
        <x:v>Technology Innovation Institute</x:v>
      </x:c>
      <x:c r="C13" s="17" t="n">
        <x:v>45175</x:v>
      </x:c>
      <x:c r="D13" s="17" t="str">
        <x:v>Open weights (restricted use)</x:v>
      </x:c>
      <x:c r="E13" s="17" t="n">
        <x:v>111.92</x:v>
      </x:c>
      <x:c r="F13" s="17" t="n">
        <x:v>102.04</x:v>
      </x:c>
      <x:c r="G13" s="17" t="n">
        <x:v>119.45</x:v>
      </x:c>
      <x:c r="H13" s="17" t="n">
        <x:v>180</x:v>
      </x:c>
      <x:c r="I13" s="17" t="n">
        <x:v>11.2552725051033</x:v>
      </x:c>
      <x:c r="J13" s="17" t="n">
        <x:v>0.6789869952087612</x:v>
      </x:c>
      <x:c r="K13" s="17" t="n">
        <x:v>0.05069610478901754</x:v>
      </x:c>
      <x:c r="L13" s="17" t="str">
        <x:v>https://falconllm.tii.ae/falcon-180b.html; https://arxiv.org/abs/2311.16867</x:v>
      </x:c>
      <x:c r="M13" s="17" t="str">
        <x:v>Exact/near-exact name match in Epoch all_ai_models.csv Assumed dense/non-MoE: active params equal total params.</x:v>
      </x:c>
      <x:c r="N13" s="17"/>
      <x:c r="O13" s="17"/>
      <x:c r="P13" s="17"/>
      <x:c r="Q13" s="17"/>
      <x:c r="R13" s="17"/>
      <x:c r="S13" s="17"/>
      <x:c r="T13" s="17"/>
      <x:c r="U13" s="17"/>
      <x:c r="V13" s="17"/>
      <x:c r="W13" s="17"/>
      <x:c r="X13" s="17"/>
      <x:c r="Y13" s="17"/>
      <x:c r="Z13" s="17"/>
    </x:row>
    <x:row r="14">
      <x:c r="A14" s="17" t="str">
        <x:v>Qwen-14B</x:v>
      </x:c>
      <x:c r="B14" s="17" t="str">
        <x:v>Alibaba</x:v>
      </x:c>
      <x:c r="C14" s="17" t="n">
        <x:v>45193</x:v>
      </x:c>
      <x:c r="D14" s="17" t="str">
        <x:v>Open weights (restricted use)</x:v>
      </x:c>
      <x:c r="E14" s="17" t="n">
        <x:v>112.8</x:v>
      </x:c>
      <x:c r="F14" s="17" t="n">
        <x:v>103.39</x:v>
      </x:c>
      <x:c r="G14" s="17" t="n">
        <x:v>117.54</x:v>
      </x:c>
      <x:c r="H14" s="17" t="n">
        <x:v>14</x:v>
      </x:c>
      <x:c r="I14" s="17" t="n">
        <x:v>10.1461280356782</x:v>
      </x:c>
      <x:c r="J14" s="17" t="n">
        <x:v>0.7282683093771389</x:v>
      </x:c>
      <x:c r="K14" s="17" t="n">
        <x:v>0.07674661938593308</x:v>
      </x:c>
      <x:c r="L14" s="17" t="str">
        <x:v>https://arxiv.org/abs/2309.16609</x:v>
      </x:c>
      <x:c r="M14" s="17" t="str">
        <x:v>Exact/near-exact name match in Epoch all_ai_models.csv Assumed dense/non-MoE: active params equal total params.</x:v>
      </x:c>
      <x:c r="N14" s="17"/>
      <x:c r="O14" s="17"/>
      <x:c r="P14" s="17"/>
      <x:c r="Q14" s="17"/>
      <x:c r="R14" s="17"/>
      <x:c r="S14" s="17"/>
      <x:c r="T14" s="17"/>
      <x:c r="U14" s="17"/>
      <x:c r="V14" s="17"/>
      <x:c r="W14" s="17"/>
      <x:c r="X14" s="17"/>
      <x:c r="Y14" s="17"/>
      <x:c r="Z14" s="17"/>
    </x:row>
    <x:row r="15">
      <x:c r="A15" s="17" t="str">
        <x:v>Yi-34B</x:v>
      </x:c>
      <x:c r="B15" s="17" t="str">
        <x:v>01.AI</x:v>
      </x:c>
      <x:c r="C15" s="17" t="n">
        <x:v>45232</x:v>
      </x:c>
      <x:c r="D15" s="17" t="str">
        <x:v>Open weights (restricted use)</x:v>
      </x:c>
      <x:c r="E15" s="17" t="n">
        <x:v>117.14</x:v>
      </x:c>
      <x:c r="F15" s="17" t="n">
        <x:v>109.02</x:v>
      </x:c>
      <x:c r="G15" s="17" t="n">
        <x:v>120.55</x:v>
      </x:c>
      <x:c r="H15" s="17" t="n">
        <x:v>34</x:v>
      </x:c>
      <x:c r="I15" s="17" t="n">
        <x:v>10.5314789170423</x:v>
      </x:c>
      <x:c r="J15" s="17" t="n">
        <x:v>0.8350444900752909</x:v>
      </x:c>
      <x:c r="K15" s="17" t="n">
        <x:v>0.11558820498432006</x:v>
      </x:c>
      <x:c r="L15" s="17" t="str">
        <x:v>https://arxiv.org/abs/2403.04652</x:v>
      </x:c>
      <x:c r="M15" s="17" t="str">
        <x:v>Exact/near-exact name match in Epoch all_ai_models.csv Assumed dense/non-MoE: active params equal total params.</x:v>
      </x:c>
      <x:c r="N15" s="17"/>
      <x:c r="O15" s="17"/>
      <x:c r="P15" s="17"/>
      <x:c r="Q15" s="17"/>
      <x:c r="R15" s="17"/>
      <x:c r="S15" s="17"/>
      <x:c r="T15" s="17"/>
      <x:c r="U15" s="17"/>
      <x:c r="V15" s="17"/>
      <x:c r="W15" s="17"/>
      <x:c r="X15" s="17"/>
      <x:c r="Y15" s="17"/>
      <x:c r="Z15" s="17"/>
    </x:row>
    <x:row r="16">
      <x:c r="A16" s="17" t="str">
        <x:v>Mixtral 8x7B</x:v>
      </x:c>
      <x:c r="B16" s="17" t="str">
        <x:v>Mistral AI</x:v>
      </x:c>
      <x:c r="C16" s="17" t="n">
        <x:v>45271</x:v>
      </x:c>
      <x:c r="D16" s="17" t="str">
        <x:v>Open weights (unrestricted)</x:v>
      </x:c>
      <x:c r="E16" s="17" t="n">
        <x:v>118.13</x:v>
      </x:c>
      <x:c r="F16" s="17" t="n">
        <x:v>109.36</x:v>
      </x:c>
      <x:c r="G16" s="17" t="n">
        <x:v>120.78</x:v>
      </x:c>
      <x:c r="H16" s="17" t="n">
        <x:v>46.7</x:v>
      </x:c>
      <x:c r="I16" s="17" t="n">
        <x:v>10.6693168805661</x:v>
      </x:c>
      <x:c r="J16" s="17" t="n">
        <x:v>0.9418206707734429</x:v>
      </x:c>
      <x:c r="K16" s="17" t="n">
        <x:v>0.11782567223140644</x:v>
      </x:c>
      <x:c r="L16" s="17" t="str">
        <x:v>https://mistral.ai/news/mixtral-of-experts/, https://arxiv.org/abs/2401.04088</x:v>
      </x:c>
      <x:c r="M16" s="17" t="str">
        <x:v>Exact/near-exact name match in Epoch all_ai_models.csv</x:v>
      </x:c>
      <x:c r="N16" s="17"/>
      <x:c r="O16" s="17"/>
      <x:c r="P16" s="17"/>
      <x:c r="Q16" s="17"/>
      <x:c r="R16" s="17"/>
      <x:c r="S16" s="17"/>
      <x:c r="T16" s="17"/>
      <x:c r="U16" s="17"/>
      <x:c r="V16" s="17"/>
      <x:c r="W16" s="17"/>
      <x:c r="X16" s="17"/>
      <x:c r="Y16" s="17"/>
      <x:c r="Z16" s="17"/>
    </x:row>
    <x:row r="17">
      <x:c r="A17" s="17" t="str">
        <x:v>DeepSeek Coder 33B</x:v>
      </x:c>
      <x:c r="B17" s="17" t="str">
        <x:v>DeepSeek,Peking University</x:v>
      </x:c>
      <x:c r="C17" s="17" t="n">
        <x:v>45316</x:v>
      </x:c>
      <x:c r="D17" s="17" t="str">
        <x:v>Open weights (restricted use)</x:v>
      </x:c>
      <x:c r="E17" s="17" t="n">
        <x:v>96.02</x:v>
      </x:c>
      <x:c r="F17" s="17" t="n">
        <x:v>82.39</x:v>
      </x:c>
      <x:c r="G17" s="17" t="n">
        <x:v>103.58</x:v>
      </x:c>
      <x:c r="H17" s="17" t="n">
        <x:v>33</x:v>
      </x:c>
      <x:c r="I17" s="17" t="n">
        <x:v>10.5185139398779</x:v>
      </x:c>
      <x:c r="J17" s="17" t="n">
        <x:v>1.0650239561943875</x:v>
      </x:c>
      <x:c r="K17" s="17" t="n">
        <x:v>0.03422238089012845</x:v>
      </x:c>
      <x:c r="L17" s="17" t="str">
        <x:v>https://arxiv.org/abs/2401.14196</x:v>
      </x:c>
      <x:c r="M17" s="17" t="str">
        <x:v>Exact/near-exact name match in Epoch all_ai_models.csv Assumed dense/non-MoE: active params equal total params.</x:v>
      </x:c>
      <x:c r="N17" s="17"/>
      <x:c r="O17" s="17"/>
      <x:c r="P17" s="17"/>
      <x:c r="Q17" s="17"/>
      <x:c r="R17" s="17"/>
      <x:c r="S17" s="17"/>
      <x:c r="T17" s="17"/>
      <x:c r="U17" s="17"/>
      <x:c r="V17" s="17"/>
      <x:c r="W17" s="17"/>
      <x:c r="X17" s="17"/>
      <x:c r="Y17" s="17"/>
      <x:c r="Z17" s="17"/>
    </x:row>
    <x:row r="18">
      <x:c r="A18" s="17" t="str">
        <x:v>StarCoder 2 15B</x:v>
      </x:c>
      <x:c r="B18" s="17" t="str">
        <x:v>Hugging Face,ServiceNow,NVIDIA,BigCode</x:v>
      </x:c>
      <x:c r="C18" s="17" t="n">
        <x:v>45351</x:v>
      </x:c>
      <x:c r="D18" s="17" t="str">
        <x:v>Open weights (restricted use)</x:v>
      </x:c>
      <x:c r="E18" s="17" t="n">
        <x:v>104.74</x:v>
      </x:c>
      <x:c r="F18" s="17" t="n">
        <x:v>92.4</x:v>
      </x:c>
      <x:c r="G18" s="17" t="n">
        <x:v>112.13</x:v>
      </x:c>
      <x:c r="H18" s="17" t="n">
        <x:v>15</x:v>
      </x:c>
      <x:c r="I18" s="17" t="n">
        <x:v>10.1760912590557</x:v>
      </x:c>
      <x:c r="J18" s="17" t="n">
        <x:v>1.160848733744011</x:v>
      </x:c>
      <x:c r="K18" s="17" t="n">
        <x:v>0.039474620504021764</x:v>
      </x:c>
      <x:c r="L18" s="17" t="str">
        <x:v>https://arxiv.org/abs/2402.19173</x:v>
      </x:c>
      <x:c r="M18" s="17" t="str">
        <x:v>Exact/near-exact name match in Epoch all_ai_models.csv Assumed dense/non-MoE: active params equal total params.</x:v>
      </x:c>
      <x:c r="N18" s="17"/>
      <x:c r="O18" s="17"/>
      <x:c r="P18" s="17"/>
      <x:c r="Q18" s="17"/>
      <x:c r="R18" s="17"/>
      <x:c r="S18" s="17"/>
      <x:c r="T18" s="17"/>
      <x:c r="U18" s="17"/>
      <x:c r="V18" s="17"/>
      <x:c r="W18" s="17"/>
      <x:c r="X18" s="17"/>
      <x:c r="Y18" s="17"/>
      <x:c r="Z18" s="17"/>
    </x:row>
    <x:row r="19">
      <x:c r="A19" s="17" t="str">
        <x:v>Mixtral 8x22B</x:v>
      </x:c>
      <x:c r="B19" s="17" t="str">
        <x:v>Mistral AI</x:v>
      </x:c>
      <x:c r="C19" s="17" t="n">
        <x:v>45399</x:v>
      </x:c>
      <x:c r="D19" s="17" t="str">
        <x:v>Open weights (unrestricted)</x:v>
      </x:c>
      <x:c r="E19" s="17" t="n">
        <x:v>121.28</x:v>
      </x:c>
      <x:c r="F19" s="17" t="n">
        <x:v>112.48</x:v>
      </x:c>
      <x:c r="G19" s="17" t="n">
        <x:v>123.4</x:v>
      </x:c>
      <x:c r="H19" s="17" t="n">
        <x:v>141</x:v>
      </x:c>
      <x:c r="I19" s="17" t="n">
        <x:v>11.1492191126554</x:v>
      </x:c>
      <x:c r="J19" s="17" t="n">
        <x:v>1.2922655715263518</x:v>
      </x:c>
      <x:c r="K19" s="17" t="n">
        <x:v>0.1288625904010519</x:v>
      </x:c>
      <x:c r="L19" s="17" t="str">
        <x:v>https://mistral.ai/news/mixtral-8x22b/</x:v>
      </x:c>
      <x:c r="M19" s="17" t="str">
        <x:v>Exact/near-exact name match in Epoch all_ai_models.csv</x:v>
      </x:c>
      <x:c r="N19" s="17"/>
      <x:c r="O19" s="17"/>
      <x:c r="P19" s="17"/>
      <x:c r="Q19" s="17"/>
      <x:c r="R19" s="17"/>
      <x:c r="S19" s="17"/>
      <x:c r="T19" s="17"/>
      <x:c r="U19" s="17"/>
      <x:c r="V19" s="17"/>
      <x:c r="W19" s="17"/>
      <x:c r="X19" s="17"/>
      <x:c r="Y19" s="17"/>
      <x:c r="Z19" s="17"/>
    </x:row>
    <x:row r="20">
      <x:c r="A20" s="17" t="str">
        <x:v>Llama 3-70B</x:v>
      </x:c>
      <x:c r="B20" s="17" t="str">
        <x:v>Meta AI</x:v>
      </x:c>
      <x:c r="C20" s="17" t="n">
        <x:v>45400</x:v>
      </x:c>
      <x:c r="D20" s="17" t="str">
        <x:v>Open weights (restricted use)</x:v>
      </x:c>
      <x:c r="E20" s="17" t="n">
        <x:v>122.61</x:v>
      </x:c>
      <x:c r="F20" s="17" t="n">
        <x:v>115.79</x:v>
      </x:c>
      <x:c r="G20" s="17" t="n">
        <x:v>125.52</x:v>
      </x:c>
      <x:c r="H20" s="17" t="n">
        <x:v>70</x:v>
      </x:c>
      <x:c r="I20" s="17" t="n">
        <x:v>10.8450980400143</x:v>
      </x:c>
      <x:c r="J20" s="17" t="n">
        <x:v>1.2950034223134839</x:v>
      </x:c>
      <x:c r="K20" s="17" t="n">
        <x:v>0.1623104394182499</x:v>
      </x:c>
      <x:c r="L20" s="17" t="str">
        <x:v>https://ai.meta.com/blog/meta-llama-3/</x:v>
      </x:c>
      <x:c r="M20" s="17" t="str">
        <x:v>Exact/near-exact name match in Epoch all_ai_models.csv Assumed dense/non-MoE: active params equal total params.</x:v>
      </x:c>
      <x:c r="N20" s="17"/>
      <x:c r="O20" s="17"/>
      <x:c r="P20" s="17"/>
      <x:c r="Q20" s="17"/>
      <x:c r="R20" s="17"/>
      <x:c r="S20" s="17"/>
      <x:c r="T20" s="17"/>
      <x:c r="U20" s="17"/>
      <x:c r="V20" s="17"/>
      <x:c r="W20" s="17"/>
      <x:c r="X20" s="17"/>
      <x:c r="Y20" s="17"/>
      <x:c r="Z20" s="17"/>
    </x:row>
    <x:row r="21">
      <x:c r="A21" s="17" t="str">
        <x:v>phi-3-medium 14B</x:v>
      </x:c>
      <x:c r="B21" s="17" t="str">
        <x:v>Microsoft</x:v>
      </x:c>
      <x:c r="C21" s="17" t="n">
        <x:v>45405</x:v>
      </x:c>
      <x:c r="D21" s="17" t="str">
        <x:v>Open weights (unrestricted)</x:v>
      </x:c>
      <x:c r="E21" s="17" t="n">
        <x:v>121.07</x:v>
      </x:c>
      <x:c r="F21" s="17" t="n">
        <x:v>113.81</x:v>
      </x:c>
      <x:c r="G21" s="17" t="n">
        <x:v>123.74</x:v>
      </x:c>
      <x:c r="H21" s="17" t="n">
        <x:v>14</x:v>
      </x:c>
      <x:c r="I21" s="17" t="n">
        <x:v>10.1461280356782</x:v>
      </x:c>
      <x:c r="J21" s="17" t="n">
        <x:v>1.3086926762491444</x:v>
      </x:c>
      <x:c r="K21" s="17" t="n">
        <x:v>0.15583809729536788</x:v>
      </x:c>
      <x:c r="L21" s="17" t="str">
        <x:v>https://arxiv.org/abs/2404.14219</x:v>
      </x:c>
      <x:c r="M21" s="17" t="str">
        <x:v>Exact/near-exact name match in Epoch all_ai_models.csv Assumed dense/non-MoE: active params equal total params.</x:v>
      </x:c>
      <x:c r="N21" s="17"/>
      <x:c r="O21" s="17"/>
      <x:c r="P21" s="17"/>
      <x:c r="Q21" s="17"/>
      <x:c r="R21" s="17"/>
      <x:c r="S21" s="17"/>
      <x:c r="T21" s="17"/>
      <x:c r="U21" s="17"/>
      <x:c r="V21" s="17"/>
      <x:c r="W21" s="17"/>
      <x:c r="X21" s="17"/>
      <x:c r="Y21" s="17"/>
      <x:c r="Z21" s="17"/>
    </x:row>
    <x:row r="22">
      <x:c r="A22" s="17" t="str">
        <x:v>Falcon 2 11B</x:v>
      </x:c>
      <x:c r="B22" s="17" t="str">
        <x:v>Technology Innovation Institute</x:v>
      </x:c>
      <x:c r="C22" s="17" t="n">
        <x:v>45421</x:v>
      </x:c>
      <x:c r="D22" s="17" t="str">
        <x:v>Open weights (restricted use)</x:v>
      </x:c>
      <x:c r="E22" s="17" t="n">
        <x:v>109.3</x:v>
      </x:c>
      <x:c r="F22" s="17" t="n">
        <x:v>99.71</x:v>
      </x:c>
      <x:c r="G22" s="17" t="n">
        <x:v>115.81</x:v>
      </x:c>
      <x:c r="H22" s="17" t="n">
        <x:v>11</x:v>
      </x:c>
      <x:c r="I22" s="17" t="n">
        <x:v>10.0413926851582</x:v>
      </x:c>
      <x:c r="J22" s="17" t="n">
        <x:v>1.352498288843258</x:v>
      </x:c>
      <x:c r="K22" s="17" t="n">
        <x:v>0.059281663516067985</x:v>
      </x:c>
      <x:c r="L22" s="17" t="str">
        <x:v>https://huggingface.co/tiiuae/falcon-11B </x:v>
      </x:c>
      <x:c r="M22" s="17" t="str">
        <x:v>Exact/near-exact name match in Epoch all_ai_models.csv Assumed dense/non-MoE: active params equal total params.</x:v>
      </x:c>
      <x:c r="N22" s="17"/>
      <x:c r="O22" s="17"/>
      <x:c r="P22" s="17"/>
      <x:c r="Q22" s="17"/>
      <x:c r="R22" s="17"/>
      <x:c r="S22" s="17"/>
      <x:c r="T22" s="17"/>
      <x:c r="U22" s="17"/>
      <x:c r="V22" s="17"/>
      <x:c r="W22" s="17"/>
      <x:c r="X22" s="17"/>
      <x:c r="Y22" s="17"/>
      <x:c r="Z22" s="17"/>
    </x:row>
    <x:row r="23">
      <x:c r="A23" s="17" t="str">
        <x:v>Qwen2-72B</x:v>
      </x:c>
      <x:c r="B23" s="17" t="str">
        <x:v>Alibaba</x:v>
      </x:c>
      <x:c r="C23" s="17" t="n">
        <x:v>45450</x:v>
      </x:c>
      <x:c r="D23" s="17" t="str">
        <x:v>Open weights (unrestricted)</x:v>
      </x:c>
      <x:c r="E23" s="17" t="n">
        <x:v>125.49</x:v>
      </x:c>
      <x:c r="F23" s="17" t="n">
        <x:v>119.09</x:v>
      </x:c>
      <x:c r="G23" s="17" t="n">
        <x:v>127.01</x:v>
      </x:c>
      <x:c r="H23" s="17" t="n">
        <x:v>72.71</x:v>
      </x:c>
      <x:c r="I23" s="17" t="n">
        <x:v>10.8615941446439</x:v>
      </x:c>
      <x:c r="J23" s="17" t="n">
        <x:v>1.431895961670089</x:v>
      </x:c>
      <x:c r="K23" s="17" t="n">
        <x:v>0.24497500255075996</x:v>
      </x:c>
      <x:c r="L23" s="17" t="str">
        <x:v>https://qwenlm.github.io/blog/qwen2/ 
https://arxiv.org/abs/2407.10671 </x:v>
      </x:c>
      <x:c r="M23" s="17" t="str">
        <x:v>Exact/near-exact name match in Epoch all_ai_models.csv</x:v>
      </x:c>
      <x:c r="N23" s="17"/>
      <x:c r="O23" s="17"/>
      <x:c r="P23" s="17"/>
      <x:c r="Q23" s="17"/>
      <x:c r="R23" s="17"/>
      <x:c r="S23" s="17"/>
      <x:c r="T23" s="17"/>
      <x:c r="U23" s="17"/>
      <x:c r="V23" s="17"/>
      <x:c r="W23" s="17"/>
      <x:c r="X23" s="17"/>
      <x:c r="Y23" s="17"/>
      <x:c r="Z23" s="17"/>
    </x:row>
    <x:row r="24">
      <x:c r="A24" s="17" t="str">
        <x:v>Gemma 2 27B</x:v>
      </x:c>
      <x:c r="B24" s="17" t="str">
        <x:v>Google DeepMind</x:v>
      </x:c>
      <x:c r="C24" s="17" t="n">
        <x:v>45467</x:v>
      </x:c>
      <x:c r="D24" s="17" t="str">
        <x:v>Open weights (restricted use)</x:v>
      </x:c>
      <x:c r="E24" s="17" t="n">
        <x:v>122.47</x:v>
      </x:c>
      <x:c r="F24" s="17" t="n">
        <x:v>115.04</x:v>
      </x:c>
      <x:c r="G24" s="17" t="n">
        <x:v>124.23</x:v>
      </x:c>
      <x:c r="H24" s="17" t="n">
        <x:v>27</x:v>
      </x:c>
      <x:c r="I24" s="17" t="n">
        <x:v>10.431363764159</x:v>
      </x:c>
      <x:c r="J24" s="17" t="n">
        <x:v>1.4784394250513346</x:v>
      </x:c>
      <x:c r="K24" s="17" t="n">
        <x:v>0.18194541306075</x:v>
      </x:c>
      <x:c r="L24" s="17" t="str">
        <x:v>https://storage.googleapis.com/deepmind-media/gemma/gemma-2-report.pdf</x:v>
      </x:c>
      <x:c r="M24" s="17" t="str">
        <x:v>Exact/near-exact name match in Epoch all_ai_models.csv Assumed dense/non-MoE: active params equal total params.</x:v>
      </x:c>
      <x:c r="N24" s="17"/>
      <x:c r="O24" s="17"/>
      <x:c r="P24" s="17"/>
      <x:c r="Q24" s="17"/>
      <x:c r="R24" s="17"/>
      <x:c r="S24" s="17"/>
      <x:c r="T24" s="17"/>
      <x:c r="U24" s="17"/>
      <x:c r="V24" s="17"/>
      <x:c r="W24" s="17"/>
      <x:c r="X24" s="17"/>
      <x:c r="Y24" s="17"/>
      <x:c r="Z24" s="17"/>
    </x:row>
    <x:row r="25">
      <x:c r="A25" s="17" t="str">
        <x:v>Mistral NeMo</x:v>
      </x:c>
      <x:c r="B25" s="17" t="str">
        <x:v>Mistral AI</x:v>
      </x:c>
      <x:c r="C25" s="17" t="n">
        <x:v>45491</x:v>
      </x:c>
      <x:c r="D25" s="17" t="str">
        <x:v>Open weights (unrestricted)</x:v>
      </x:c>
      <x:c r="E25" s="17" t="n">
        <x:v>118.38</x:v>
      </x:c>
      <x:c r="F25" s="17" t="n">
        <x:v>109.85</x:v>
      </x:c>
      <x:c r="G25" s="17" t="n">
        <x:v>121.76</x:v>
      </x:c>
      <x:c r="H25" s="17" t="n">
        <x:v>12</x:v>
      </x:c>
      <x:c r="I25" s="17" t="n">
        <x:v>10.0791812460476</x:v>
      </x:c>
      <x:c r="J25" s="17" t="n">
        <x:v>1.5441478439425051</x:v>
      </x:c>
      <x:c r="K25" s="17" t="n">
        <x:v>0.10832996705630864</x:v>
      </x:c>
      <x:c r="L25" s="17" t="str">
        <x:v>https://mistral.ai/news/mistral-nemo/</x:v>
      </x:c>
      <x:c r="M25" s="17" t="str">
        <x:v>Exact/near-exact name match in Epoch all_ai_models.csv Assumed dense/non-MoE: active params equal total params.</x:v>
      </x:c>
      <x:c r="N25" s="17"/>
      <x:c r="O25" s="17"/>
      <x:c r="P25" s="17"/>
      <x:c r="Q25" s="17"/>
      <x:c r="R25" s="17"/>
      <x:c r="S25" s="17"/>
      <x:c r="T25" s="17"/>
      <x:c r="U25" s="17"/>
      <x:c r="V25" s="17"/>
      <x:c r="W25" s="17"/>
      <x:c r="X25" s="17"/>
      <x:c r="Y25" s="17"/>
      <x:c r="Z25" s="17"/>
    </x:row>
    <x:row r="26">
      <x:c r="A26" s="17" t="str">
        <x:v>Llama 3.1-405B</x:v>
      </x:c>
      <x:c r="B26" s="17" t="str">
        <x:v>Meta AI</x:v>
      </x:c>
      <x:c r="C26" s="17" t="n">
        <x:v>45496</x:v>
      </x:c>
      <x:c r="D26" s="17" t="str">
        <x:v>Open weights (restricted use)</x:v>
      </x:c>
      <x:c r="E26" s="17" t="n">
        <x:v>128.99</x:v>
      </x:c>
      <x:c r="F26" s="17" t="n">
        <x:v>123.59</x:v>
      </x:c>
      <x:c r="G26" s="17" t="n">
        <x:v>130.73</x:v>
      </x:c>
      <x:c r="H26" s="17" t="n">
        <x:v>405</x:v>
      </x:c>
      <x:c r="I26" s="17" t="n">
        <x:v>11.6074550232147</x:v>
      </x:c>
      <x:c r="J26" s="17" t="n">
        <x:v>1.5578370978781657</x:v>
      </x:c>
      <x:c r="K26" s="17" t="n">
        <x:v>0.30142252979623335</x:v>
      </x:c>
      <x:c r="L26" s="17" t="str">
        <x:v>https://ai.meta.com/research/publications/the-llama-3-herd-of-models/</x:v>
      </x:c>
      <x:c r="M26" s="17" t="str">
        <x:v>Exact/near-exact name match in Epoch all_ai_models.csv Assumed dense/non-MoE: active params equal total params.</x:v>
      </x:c>
      <x:c r="N26" s="17"/>
      <x:c r="O26" s="17"/>
      <x:c r="P26" s="17"/>
      <x:c r="Q26" s="17"/>
      <x:c r="R26" s="17"/>
      <x:c r="S26" s="17"/>
      <x:c r="T26" s="17"/>
      <x:c r="U26" s="17"/>
      <x:c r="V26" s="17"/>
      <x:c r="W26" s="17"/>
      <x:c r="X26" s="17"/>
      <x:c r="Y26" s="17"/>
      <x:c r="Z26" s="17"/>
    </x:row>
    <x:row r="27">
      <x:c r="A27" s="17" t="str">
        <x:v>Llama 3.1-70B</x:v>
      </x:c>
      <x:c r="B27" s="17" t="str">
        <x:v>Meta AI</x:v>
      </x:c>
      <x:c r="C27" s="17" t="n">
        <x:v>45496</x:v>
      </x:c>
      <x:c r="D27" s="17" t="str">
        <x:v>Open weights (restricted use)</x:v>
      </x:c>
      <x:c r="E27" s="17" t="n">
        <x:v>125.53</x:v>
      </x:c>
      <x:c r="F27" s="17" t="n">
        <x:v>118.91</x:v>
      </x:c>
      <x:c r="G27" s="17" t="n">
        <x:v>127.47</x:v>
      </x:c>
      <x:c r="H27" s="17" t="n">
        <x:v>70</x:v>
      </x:c>
      <x:c r="I27" s="17" t="n">
        <x:v>10.8450980400143</x:v>
      </x:c>
      <x:c r="J27" s="17" t="n">
        <x:v>1.5578370978781657</x:v>
      </x:c>
      <x:c r="K27" s="17" t="n">
        <x:v>0.20971263865839804</x:v>
      </x:c>
      <x:c r="L27" s="17" t="str">
        <x:v>https://ai.meta.com/research/publications/the-llama-3-herd-of-models/</x:v>
      </x:c>
      <x:c r="M27" s="17" t="str">
        <x:v>Exact/near-exact name match in Epoch all_ai_models.csv Assumed dense/non-MoE: active params equal total params.</x:v>
      </x:c>
      <x:c r="N27" s="17"/>
      <x:c r="O27" s="17"/>
      <x:c r="P27" s="17"/>
      <x:c r="Q27" s="17"/>
      <x:c r="R27" s="17"/>
      <x:c r="S27" s="17"/>
      <x:c r="T27" s="17"/>
      <x:c r="U27" s="17"/>
      <x:c r="V27" s="17"/>
      <x:c r="W27" s="17"/>
      <x:c r="X27" s="17"/>
      <x:c r="Y27" s="17"/>
      <x:c r="Z27" s="17"/>
    </x:row>
    <x:row r="28">
      <x:c r="A28" s="17" t="str">
        <x:v>Qwen2.5-Coder-32B</x:v>
      </x:c>
      <x:c r="B28" s="17" t="str">
        <x:v>Alibaba</x:v>
      </x:c>
      <x:c r="C28" s="17" t="n">
        <x:v>45553</x:v>
      </x:c>
      <x:c r="D28" s="17" t="str">
        <x:v>Open weights (unrestricted)</x:v>
      </x:c>
      <x:c r="E28" s="17" t="n">
        <x:v>119.27</x:v>
      </x:c>
      <x:c r="F28" s="17" t="n">
        <x:v>110.01</x:v>
      </x:c>
      <x:c r="G28" s="17" t="n">
        <x:v>124.64</x:v>
      </x:c>
      <x:c r="H28" s="17" t="n">
        <x:v>32.5</x:v>
      </x:c>
      <x:c r="I28" s="17" t="n">
        <x:v>10.5118833609789</x:v>
      </x:c>
      <x:c r="J28" s="17" t="n">
        <x:v>1.7138945927446954</x:v>
      </x:c>
      <x:c r="K28" s="17" t="n">
        <x:v>0.07179322817701064</x:v>
      </x:c>
      <x:c r="L28" s="17" t="str">
        <x:v>https://arxiv.org/abs/2409.12186</x:v>
      </x:c>
      <x:c r="M28" s="17" t="str">
        <x:v>Exact/near-exact name match in Epoch all_ai_models.csv Assumed dense/non-MoE: active params equal total params.</x:v>
      </x:c>
      <x:c r="N28" s="17"/>
      <x:c r="O28" s="17"/>
      <x:c r="P28" s="17"/>
      <x:c r="Q28" s="17"/>
      <x:c r="R28" s="17"/>
      <x:c r="S28" s="17"/>
      <x:c r="T28" s="17"/>
      <x:c r="U28" s="17"/>
      <x:c r="V28" s="17"/>
      <x:c r="W28" s="17"/>
      <x:c r="X28" s="17"/>
      <x:c r="Y28" s="17"/>
      <x:c r="Z28" s="17"/>
    </x:row>
    <x:row r="29">
      <x:c r="A29" s="17" t="str">
        <x:v>Qwen2.5-72B</x:v>
      </x:c>
      <x:c r="B29" s="17" t="str">
        <x:v>Alibaba</x:v>
      </x:c>
      <x:c r="C29" s="17" t="n">
        <x:v>45554</x:v>
      </x:c>
      <x:c r="D29" s="17" t="str">
        <x:v>Open weights (unrestricted)</x:v>
      </x:c>
      <x:c r="E29" s="17" t="n">
        <x:v>129.12</x:v>
      </x:c>
      <x:c r="F29" s="17" t="n">
        <x:v>122.2</x:v>
      </x:c>
      <x:c r="G29" s="17" t="n">
        <x:v>130.91</x:v>
      </x:c>
      <x:c r="H29" s="17" t="n">
        <x:v>72.7</x:v>
      </x:c>
      <x:c r="I29" s="17" t="n">
        <x:v>10.861534410859</x:v>
      </x:c>
      <x:c r="J29" s="17" t="n">
        <x:v>1.7166324435318274</x:v>
      </x:c>
      <x:c r="K29" s="17" t="n">
        <x:v>0.20255166804852393</x:v>
      </x:c>
      <x:c r="L29" s="17" t="str">
        <x:v>https://qwenlm.github.io/blog/qwen2.5/</x:v>
      </x:c>
      <x:c r="M29" s="17" t="str">
        <x:v>Exact/near-exact name match in Epoch all_ai_models.csv Assumed dense/non-MoE: active params equal total params.</x:v>
      </x:c>
      <x:c r="N29" s="17"/>
      <x:c r="O29" s="17"/>
      <x:c r="P29" s="17"/>
      <x:c r="Q29" s="17"/>
      <x:c r="R29" s="17"/>
      <x:c r="S29" s="17"/>
      <x:c r="T29" s="17"/>
      <x:c r="U29" s="17"/>
      <x:c r="V29" s="17"/>
      <x:c r="W29" s="17"/>
      <x:c r="X29" s="17"/>
      <x:c r="Y29" s="17"/>
      <x:c r="Z29" s="17"/>
    </x:row>
    <x:row r="30">
      <x:c r="A30" s="17" t="str">
        <x:v>Llama 3.2 90B</x:v>
      </x:c>
      <x:c r="B30" s="17" t="str">
        <x:v>Meta AI</x:v>
      </x:c>
      <x:c r="C30" s="17" t="n">
        <x:v>45559</x:v>
      </x:c>
      <x:c r="D30" s="17" t="str">
        <x:v>Open weights (restricted use)</x:v>
      </x:c>
      <x:c r="E30" s="17" t="n">
        <x:v>125.71</x:v>
      </x:c>
      <x:c r="F30" s="17" t="n">
        <x:v>119.36</x:v>
      </x:c>
      <x:c r="G30" s="17" t="n">
        <x:v>127.43</x:v>
      </x:c>
      <x:c r="H30" s="17" t="n">
        <x:v>88.6</x:v>
      </x:c>
      <x:c r="I30" s="17" t="n">
        <x:v>10.947433721887</x:v>
      </x:c>
      <x:c r="J30" s="17" t="n">
        <x:v>1.730321697467488</x:v>
      </x:c>
      <x:c r="K30" s="17" t="n">
        <x:v>0.23595276153974862</x:v>
      </x:c>
      <x:c r="L30" s="17" t="str">
        <x:v>https://ai.meta.com/blog/llama-3-2-connect-2024-vision-edge-mobile-devices/</x:v>
      </x:c>
      <x:c r="M30" s="17" t="str">
        <x:v>Exact/near-exact name match in Epoch all_ai_models.csv Assumed dense/non-MoE: active params equal total params.</x:v>
      </x:c>
      <x:c r="N30" s="17"/>
      <x:c r="O30" s="17"/>
      <x:c r="P30" s="17"/>
      <x:c r="Q30" s="17"/>
      <x:c r="R30" s="17"/>
      <x:c r="S30" s="17"/>
      <x:c r="T30" s="17"/>
      <x:c r="U30" s="17"/>
      <x:c r="V30" s="17"/>
      <x:c r="W30" s="17"/>
      <x:c r="X30" s="17"/>
      <x:c r="Y30" s="17"/>
      <x:c r="Z30" s="17"/>
    </x:row>
    <x:row r="31">
      <x:c r="A31" s="17" t="str">
        <x:v>Llama 3.3 70B</x:v>
      </x:c>
      <x:c r="B31" s="17" t="str">
        <x:v>Meta AI</x:v>
      </x:c>
      <x:c r="C31" s="17" t="n">
        <x:v>45632</x:v>
      </x:c>
      <x:c r="D31" s="17" t="str">
        <x:v>Open weights (restricted use)</x:v>
      </x:c>
      <x:c r="E31" s="17" t="n">
        <x:v>127.5</x:v>
      </x:c>
      <x:c r="F31" s="17" t="n">
        <x:v>122.01</x:v>
      </x:c>
      <x:c r="G31" s="17" t="n">
        <x:v>129.87</x:v>
      </x:c>
      <x:c r="H31" s="17" t="n">
        <x:v>70</x:v>
      </x:c>
      <x:c r="I31" s="17" t="n">
        <x:v>10.8450980400143</x:v>
      </x:c>
      <x:c r="J31" s="17" t="n">
        <x:v>1.9301848049281314</x:v>
      </x:c>
      <x:c r="K31" s="17" t="n">
        <x:v>0.24872935402624824</x:v>
      </x:c>
      <x:c r="L31" s="17" t="str">
        <x:v>https://www.llama.com/docs/model-cards-and-prompt-formats/llama3_3/</x:v>
      </x:c>
      <x:c r="M31" s="17" t="str">
        <x:v>Exact/near-exact name match in Epoch all_ai_models.csv Assumed dense/non-MoE: active params equal total params.</x:v>
      </x:c>
      <x:c r="N31" s="17"/>
      <x:c r="O31" s="17"/>
      <x:c r="P31" s="17"/>
      <x:c r="Q31" s="17"/>
      <x:c r="R31" s="17"/>
      <x:c r="S31" s="17"/>
      <x:c r="T31" s="17"/>
      <x:c r="U31" s="17"/>
      <x:c r="V31" s="17"/>
      <x:c r="W31" s="17"/>
      <x:c r="X31" s="17"/>
      <x:c r="Y31" s="17"/>
      <x:c r="Z31" s="17"/>
    </x:row>
    <x:row r="32">
      <x:c r="A32" s="17" t="str">
        <x:v>Phi-4</x:v>
      </x:c>
      <x:c r="B32" s="17" t="str">
        <x:v>Microsoft Research</x:v>
      </x:c>
      <x:c r="C32" s="17" t="n">
        <x:v>45638</x:v>
      </x:c>
      <x:c r="D32" s="17" t="str">
        <x:v>Open weights (unrestricted)</x:v>
      </x:c>
      <x:c r="E32" s="17" t="n">
        <x:v>131.05</x:v>
      </x:c>
      <x:c r="F32" s="17" t="n">
        <x:v>123.6</x:v>
      </x:c>
      <x:c r="G32" s="17" t="n">
        <x:v>132.36</x:v>
      </x:c>
      <x:c r="H32" s="17" t="n">
        <x:v>14</x:v>
      </x:c>
      <x:c r="I32" s="17" t="n">
        <x:v>10.1461280356782</x:v>
      </x:c>
      <x:c r="J32" s="17" t="n">
        <x:v>1.946611909650924</x:v>
      </x:c>
      <x:c r="K32" s="17" t="n">
        <x:v>0.20024603323533618</x:v>
      </x:c>
      <x:c r="L32" s="17" t="str">
        <x:v>https://arxiv.org/abs/2412.08905</x:v>
      </x:c>
      <x:c r="M32" s="17" t="str">
        <x:v>Exact/near-exact name match in Epoch all_ai_models.csv Assumed dense/non-MoE: active params equal total params.</x:v>
      </x:c>
      <x:c r="N32" s="17"/>
      <x:c r="O32" s="17"/>
      <x:c r="P32" s="17"/>
      <x:c r="Q32" s="17"/>
      <x:c r="R32" s="17"/>
      <x:c r="S32" s="17"/>
      <x:c r="T32" s="17"/>
      <x:c r="U32" s="17"/>
      <x:c r="V32" s="17"/>
      <x:c r="W32" s="17"/>
      <x:c r="X32" s="17"/>
      <x:c r="Y32" s="17"/>
      <x:c r="Z32" s="17"/>
    </x:row>
    <x:row r="33">
      <x:c r="A33" s="17" t="str">
        <x:v>DeepSeek-V3</x:v>
      </x:c>
      <x:c r="B33" s="17" t="str">
        <x:v>DeepSeek</x:v>
      </x:c>
      <x:c r="C33" s="17" t="n">
        <x:v>45650</x:v>
      </x:c>
      <x:c r="D33" s="17" t="str">
        <x:v>Open weights (restricted use)</x:v>
      </x:c>
      <x:c r="E33" s="17" t="n">
        <x:v>132.99</x:v>
      </x:c>
      <x:c r="F33" s="17" t="n">
        <x:v>127.9</x:v>
      </x:c>
      <x:c r="G33" s="17" t="n">
        <x:v>135.76</x:v>
      </x:c>
      <x:c r="H33" s="17" t="n">
        <x:v>671</x:v>
      </x:c>
      <x:c r="I33" s="17" t="n">
        <x:v>11.826722520169</x:v>
      </x:c>
      <x:c r="J33" s="17" t="n">
        <x:v>1.9794661190965093</x:v>
      </x:c>
      <x:c r="K33" s="17" t="n">
        <x:v>0.2487293540262491</x:v>
      </x:c>
      <x:c r="L33" s="17" t="str">
        <x:v>https://arxiv.org/abs/2412.19437</x:v>
      </x:c>
      <x:c r="M33" s="17" t="str">
        <x:v>Exact/near-exact name match in Epoch all_ai_models.csv</x:v>
      </x:c>
      <x:c r="N33" s="17"/>
      <x:c r="O33" s="17"/>
      <x:c r="P33" s="17"/>
      <x:c r="Q33" s="17"/>
      <x:c r="R33" s="17"/>
      <x:c r="S33" s="17"/>
      <x:c r="T33" s="17"/>
      <x:c r="U33" s="17"/>
      <x:c r="V33" s="17"/>
      <x:c r="W33" s="17"/>
      <x:c r="X33" s="17"/>
      <x:c r="Y33" s="17"/>
      <x:c r="Z33" s="17"/>
    </x:row>
    <x:row r="34">
      <x:c r="A34" s="17" t="str">
        <x:v>DeepSeek-R1</x:v>
      </x:c>
      <x:c r="B34" s="17" t="str">
        <x:v>DeepSeek</x:v>
      </x:c>
      <x:c r="C34" s="17" t="n">
        <x:v>45677</x:v>
      </x:c>
      <x:c r="D34" s="17" t="str">
        <x:v>Open weights (unrestricted)</x:v>
      </x:c>
      <x:c r="E34" s="17" t="n">
        <x:v>139.67</x:v>
      </x:c>
      <x:c r="F34" s="17" t="n">
        <x:v>136.9</x:v>
      </x:c>
      <x:c r="G34" s="17" t="n">
        <x:v>140.9</x:v>
      </x:c>
      <x:c r="H34" s="17" t="n">
        <x:v>671</x:v>
      </x:c>
      <x:c r="I34" s="17" t="n">
        <x:v>11.826722520169</x:v>
      </x:c>
      <x:c r="J34" s="17" t="n">
        <x:v>2.0533880903490758</x:v>
      </x:c>
      <x:c r="K34" s="17" t="n">
        <x:v>0.9603999999999999</x:v>
      </x:c>
      <x:c r="L34" s="17" t="str">
        <x:v>https://api-docs.deepseek.com/news/news250120</x:v>
      </x:c>
      <x:c r="M34" s="17" t="str">
        <x:v>Exact/near-exact name match in Epoch all_ai_models.csv</x:v>
      </x:c>
      <x:c r="N34" s="17"/>
      <x:c r="O34" s="17"/>
      <x:c r="P34" s="17"/>
      <x:c r="Q34" s="17"/>
      <x:c r="R34" s="17"/>
      <x:c r="S34" s="17"/>
      <x:c r="T34" s="17"/>
      <x:c r="U34" s="17"/>
      <x:c r="V34" s="17"/>
      <x:c r="W34" s="17"/>
      <x:c r="X34" s="17"/>
      <x:c r="Y34" s="17"/>
      <x:c r="Z34" s="17"/>
    </x:row>
    <x:row r="35">
      <x:c r="A35" s="17" t="str">
        <x:v>Gemma 3 27B</x:v>
      </x:c>
      <x:c r="B35" s="17" t="str">
        <x:v>Google DeepMind</x:v>
      </x:c>
      <x:c r="C35" s="17" t="n">
        <x:v>45728</x:v>
      </x:c>
      <x:c r="D35" s="17" t="str">
        <x:v>Open weights (restricted use)</x:v>
      </x:c>
      <x:c r="E35" s="17" t="n">
        <x:v>131.08</x:v>
      </x:c>
      <x:c r="F35" s="17" t="n">
        <x:v>124.84</x:v>
      </x:c>
      <x:c r="G35" s="17" t="n">
        <x:v>133.28</x:v>
      </x:c>
      <x:c r="H35" s="17" t="n">
        <x:v>27</x:v>
      </x:c>
      <x:c r="I35" s="17" t="n">
        <x:v>10.431363764159</x:v>
      </x:c>
      <x:c r="J35" s="17" t="n">
        <x:v>2.193018480492813</x:v>
      </x:c>
      <x:c r="K35" s="17" t="n">
        <x:v>0.21571842501291538</x:v>
      </x:c>
      <x:c r="L35" s="17" t="str">
        <x:v>https://storage.googleapis.com/deepmind-media/gemma/Gemma3Report.pdf</x:v>
      </x:c>
      <x:c r="M35" s="17" t="str">
        <x:v>Exact/near-exact name match in Epoch all_ai_models.csv</x:v>
      </x:c>
      <x:c r="N35" s="17"/>
      <x:c r="O35" s="17"/>
      <x:c r="P35" s="17"/>
      <x:c r="Q35" s="17"/>
      <x:c r="R35" s="17"/>
      <x:c r="S35" s="17"/>
      <x:c r="T35" s="17"/>
      <x:c r="U35" s="17"/>
      <x:c r="V35" s="17"/>
      <x:c r="W35" s="17"/>
      <x:c r="X35" s="17"/>
      <x:c r="Y35" s="17"/>
      <x:c r="Z35" s="17"/>
    </x:row>
    <x:row r="36">
      <x:c r="A36" s="17" t="str">
        <x:v>Mistral Small 3.1</x:v>
      </x:c>
      <x:c r="B36" s="17" t="str">
        <x:v>Mistral AI</x:v>
      </x:c>
      <x:c r="C36" s="17" t="n">
        <x:v>45733</x:v>
      </x:c>
      <x:c r="D36" s="17" t="str">
        <x:v>Open weights (unrestricted)</x:v>
      </x:c>
      <x:c r="E36" s="17" t="n">
        <x:v>127.75</x:v>
      </x:c>
      <x:c r="F36" s="17" t="n">
        <x:v>121.89</x:v>
      </x:c>
      <x:c r="G36" s="17" t="n">
        <x:v>129.38</x:v>
      </x:c>
      <x:c r="H36" s="17" t="n">
        <x:v>24</x:v>
      </x:c>
      <x:c r="I36" s="17" t="n">
        <x:v>10.3802112417116</x:v>
      </x:c>
      <x:c r="J36" s="17" t="n">
        <x:v>2.206707734428474</x:v>
      </x:c>
      <x:c r="K36" s="17" t="n">
        <x:v>0.27391038518647953</x:v>
      </x:c>
      <x:c r="L36" s="17" t="str">
        <x:v>https://mistral.ai/news/mistral-small-3-1</x:v>
      </x:c>
      <x:c r="M36" s="17" t="str">
        <x:v>Exact/near-exact name match in Epoch all_ai_models.csv</x:v>
      </x:c>
      <x:c r="N36" s="17"/>
      <x:c r="O36" s="17"/>
      <x:c r="P36" s="17"/>
      <x:c r="Q36" s="17"/>
      <x:c r="R36" s="17"/>
      <x:c r="S36" s="17"/>
      <x:c r="T36" s="17"/>
      <x:c r="U36" s="17"/>
      <x:c r="V36" s="17"/>
      <x:c r="W36" s="17"/>
      <x:c r="X36" s="17"/>
      <x:c r="Y36" s="17"/>
      <x:c r="Z36" s="17"/>
    </x:row>
    <x:row r="37">
      <x:c r="A37" s="17" t="str">
        <x:v>DeepSeek-V3 (Mar 2025)</x:v>
      </x:c>
      <x:c r="B37" s="17" t="str">
        <x:v>DeepSeek</x:v>
      </x:c>
      <x:c r="C37" s="17" t="n">
        <x:v>45740</x:v>
      </x:c>
      <x:c r="D37" s="17" t="str">
        <x:v>Open weights (restricted use)</x:v>
      </x:c>
      <x:c r="E37" s="17" t="n">
        <x:v>137.04</x:v>
      </x:c>
      <x:c r="F37" s="17" t="n">
        <x:v>133.64</x:v>
      </x:c>
      <x:c r="G37" s="17" t="n">
        <x:v>138.66</x:v>
      </x:c>
      <x:c r="H37" s="17" t="n">
        <x:v>671</x:v>
      </x:c>
      <x:c r="I37" s="17" t="n">
        <x:v>11.826722520169</x:v>
      </x:c>
      <x:c r="J37" s="17" t="n">
        <x:v>2.2258726899383983</x:v>
      </x:c>
      <x:c r="K37" s="17" t="n">
        <x:v>0.6097680989190624</x:v>
      </x:c>
      <x:c r="L37" s="17" t="str">
        <x:v>https://arxiv.org/abs/2412.19437</x:v>
      </x:c>
      <x:c r="M37" s="17" t="str">
        <x:v>Exact/near-exact name match in Epoch all_ai_models.csv</x:v>
      </x:c>
      <x:c r="N37" s="17"/>
      <x:c r="O37" s="17"/>
      <x:c r="P37" s="17"/>
      <x:c r="Q37" s="17"/>
      <x:c r="R37" s="17"/>
      <x:c r="S37" s="17"/>
      <x:c r="T37" s="17"/>
      <x:c r="U37" s="17"/>
      <x:c r="V37" s="17"/>
      <x:c r="W37" s="17"/>
      <x:c r="X37" s="17"/>
      <x:c r="Y37" s="17"/>
      <x:c r="Z37" s="17"/>
    </x:row>
    <x:row r="38">
      <x:c r="A38" s="17" t="str">
        <x:v>Llama 4 Maverick</x:v>
      </x:c>
      <x:c r="B38" s="17" t="str">
        <x:v>Meta AI</x:v>
      </x:c>
      <x:c r="C38" s="17" t="n">
        <x:v>45752</x:v>
      </x:c>
      <x:c r="D38" s="17" t="str">
        <x:v>Open weights (restricted use)</x:v>
      </x:c>
      <x:c r="E38" s="17" t="n">
        <x:v>133.04</x:v>
      </x:c>
      <x:c r="F38" s="17" t="n">
        <x:v>128.11</x:v>
      </x:c>
      <x:c r="G38" s="17" t="n">
        <x:v>135.12</x:v>
      </x:c>
      <x:c r="H38" s="17" t="n">
        <x:v>400</x:v>
      </x:c>
      <x:c r="I38" s="17" t="n">
        <x:v>11.602059991328</x:v>
      </x:c>
      <x:c r="J38" s="17" t="n">
        <x:v>2.2587268993839835</x:v>
      </x:c>
      <x:c r="K38" s="17" t="n">
        <x:v>0.3127059163493774</x:v>
      </x:c>
      <x:c r="L38" s="17" t="str">
        <x:v>https://ai.meta.com/blog/llama-4-multimodal-intelligence/</x:v>
      </x:c>
      <x:c r="M38" s="17" t="str">
        <x:v>Exact/near-exact name match in Epoch all_ai_models.csv</x:v>
      </x:c>
      <x:c r="N38" s="17"/>
      <x:c r="O38" s="17"/>
      <x:c r="P38" s="17"/>
      <x:c r="Q38" s="17"/>
      <x:c r="R38" s="17"/>
      <x:c r="S38" s="17"/>
      <x:c r="T38" s="17"/>
      <x:c r="U38" s="17"/>
      <x:c r="V38" s="17"/>
      <x:c r="W38" s="17"/>
      <x:c r="X38" s="17"/>
      <x:c r="Y38" s="17"/>
      <x:c r="Z38" s="17"/>
    </x:row>
    <x:row r="39">
      <x:c r="A39" s="17" t="str">
        <x:v>Llama 4 Scout</x:v>
      </x:c>
      <x:c r="B39" s="17" t="str">
        <x:v>Meta AI</x:v>
      </x:c>
      <x:c r="C39" s="17" t="n">
        <x:v>45752</x:v>
      </x:c>
      <x:c r="D39" s="17" t="str">
        <x:v>Open weights (restricted use)</x:v>
      </x:c>
      <x:c r="E39" s="17" t="n">
        <x:v>130.56</x:v>
      </x:c>
      <x:c r="F39" s="17" t="n">
        <x:v>125.67</x:v>
      </x:c>
      <x:c r="G39" s="17" t="n">
        <x:v>132.06</x:v>
      </x:c>
      <x:c r="H39" s="17" t="n">
        <x:v>109</x:v>
      </x:c>
      <x:c r="I39" s="17" t="n">
        <x:v>11.0374264979406</x:v>
      </x:c>
      <x:c r="J39" s="17" t="n">
        <x:v>2.2587268993839835</x:v>
      </x:c>
      <x:c r="K39" s="17" t="n">
        <x:v>0.37633136674332196</x:v>
      </x:c>
      <x:c r="L39" s="17" t="str">
        <x:v>https://ai.meta.com/blog/llama-4-multimodal-intelligence/</x:v>
      </x:c>
      <x:c r="M39" s="17" t="str">
        <x:v>Exact/near-exact name match in Epoch all_ai_models.csv</x:v>
      </x:c>
      <x:c r="N39" s="17"/>
      <x:c r="O39" s="17"/>
      <x:c r="P39" s="17"/>
      <x:c r="Q39" s="17"/>
      <x:c r="R39" s="17"/>
      <x:c r="S39" s="17"/>
      <x:c r="T39" s="17"/>
      <x:c r="U39" s="17"/>
      <x:c r="V39" s="17"/>
      <x:c r="W39" s="17"/>
      <x:c r="X39" s="17"/>
      <x:c r="Y39" s="17"/>
      <x:c r="Z39" s="17"/>
    </x:row>
    <x:row r="40">
      <x:c r="A40" s="17" t="str">
        <x:v>Qwen3-235B-A22B</x:v>
      </x:c>
      <x:c r="B40" s="17" t="str">
        <x:v>Alibaba</x:v>
      </x:c>
      <x:c r="C40" s="17" t="n">
        <x:v>45775</x:v>
      </x:c>
      <x:c r="D40" s="17" t="str">
        <x:v>Open weights (unrestricted)</x:v>
      </x:c>
      <x:c r="E40" s="17" t="n">
        <x:v>139.58</x:v>
      </x:c>
      <x:c r="F40" s="17" t="n">
        <x:v>134.79</x:v>
      </x:c>
      <x:c r="G40" s="17" t="n">
        <x:v>141.08</x:v>
      </x:c>
      <x:c r="H40" s="17" t="n">
        <x:v>235</x:v>
      </x:c>
      <x:c r="I40" s="17" t="n">
        <x:v>11.3710678622717</x:v>
      </x:c>
      <x:c r="J40" s="17" t="n">
        <x:v>2.321697467488022</x:v>
      </x:c>
      <x:c r="K40" s="17" t="n">
        <x:v>0.38839250734883135</x:v>
      </x:c>
      <x:c r="L40" s="17" t="str">
        <x:v>https://qwenlm.github.io/blog/qwen3/</x:v>
      </x:c>
      <x:c r="M40" s="17" t="str">
        <x:v>Exact/near-exact name match in Epoch all_ai_models.csv</x:v>
      </x:c>
      <x:c r="N40" s="17"/>
      <x:c r="O40" s="17"/>
      <x:c r="P40" s="17"/>
      <x:c r="Q40" s="17"/>
      <x:c r="R40" s="17"/>
      <x:c r="S40" s="17"/>
      <x:c r="T40" s="17"/>
      <x:c r="U40" s="17"/>
      <x:c r="V40" s="17"/>
      <x:c r="W40" s="17"/>
      <x:c r="X40" s="17"/>
      <x:c r="Y40" s="17"/>
      <x:c r="Z40" s="17"/>
    </x:row>
    <x:row r="41">
      <x:c r="A41" s="17" t="str">
        <x:v>DeepSeek-R1 (May 2025)</x:v>
      </x:c>
      <x:c r="B41" s="17" t="str">
        <x:v>DeepSeek</x:v>
      </x:c>
      <x:c r="C41" s="17" t="n">
        <x:v>45805</x:v>
      </x:c>
      <x:c r="D41" s="17" t="str">
        <x:v>Open weights (unrestricted)</x:v>
      </x:c>
      <x:c r="E41" s="17" t="n">
        <x:v>142</x:v>
      </x:c>
      <x:c r="F41" s="17" t="n">
        <x:v>139.66</x:v>
      </x:c>
      <x:c r="G41" s="17" t="n">
        <x:v>143.43</x:v>
      </x:c>
      <x:c r="H41" s="17" t="n">
        <x:v>671</x:v>
      </x:c>
      <x:c r="I41" s="17" t="n">
        <x:v>11.826722520169</x:v>
      </x:c>
      <x:c r="J41" s="17" t="n">
        <x:v>2.403832991101985</x:v>
      </x:c>
      <x:c r="K41" s="17" t="n">
        <x:v>1.0811586657191647</x:v>
      </x:c>
      <x:c r="L41" s="17" t="str">
        <x:v>https://api-docs.deepseek.com/news/news250120</x:v>
      </x:c>
      <x:c r="M41" s="17" t="str">
        <x:v>Exact/near-exact name match in Epoch all_ai_models.csv</x:v>
      </x:c>
      <x:c r="N41" s="17"/>
      <x:c r="O41" s="17"/>
      <x:c r="P41" s="17"/>
      <x:c r="Q41" s="17"/>
      <x:c r="R41" s="17"/>
      <x:c r="S41" s="17"/>
      <x:c r="T41" s="17"/>
      <x:c r="U41" s="17"/>
      <x:c r="V41" s="17"/>
      <x:c r="W41" s="17"/>
      <x:c r="X41" s="17"/>
      <x:c r="Y41" s="17"/>
      <x:c r="Z41" s="17"/>
    </x:row>
    <x:row r="42">
      <x:c r="A42" s="17" t="str">
        <x:v>Magistral Small 1.1</x:v>
      </x:c>
      <x:c r="B42" s="17" t="str">
        <x:v>Mistral AI</x:v>
      </x:c>
      <x:c r="C42" s="17" t="n">
        <x:v>45818</x:v>
      </x:c>
      <x:c r="D42" s="17" t="str">
        <x:v>Open weights (unrestricted)</x:v>
      </x:c>
      <x:c r="E42" s="17" t="n">
        <x:v>133.07</x:v>
      </x:c>
      <x:c r="F42" s="17" t="n">
        <x:v>127.02</x:v>
      </x:c>
      <x:c r="G42" s="17" t="n">
        <x:v>135.4</x:v>
      </x:c>
      <x:c r="H42" s="17" t="n">
        <x:v>24</x:v>
      </x:c>
      <x:c r="I42" s="17" t="n">
        <x:v>10.3802112417116</x:v>
      </x:c>
      <x:c r="J42" s="17" t="n">
        <x:v>2.439425051334702</x:v>
      </x:c>
      <x:c r="K42" s="17" t="n">
        <x:v>0.21881853031140125</x:v>
      </x:c>
      <x:c r="L42" s="17" t="str">
        <x:v>https://mistral.ai/news/magistral</x:v>
      </x:c>
      <x:c r="M42" s="17" t="str">
        <x:v>Exact/near-exact name match in Epoch all_ai_models.csv Assumed dense/non-MoE: active params equal total params.</x:v>
      </x:c>
      <x:c r="N42" s="17"/>
      <x:c r="O42" s="17"/>
      <x:c r="P42" s="17"/>
      <x:c r="Q42" s="17"/>
      <x:c r="R42" s="17"/>
      <x:c r="S42" s="17"/>
      <x:c r="T42" s="17"/>
      <x:c r="U42" s="17"/>
      <x:c r="V42" s="17"/>
      <x:c r="W42" s="17"/>
      <x:c r="X42" s="17"/>
      <x:c r="Y42" s="17"/>
      <x:c r="Z42" s="17"/>
    </x:row>
    <x:row r="43">
      <x:c r="A43" s="17" t="str">
        <x:v>Qwen3-235B-A22B-Instruct (Jul 2025)</x:v>
      </x:c>
      <x:c r="B43" s="17" t="str">
        <x:v>Alibaba</x:v>
      </x:c>
      <x:c r="C43" s="17" t="n">
        <x:v>45863</x:v>
      </x:c>
      <x:c r="D43" s="17" t="str">
        <x:v>Open weights (unrestricted)</x:v>
      </x:c>
      <x:c r="E43" s="17" t="n">
        <x:v>138.96</x:v>
      </x:c>
      <x:c r="F43" s="17" t="n">
        <x:v>135.35</x:v>
      </x:c>
      <x:c r="G43" s="17" t="n">
        <x:v>140.84</x:v>
      </x:c>
      <x:c r="H43" s="17" t="n">
        <x:v>235</x:v>
      </x:c>
      <x:c r="I43" s="17" t="n">
        <x:v>11.3710678622717</x:v>
      </x:c>
      <x:c r="J43" s="17" t="n">
        <x:v>2.5626283367556466</x:v>
      </x:c>
      <x:c r="K43" s="17" t="n">
        <x:v>0.5098324159508412</x:v>
      </x:c>
      <x:c r="L43" s="17" t="str">
        <x:v>https://qwenlm.github.io/blog/qwen3/</x:v>
      </x:c>
      <x:c r="M43" s="17" t="str">
        <x:v>Filled from Qwen3-235B-A22B same-family architecture in Epoch data</x:v>
      </x:c>
      <x:c r="N43" s="17"/>
      <x:c r="O43" s="17"/>
      <x:c r="P43" s="17"/>
      <x:c r="Q43" s="17"/>
      <x:c r="R43" s="17"/>
      <x:c r="S43" s="17"/>
      <x:c r="T43" s="17"/>
      <x:c r="U43" s="17"/>
      <x:c r="V43" s="17"/>
      <x:c r="W43" s="17"/>
      <x:c r="X43" s="17"/>
      <x:c r="Y43" s="17"/>
      <x:c r="Z43" s="17"/>
    </x:row>
    <x:row r="44">
      <x:c r="A44" s="17" t="str">
        <x:v>Qwen3-235B-A22B-Thinking (Jul 2025)</x:v>
      </x:c>
      <x:c r="B44" s="17" t="str">
        <x:v>Alibaba</x:v>
      </x:c>
      <x:c r="C44" s="17" t="n">
        <x:v>45863</x:v>
      </x:c>
      <x:c r="D44" s="17" t="str">
        <x:v>Open weights (unrestricted)</x:v>
      </x:c>
      <x:c r="E44" s="17" t="n">
        <x:v>144.78</x:v>
      </x:c>
      <x:c r="F44" s="17" t="n">
        <x:v>142.35</x:v>
      </x:c>
      <x:c r="G44" s="17" t="n">
        <x:v>147.4</x:v>
      </x:c>
      <x:c r="H44" s="17" t="n">
        <x:v>235</x:v>
      </x:c>
      <x:c r="I44" s="17" t="n">
        <x:v>11.3710678622717</x:v>
      </x:c>
      <x:c r="J44" s="17" t="n">
        <x:v>2.5626283367556466</x:v>
      </x:c>
      <x:c r="K44" s="17" t="n">
        <x:v>0.6025448485442577</x:v>
      </x:c>
      <x:c r="L44" s="17" t="str">
        <x:v>https://qwenlm.github.io/blog/qwen3/</x:v>
      </x:c>
      <x:c r="M44" s="17" t="str">
        <x:v>Exact/near-exact name match in Epoch all_ai_models.csv</x:v>
      </x:c>
      <x:c r="N44" s="17"/>
      <x:c r="O44" s="17"/>
      <x:c r="P44" s="17"/>
      <x:c r="Q44" s="17"/>
      <x:c r="R44" s="17"/>
      <x:c r="S44" s="17"/>
      <x:c r="T44" s="17"/>
      <x:c r="U44" s="17"/>
      <x:c r="V44" s="17"/>
      <x:c r="W44" s="17"/>
      <x:c r="X44" s="17"/>
      <x:c r="Y44" s="17"/>
      <x:c r="Z44" s="17"/>
    </x:row>
    <x:row r="45">
      <x:c r="A45" s="17" t="str">
        <x:v>gpt-oss-120b</x:v>
      </x:c>
      <x:c r="B45" s="17" t="str">
        <x:v>OpenAI</x:v>
      </x:c>
      <x:c r="C45" s="17" t="n">
        <x:v>45874</x:v>
      </x:c>
      <x:c r="D45" s="17" t="str">
        <x:v>Open weights (unrestricted)</x:v>
      </x:c>
      <x:c r="E45" s="17" t="n">
        <x:v>140.57</x:v>
      </x:c>
      <x:c r="F45" s="17" t="n">
        <x:v>136.18</x:v>
      </x:c>
      <x:c r="G45" s="17" t="n">
        <x:v>143.08</x:v>
      </x:c>
      <x:c r="H45" s="17" t="n">
        <x:v>116.83</x:v>
      </x:c>
      <x:c r="I45" s="17" t="n">
        <x:v>11.0675543766935</x:v>
      </x:c>
      <x:c r="J45" s="17" t="n">
        <x:v>2.5927446954141</x:v>
      </x:c>
      <x:c r="K45" s="17" t="n">
        <x:v>0.32275572358748106</x:v>
      </x:c>
      <x:c r="L45" s="17" t="str">
        <x:v>https://cdn.openai.com/pdf/419b6906-9da6-406c-a19d-1bb078ac7637/oai_gpt-oss_model_card.pdf</x:v>
      </x:c>
      <x:c r="M45" s="17" t="str">
        <x:v>Exact/near-exact name match in Epoch all_ai_models.csv Assumed dense/non-MoE: active params equal total params.</x:v>
      </x:c>
      <x:c r="N45" s="17"/>
      <x:c r="O45" s="17"/>
      <x:c r="P45" s="17"/>
      <x:c r="Q45" s="17"/>
      <x:c r="R45" s="17"/>
      <x:c r="S45" s="17"/>
      <x:c r="T45" s="17"/>
      <x:c r="U45" s="17"/>
      <x:c r="V45" s="17"/>
      <x:c r="W45" s="17"/>
      <x:c r="X45" s="17"/>
      <x:c r="Y45" s="17"/>
      <x:c r="Z45" s="17"/>
    </x:row>
    <x:row r="46">
      <x:c r="A46" s="17" t="str">
        <x:v>DeepSeek-V3.1</x:v>
      </x:c>
      <x:c r="B46" s="17" t="str">
        <x:v>DeepSeek</x:v>
      </x:c>
      <x:c r="C46" s="17" t="n">
        <x:v>45890</x:v>
      </x:c>
      <x:c r="D46" s="17" t="str">
        <x:v>Open weights (unrestricted)</x:v>
      </x:c>
      <x:c r="E46" s="17" t="n">
        <x:v>138.68</x:v>
      </x:c>
      <x:c r="F46" s="17" t="n">
        <x:v>135.73</x:v>
      </x:c>
      <x:c r="G46" s="17" t="n">
        <x:v>142.57</x:v>
      </x:c>
      <x:c r="H46" s="17" t="n">
        <x:v>671</x:v>
      </x:c>
      <x:c r="I46" s="17" t="n">
        <x:v>11.826722520169</x:v>
      </x:c>
      <x:c r="J46" s="17" t="n">
        <x:v>2.6365503080082138</x:v>
      </x:c>
      <x:c r="K46" s="17" t="n">
        <x:v>0.32844293970794397</x:v>
      </x:c>
      <x:c r="L46" s="17" t="str">
        <x:v>https://api-docs.deepseek.com/news/news250821
https://huggingface.co/deepseek-ai/DeepSeek-V3.1</x:v>
      </x:c>
      <x:c r="M46" s="17" t="str">
        <x:v>Exact/near-exact name match in Epoch all_ai_models.csv</x:v>
      </x:c>
      <x:c r="N46" s="17"/>
      <x:c r="O46" s="17"/>
      <x:c r="P46" s="17"/>
      <x:c r="Q46" s="17"/>
      <x:c r="R46" s="17"/>
      <x:c r="S46" s="17"/>
      <x:c r="T46" s="17"/>
      <x:c r="U46" s="17"/>
      <x:c r="V46" s="17"/>
      <x:c r="W46" s="17"/>
      <x:c r="X46" s="17"/>
      <x:c r="Y46" s="17"/>
      <x:c r="Z46" s="17"/>
    </x:row>
    <x:row r="47">
      <x:c r="A47" s="17" t="str">
        <x:v>DeepSeek-V3.2-Exp</x:v>
      </x:c>
      <x:c r="B47" s="17" t="str">
        <x:v>DeepSeek</x:v>
      </x:c>
      <x:c r="C47" s="17" t="n">
        <x:v>45929</x:v>
      </x:c>
      <x:c r="D47" s="17" t="str">
        <x:v>Open weights (unrestricted)</x:v>
      </x:c>
      <x:c r="E47" s="17" t="n">
        <x:v>144.86</x:v>
      </x:c>
      <x:c r="F47" s="17" t="n">
        <x:v>141.79</x:v>
      </x:c>
      <x:c r="G47" s="17" t="n">
        <x:v>146.71</x:v>
      </x:c>
      <x:c r="H47" s="17" t="n">
        <x:v>671</x:v>
      </x:c>
      <x:c r="I47" s="17" t="n">
        <x:v>11.826722520169</x:v>
      </x:c>
      <x:c r="J47" s="17" t="n">
        <x:v>2.7433264887063653</x:v>
      </x:c>
      <x:c r="K47" s="17" t="n">
        <x:v>0.6348073236829886</x:v>
      </x:c>
      <x:c r="L47" s="17" t="str">
        <x:v>https://github.com/deepseek-ai/DeepSeek-V3.2-Exp/blob/main/DeepSeek_V3_2.pdf</x:v>
      </x:c>
      <x:c r="M47" s="17" t="str">
        <x:v>Exact/near-exact name match in Epoch all_ai_models.csv</x:v>
      </x:c>
      <x:c r="N47" s="17"/>
      <x:c r="O47" s="17"/>
      <x:c r="P47" s="17"/>
      <x:c r="Q47" s="17"/>
      <x:c r="R47" s="17"/>
      <x:c r="S47" s="17"/>
      <x:c r="T47" s="17"/>
      <x:c r="U47" s="17"/>
      <x:c r="V47" s="17"/>
      <x:c r="W47" s="17"/>
      <x:c r="X47" s="17"/>
      <x:c r="Y47" s="17"/>
      <x:c r="Z47" s="17"/>
    </x:row>
    <x:row r="48">
      <x:c r="A48" s="17" t="str">
        <x:v>GLM-4.6</x:v>
      </x:c>
      <x:c r="B48" s="17" t="str">
        <x:v>Z.ai (Zhipu AI),Tsinghua University</x:v>
      </x:c>
      <x:c r="C48" s="17" t="n">
        <x:v>45930</x:v>
      </x:c>
      <x:c r="D48" s="17" t="str">
        <x:v>Open weights (unrestricted)</x:v>
      </x:c>
      <x:c r="E48" s="17" t="n">
        <x:v>140.95</x:v>
      </x:c>
      <x:c r="F48" s="17" t="n">
        <x:v>136.28</x:v>
      </x:c>
      <x:c r="G48" s="17" t="n">
        <x:v>142.51</x:v>
      </x:c>
      <x:c r="H48" s="17" t="n">
        <x:v>357</x:v>
      </x:c>
      <x:c r="I48" s="17" t="n">
        <x:v>11.5526682161122</x:v>
      </x:c>
      <x:c r="J48" s="17" t="n">
        <x:v>2.746064339493498</x:v>
      </x:c>
      <x:c r="K48" s="17" t="n">
        <x:v>0.3959096073728077</x:v>
      </x:c>
      <x:c r="L48" s="17" t="str">
        <x:v>https://z.ai/blog/glm-4.6</x:v>
      </x:c>
      <x:c r="M48" s="17" t="str">
        <x:v>Exact/near-exact name match in Epoch all_ai_models.csv</x:v>
      </x:c>
      <x:c r="N48" s="17"/>
      <x:c r="O48" s="17"/>
      <x:c r="P48" s="17"/>
      <x:c r="Q48" s="17"/>
      <x:c r="R48" s="17"/>
      <x:c r="S48" s="17"/>
      <x:c r="T48" s="17"/>
      <x:c r="U48" s="17"/>
      <x:c r="V48" s="17"/>
      <x:c r="W48" s="17"/>
      <x:c r="X48" s="17"/>
      <x:c r="Y48" s="17"/>
      <x:c r="Z48" s="17"/>
    </x:row>
    <x:row r="49">
      <x:c r="A49" s="17" t="str">
        <x:v>Kimi K2 Thinking</x:v>
      </x:c>
      <x:c r="B49" s="17" t="str">
        <x:v>Moonshot</x:v>
      </x:c>
      <x:c r="C49" s="17" t="n">
        <x:v>45967</x:v>
      </x:c>
      <x:c r="D49" s="17" t="str">
        <x:v>Open weights (restricted use)</x:v>
      </x:c>
      <x:c r="E49" s="17" t="n">
        <x:v>146.01</x:v>
      </x:c>
      <x:c r="F49" s="17" t="n">
        <x:v>143.68</x:v>
      </x:c>
      <x:c r="G49" s="17" t="n">
        <x:v>147.44</x:v>
      </x:c>
      <x:c r="H49" s="17" t="n">
        <x:v>1000</x:v>
      </x:c>
      <x:c r="I49" s="17" t="n">
        <x:v>12</x:v>
      </x:c>
      <x:c r="J49" s="17" t="n">
        <x:v>2.847364818617385</x:v>
      </x:c>
      <x:c r="K49" s="17" t="n">
        <x:v>1.0869171570846587</x:v>
      </x:c>
      <x:c r="L49" s="17" t="str">
        <x:v>https://moonshotai.github.io/Kimi-K2/thinking</x:v>
      </x:c>
      <x:c r="M49" s="17" t="str">
        <x:v>Exact/near-exact name match in Epoch all_ai_models.csv</x:v>
      </x:c>
      <x:c r="N49" s="17"/>
      <x:c r="O49" s="17"/>
      <x:c r="P49" s="17"/>
      <x:c r="Q49" s="17"/>
      <x:c r="R49" s="17"/>
      <x:c r="S49" s="17"/>
      <x:c r="T49" s="17"/>
      <x:c r="U49" s="17"/>
      <x:c r="V49" s="17"/>
      <x:c r="W49" s="17"/>
      <x:c r="X49" s="17"/>
      <x:c r="Y49" s="17"/>
      <x:c r="Z49" s="17"/>
    </x:row>
    <x:row r="50">
      <x:c r="A50" s="17" t="str">
        <x:v>DeepSeek-V3.2</x:v>
      </x:c>
      <x:c r="B50" s="17" t="str">
        <x:v>DeepSeek</x:v>
      </x:c>
      <x:c r="C50" s="17" t="n">
        <x:v>45992</x:v>
      </x:c>
      <x:c r="D50" s="17" t="str">
        <x:v>Open weights (unrestricted)</x:v>
      </x:c>
      <x:c r="E50" s="17" t="n">
        <x:v>146.56</x:v>
      </x:c>
      <x:c r="F50" s="17" t="n">
        <x:v>144.63</x:v>
      </x:c>
      <x:c r="G50" s="17" t="n">
        <x:v>147.62</x:v>
      </x:c>
      <x:c r="H50" s="17" t="n">
        <x:v>671</x:v>
      </x:c>
      <x:c r="I50" s="17" t="n">
        <x:v>11.826722520169</x:v>
      </x:c>
      <x:c r="J50" s="17" t="n">
        <x:v>2.915811088295688</x:v>
      </x:c>
      <x:c r="K50" s="17" t="n">
        <x:v>1.7188174628919035</x:v>
      </x:c>
      <x:c r="L50" s="17" t="str">
        <x:v>https://github.com/deepseek-ai/DeepSeek-V3.2-Exp/blob/main/DeepSeek_V3_2.pdf</x:v>
      </x:c>
      <x:c r="M50" s="17" t="str">
        <x:v>Filled from DeepSeek-V3.2-Exp / DeepSeek-V3.1 same-family architecture in Epoch data</x:v>
      </x:c>
      <x:c r="N50" s="17"/>
      <x:c r="O50" s="17"/>
      <x:c r="P50" s="17"/>
      <x:c r="Q50" s="17"/>
      <x:c r="R50" s="17"/>
      <x:c r="S50" s="17"/>
      <x:c r="T50" s="17"/>
      <x:c r="U50" s="17"/>
      <x:c r="V50" s="17"/>
      <x:c r="W50" s="17"/>
      <x:c r="X50" s="17"/>
      <x:c r="Y50" s="17"/>
      <x:c r="Z50" s="17"/>
    </x:row>
    <x:row r="51">
      <x:c r="A51" s="17" t="str">
        <x:v>GLM-4.7</x:v>
      </x:c>
      <x:c r="B51" s="17" t="str">
        <x:v>Z.ai (Zhipu AI)</x:v>
      </x:c>
      <x:c r="C51" s="17" t="n">
        <x:v>46013</x:v>
      </x:c>
      <x:c r="D51" s="17" t="str">
        <x:v>Open weights (unrestricted)</x:v>
      </x:c>
      <x:c r="E51" s="17" t="n">
        <x:v>143.73</x:v>
      </x:c>
      <x:c r="F51" s="17" t="n">
        <x:v>141.11</x:v>
      </x:c>
      <x:c r="G51" s="17" t="n">
        <x:v>145.38</x:v>
      </x:c>
      <x:c r="H51" s="17" t="n">
        <x:v>358</x:v>
      </x:c>
      <x:c r="I51" s="17" t="n">
        <x:v>11.5538830266439</x:v>
      </x:c>
      <x:c r="J51" s="17" t="n">
        <x:v>2.973305954825462</x:v>
      </x:c>
      <x:c r="K51" s="17" t="n">
        <x:v>0.8427841977962982</x:v>
      </x:c>
      <x:c r="L51" s="17" t="str">
        <x:v>https://z.ai/blog/glm-4.7</x:v>
      </x:c>
      <x:c r="M51" s="17" t="str">
        <x:v>Exact/near-exact name match in Epoch all_ai_models.csv</x:v>
      </x:c>
      <x:c r="N51" s="17"/>
      <x:c r="O51" s="17"/>
      <x:c r="P51" s="17"/>
      <x:c r="Q51" s="17"/>
      <x:c r="R51" s="17"/>
      <x:c r="S51" s="17"/>
      <x:c r="T51" s="17"/>
      <x:c r="U51" s="17"/>
      <x:c r="V51" s="17"/>
      <x:c r="W51" s="17"/>
      <x:c r="X51" s="17"/>
      <x:c r="Y51" s="17"/>
      <x:c r="Z51" s="17"/>
    </x:row>
    <x:row r="52">
      <x:c r="A52" s="17" t="str">
        <x:v>Kimi K2.5</x:v>
      </x:c>
      <x:c r="B52" s="17" t="str">
        <x:v>Moonshot</x:v>
      </x:c>
      <x:c r="C52" s="17" t="n">
        <x:v>46055</x:v>
      </x:c>
      <x:c r="D52" s="17" t="str">
        <x:v>Open weights (unrestricted)</x:v>
      </x:c>
      <x:c r="E52" s="17" t="n">
        <x:v>148.24</x:v>
      </x:c>
      <x:c r="F52" s="17" t="n">
        <x:v>146.58</x:v>
      </x:c>
      <x:c r="G52" s="17" t="n">
        <x:v>149.36</x:v>
      </x:c>
      <x:c r="H52" s="17" t="n">
        <x:v>1040</x:v>
      </x:c>
      <x:c r="I52" s="17" t="n">
        <x:v>12.0170333392988</x:v>
      </x:c>
      <x:c r="J52" s="17" t="n">
        <x:v>3.0882956878850103</x:v>
      </x:c>
      <x:c r="K52" s="17" t="n">
        <x:v>1.9883028828735556</x:v>
      </x:c>
      <x:c r="L52" s="17" t="str">
        <x:v>https://arxiv.org/abs/2602.02276</x:v>
      </x:c>
      <x:c r="M52" s="17" t="str">
        <x:v>Exact/near-exact name match in Epoch all_ai_models.csv</x:v>
      </x:c>
      <x:c r="N52" s="17"/>
      <x:c r="O52" s="17"/>
      <x:c r="P52" s="17"/>
      <x:c r="Q52" s="17"/>
      <x:c r="R52" s="17"/>
      <x:c r="S52" s="17"/>
      <x:c r="T52" s="17"/>
      <x:c r="U52" s="17"/>
      <x:c r="V52" s="17"/>
      <x:c r="W52" s="17"/>
      <x:c r="X52" s="17"/>
      <x:c r="Y52" s="17"/>
      <x:c r="Z52" s="17"/>
    </x:row>
    <x:row r="53">
      <x:c r="A53" s="17" t="str">
        <x:v>GLM-5</x:v>
      </x:c>
      <x:c r="B53" s="17" t="str">
        <x:v>Z.ai (Zhipu AI)</x:v>
      </x:c>
      <x:c r="C53" s="17" t="n">
        <x:v>46064</x:v>
      </x:c>
      <x:c r="D53" s="17" t="str">
        <x:v>Open weights (unrestricted)</x:v>
      </x:c>
      <x:c r="E53" s="17" t="n">
        <x:v>146.39</x:v>
      </x:c>
      <x:c r="F53" s="17" t="n">
        <x:v>144.52</x:v>
      </x:c>
      <x:c r="G53" s="17" t="n">
        <x:v>147.86</x:v>
      </x:c>
      <x:c r="H53" s="17" t="n">
        <x:v>744</x:v>
      </x:c>
      <x:c r="I53" s="17" t="n">
        <x:v>11.8715729355459</x:v>
      </x:c>
      <x:c r="J53" s="17" t="n">
        <x:v>3.1129363449691994</x:v>
      </x:c>
      <x:c r="K53" s="17" t="n">
        <x:v>1.3774606475671383</x:v>
      </x:c>
      <x:c r="L53" s="17" t="str">
        <x:v>https://arxiv.org/pdf/2602.15763</x:v>
      </x:c>
      <x:c r="M53" s="17" t="str">
        <x:v>Exact/near-exact name match in Epoch all_ai_models.csv</x:v>
      </x:c>
      <x:c r="N53" s="17"/>
      <x:c r="O53" s="17"/>
      <x:c r="P53" s="17"/>
      <x:c r="Q53" s="17"/>
      <x:c r="R53" s="17"/>
      <x:c r="S53" s="17"/>
      <x:c r="T53" s="17"/>
      <x:c r="U53" s="17"/>
      <x:c r="V53" s="17"/>
      <x:c r="W53" s="17"/>
      <x:c r="X53" s="17"/>
      <x:c r="Y53" s="17"/>
      <x:c r="Z53" s="17"/>
    </x:row>
    <x:row r="54">
      <x:c r="A54" s="17" t="str">
        <x:v>MiniMax-M2.5</x:v>
      </x:c>
      <x:c r="B54" s="17" t="str">
        <x:v>MiniMax</x:v>
      </x:c>
      <x:c r="C54" s="17" t="n">
        <x:v>46065</x:v>
      </x:c>
      <x:c r="D54" s="17" t="str">
        <x:v>Open weights (unrestricted)</x:v>
      </x:c>
      <x:c r="E54" s="17" t="n">
        <x:v>147.07</x:v>
      </x:c>
      <x:c r="F54" s="17" t="n">
        <x:v>142.34</x:v>
      </x:c>
      <x:c r="G54" s="17" t="n">
        <x:v>148.14</x:v>
      </x:c>
      <x:c r="H54" s="17" t="n">
        <x:v>229</x:v>
      </x:c>
      <x:c r="I54" s="17" t="n">
        <x:v>11.3598354823399</x:v>
      </x:c>
      <x:c r="J54" s="17" t="n">
        <x:v>3.1156741957563314</x:v>
      </x:c>
      <x:c r="K54" s="17" t="n">
        <x:v>0.4567895362663522</x:v>
      </x:c>
      <x:c r="L54" s="17" t="str">
        <x:v>https://www.minimax.io/news/minimax-m25</x:v>
      </x:c>
      <x:c r="M54" s="17" t="str">
        <x:v>Exact/near-exact name match in Epoch all_ai_models.csv</x:v>
      </x:c>
      <x:c r="N54" s="17"/>
      <x:c r="O54" s="17"/>
      <x:c r="P54" s="17"/>
      <x:c r="Q54" s="17"/>
      <x:c r="R54" s="17"/>
      <x:c r="S54" s="17"/>
      <x:c r="T54" s="17"/>
      <x:c r="U54" s="17"/>
      <x:c r="V54" s="17"/>
      <x:c r="W54" s="17"/>
      <x:c r="X54" s="17"/>
      <x:c r="Y54" s="17"/>
      <x:c r="Z54" s="17"/>
    </x:row>
    <x:row r="55">
      <x:c r="A55" s="17" t="str">
        <x:v>MiniMax-M2.7</x:v>
      </x:c>
      <x:c r="B55" s="17" t="str">
        <x:v>MiniMax</x:v>
      </x:c>
      <x:c r="C55" s="17" t="n">
        <x:v>46099</x:v>
      </x:c>
      <x:c r="D55" s="17" t="str">
        <x:v>Open weights (non-commercial)</x:v>
      </x:c>
      <x:c r="E55" s="17" t="n">
        <x:v>145.61</x:v>
      </x:c>
      <x:c r="F55" s="17" t="n">
        <x:v>138.06</x:v>
      </x:c>
      <x:c r="G55" s="17" t="n">
        <x:v>147.75</x:v>
      </x:c>
      <x:c r="H55" s="17" t="n">
        <x:v>229</x:v>
      </x:c>
      <x:c r="I55" s="17" t="n">
        <x:v>11.3598354823399</x:v>
      </x:c>
      <x:c r="J55" s="17" t="n">
        <x:v>3.2087611225188226</x:v>
      </x:c>
      <x:c r="K55" s="17" t="n">
        <x:v>0.16365322947385472</x:v>
      </x:c>
      <x:c r="L55" s="17" t="str">
        <x:v>https://www.minimax.io/news/minimax-m25</x:v>
      </x:c>
      <x:c r="M55" s="17" t="str">
        <x:v>Filled from MiniMax-M2/M2.5 same-family architecture in Epoch data</x:v>
      </x:c>
      <x:c r="N55" s="17"/>
      <x:c r="O55" s="17"/>
      <x:c r="P55" s="17"/>
      <x:c r="Q55" s="17"/>
      <x:c r="R55" s="17"/>
      <x:c r="S55" s="17"/>
      <x:c r="T55" s="17"/>
      <x:c r="U55" s="17"/>
      <x:c r="V55" s="17"/>
      <x:c r="W55" s="17"/>
      <x:c r="X55" s="17"/>
      <x:c r="Y55" s="17"/>
      <x:c r="Z55" s="17"/>
    </x:row>
    <x:row r="56">
      <x:c r="A56" s="17" t="str">
        <x:v>Kimi K2.6</x:v>
      </x:c>
      <x:c r="B56" s="17" t="str">
        <x:v>Moonshot</x:v>
      </x:c>
      <x:c r="C56" s="17" t="n">
        <x:v>46132</x:v>
      </x:c>
      <x:c r="D56" s="17" t="str">
        <x:v>Open weights (unrestricted)</x:v>
      </x:c>
      <x:c r="E56" s="17" t="n">
        <x:v>151.02</x:v>
      </x:c>
      <x:c r="F56" s="17" t="n">
        <x:v>149.18</x:v>
      </x:c>
      <x:c r="G56" s="17" t="n">
        <x:v>152.53</x:v>
      </x:c>
      <x:c r="H56" s="17" t="n">
        <x:v>1040</x:v>
      </x:c>
      <x:c r="I56" s="17" t="n">
        <x:v>12.0170333392988</x:v>
      </x:c>
      <x:c r="J56" s="17" t="n">
        <x:v>3.299110198494182</x:v>
      </x:c>
      <x:c r="K56" s="17" t="n">
        <x:v>1.3692492760080244</x:v>
      </x:c>
      <x:c r="L56" s="17" t="str">
        <x:v>https://www.kimi.com/ai-models/kimi-k2-6</x:v>
      </x:c>
      <x:c r="M56" s="17" t="str">
        <x:v>Exact/near-exact name match in Epoch all_ai_models.csv Assumed 32B active params from same Kimi K2.x family where Epoch gives 32B active.</x:v>
      </x:c>
      <x:c r="N56" s="17"/>
      <x:c r="O56" s="17"/>
      <x:c r="P56" s="17"/>
      <x:c r="Q56" s="17"/>
      <x:c r="R56" s="17"/>
      <x:c r="S56" s="17"/>
      <x:c r="T56" s="17"/>
      <x:c r="U56" s="17"/>
      <x:c r="V56" s="17"/>
      <x:c r="W56" s="17"/>
      <x:c r="X56" s="17"/>
      <x:c r="Y56" s="17"/>
      <x:c r="Z56" s="17"/>
    </x:row>
    <x:row r="57">
      <x:c r="A57" s="17" t="str">
        <x:v>DeepSeek-V4-Pro</x:v>
      </x:c>
      <x:c r="B57" s="17" t="str">
        <x:v>DeepSeek</x:v>
      </x:c>
      <x:c r="C57" s="17" t="n">
        <x:v>46136</x:v>
      </x:c>
      <x:c r="D57" s="17" t="str">
        <x:v>Open weights (unrestricted)</x:v>
      </x:c>
      <x:c r="E57" s="17" t="n">
        <x:v>149.74</x:v>
      </x:c>
      <x:c r="F57" s="17" t="n">
        <x:v>147.87</x:v>
      </x:c>
      <x:c r="G57" s="17" t="n">
        <x:v>152.06</x:v>
      </x:c>
      <x:c r="H57" s="17" t="n">
        <x:v>1600</x:v>
      </x:c>
      <x:c r="I57" s="17" t="n">
        <x:v>12.2041199826559</x:v>
      </x:c>
      <x:c r="J57" s="17" t="n">
        <x:v>3.3100616016427105</x:v>
      </x:c>
      <x:c r="K57" s="17" t="n">
        <x:v>0.8752741212456079</x:v>
      </x:c>
      <x:c r="L57" s="17" t="str">
        <x:v>https://huggingface.co/deepseek-ai/DeepSeek-V4-Pro/blob/main/DeepSeek_V4.pdf</x:v>
      </x:c>
      <x:c r="M57" s="17" t="str">
        <x:v>Exact/near-exact name match in Epoch all_ai_models.csv</x:v>
      </x:c>
      <x:c r="N57" s="17"/>
      <x:c r="O57" s="17"/>
      <x:c r="P57" s="17"/>
      <x:c r="Q57" s="17"/>
      <x:c r="R57" s="17"/>
      <x:c r="S57" s="17"/>
      <x:c r="T57" s="17"/>
      <x:c r="U57" s="17"/>
      <x:c r="V57" s="17"/>
      <x:c r="W57" s="17"/>
      <x:c r="X57" s="17"/>
      <x:c r="Y57" s="17"/>
      <x:c r="Z57" s="17"/>
    </x:row>
    <x:row r="58">
      <x:c r="A58" s="17" t="str">
        <x:v>Kimi K2.7 Code</x:v>
      </x:c>
      <x:c r="B58" s="17" t="str">
        <x:v>Moonshot</x:v>
      </x:c>
      <x:c r="C58" s="17" t="n">
        <x:v>46185</x:v>
      </x:c>
      <x:c r="D58" s="17" t="str">
        <x:v>Open weights (unrestricted)</x:v>
      </x:c>
      <x:c r="E58" s="17" t="n">
        <x:v>150.07</x:v>
      </x:c>
      <x:c r="F58" s="17" t="n">
        <x:v>148.48</x:v>
      </x:c>
      <x:c r="G58" s="17" t="n">
        <x:v>151.25</x:v>
      </x:c>
      <x:c r="H58" s="17" t="n">
        <x:v>1040</x:v>
      </x:c>
      <x:c r="I58" s="17" t="n">
        <x:v>12.0170333392988</x:v>
      </x:c>
      <x:c r="J58" s="17" t="n">
        <x:v>3.4442162902121836</x:v>
      </x:c>
      <x:c r="K58" s="17" t="n">
        <x:v>2.0026847736839897</x:v>
      </x:c>
      <x:c r="L58" s="17" t="str">
        <x:v>https://platform.kimi.ai/docs/guide/kimi-k2-7-code-quickstart</x:v>
      </x:c>
      <x:c r="M58" s="17" t="str">
        <x:v>Exact/near-exact name match in Epoch all_ai_models.csv Assumed 32B active params from same Kimi K2.x family where Epoch gives 32B active.</x:v>
      </x:c>
      <x:c r="N58" s="17"/>
      <x:c r="O58" s="17"/>
      <x:c r="P58" s="17"/>
      <x:c r="Q58" s="17"/>
      <x:c r="R58" s="17"/>
      <x:c r="S58" s="17"/>
      <x:c r="T58" s="17"/>
      <x:c r="U58" s="17"/>
      <x:c r="V58" s="17"/>
      <x:c r="W58" s="17"/>
      <x:c r="X58" s="17"/>
      <x:c r="Y58" s="17"/>
      <x:c r="Z58" s="17"/>
    </x:row>
    <x:row r="59">
      <x:c r="A59" s="18" t="str">
        <x:v>GLM-5.2</x:v>
      </x:c>
      <x:c r="B59" s="18" t="str">
        <x:v>Z.ai (Zhipu AI)</x:v>
      </x:c>
      <x:c r="C59" s="18" t="n">
        <x:v>46189</x:v>
      </x:c>
      <x:c r="D59" s="18" t="str">
        <x:v>Open weights (unrestricted)</x:v>
      </x:c>
      <x:c r="E59" s="18" t="n">
        <x:v>151.6</x:v>
      </x:c>
      <x:c r="F59" s="18" t="n">
        <x:v>149.97</x:v>
      </x:c>
      <x:c r="G59" s="18" t="n">
        <x:v>153.86</x:v>
      </x:c>
      <x:c r="H59" s="18" t="n">
        <x:v>744</x:v>
      </x:c>
      <x:c r="I59" s="18" t="n">
        <x:v>11.8715729355459</x:v>
      </x:c>
      <x:c r="J59" s="18" t="n">
        <x:v>3.455167693360712</x:v>
      </x:c>
      <x:c r="K59" s="18" t="n">
        <x:v>1.0154836407372332</x:v>
      </x:c>
      <x:c r="L59" s="18" t="str">
        <x:v>https://z.ai/blog/glm-5.2</x:v>
      </x:c>
      <x:c r="M59" s="18" t="str">
        <x:v>Exact/near-exact name match in Epoch all_ai_models.csv Assumed 40B active params from GLM-5 family compute notes.</x:v>
      </x:c>
      <x:c r="N59" s="18"/>
      <x:c r="O59" s="18"/>
      <x:c r="P59" s="18"/>
      <x:c r="Q59" s="18"/>
      <x:c r="R59" s="18"/>
      <x:c r="S59" s="18"/>
      <x:c r="T59" s="18"/>
      <x:c r="U59" s="18"/>
      <x:c r="V59" s="18"/>
      <x:c r="W59" s="18"/>
      <x:c r="X59" s="18"/>
      <x:c r="Y59" s="18"/>
      <x:c r="Z59" s="18"/>
    </x:row>
  </x:sheetData>
  <x:pageMargins left="0.7" right="0.7" top="0.75" bottom="0.75" header="0.3" footer="0.3"/>
</x:worksheet>
</file>

<file path=xl/worksheets/sheet21.xml><?xml version="1.0" encoding="utf-8"?>
<x:worksheet xmlns:x="http://schemas.openxmlformats.org/spreadsheetml/2006/main">
  <x:sheetViews>
    <x:sheetView showGridLines="0" workbookViewId="0"/>
  </x:sheetViews>
  <x:sheetFormatPr defaultRowHeight="15"/>
  <x:cols>
    <x:col min="1" max="1" width="36" hidden="0" customWidth="1"/>
    <x:col min="2" max="2" width="3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34" customHeight="1">
      <x:c r="A1" s="71" t="str">
        <x:v>Regression model and sensitivity</x:v>
      </x:c>
      <x:c r="B1" s="71"/>
      <x:c r="C1" s="71"/>
      <x:c r="D1" s="71"/>
      <x:c r="E1" s="71"/>
      <x:c r="F1" s="71"/>
      <x:c r="G1" s="71"/>
      <x:c r="H1" s="71"/>
      <x:c r="I1" s="71"/>
      <x:c r="J1" s="71"/>
      <x:c r="K1" s="71"/>
      <x:c r="L1" s="71"/>
      <x:c r="M1" s="71"/>
      <x:c r="N1" s="71"/>
      <x:c r="O1" s="71"/>
      <x:c r="P1" s="71"/>
      <x:c r="Q1" s="71"/>
      <x:c r="R1" s="71"/>
      <x:c r="S1" s="71"/>
      <x:c r="T1" s="71"/>
      <x:c r="U1" s="71"/>
      <x:c r="V1" s="71"/>
      <x:c r="W1" s="71"/>
      <x:c r="X1" s="71"/>
      <x:c r="Y1" s="71"/>
      <x:c r="Z1" s="71"/>
    </x:row>
    <x:row r="2">
      <x:c r="A2" s="16" t="str">
        <x:v>As of</x:v>
      </x:c>
      <x:c r="B2" s="16" t="n">
        <x:v>46219</x:v>
      </x:c>
      <x:c r="C2" s="16"/>
      <x:c r="D2" s="16"/>
      <x:c r="E2" s="16"/>
      <x:c r="F2" s="16"/>
      <x:c r="G2" s="16"/>
      <x:c r="H2" s="16"/>
      <x:c r="I2" s="16"/>
      <x:c r="J2" s="16"/>
      <x:c r="K2" s="16"/>
      <x:c r="L2" s="16"/>
      <x:c r="M2" s="16"/>
      <x:c r="N2" s="16"/>
      <x:c r="O2" s="16"/>
      <x:c r="P2" s="16"/>
      <x:c r="Q2" s="16"/>
      <x:c r="R2" s="16"/>
      <x:c r="S2" s="16"/>
      <x:c r="T2" s="16"/>
      <x:c r="U2" s="16"/>
      <x:c r="V2" s="16"/>
      <x:c r="W2" s="16"/>
      <x:c r="X2" s="16"/>
      <x:c r="Y2" s="16"/>
      <x:c r="Z2" s="16"/>
    </x:row>
    <x:row r="3">
      <x:c r="A3" s="17" t="str">
        <x:v>Last-year window start</x:v>
      </x:c>
      <x:c r="B3" s="17" t="n">
        <x:v>45854</x:v>
      </x:c>
      <x:c r="C3" s="17"/>
      <x:c r="D3" s="17"/>
      <x:c r="E3" s="17"/>
      <x:c r="F3" s="17"/>
      <x:c r="G3" s="17"/>
      <x:c r="H3" s="17"/>
      <x:c r="I3" s="17"/>
      <x:c r="J3" s="17"/>
      <x:c r="K3" s="17"/>
      <x:c r="L3" s="17"/>
      <x:c r="M3" s="17"/>
      <x:c r="N3" s="17"/>
      <x:c r="O3" s="17"/>
      <x:c r="P3" s="17"/>
      <x:c r="Q3" s="17"/>
      <x:c r="R3" s="17"/>
      <x:c r="S3" s="17"/>
      <x:c r="T3" s="17"/>
      <x:c r="U3" s="17"/>
      <x:c r="V3" s="17"/>
      <x:c r="W3" s="17"/>
      <x:c r="X3" s="17"/>
      <x:c r="Y3" s="17"/>
      <x:c r="Z3" s="17"/>
    </x:row>
    <x:row r="4">
      <x:c r="A4" s="17" t="str">
        <x:v>Base date</x:v>
      </x:c>
      <x:c r="B4" s="17" t="n">
        <x:v>44927</x:v>
      </x:c>
      <x:c r="C4" s="17"/>
      <x:c r="D4" s="17"/>
      <x:c r="E4" s="17"/>
      <x:c r="F4" s="17"/>
      <x:c r="G4" s="17"/>
      <x:c r="H4" s="17"/>
      <x:c r="I4" s="17"/>
      <x:c r="J4" s="17"/>
      <x:c r="K4" s="17"/>
      <x:c r="L4" s="17"/>
      <x:c r="M4" s="17"/>
      <x:c r="N4" s="17"/>
      <x:c r="O4" s="17"/>
      <x:c r="P4" s="17"/>
      <x:c r="Q4" s="17"/>
      <x:c r="R4" s="17"/>
      <x:c r="S4" s="17"/>
      <x:c r="T4" s="17"/>
      <x:c r="U4" s="17"/>
      <x:c r="V4" s="17"/>
      <x:c r="W4" s="17"/>
      <x:c r="X4" s="17"/>
      <x:c r="Y4" s="17"/>
      <x:c r="Z4" s="17"/>
    </x:row>
    <x:row r="5">
      <x:c r="A5" s="17" t="str">
        <x:v>Central equation</x:v>
      </x:c>
      <x:c r="B5" s="17" t="str">
        <x:v>log10(total parameters) = intercept + b1 × ECI + b2 × years_since_2023_01_01</x:v>
      </x:c>
      <x:c r="C5" s="17"/>
      <x:c r="D5" s="17"/>
      <x:c r="E5" s="17"/>
      <x:c r="F5" s="17"/>
      <x:c r="G5" s="17"/>
      <x:c r="H5" s="17"/>
      <x:c r="I5" s="17"/>
      <x:c r="J5" s="17"/>
      <x:c r="K5" s="17"/>
      <x:c r="L5" s="17"/>
      <x:c r="M5" s="17"/>
      <x:c r="N5" s="17"/>
      <x:c r="O5" s="17"/>
      <x:c r="P5" s="17"/>
      <x:c r="Q5" s="17"/>
      <x:c r="R5" s="17"/>
      <x:c r="S5" s="17"/>
      <x:c r="T5" s="17"/>
      <x:c r="U5" s="17"/>
      <x:c r="V5" s="17"/>
      <x:c r="W5" s="17"/>
      <x:c r="X5" s="17"/>
      <x:c r="Y5" s="17"/>
      <x:c r="Z5" s="17"/>
    </x:row>
    <x:row r="6">
      <x:c r="A6" s="17" t="str">
        <x:v>Training sample</x:v>
      </x:c>
      <x:c r="B6" s="17" t="str">
        <x:v>Open-weight ECI models since 2023-01-01 with known total params and total params &gt;=10B</x:v>
      </x:c>
      <x:c r="C6" s="17"/>
      <x:c r="D6" s="17"/>
      <x:c r="E6" s="17"/>
      <x:c r="F6" s="17"/>
      <x:c r="G6" s="17"/>
      <x:c r="H6" s="17"/>
      <x:c r="I6" s="17"/>
      <x:c r="J6" s="17"/>
      <x:c r="K6" s="17"/>
      <x:c r="L6" s="17"/>
      <x:c r="M6" s="17"/>
      <x:c r="N6" s="17"/>
      <x:c r="O6" s="17"/>
      <x:c r="P6" s="17"/>
      <x:c r="Q6" s="17"/>
      <x:c r="R6" s="17"/>
      <x:c r="S6" s="17"/>
      <x:c r="T6" s="17"/>
      <x:c r="U6" s="17"/>
      <x:c r="V6" s="17"/>
      <x:c r="W6" s="17"/>
      <x:c r="X6" s="17"/>
      <x:c r="Y6" s="17"/>
      <x:c r="Z6" s="17"/>
    </x:row>
    <x:row r="7">
      <x:c r="A7" s="17" t="str">
        <x:v>Intercept</x:v>
      </x:c>
      <x:c r="B7" s="17" t="n">
        <x:v>3.4585141554296785</x:v>
      </x:c>
      <x:c r="C7" s="17"/>
      <x:c r="D7" s="17"/>
      <x:c r="E7" s="17"/>
      <x:c r="F7" s="17"/>
      <x:c r="G7" s="17"/>
      <x:c r="H7" s="17"/>
      <x:c r="I7" s="17"/>
      <x:c r="J7" s="17"/>
      <x:c r="K7" s="17"/>
      <x:c r="L7" s="17"/>
      <x:c r="M7" s="17"/>
      <x:c r="N7" s="17"/>
      <x:c r="O7" s="17"/>
      <x:c r="P7" s="17"/>
      <x:c r="Q7" s="17"/>
      <x:c r="R7" s="17"/>
      <x:c r="S7" s="17"/>
      <x:c r="T7" s="17"/>
      <x:c r="U7" s="17"/>
      <x:c r="V7" s="17"/>
      <x:c r="W7" s="17"/>
      <x:c r="X7" s="17"/>
      <x:c r="Y7" s="17"/>
      <x:c r="Z7" s="17"/>
    </x:row>
    <x:row r="8">
      <x:c r="A8" s="17" t="str">
        <x:v>ECI coefficient</x:v>
      </x:c>
      <x:c r="B8" s="17" t="n">
        <x:v>0.06429752658522685</x:v>
      </x:c>
      <x:c r="C8" s="17"/>
      <x:c r="D8" s="17"/>
      <x:c r="E8" s="17"/>
      <x:c r="F8" s="17"/>
      <x:c r="G8" s="17"/>
      <x:c r="H8" s="17"/>
      <x:c r="I8" s="17"/>
      <x:c r="J8" s="17"/>
      <x:c r="K8" s="17"/>
      <x:c r="L8" s="17"/>
      <x:c r="M8" s="17"/>
      <x:c r="N8" s="17"/>
      <x:c r="O8" s="17"/>
      <x:c r="P8" s="17"/>
      <x:c r="Q8" s="17"/>
      <x:c r="R8" s="17"/>
      <x:c r="S8" s="17"/>
      <x:c r="T8" s="17"/>
      <x:c r="U8" s="17"/>
      <x:c r="V8" s="17"/>
      <x:c r="W8" s="17"/>
      <x:c r="X8" s="17"/>
      <x:c r="Y8" s="17"/>
      <x:c r="Z8" s="17"/>
    </x:row>
    <x:row r="9">
      <x:c r="A9" s="17" t="str">
        <x:v>Years coefficient</x:v>
      </x:c>
      <x:c r="B9" s="17" t="n">
        <x:v>-0.35092795129752774</x:v>
      </x:c>
      <x:c r="C9" s="17"/>
      <x:c r="D9" s="17"/>
      <x:c r="E9" s="17"/>
      <x:c r="F9" s="17"/>
      <x:c r="G9" s="17"/>
      <x:c r="H9" s="17"/>
      <x:c r="I9" s="17"/>
      <x:c r="J9" s="17"/>
      <x:c r="K9" s="17"/>
      <x:c r="L9" s="17"/>
      <x:c r="M9" s="17"/>
      <x:c r="N9" s="17"/>
      <x:c r="O9" s="17"/>
      <x:c r="P9" s="17"/>
      <x:c r="Q9" s="17"/>
      <x:c r="R9" s="17"/>
      <x:c r="S9" s="17"/>
      <x:c r="T9" s="17"/>
      <x:c r="U9" s="17"/>
      <x:c r="V9" s="17"/>
      <x:c r="W9" s="17"/>
      <x:c r="X9" s="17"/>
      <x:c r="Y9" s="17"/>
      <x:c r="Z9" s="17"/>
    </x:row>
    <x:row r="10">
      <x:c r="A10" s="17" t="str">
        <x:v>Weighted R^2</x:v>
      </x:c>
      <x:c r="B10" s="17" t="n">
        <x:v>0.7340008127462208</x:v>
      </x:c>
      <x:c r="C10" s="17"/>
      <x:c r="D10" s="17"/>
      <x:c r="E10" s="17"/>
      <x:c r="F10" s="17"/>
      <x:c r="G10" s="17"/>
      <x:c r="H10" s="17"/>
      <x:c r="I10" s="17"/>
      <x:c r="J10" s="17"/>
      <x:c r="K10" s="17"/>
      <x:c r="L10" s="17"/>
      <x:c r="M10" s="17"/>
      <x:c r="N10" s="17"/>
      <x:c r="O10" s="17"/>
      <x:c r="P10" s="17"/>
      <x:c r="Q10" s="17"/>
      <x:c r="R10" s="17"/>
      <x:c r="S10" s="17"/>
      <x:c r="T10" s="17"/>
      <x:c r="U10" s="17"/>
      <x:c r="V10" s="17"/>
      <x:c r="W10" s="17"/>
      <x:c r="X10" s="17"/>
      <x:c r="Y10" s="17"/>
      <x:c r="Z10" s="17"/>
    </x:row>
    <x:row r="11">
      <x:c r="A11" s="17" t="str">
        <x:v>RMSE log10 params</x:v>
      </x:c>
      <x:c r="B11" s="17" t="n">
        <x:v>0.4568124596472265</x:v>
      </x:c>
      <x:c r="C11" s="17"/>
      <x:c r="D11" s="17"/>
      <x:c r="E11" s="17"/>
      <x:c r="F11" s="17"/>
      <x:c r="G11" s="17"/>
      <x:c r="H11" s="17"/>
      <x:c r="I11" s="17"/>
      <x:c r="J11" s="17"/>
      <x:c r="K11" s="17"/>
      <x:c r="L11" s="17"/>
      <x:c r="M11" s="17"/>
      <x:c r="N11" s="17"/>
      <x:c r="O11" s="17"/>
      <x:c r="P11" s="17"/>
      <x:c r="Q11" s="17"/>
      <x:c r="R11" s="17"/>
      <x:c r="S11" s="17"/>
      <x:c r="T11" s="17"/>
      <x:c r="U11" s="17"/>
      <x:c r="V11" s="17"/>
      <x:c r="W11" s="17"/>
      <x:c r="X11" s="17"/>
      <x:c r="Y11" s="17"/>
      <x:c r="Z11" s="17"/>
    </x:row>
    <x:row r="12">
      <x:c r="A12" s="17" t="str">
        <x:v>N</x:v>
      </x:c>
      <x:c r="B12" s="17" t="n">
        <x:v>58</x:v>
      </x:c>
      <x:c r="C12" s="17"/>
      <x:c r="D12" s="17"/>
      <x:c r="E12" s="17"/>
      <x:c r="F12" s="17"/>
      <x:c r="G12" s="17"/>
      <x:c r="H12" s="17"/>
      <x:c r="I12" s="17"/>
      <x:c r="J12" s="17"/>
      <x:c r="K12" s="17"/>
      <x:c r="L12" s="17"/>
      <x:c r="M12" s="17"/>
      <x:c r="N12" s="17"/>
      <x:c r="O12" s="17"/>
      <x:c r="P12" s="17"/>
      <x:c r="Q12" s="17"/>
      <x:c r="R12" s="17"/>
      <x:c r="S12" s="17"/>
      <x:c r="T12" s="17"/>
      <x:c r="U12" s="17"/>
      <x:c r="V12" s="17"/>
      <x:c r="W12" s="17"/>
      <x:c r="X12" s="17"/>
      <x:c r="Y12" s="17"/>
      <x:c r="Z12" s="17"/>
    </x:row>
    <x:row r="13">
      <x:c r="A13" s="17" t="str">
        <x:v>Parameter multiplier per +1 ECI</x:v>
      </x:c>
      <x:c r="B13" s="17" t="n">
        <x:v>1.1595714836601247</x:v>
      </x:c>
      <x:c r="C13" s="17"/>
      <x:c r="D13" s="17"/>
      <x:c r="E13" s="17"/>
      <x:c r="F13" s="17"/>
      <x:c r="G13" s="17"/>
      <x:c r="H13" s="17"/>
      <x:c r="I13" s="17"/>
      <x:c r="J13" s="17"/>
      <x:c r="K13" s="17"/>
      <x:c r="L13" s="17"/>
      <x:c r="M13" s="17"/>
      <x:c r="N13" s="17"/>
      <x:c r="O13" s="17"/>
      <x:c r="P13" s="17"/>
      <x:c r="Q13" s="17"/>
      <x:c r="R13" s="17"/>
      <x:c r="S13" s="17"/>
      <x:c r="T13" s="17"/>
      <x:c r="U13" s="17"/>
      <x:c r="V13" s="17"/>
      <x:c r="W13" s="17"/>
      <x:c r="X13" s="17"/>
      <x:c r="Y13" s="17"/>
      <x:c r="Z13" s="17"/>
    </x:row>
    <x:row r="14">
      <x:c r="A14" s="17" t="str">
        <x:v>Parameter multiplier per later year at fixed ECI</x:v>
      </x:c>
      <x:c r="B14" s="17" t="n">
        <x:v>0.4457301881304288</x:v>
      </x:c>
      <x:c r="C14" s="17"/>
      <x:c r="D14" s="17"/>
      <x:c r="E14" s="17"/>
      <x:c r="F14" s="17"/>
      <x:c r="G14" s="17"/>
      <x:c r="H14" s="17"/>
      <x:c r="I14" s="17"/>
      <x:c r="J14" s="17"/>
      <x:c r="K14" s="17"/>
      <x:c r="L14" s="17"/>
      <x:c r="M14" s="17"/>
      <x:c r="N14" s="17"/>
      <x:c r="O14" s="17"/>
      <x:c r="P14" s="17"/>
      <x:c r="Q14" s="17"/>
      <x:c r="R14" s="17"/>
      <x:c r="S14" s="17"/>
      <x:c r="T14" s="17"/>
      <x:c r="U14" s="17"/>
      <x:c r="V14" s="17"/>
      <x:c r="W14" s="17"/>
      <x:c r="X14" s="17"/>
      <x:c r="Y14" s="17"/>
      <x:c r="Z14" s="17"/>
    </x:row>
    <x:row r="15">
      <x:c r="A15" s="17" t="str">
        <x:v>Equivalent yearly efficiency gain</x:v>
      </x:c>
      <x:c r="B15" s="17" t="n">
        <x:v>2.243509698533997</x:v>
      </x:c>
      <x:c r="C15" s="17"/>
      <x:c r="D15" s="17"/>
      <x:c r="E15" s="17"/>
      <x:c r="F15" s="17"/>
      <x:c r="G15" s="17"/>
      <x:c r="H15" s="17"/>
      <x:c r="I15" s="17"/>
      <x:c r="J15" s="17"/>
      <x:c r="K15" s="17"/>
      <x:c r="L15" s="17"/>
      <x:c r="M15" s="17"/>
      <x:c r="N15" s="17"/>
      <x:c r="O15" s="17"/>
      <x:c r="P15" s="17"/>
      <x:c r="Q15" s="17"/>
      <x:c r="R15" s="17"/>
      <x:c r="S15" s="17"/>
      <x:c r="T15" s="17"/>
      <x:c r="U15" s="17"/>
      <x:c r="V15" s="17"/>
      <x:c r="W15" s="17"/>
      <x:c r="X15" s="17"/>
      <x:c r="Y15" s="17"/>
      <x:c r="Z15" s="17"/>
    </x:row>
    <x:row r="16">
      <x:c r="A16" s="17"/>
      <x:c r="B16" s="17"/>
      <x:c r="C16" s="17"/>
      <x:c r="D16" s="17"/>
      <x:c r="E16" s="17"/>
      <x:c r="F16" s="17"/>
      <x:c r="G16" s="17"/>
      <x:c r="H16" s="17"/>
      <x:c r="I16" s="17"/>
      <x:c r="J16" s="17"/>
      <x:c r="K16" s="17"/>
      <x:c r="L16" s="17"/>
      <x:c r="M16" s="17"/>
      <x:c r="N16" s="17"/>
      <x:c r="O16" s="17"/>
      <x:c r="P16" s="17"/>
      <x:c r="Q16" s="17"/>
      <x:c r="R16" s="17"/>
      <x:c r="S16" s="17"/>
      <x:c r="T16" s="17"/>
      <x:c r="U16" s="17"/>
      <x:c r="V16" s="17"/>
      <x:c r="W16" s="17"/>
      <x:c r="X16" s="17"/>
      <x:c r="Y16" s="17"/>
      <x:c r="Z16" s="17"/>
    </x:row>
    <x:row r="17">
      <x:c r="A17" s="17"/>
      <x:c r="B17" s="17"/>
      <x:c r="C17" s="17"/>
      <x:c r="D17" s="17"/>
      <x:c r="E17" s="17"/>
      <x:c r="F17" s="17"/>
      <x:c r="G17" s="17"/>
      <x:c r="H17" s="17"/>
      <x:c r="I17" s="17"/>
      <x:c r="J17" s="17"/>
      <x:c r="K17" s="17"/>
      <x:c r="L17" s="17"/>
      <x:c r="M17" s="17"/>
      <x:c r="N17" s="17"/>
      <x:c r="O17" s="17"/>
      <x:c r="P17" s="17"/>
      <x:c r="Q17" s="17"/>
      <x:c r="R17" s="17"/>
      <x:c r="S17" s="17"/>
      <x:c r="T17" s="17"/>
      <x:c r="U17" s="17"/>
      <x:c r="V17" s="17"/>
      <x:c r="W17" s="17"/>
      <x:c r="X17" s="17"/>
      <x:c r="Y17" s="17"/>
      <x:c r="Z17" s="17"/>
    </x:row>
    <x:row r="18">
      <x:c r="A18" s="17" t="str">
        <x:v>Inverse sensitivity intercept</x:v>
      </x:c>
      <x:c r="B18" s="17" t="n">
        <x:v>45.02470067746367</x:v>
      </x:c>
      <x:c r="C18" s="17"/>
      <x:c r="D18" s="17"/>
      <x:c r="E18" s="17"/>
      <x:c r="F18" s="17"/>
      <x:c r="G18" s="17"/>
      <x:c r="H18" s="17"/>
      <x:c r="I18" s="17"/>
      <x:c r="J18" s="17"/>
      <x:c r="K18" s="17"/>
      <x:c r="L18" s="17"/>
      <x:c r="M18" s="17"/>
      <x:c r="N18" s="17"/>
      <x:c r="O18" s="17"/>
      <x:c r="P18" s="17"/>
      <x:c r="Q18" s="17"/>
      <x:c r="R18" s="17"/>
      <x:c r="S18" s="17"/>
      <x:c r="T18" s="17"/>
      <x:c r="U18" s="17"/>
      <x:c r="V18" s="17"/>
      <x:c r="W18" s="17"/>
      <x:c r="X18" s="17"/>
      <x:c r="Y18" s="17"/>
      <x:c r="Z18" s="17"/>
    </x:row>
    <x:row r="19">
      <x:c r="A19" s="17" t="str">
        <x:v>Inverse sensitivity log10 params coefficient</x:v>
      </x:c>
      <x:c r="B19" s="17" t="n">
        <x:v>5.798162013680883</x:v>
      </x:c>
      <x:c r="C19" s="17"/>
      <x:c r="D19" s="17"/>
      <x:c r="E19" s="17"/>
      <x:c r="F19" s="17"/>
      <x:c r="G19" s="17"/>
      <x:c r="H19" s="17"/>
      <x:c r="I19" s="17"/>
      <x:c r="J19" s="17"/>
      <x:c r="K19" s="17"/>
      <x:c r="L19" s="17"/>
      <x:c r="M19" s="17"/>
      <x:c r="N19" s="17"/>
      <x:c r="O19" s="17"/>
      <x:c r="P19" s="17"/>
      <x:c r="Q19" s="17"/>
      <x:c r="R19" s="17"/>
      <x:c r="S19" s="17"/>
      <x:c r="T19" s="17"/>
      <x:c r="U19" s="17"/>
      <x:c r="V19" s="17"/>
      <x:c r="W19" s="17"/>
      <x:c r="X19" s="17"/>
      <x:c r="Y19" s="17"/>
      <x:c r="Z19" s="17"/>
    </x:row>
    <x:row r="20">
      <x:c r="A20" s="17" t="str">
        <x:v>Inverse sensitivity years coefficient</x:v>
      </x:c>
      <x:c r="B20" s="17" t="n">
        <x:v>10.903814959525159</x:v>
      </x:c>
      <x:c r="C20" s="17"/>
      <x:c r="D20" s="17"/>
      <x:c r="E20" s="17"/>
      <x:c r="F20" s="17"/>
      <x:c r="G20" s="17"/>
      <x:c r="H20" s="17"/>
      <x:c r="I20" s="17"/>
      <x:c r="J20" s="17"/>
      <x:c r="K20" s="17"/>
      <x:c r="L20" s="17"/>
      <x:c r="M20" s="17"/>
      <x:c r="N20" s="17"/>
      <x:c r="O20" s="17"/>
      <x:c r="P20" s="17"/>
      <x:c r="Q20" s="17"/>
      <x:c r="R20" s="17"/>
      <x:c r="S20" s="17"/>
      <x:c r="T20" s="17"/>
      <x:c r="U20" s="17"/>
      <x:c r="V20" s="17"/>
      <x:c r="W20" s="17"/>
      <x:c r="X20" s="17"/>
      <x:c r="Y20" s="17"/>
      <x:c r="Z20" s="17"/>
    </x:row>
    <x:row r="21">
      <x:c r="A21" s="17" t="str">
        <x:v>Inverse sensitivity R^2</x:v>
      </x:c>
      <x:c r="B21" s="17" t="n">
        <x:v>0.9411650498179159</x:v>
      </x:c>
      <x:c r="C21" s="17"/>
      <x:c r="D21" s="17"/>
      <x:c r="E21" s="17"/>
      <x:c r="F21" s="17"/>
      <x:c r="G21" s="17"/>
      <x:c r="H21" s="17"/>
      <x:c r="I21" s="17"/>
      <x:c r="J21" s="17"/>
      <x:c r="K21" s="17"/>
      <x:c r="L21" s="17"/>
      <x:c r="M21" s="17"/>
      <x:c r="N21" s="17"/>
      <x:c r="O21" s="17"/>
      <x:c r="P21" s="17"/>
      <x:c r="Q21" s="17"/>
      <x:c r="R21" s="17"/>
      <x:c r="S21" s="17"/>
      <x:c r="T21" s="17"/>
      <x:c r="U21" s="17"/>
      <x:c r="V21" s="17"/>
      <x:c r="W21" s="17"/>
      <x:c r="X21" s="17"/>
      <x:c r="Y21" s="17"/>
      <x:c r="Z21" s="17"/>
    </x:row>
    <x:row r="22">
      <x:c r="A22" s="17" t="str">
        <x:v>Inverse sensitivity RMSE ECI</x:v>
      </x:c>
      <x:c r="B22" s="17" t="n">
        <x:v>5.962170158659284</x:v>
      </x:c>
      <x:c r="C22" s="17"/>
      <x:c r="D22" s="17"/>
      <x:c r="E22" s="17"/>
      <x:c r="F22" s="17"/>
      <x:c r="G22" s="17"/>
      <x:c r="H22" s="17"/>
      <x:c r="I22" s="17"/>
      <x:c r="J22" s="17"/>
      <x:c r="K22" s="17"/>
      <x:c r="L22" s="17"/>
      <x:c r="M22" s="17"/>
      <x:c r="N22" s="17"/>
      <x:c r="O22" s="17"/>
      <x:c r="P22" s="17"/>
      <x:c r="Q22" s="17"/>
      <x:c r="R22" s="17"/>
      <x:c r="S22" s="17"/>
      <x:c r="T22" s="17"/>
      <x:c r="U22" s="17"/>
      <x:c r="V22" s="17"/>
      <x:c r="W22" s="17"/>
      <x:c r="X22" s="17"/>
      <x:c r="Y22" s="17"/>
      <x:c r="Z22" s="17"/>
    </x:row>
    <x:row r="23">
      <x:c r="A23" s="17"/>
      <x:c r="B23" s="17"/>
      <x:c r="C23" s="17"/>
      <x:c r="D23" s="17"/>
      <x:c r="E23" s="17"/>
      <x:c r="F23" s="17"/>
      <x:c r="G23" s="17"/>
      <x:c r="H23" s="17"/>
      <x:c r="I23" s="17"/>
      <x:c r="J23" s="17"/>
      <x:c r="K23" s="17"/>
      <x:c r="L23" s="17"/>
      <x:c r="M23" s="17"/>
      <x:c r="N23" s="17"/>
      <x:c r="O23" s="17"/>
      <x:c r="P23" s="17"/>
      <x:c r="Q23" s="17"/>
      <x:c r="R23" s="17"/>
      <x:c r="S23" s="17"/>
      <x:c r="T23" s="17"/>
      <x:c r="U23" s="17"/>
      <x:c r="V23" s="17"/>
      <x:c r="W23" s="17"/>
      <x:c r="X23" s="17"/>
      <x:c r="Y23" s="17"/>
      <x:c r="Z23" s="17"/>
    </x:row>
    <x:row r="24">
      <x:c r="A24" s="17"/>
      <x:c r="B24" s="17"/>
      <x:c r="C24" s="17"/>
      <x:c r="D24" s="17"/>
      <x:c r="E24" s="17"/>
      <x:c r="F24" s="17"/>
      <x:c r="G24" s="17"/>
      <x:c r="H24" s="17"/>
      <x:c r="I24" s="17"/>
      <x:c r="J24" s="17"/>
      <x:c r="K24" s="17"/>
      <x:c r="L24" s="17"/>
      <x:c r="M24" s="17"/>
      <x:c r="N24" s="17"/>
      <x:c r="O24" s="17"/>
      <x:c r="P24" s="17"/>
      <x:c r="Q24" s="17"/>
      <x:c r="R24" s="17"/>
      <x:c r="S24" s="17"/>
      <x:c r="T24" s="17"/>
      <x:c r="U24" s="17"/>
      <x:c r="V24" s="17"/>
      <x:c r="W24" s="17"/>
      <x:c r="X24" s="17"/>
      <x:c r="Y24" s="17"/>
      <x:c r="Z24" s="17"/>
    </x:row>
    <x:row r="25">
      <x:c r="A25" s="17" t="str">
        <x:v>Model spec</x:v>
      </x:c>
      <x:c r="B25" s="17" t="str">
        <x:v>N</x:v>
      </x:c>
      <x:c r="C25" s="17" t="str">
        <x:v>Min date</x:v>
      </x:c>
      <x:c r="D25" s="17" t="str">
        <x:v>Min total params (B)</x:v>
      </x:c>
      <x:c r="E25" s="17" t="str">
        <x:v>Dependent variable</x:v>
      </x:c>
      <x:c r="F25" s="17" t="str">
        <x:v>Intercept</x:v>
      </x:c>
      <x:c r="G25" s="17" t="str">
        <x:v>ECI coefficient</x:v>
      </x:c>
      <x:c r="H25" s="17" t="str">
        <x:v>Years coefficient</x:v>
      </x:c>
      <x:c r="I25" s="17" t="str">
        <x:v>Weighted R^2</x:v>
      </x:c>
      <x:c r="J25" s="17" t="str">
        <x:v>RMSE log10 params</x:v>
      </x:c>
      <x:c r="K25" s="17" t="str">
        <x:v>LOO RMSE log10 params</x:v>
      </x:c>
      <x:c r="L25" s="17" t="str">
        <x:v>Implied params for GPT-5.6 Sol (B)</x:v>
      </x:c>
      <x:c r="M25" s="17" t="str">
        <x:v>Calendar improvement factor/year at fixed ECI</x:v>
      </x:c>
      <x:c r="N25" s="17" t="str">
        <x:v>Param factor per +1 ECI</x:v>
      </x:c>
      <x:c r="O25" s="17"/>
      <x:c r="P25" s="17"/>
      <x:c r="Q25" s="17"/>
      <x:c r="R25" s="17"/>
      <x:c r="S25" s="17"/>
      <x:c r="T25" s="17"/>
      <x:c r="U25" s="17"/>
      <x:c r="V25" s="17"/>
      <x:c r="W25" s="17"/>
      <x:c r="X25" s="17"/>
      <x:c r="Y25" s="17"/>
      <x:c r="Z25" s="17"/>
    </x:row>
    <x:row r="26">
      <x:c r="A26" s="17" t="str">
        <x:v>Central: 2023+ open-weight, &gt;=10B params, direct log-param WLS</x:v>
      </x:c>
      <x:c r="B26" s="17" t="n">
        <x:v>58</x:v>
      </x:c>
      <x:c r="C26" s="17" t="n">
        <x:v>44927</x:v>
      </x:c>
      <x:c r="D26" s="17" t="n">
        <x:v>10</x:v>
      </x:c>
      <x:c r="E26" s="17" t="str">
        <x:v>log10(total parameters)</x:v>
      </x:c>
      <x:c r="F26" s="17" t="n">
        <x:v>3.4585141554296785</x:v>
      </x:c>
      <x:c r="G26" s="17" t="n">
        <x:v>0.06429752658522685</x:v>
      </x:c>
      <x:c r="H26" s="17" t="n">
        <x:v>-0.35092795129752774</x:v>
      </x:c>
      <x:c r="I26" s="17" t="n">
        <x:v>0.7340008127462208</x:v>
      </x:c>
      <x:c r="J26" s="17" t="n">
        <x:v>0.4568124596472265</x:v>
      </x:c>
      <x:c r="K26" s="17" t="n">
        <x:v>0.4786953420081606</x:v>
      </x:c>
      <x:c r="L26" s="17" t="n">
        <x:v>4219.995410539994</x:v>
      </x:c>
      <x:c r="M26" s="17" t="n">
        <x:v>2.243509698533997</x:v>
      </x:c>
      <x:c r="N26" s="17" t="n">
        <x:v>1.1595714836601247</x:v>
      </x:c>
      <x:c r="O26" s="17"/>
      <x:c r="P26" s="17"/>
      <x:c r="Q26" s="17"/>
      <x:c r="R26" s="17"/>
      <x:c r="S26" s="17"/>
      <x:c r="T26" s="17"/>
      <x:c r="U26" s="17"/>
      <x:c r="V26" s="17"/>
      <x:c r="W26" s="17"/>
      <x:c r="X26" s="17"/>
      <x:c r="Y26" s="17"/>
      <x:c r="Z26" s="17"/>
    </x:row>
    <x:row r="27">
      <x:c r="A27" s="17" t="str">
        <x:v>All 2023+ open-weight direct log-param WLS</x:v>
      </x:c>
      <x:c r="B27" s="17" t="n">
        <x:v>82</x:v>
      </x:c>
      <x:c r="C27" s="17" t="n">
        <x:v>44927</x:v>
      </x:c>
      <x:c r="D27" s="17" t="n">
        <x:v>0</x:v>
      </x:c>
      <x:c r="E27" s="17" t="str">
        <x:v>log10(total parameters)</x:v>
      </x:c>
      <x:c r="F27" s="17" t="n">
        <x:v>4.05003563110486</x:v>
      </x:c>
      <x:c r="G27" s="17" t="n">
        <x:v>0.05790174016296787</x:v>
      </x:c>
      <x:c r="H27" s="17" t="n">
        <x:v>-0.2378072898834216</x:v>
      </x:c>
      <x:c r="I27" s="17" t="n">
        <x:v>0.7856644827000391</x:v>
      </x:c>
      <x:c r="J27" s="17" t="n">
        <x:v>0.5033825965613057</x:v>
      </x:c>
      <x:c r="K27" s="17" t="n">
        <x:v>0.5199024002242301</x:v>
      </x:c>
      <x:c r="L27" s="17" t="n">
        <x:v>3803.3055036415544</x:v>
      </x:c>
      <x:c r="M27" s="17" t="n">
        <x:v>1.7290489555812982</x:v>
      </x:c>
      <x:c r="N27" s="17" t="n">
        <x:v>1.14261978594644</x:v>
      </x:c>
      <x:c r="O27" s="17"/>
      <x:c r="P27" s="17"/>
      <x:c r="Q27" s="17"/>
      <x:c r="R27" s="17"/>
      <x:c r="S27" s="17"/>
      <x:c r="T27" s="17"/>
      <x:c r="U27" s="17"/>
      <x:c r="V27" s="17"/>
      <x:c r="W27" s="17"/>
      <x:c r="X27" s="17"/>
      <x:c r="Y27" s="17"/>
      <x:c r="Z27" s="17"/>
    </x:row>
    <x:row r="28">
      <x:c r="A28" s="17" t="str">
        <x:v>2023+ open-weight &gt;=100B direct log-param WLS</x:v>
      </x:c>
      <x:c r="B28" s="17" t="n">
        <x:v>27</x:v>
      </x:c>
      <x:c r="C28" s="17" t="n">
        <x:v>44927</x:v>
      </x:c>
      <x:c r="D28" s="17" t="n">
        <x:v>100</x:v>
      </x:c>
      <x:c r="E28" s="17" t="str">
        <x:v>log10(total parameters)</x:v>
      </x:c>
      <x:c r="F28" s="17" t="n">
        <x:v>5.748704979277983</x:v>
      </x:c>
      <x:c r="G28" s="17" t="n">
        <x:v>0.04653087888544048</x:v>
      </x:c>
      <x:c r="H28" s="17" t="n">
        <x:v>-0.2381262221980376</x:v>
      </x:c>
      <x:c r="I28" s="17" t="n">
        <x:v>0.4250564692704415</x:v>
      </x:c>
      <x:c r="J28" s="17" t="n">
        <x:v>0.2705662689371151</x:v>
      </x:c>
      <x:c r="K28" s="17" t="n">
        <x:v>0.29309447666850974</x:v>
      </x:c>
      <x:c r="L28" s="17" t="n">
        <x:v>2743.1166941923766</x:v>
      </x:c>
      <x:c r="M28" s="17" t="n">
        <x:v>1.730319181526442</x:v>
      </x:c>
      <x:c r="N28" s="17" t="n">
        <x:v>1.1130915322001882</x:v>
      </x:c>
      <x:c r="O28" s="17"/>
      <x:c r="P28" s="17"/>
      <x:c r="Q28" s="17"/>
      <x:c r="R28" s="17"/>
      <x:c r="S28" s="17"/>
      <x:c r="T28" s="17"/>
      <x:c r="U28" s="17"/>
      <x:c r="V28" s="17"/>
      <x:c r="W28" s="17"/>
      <x:c r="X28" s="17"/>
      <x:c r="Y28" s="17"/>
      <x:c r="Z28" s="17"/>
    </x:row>
    <x:row r="29">
      <x:c r="A29" s="17" t="str">
        <x:v>2025+ open-weight direct log-param WLS</x:v>
      </x:c>
      <x:c r="B29" s="17" t="n">
        <x:v>26</x:v>
      </x:c>
      <x:c r="C29" s="17" t="n">
        <x:v>45658</x:v>
      </x:c>
      <x:c r="D29" s="17" t="n">
        <x:v>10</x:v>
      </x:c>
      <x:c r="E29" s="17" t="str">
        <x:v>log10(total parameters)</x:v>
      </x:c>
      <x:c r="F29" s="17" t="n">
        <x:v>1.036220453034049</x:v>
      </x:c>
      <x:c r="G29" s="17" t="n">
        <x:v>0.08391826210343374</x:v>
      </x:c>
      <x:c r="H29" s="17" t="n">
        <x:v>-0.4960362573814</x:v>
      </x:c>
      <x:c r="I29" s="17" t="n">
        <x:v>0.6367161778636228</x:v>
      </x:c>
      <x:c r="J29" s="17" t="n">
        <x:v>0.3063253691685199</x:v>
      </x:c>
      <x:c r="K29" s="17" t="n">
        <x:v>0.3367889617197527</x:v>
      </x:c>
      <x:c r="L29" s="17" t="n">
        <x:v>7354.507197740522</x:v>
      </x:c>
      <x:c r="M29" s="17" t="n">
        <x:v>3.1335473198057278</x:v>
      </x:c>
      <x:c r="N29" s="17" t="n">
        <x:v>1.2131605019046614</x:v>
      </x:c>
      <x:c r="O29" s="17"/>
      <x:c r="P29" s="17"/>
      <x:c r="Q29" s="17"/>
      <x:c r="R29" s="17"/>
      <x:c r="S29" s="17"/>
      <x:c r="T29" s="17"/>
      <x:c r="U29" s="17"/>
      <x:c r="V29" s="17"/>
      <x:c r="W29" s="17"/>
      <x:c r="X29" s="17"/>
      <x:c r="Y29" s="17"/>
      <x:c r="Z29" s="17"/>
    </x:row>
    <x:row r="30">
      <x:c r="A30" s="17" t="str">
        <x:v>Last-12-month open-weight direct log-param WLS</x:v>
      </x:c>
      <x:c r="B30" s="17" t="n">
        <x:v>17</x:v>
      </x:c>
      <x:c r="C30" s="17" t="n">
        <x:v>45854</x:v>
      </x:c>
      <x:c r="D30" s="17" t="n">
        <x:v>10</x:v>
      </x:c>
      <x:c r="E30" s="17" t="str">
        <x:v>log10(total parameters)</x:v>
      </x:c>
      <x:c r="F30" s="17" t="n">
        <x:v>4.334981123373012</x:v>
      </x:c>
      <x:c r="G30" s="17" t="n">
        <x:v>0.05037306011196367</x:v>
      </x:c>
      <x:c r="H30" s="17" t="n">
        <x:v>0.03218123632711365</x:v>
      </x:c>
      <x:c r="I30" s="17" t="n">
        <x:v>0.482083518420078</x:v>
      </x:c>
      <x:c r="J30" s="17" t="n">
        <x:v>0.2509901623553377</x:v>
      </x:c>
      <x:c r="K30" s="17" t="n">
        <x:v>0.29298234432208636</x:v>
      </x:c>
      <x:c r="L30" s="17" t="n">
        <x:v>3954.1131835209467</x:v>
      </x:c>
      <x:c r="M30" s="17" t="n">
        <x:v>0.9285787987768411</x:v>
      </x:c>
      <x:c r="N30" s="17" t="n">
        <x:v>1.1229826852096356</x:v>
      </x:c>
      <x:c r="O30" s="17"/>
      <x:c r="P30" s="17"/>
      <x:c r="Q30" s="17"/>
      <x:c r="R30" s="17"/>
      <x:c r="S30" s="17"/>
      <x:c r="T30" s="17"/>
      <x:c r="U30" s="17"/>
      <x:c r="V30" s="17"/>
      <x:c r="W30" s="17"/>
      <x:c r="X30" s="17"/>
      <x:c r="Y30" s="17"/>
      <x:c r="Z30" s="17"/>
    </x:row>
    <x:row r="31">
      <x:c r="A31" s="18" t="str">
        <x:v>Sensitivity only: inverse WLS ECI ~ log10(params)+years, &gt;=10B</x:v>
      </x:c>
      <x:c r="B31" s="18" t="n">
        <x:v>58</x:v>
      </x:c>
      <x:c r="C31" s="18" t="n">
        <x:v>44927</x:v>
      </x:c>
      <x:c r="D31" s="18" t="n">
        <x:v>10</x:v>
      </x:c>
      <x:c r="E31" s="18" t="str">
        <x:v>ECI, inverted to params</x:v>
      </x:c>
      <x:c r="F31" s="18" t="n">
        <x:v>45.02470067746367</x:v>
      </x:c>
      <x:c r="G31" s="18"/>
      <x:c r="H31" s="18" t="n">
        <x:v>10.903814959525159</x:v>
      </x:c>
      <x:c r="I31" s="18" t="n">
        <x:v>0.9411650498179159</x:v>
      </x:c>
      <x:c r="J31" s="18"/>
      <x:c r="K31" s="18"/>
      <x:c r="L31" s="18" t="n">
        <x:v>33021.45616672974</x:v>
      </x:c>
      <x:c r="M31" s="18"/>
      <x:c r="N31" s="18"/>
      <x:c r="O31" s="18"/>
      <x:c r="P31" s="18"/>
      <x:c r="Q31" s="18"/>
      <x:c r="R31" s="18"/>
      <x:c r="S31" s="18"/>
      <x:c r="T31" s="18"/>
      <x:c r="U31" s="18"/>
      <x:c r="V31" s="18"/>
      <x:c r="W31" s="18"/>
      <x:c r="X31" s="18"/>
      <x:c r="Y31" s="18"/>
      <x:c r="Z31" s="18"/>
    </x:row>
  </x:sheetData>
  <x:pageMargins left="0.7" right="0.7" top="0.75" bottom="0.75" header="0.3" footer="0.3"/>
</x:worksheet>
</file>

<file path=xl/worksheets/sheet22.xml><?xml version="1.0" encoding="utf-8"?>
<x:worksheet xmlns:x="http://schemas.openxmlformats.org/spreadsheetml/2006/main">
  <x:sheetViews>
    <x:sheetView showGridLines="0" workbookViewId="0"/>
  </x:sheetViews>
  <x:sheetFormatPr defaultRowHeight="15"/>
  <x:cols>
    <x:col min="1" max="1" width="36" hidden="0" customWidth="1"/>
    <x:col min="2" max="2" width="3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34" customHeight="1">
      <x:c r="A1" s="71" t="str">
        <x:v>Model</x:v>
      </x:c>
      <x:c r="B1" s="71" t="str">
        <x:v>Display name</x:v>
      </x:c>
      <x:c r="C1" s="71" t="str">
        <x:v>Date</x:v>
      </x:c>
      <x:c r="D1" s="71" t="str">
        <x:v>ECI</x:v>
      </x:c>
      <x:c r="E1" s="71" t="str">
        <x:v>ECI CI low</x:v>
      </x:c>
      <x:c r="F1" s="71" t="str">
        <x:v>ECI CI high</x:v>
      </x:c>
      <x:c r="G1" s="71" t="str">
        <x:v>Organization</x:v>
      </x:c>
      <x:c r="H1" s="71" t="str">
        <x:v>Country (of organization)</x:v>
      </x:c>
      <x:c r="I1" s="71" t="str">
        <x:v>Model accessibility</x:v>
      </x:c>
      <x:c r="J1" s="71" t="str">
        <x:v>Accessibility group</x:v>
      </x:c>
      <x:c r="K1" s="71" t="str">
        <x:v>Model versions</x:v>
      </x:c>
      <x:c r="L1" s="71"/>
      <x:c r="M1" s="71"/>
      <x:c r="N1" s="71"/>
      <x:c r="O1" s="71"/>
      <x:c r="P1" s="71"/>
      <x:c r="Q1" s="71"/>
      <x:c r="R1" s="71"/>
      <x:c r="S1" s="71"/>
      <x:c r="T1" s="71"/>
      <x:c r="U1" s="71"/>
      <x:c r="V1" s="71"/>
      <x:c r="W1" s="71"/>
      <x:c r="X1" s="71"/>
      <x:c r="Y1" s="71"/>
      <x:c r="Z1" s="71"/>
    </x:row>
    <x:row r="2">
      <x:c r="A2" s="16" t="str">
        <x:v>GPT-5.6 Sol</x:v>
      </x:c>
      <x:c r="B2" s="16" t="str">
        <x:v>GPT-5.6 Sol</x:v>
      </x:c>
      <x:c r="C2" s="16" t="n">
        <x:v>46212</x:v>
      </x:c>
      <x:c r="D2" s="16" t="n">
        <x:v>161.77</x:v>
      </x:c>
      <x:c r="E2" s="16" t="n">
        <x:v>159.26</x:v>
      </x:c>
      <x:c r="F2" s="16" t="n">
        <x:v>166.01</x:v>
      </x:c>
      <x:c r="G2" s="16" t="str">
        <x:v>OpenAI</x:v>
      </x:c>
      <x:c r="H2" s="16" t="str">
        <x:v>United States of America</x:v>
      </x:c>
      <x:c r="I2" s="16" t="str">
        <x:v>API access</x:v>
      </x:c>
      <x:c r="J2" s="16" t="str">
        <x:v>Closed weights</x:v>
      </x:c>
      <x:c r="K2" s="16"/>
      <x:c r="L2" s="16"/>
      <x:c r="M2" s="16"/>
      <x:c r="N2" s="16"/>
      <x:c r="O2" s="16"/>
      <x:c r="P2" s="16"/>
      <x:c r="Q2" s="16"/>
      <x:c r="R2" s="16"/>
      <x:c r="S2" s="16"/>
      <x:c r="T2" s="16"/>
      <x:c r="U2" s="16"/>
      <x:c r="V2" s="16"/>
      <x:c r="W2" s="16"/>
      <x:c r="X2" s="16"/>
      <x:c r="Y2" s="16"/>
      <x:c r="Z2" s="16"/>
    </x:row>
    <x:row r="3">
      <x:c r="A3" s="17" t="str">
        <x:v>GPT-5.5 Pro</x:v>
      </x:c>
      <x:c r="B3" s="17" t="str">
        <x:v>GPT-5.5 Pro</x:v>
      </x:c>
      <x:c r="C3" s="17" t="n">
        <x:v>46135</x:v>
      </x:c>
      <x:c r="D3" s="17" t="n">
        <x:v>160.73</x:v>
      </x:c>
      <x:c r="E3" s="17" t="n">
        <x:v>158.24</x:v>
      </x:c>
      <x:c r="F3" s="17" t="n">
        <x:v>164.36</x:v>
      </x:c>
      <x:c r="G3" s="17" t="str">
        <x:v>OpenAI</x:v>
      </x:c>
      <x:c r="H3" s="17" t="str">
        <x:v>United States of America</x:v>
      </x:c>
      <x:c r="I3" s="17" t="str">
        <x:v>API access</x:v>
      </x:c>
      <x:c r="J3" s="17" t="str">
        <x:v>Closed weights</x:v>
      </x:c>
      <x:c r="K3" s="17"/>
      <x:c r="L3" s="17"/>
      <x:c r="M3" s="17"/>
      <x:c r="N3" s="17"/>
      <x:c r="O3" s="17"/>
      <x:c r="P3" s="17"/>
      <x:c r="Q3" s="17"/>
      <x:c r="R3" s="17"/>
      <x:c r="S3" s="17"/>
      <x:c r="T3" s="17"/>
      <x:c r="U3" s="17"/>
      <x:c r="V3" s="17"/>
      <x:c r="W3" s="17"/>
      <x:c r="X3" s="17"/>
      <x:c r="Y3" s="17"/>
      <x:c r="Z3" s="17"/>
    </x:row>
    <x:row r="4">
      <x:c r="A4" s="17" t="str">
        <x:v>Claude Fable 5</x:v>
      </x:c>
      <x:c r="B4" s="17" t="str">
        <x:v>Claude Fable 5</x:v>
      </x:c>
      <x:c r="C4" s="17" t="n">
        <x:v>46182</x:v>
      </x:c>
      <x:c r="D4" s="17" t="n">
        <x:v>160.44</x:v>
      </x:c>
      <x:c r="E4" s="17" t="n">
        <x:v>158.05</x:v>
      </x:c>
      <x:c r="F4" s="17" t="n">
        <x:v>164.61</x:v>
      </x:c>
      <x:c r="G4" s="17" t="str">
        <x:v>Anthropic</x:v>
      </x:c>
      <x:c r="H4" s="17" t="str">
        <x:v>United States of America</x:v>
      </x:c>
      <x:c r="I4" s="17" t="str">
        <x:v>API access</x:v>
      </x:c>
      <x:c r="J4" s="17" t="str">
        <x:v>Closed weights</x:v>
      </x:c>
      <x:c r="K4" s="17"/>
      <x:c r="L4" s="17"/>
      <x:c r="M4" s="17"/>
      <x:c r="N4" s="17"/>
      <x:c r="O4" s="17"/>
      <x:c r="P4" s="17"/>
      <x:c r="Q4" s="17"/>
      <x:c r="R4" s="17"/>
      <x:c r="S4" s="17"/>
      <x:c r="T4" s="17"/>
      <x:c r="U4" s="17"/>
      <x:c r="V4" s="17"/>
      <x:c r="W4" s="17"/>
      <x:c r="X4" s="17"/>
      <x:c r="Y4" s="17"/>
      <x:c r="Z4" s="17"/>
    </x:row>
    <x:row r="5">
      <x:c r="A5" s="17" t="str">
        <x:v>GPT-5.5</x:v>
      </x:c>
      <x:c r="B5" s="17" t="str">
        <x:v>GPT-5.5</x:v>
      </x:c>
      <x:c r="C5" s="17" t="n">
        <x:v>46135</x:v>
      </x:c>
      <x:c r="D5" s="17" t="n">
        <x:v>158.33</x:v>
      </x:c>
      <x:c r="E5" s="17" t="n">
        <x:v>156.44</x:v>
      </x:c>
      <x:c r="F5" s="17" t="n">
        <x:v>161.43</x:v>
      </x:c>
      <x:c r="G5" s="17" t="str">
        <x:v>OpenAI</x:v>
      </x:c>
      <x:c r="H5" s="17" t="str">
        <x:v>United States of America</x:v>
      </x:c>
      <x:c r="I5" s="17" t="str">
        <x:v>API access</x:v>
      </x:c>
      <x:c r="J5" s="17" t="str">
        <x:v>Closed weights</x:v>
      </x:c>
      <x:c r="K5" s="17"/>
      <x:c r="L5" s="17"/>
      <x:c r="M5" s="17"/>
      <x:c r="N5" s="17"/>
      <x:c r="O5" s="17"/>
      <x:c r="P5" s="17"/>
      <x:c r="Q5" s="17"/>
      <x:c r="R5" s="17"/>
      <x:c r="S5" s="17"/>
      <x:c r="T5" s="17"/>
      <x:c r="U5" s="17"/>
      <x:c r="V5" s="17"/>
      <x:c r="W5" s="17"/>
      <x:c r="X5" s="17"/>
      <x:c r="Y5" s="17"/>
      <x:c r="Z5" s="17"/>
    </x:row>
    <x:row r="6">
      <x:c r="A6" s="17" t="str">
        <x:v>GPT-5.6 Terra</x:v>
      </x:c>
      <x:c r="B6" s="17" t="str">
        <x:v>GPT-5.6 Terra</x:v>
      </x:c>
      <x:c r="C6" s="17" t="n">
        <x:v>46212</x:v>
      </x:c>
      <x:c r="D6" s="17" t="n">
        <x:v>158.25</x:v>
      </x:c>
      <x:c r="E6" s="17" t="n">
        <x:v>155.39</x:v>
      </x:c>
      <x:c r="F6" s="17" t="n">
        <x:v>161.26</x:v>
      </x:c>
      <x:c r="G6" s="17" t="str">
        <x:v>OpenAI</x:v>
      </x:c>
      <x:c r="H6" s="17" t="str">
        <x:v>United States of America</x:v>
      </x:c>
      <x:c r="I6" s="17" t="str">
        <x:v>API access</x:v>
      </x:c>
      <x:c r="J6" s="17" t="str">
        <x:v>Closed weights</x:v>
      </x:c>
      <x:c r="K6" s="17"/>
      <x:c r="L6" s="17"/>
      <x:c r="M6" s="17"/>
      <x:c r="N6" s="17"/>
      <x:c r="O6" s="17"/>
      <x:c r="P6" s="17"/>
      <x:c r="Q6" s="17"/>
      <x:c r="R6" s="17"/>
      <x:c r="S6" s="17"/>
      <x:c r="T6" s="17"/>
      <x:c r="U6" s="17"/>
      <x:c r="V6" s="17"/>
      <x:c r="W6" s="17"/>
      <x:c r="X6" s="17"/>
      <x:c r="Y6" s="17"/>
      <x:c r="Z6" s="17"/>
    </x:row>
    <x:row r="7">
      <x:c r="A7" s="17" t="str">
        <x:v>Claude Opus 4.8</x:v>
      </x:c>
      <x:c r="B7" s="17" t="str">
        <x:v>Claude Opus 4.8</x:v>
      </x:c>
      <x:c r="C7" s="17" t="n">
        <x:v>46170</x:v>
      </x:c>
      <x:c r="D7" s="17" t="n">
        <x:v>157.85</x:v>
      </x:c>
      <x:c r="E7" s="17" t="n">
        <x:v>155.12</x:v>
      </x:c>
      <x:c r="F7" s="17" t="n">
        <x:v>160.58</x:v>
      </x:c>
      <x:c r="G7" s="17" t="str">
        <x:v>Anthropic</x:v>
      </x:c>
      <x:c r="H7" s="17" t="str">
        <x:v>United States of America</x:v>
      </x:c>
      <x:c r="I7" s="17" t="str">
        <x:v>API access</x:v>
      </x:c>
      <x:c r="J7" s="17" t="str">
        <x:v>Closed weights</x:v>
      </x:c>
      <x:c r="K7" s="17"/>
      <x:c r="L7" s="17"/>
      <x:c r="M7" s="17"/>
      <x:c r="N7" s="17"/>
      <x:c r="O7" s="17"/>
      <x:c r="P7" s="17"/>
      <x:c r="Q7" s="17"/>
      <x:c r="R7" s="17"/>
      <x:c r="S7" s="17"/>
      <x:c r="T7" s="17"/>
      <x:c r="U7" s="17"/>
      <x:c r="V7" s="17"/>
      <x:c r="W7" s="17"/>
      <x:c r="X7" s="17"/>
      <x:c r="Y7" s="17"/>
      <x:c r="Z7" s="17"/>
    </x:row>
    <x:row r="8">
      <x:c r="A8" s="17" t="str">
        <x:v>GPT-5.4 Pro</x:v>
      </x:c>
      <x:c r="B8" s="17" t="str">
        <x:v>GPT-5.4 Pro</x:v>
      </x:c>
      <x:c r="C8" s="17" t="n">
        <x:v>46086</x:v>
      </x:c>
      <x:c r="D8" s="17" t="n">
        <x:v>157.83</x:v>
      </x:c>
      <x:c r="E8" s="17" t="n">
        <x:v>155.96</x:v>
      </x:c>
      <x:c r="F8" s="17" t="n">
        <x:v>160.88</x:v>
      </x:c>
      <x:c r="G8" s="17" t="str">
        <x:v>OpenAI</x:v>
      </x:c>
      <x:c r="H8" s="17" t="str">
        <x:v>United States of America</x:v>
      </x:c>
      <x:c r="I8" s="17" t="str">
        <x:v>API access</x:v>
      </x:c>
      <x:c r="J8" s="17" t="str">
        <x:v>Closed weights</x:v>
      </x:c>
      <x:c r="K8" s="17"/>
      <x:c r="L8" s="17"/>
      <x:c r="M8" s="17"/>
      <x:c r="N8" s="17"/>
      <x:c r="O8" s="17"/>
      <x:c r="P8" s="17"/>
      <x:c r="Q8" s="17"/>
      <x:c r="R8" s="17"/>
      <x:c r="S8" s="17"/>
      <x:c r="T8" s="17"/>
      <x:c r="U8" s="17"/>
      <x:c r="V8" s="17"/>
      <x:c r="W8" s="17"/>
      <x:c r="X8" s="17"/>
      <x:c r="Y8" s="17"/>
      <x:c r="Z8" s="17"/>
    </x:row>
    <x:row r="9">
      <x:c r="A9" s="17" t="str">
        <x:v>GPT-5.4</x:v>
      </x:c>
      <x:c r="B9" s="17" t="str">
        <x:v>GPT-5.4</x:v>
      </x:c>
      <x:c r="C9" s="17" t="n">
        <x:v>46086</x:v>
      </x:c>
      <x:c r="D9" s="17" t="n">
        <x:v>156.03</x:v>
      </x:c>
      <x:c r="E9" s="17" t="n">
        <x:v>154.45</x:v>
      </x:c>
      <x:c r="F9" s="17" t="n">
        <x:v>158.37</x:v>
      </x:c>
      <x:c r="G9" s="17" t="str">
        <x:v>OpenAI</x:v>
      </x:c>
      <x:c r="H9" s="17" t="str">
        <x:v>United States of America</x:v>
      </x:c>
      <x:c r="I9" s="17" t="str">
        <x:v>API access</x:v>
      </x:c>
      <x:c r="J9" s="17" t="str">
        <x:v>Closed weights</x:v>
      </x:c>
      <x:c r="K9" s="17"/>
      <x:c r="L9" s="17"/>
      <x:c r="M9" s="17"/>
      <x:c r="N9" s="17"/>
      <x:c r="O9" s="17"/>
      <x:c r="P9" s="17"/>
      <x:c r="Q9" s="17"/>
      <x:c r="R9" s="17"/>
      <x:c r="S9" s="17"/>
      <x:c r="T9" s="17"/>
      <x:c r="U9" s="17"/>
      <x:c r="V9" s="17"/>
      <x:c r="W9" s="17"/>
      <x:c r="X9" s="17"/>
      <x:c r="Y9" s="17"/>
      <x:c r="Z9" s="17"/>
    </x:row>
    <x:row r="10">
      <x:c r="A10" s="17" t="str">
        <x:v>Claude Opus 4.7</x:v>
      </x:c>
      <x:c r="B10" s="17" t="str">
        <x:v>Claude Opus 4.7</x:v>
      </x:c>
      <x:c r="C10" s="17" t="n">
        <x:v>46128</x:v>
      </x:c>
      <x:c r="D10" s="17" t="n">
        <x:v>156.01</x:v>
      </x:c>
      <x:c r="E10" s="17" t="n">
        <x:v>154.07</x:v>
      </x:c>
      <x:c r="F10" s="17" t="n">
        <x:v>158.4</x:v>
      </x:c>
      <x:c r="G10" s="17" t="str">
        <x:v>Anthropic</x:v>
      </x:c>
      <x:c r="H10" s="17" t="str">
        <x:v>United States of America</x:v>
      </x:c>
      <x:c r="I10" s="17" t="str">
        <x:v>API access</x:v>
      </x:c>
      <x:c r="J10" s="17" t="str">
        <x:v>Closed weights</x:v>
      </x:c>
      <x:c r="K10" s="17"/>
      <x:c r="L10" s="17"/>
      <x:c r="M10" s="17"/>
      <x:c r="N10" s="17"/>
      <x:c r="O10" s="17"/>
      <x:c r="P10" s="17"/>
      <x:c r="Q10" s="17"/>
      <x:c r="R10" s="17"/>
      <x:c r="S10" s="17"/>
      <x:c r="T10" s="17"/>
      <x:c r="U10" s="17"/>
      <x:c r="V10" s="17"/>
      <x:c r="W10" s="17"/>
      <x:c r="X10" s="17"/>
      <x:c r="Y10" s="17"/>
      <x:c r="Z10" s="17"/>
    </x:row>
    <x:row r="11">
      <x:c r="A11" s="17" t="str">
        <x:v>GPT-5.6 Luna</x:v>
      </x:c>
      <x:c r="B11" s="17" t="str">
        <x:v>GPT-5.6 Luna</x:v>
      </x:c>
      <x:c r="C11" s="17" t="n">
        <x:v>46212</x:v>
      </x:c>
      <x:c r="D11" s="17" t="n">
        <x:v>155.62</x:v>
      </x:c>
      <x:c r="E11" s="17" t="n">
        <x:v>152.89</x:v>
      </x:c>
      <x:c r="F11" s="17" t="n">
        <x:v>158.51</x:v>
      </x:c>
      <x:c r="G11" s="17" t="str">
        <x:v>OpenAI</x:v>
      </x:c>
      <x:c r="H11" s="17" t="str">
        <x:v>United States of America</x:v>
      </x:c>
      <x:c r="I11" s="17" t="str">
        <x:v>API access</x:v>
      </x:c>
      <x:c r="J11" s="17" t="str">
        <x:v>Closed weights</x:v>
      </x:c>
      <x:c r="K11" s="17"/>
      <x:c r="L11" s="17"/>
      <x:c r="M11" s="17"/>
      <x:c r="N11" s="17"/>
      <x:c r="O11" s="17"/>
      <x:c r="P11" s="17"/>
      <x:c r="Q11" s="17"/>
      <x:c r="R11" s="17"/>
      <x:c r="S11" s="17"/>
      <x:c r="T11" s="17"/>
      <x:c r="U11" s="17"/>
      <x:c r="V11" s="17"/>
      <x:c r="W11" s="17"/>
      <x:c r="X11" s="17"/>
      <x:c r="Y11" s="17"/>
      <x:c r="Z11" s="17"/>
    </x:row>
    <x:row r="12">
      <x:c r="A12" s="17" t="str">
        <x:v>GPT-5.3 Codex</x:v>
      </x:c>
      <x:c r="B12" s="17" t="str">
        <x:v>GPT-5.3 Codex</x:v>
      </x:c>
      <x:c r="C12" s="17" t="n">
        <x:v>46058</x:v>
      </x:c>
      <x:c r="D12" s="17" t="n">
        <x:v>155.49</x:v>
      </x:c>
      <x:c r="E12" s="17" t="n">
        <x:v>153.29</x:v>
      </x:c>
      <x:c r="F12" s="17" t="n">
        <x:v>158.84</x:v>
      </x:c>
      <x:c r="G12" s="17" t="str">
        <x:v>OpenAI</x:v>
      </x:c>
      <x:c r="H12" s="17" t="str">
        <x:v>United States of America</x:v>
      </x:c>
      <x:c r="I12" s="17" t="str">
        <x:v>API access</x:v>
      </x:c>
      <x:c r="J12" s="17" t="str">
        <x:v>Closed weights</x:v>
      </x:c>
      <x:c r="K12" s="17"/>
      <x:c r="L12" s="17"/>
      <x:c r="M12" s="17"/>
      <x:c r="N12" s="17"/>
      <x:c r="O12" s="17"/>
      <x:c r="P12" s="17"/>
      <x:c r="Q12" s="17"/>
      <x:c r="R12" s="17"/>
      <x:c r="S12" s="17"/>
      <x:c r="T12" s="17"/>
      <x:c r="U12" s="17"/>
      <x:c r="V12" s="17"/>
      <x:c r="W12" s="17"/>
      <x:c r="X12" s="17"/>
      <x:c r="Y12" s="17"/>
      <x:c r="Z12" s="17"/>
    </x:row>
    <x:row r="13">
      <x:c r="A13" s="17" t="str">
        <x:v>Claude Opus 4.6</x:v>
      </x:c>
      <x:c r="B13" s="17" t="str">
        <x:v>Claude Opus 4.6</x:v>
      </x:c>
      <x:c r="C13" s="17" t="n">
        <x:v>46058</x:v>
      </x:c>
      <x:c r="D13" s="17" t="n">
        <x:v>155.31</x:v>
      </x:c>
      <x:c r="E13" s="17" t="n">
        <x:v>153.34</x:v>
      </x:c>
      <x:c r="F13" s="17" t="n">
        <x:v>157.92</x:v>
      </x:c>
      <x:c r="G13" s="17" t="str">
        <x:v>Anthropic</x:v>
      </x:c>
      <x:c r="H13" s="17" t="str">
        <x:v>United States of America</x:v>
      </x:c>
      <x:c r="I13" s="17" t="str">
        <x:v>API access</x:v>
      </x:c>
      <x:c r="J13" s="17" t="str">
        <x:v>Closed weights</x:v>
      </x:c>
      <x:c r="K13" s="17"/>
      <x:c r="L13" s="17"/>
      <x:c r="M13" s="17"/>
      <x:c r="N13" s="17"/>
      <x:c r="O13" s="17"/>
      <x:c r="P13" s="17"/>
      <x:c r="Q13" s="17"/>
      <x:c r="R13" s="17"/>
      <x:c r="S13" s="17"/>
      <x:c r="T13" s="17"/>
      <x:c r="U13" s="17"/>
      <x:c r="V13" s="17"/>
      <x:c r="W13" s="17"/>
      <x:c r="X13" s="17"/>
      <x:c r="Y13" s="17"/>
      <x:c r="Z13" s="17"/>
    </x:row>
    <x:row r="14">
      <x:c r="A14" s="17" t="str">
        <x:v>Gemini 3.1 Pro</x:v>
      </x:c>
      <x:c r="B14" s="17" t="str">
        <x:v>Gemini 3.1 Pro</x:v>
      </x:c>
      <x:c r="C14" s="17" t="n">
        <x:v>46072</x:v>
      </x:c>
      <x:c r="D14" s="17" t="n">
        <x:v>154.84</x:v>
      </x:c>
      <x:c r="E14" s="17" t="n">
        <x:v>152.95</x:v>
      </x:c>
      <x:c r="F14" s="17" t="n">
        <x:v>157.9</x:v>
      </x:c>
      <x:c r="G14" s="17" t="str">
        <x:v>Google DeepMind</x:v>
      </x:c>
      <x:c r="H14" s="17" t="str">
        <x:v>United States of America</x:v>
      </x:c>
      <x:c r="I14" s="17" t="str">
        <x:v>API access</x:v>
      </x:c>
      <x:c r="J14" s="17" t="str">
        <x:v>Closed weights</x:v>
      </x:c>
      <x:c r="K14" s="17"/>
      <x:c r="L14" s="17"/>
      <x:c r="M14" s="17"/>
      <x:c r="N14" s="17"/>
      <x:c r="O14" s="17"/>
      <x:c r="P14" s="17"/>
      <x:c r="Q14" s="17"/>
      <x:c r="R14" s="17"/>
      <x:c r="S14" s="17"/>
      <x:c r="T14" s="17"/>
      <x:c r="U14" s="17"/>
      <x:c r="V14" s="17"/>
      <x:c r="W14" s="17"/>
      <x:c r="X14" s="17"/>
      <x:c r="Y14" s="17"/>
      <x:c r="Z14" s="17"/>
    </x:row>
    <x:row r="15">
      <x:c r="A15" s="17" t="str">
        <x:v>GPT-5.2 Pro</x:v>
      </x:c>
      <x:c r="B15" s="17" t="str">
        <x:v>GPT-5.2 Pro</x:v>
      </x:c>
      <x:c r="C15" s="17" t="n">
        <x:v>46002</x:v>
      </x:c>
      <x:c r="D15" s="17" t="n">
        <x:v>154.65</x:v>
      </x:c>
      <x:c r="E15" s="17" t="n">
        <x:v>152.88</x:v>
      </x:c>
      <x:c r="F15" s="17" t="n">
        <x:v>157.03</x:v>
      </x:c>
      <x:c r="G15" s="17" t="str">
        <x:v>OpenAI</x:v>
      </x:c>
      <x:c r="H15" s="17" t="str">
        <x:v>United States of America</x:v>
      </x:c>
      <x:c r="I15" s="17" t="str">
        <x:v>API access</x:v>
      </x:c>
      <x:c r="J15" s="17" t="str">
        <x:v>Closed weights</x:v>
      </x:c>
      <x:c r="K15" s="17"/>
      <x:c r="L15" s="17"/>
      <x:c r="M15" s="17"/>
      <x:c r="N15" s="17"/>
      <x:c r="O15" s="17"/>
      <x:c r="P15" s="17"/>
      <x:c r="Q15" s="17"/>
      <x:c r="R15" s="17"/>
      <x:c r="S15" s="17"/>
      <x:c r="T15" s="17"/>
      <x:c r="U15" s="17"/>
      <x:c r="V15" s="17"/>
      <x:c r="W15" s="17"/>
      <x:c r="X15" s="17"/>
      <x:c r="Y15" s="17"/>
      <x:c r="Z15" s="17"/>
    </x:row>
    <x:row r="16">
      <x:c r="A16" s="17" t="str">
        <x:v>Gemini 3.5 Flash</x:v>
      </x:c>
      <x:c r="B16" s="17" t="str">
        <x:v>Gemini 3.5 Flash</x:v>
      </x:c>
      <x:c r="C16" s="17" t="n">
        <x:v>46161</x:v>
      </x:c>
      <x:c r="D16" s="17" t="n">
        <x:v>154.58</x:v>
      </x:c>
      <x:c r="E16" s="17" t="n">
        <x:v>152.84</x:v>
      </x:c>
      <x:c r="F16" s="17" t="n">
        <x:v>157.2</x:v>
      </x:c>
      <x:c r="G16" s="17" t="str">
        <x:v>Google</x:v>
      </x:c>
      <x:c r="H16" s="17" t="str">
        <x:v>United States of America</x:v>
      </x:c>
      <x:c r="I16" s="17" t="str">
        <x:v>API access</x:v>
      </x:c>
      <x:c r="J16" s="17" t="str">
        <x:v>Closed weights</x:v>
      </x:c>
      <x:c r="K16" s="17"/>
      <x:c r="L16" s="17"/>
      <x:c r="M16" s="17"/>
      <x:c r="N16" s="17"/>
      <x:c r="O16" s="17"/>
      <x:c r="P16" s="17"/>
      <x:c r="Q16" s="17"/>
      <x:c r="R16" s="17"/>
      <x:c r="S16" s="17"/>
      <x:c r="T16" s="17"/>
      <x:c r="U16" s="17"/>
      <x:c r="V16" s="17"/>
      <x:c r="W16" s="17"/>
      <x:c r="X16" s="17"/>
      <x:c r="Y16" s="17"/>
      <x:c r="Z16" s="17"/>
    </x:row>
    <x:row r="17">
      <x:c r="A17" s="17" t="str">
        <x:v>Muse Spark</x:v>
      </x:c>
      <x:c r="B17" s="17" t="str">
        <x:v>Muse Spark</x:v>
      </x:c>
      <x:c r="C17" s="17" t="n">
        <x:v>46120</x:v>
      </x:c>
      <x:c r="D17" s="17" t="n">
        <x:v>154.27</x:v>
      </x:c>
      <x:c r="E17" s="17" t="n">
        <x:v>151.76</x:v>
      </x:c>
      <x:c r="F17" s="17" t="n">
        <x:v>158.17</x:v>
      </x:c>
      <x:c r="G17" s="17" t="str">
        <x:v>Meta AI</x:v>
      </x:c>
      <x:c r="H17" s="17" t="str">
        <x:v>United States of America</x:v>
      </x:c>
      <x:c r="I17" s="17" t="str">
        <x:v>API access</x:v>
      </x:c>
      <x:c r="J17" s="17" t="str">
        <x:v>Closed weights</x:v>
      </x:c>
      <x:c r="K17" s="17"/>
      <x:c r="L17" s="17"/>
      <x:c r="M17" s="17"/>
      <x:c r="N17" s="17"/>
      <x:c r="O17" s="17"/>
      <x:c r="P17" s="17"/>
      <x:c r="Q17" s="17"/>
      <x:c r="R17" s="17"/>
      <x:c r="S17" s="17"/>
      <x:c r="T17" s="17"/>
      <x:c r="U17" s="17"/>
      <x:c r="V17" s="17"/>
      <x:c r="W17" s="17"/>
      <x:c r="X17" s="17"/>
      <x:c r="Y17" s="17"/>
      <x:c r="Z17" s="17"/>
    </x:row>
    <x:row r="18">
      <x:c r="A18" s="17" t="str">
        <x:v>GPT-5.2</x:v>
      </x:c>
      <x:c r="B18" s="17" t="str">
        <x:v>GPT-5.2</x:v>
      </x:c>
      <x:c r="C18" s="17" t="n">
        <x:v>46002</x:v>
      </x:c>
      <x:c r="D18" s="17" t="n">
        <x:v>153.7</x:v>
      </x:c>
      <x:c r="E18" s="17" t="n">
        <x:v>152.26</x:v>
      </x:c>
      <x:c r="F18" s="17" t="n">
        <x:v>155.46</x:v>
      </x:c>
      <x:c r="G18" s="17" t="str">
        <x:v>OpenAI</x:v>
      </x:c>
      <x:c r="H18" s="17" t="str">
        <x:v>United States of America</x:v>
      </x:c>
      <x:c r="I18" s="17" t="str">
        <x:v>API access</x:v>
      </x:c>
      <x:c r="J18" s="17" t="str">
        <x:v>Closed weights</x:v>
      </x:c>
      <x:c r="K18" s="17"/>
      <x:c r="L18" s="17"/>
      <x:c r="M18" s="17"/>
      <x:c r="N18" s="17"/>
      <x:c r="O18" s="17"/>
      <x:c r="P18" s="17"/>
      <x:c r="Q18" s="17"/>
      <x:c r="R18" s="17"/>
      <x:c r="S18" s="17"/>
      <x:c r="T18" s="17"/>
      <x:c r="U18" s="17"/>
      <x:c r="V18" s="17"/>
      <x:c r="W18" s="17"/>
      <x:c r="X18" s="17"/>
      <x:c r="Y18" s="17"/>
      <x:c r="Z18" s="17"/>
    </x:row>
    <x:row r="19">
      <x:c r="A19" s="17" t="str">
        <x:v>Gemini 3 Pro</x:v>
      </x:c>
      <x:c r="B19" s="17" t="str">
        <x:v>Gemini 3 Pro</x:v>
      </x:c>
      <x:c r="C19" s="17" t="n">
        <x:v>45979</x:v>
      </x:c>
      <x:c r="D19" s="17" t="n">
        <x:v>153.24</x:v>
      </x:c>
      <x:c r="E19" s="17" t="n">
        <x:v>151.34</x:v>
      </x:c>
      <x:c r="F19" s="17" t="n">
        <x:v>155.77</x:v>
      </x:c>
      <x:c r="G19" s="17" t="str">
        <x:v>Google DeepMind</x:v>
      </x:c>
      <x:c r="H19" s="17" t="str">
        <x:v>United States of America</x:v>
      </x:c>
      <x:c r="I19" s="17" t="str">
        <x:v>API access</x:v>
      </x:c>
      <x:c r="J19" s="17" t="str">
        <x:v>Closed weights</x:v>
      </x:c>
      <x:c r="K19" s="17"/>
      <x:c r="L19" s="17"/>
      <x:c r="M19" s="17"/>
      <x:c r="N19" s="17"/>
      <x:c r="O19" s="17"/>
      <x:c r="P19" s="17"/>
      <x:c r="Q19" s="17"/>
      <x:c r="R19" s="17"/>
      <x:c r="S19" s="17"/>
      <x:c r="T19" s="17"/>
      <x:c r="U19" s="17"/>
      <x:c r="V19" s="17"/>
      <x:c r="W19" s="17"/>
      <x:c r="X19" s="17"/>
      <x:c r="Y19" s="17"/>
      <x:c r="Z19" s="17"/>
    </x:row>
    <x:row r="20">
      <x:c r="A20" s="17" t="str">
        <x:v>Claude Sonnet 5</x:v>
      </x:c>
      <x:c r="B20" s="17" t="str">
        <x:v>Claude Sonnet 5</x:v>
      </x:c>
      <x:c r="C20" s="17" t="n">
        <x:v>46203</x:v>
      </x:c>
      <x:c r="D20" s="17" t="n">
        <x:v>153.2</x:v>
      </x:c>
      <x:c r="E20" s="17" t="n">
        <x:v>150.47</x:v>
      </x:c>
      <x:c r="F20" s="17" t="n">
        <x:v>155.24</x:v>
      </x:c>
      <x:c r="G20" s="17" t="str">
        <x:v>Anthropic</x:v>
      </x:c>
      <x:c r="H20" s="17" t="str">
        <x:v>United States of America</x:v>
      </x:c>
      <x:c r="I20" s="17" t="str">
        <x:v>API access</x:v>
      </x:c>
      <x:c r="J20" s="17" t="str">
        <x:v>Closed weights</x:v>
      </x:c>
      <x:c r="K20" s="17"/>
      <x:c r="L20" s="17"/>
      <x:c r="M20" s="17"/>
      <x:c r="N20" s="17"/>
      <x:c r="O20" s="17"/>
      <x:c r="P20" s="17"/>
      <x:c r="Q20" s="17"/>
      <x:c r="R20" s="17"/>
      <x:c r="S20" s="17"/>
      <x:c r="T20" s="17"/>
      <x:c r="U20" s="17"/>
      <x:c r="V20" s="17"/>
      <x:c r="W20" s="17"/>
      <x:c r="X20" s="17"/>
      <x:c r="Y20" s="17"/>
      <x:c r="Z20" s="17"/>
    </x:row>
    <x:row r="21">
      <x:c r="A21" s="17" t="str">
        <x:v>Claude Sonnet 4.6</x:v>
      </x:c>
      <x:c r="B21" s="17" t="str">
        <x:v>Claude Sonnet 4.6</x:v>
      </x:c>
      <x:c r="C21" s="17" t="n">
        <x:v>46070</x:v>
      </x:c>
      <x:c r="D21" s="17" t="n">
        <x:v>153.18</x:v>
      </x:c>
      <x:c r="E21" s="17" t="n">
        <x:v>149.67</x:v>
      </x:c>
      <x:c r="F21" s="17" t="n">
        <x:v>156.08</x:v>
      </x:c>
      <x:c r="G21" s="17" t="str">
        <x:v>Anthropic</x:v>
      </x:c>
      <x:c r="H21" s="17" t="str">
        <x:v>United States of America</x:v>
      </x:c>
      <x:c r="I21" s="17" t="str">
        <x:v>API access</x:v>
      </x:c>
      <x:c r="J21" s="17" t="str">
        <x:v>Closed weights</x:v>
      </x:c>
      <x:c r="K21" s="17"/>
      <x:c r="L21" s="17"/>
      <x:c r="M21" s="17"/>
      <x:c r="N21" s="17"/>
      <x:c r="O21" s="17"/>
      <x:c r="P21" s="17"/>
      <x:c r="Q21" s="17"/>
      <x:c r="R21" s="17"/>
      <x:c r="S21" s="17"/>
      <x:c r="T21" s="17"/>
      <x:c r="U21" s="17"/>
      <x:c r="V21" s="17"/>
      <x:c r="W21" s="17"/>
      <x:c r="X21" s="17"/>
      <x:c r="Y21" s="17"/>
      <x:c r="Z21" s="17"/>
    </x:row>
    <x:row r="22">
      <x:c r="A22" s="17" t="str">
        <x:v>Grok 4.5</x:v>
      </x:c>
      <x:c r="B22" s="17" t="str">
        <x:v>Grok 4.5</x:v>
      </x:c>
      <x:c r="C22" s="17" t="n">
        <x:v>46211</x:v>
      </x:c>
      <x:c r="D22" s="17" t="n">
        <x:v>153.17</x:v>
      </x:c>
      <x:c r="E22" s="17" t="n">
        <x:v>151.65</x:v>
      </x:c>
      <x:c r="F22" s="17" t="n">
        <x:v>156.15</x:v>
      </x:c>
      <x:c r="G22" s="17" t="str">
        <x:v>xAI</x:v>
      </x:c>
      <x:c r="H22" s="17" t="str">
        <x:v>United States of America</x:v>
      </x:c>
      <x:c r="I22" s="17" t="str">
        <x:v>API access</x:v>
      </x:c>
      <x:c r="J22" s="17" t="str">
        <x:v>Closed weights</x:v>
      </x:c>
      <x:c r="K22" s="17"/>
      <x:c r="L22" s="17"/>
      <x:c r="M22" s="17"/>
      <x:c r="N22" s="17"/>
      <x:c r="O22" s="17"/>
      <x:c r="P22" s="17"/>
      <x:c r="Q22" s="17"/>
      <x:c r="R22" s="17"/>
      <x:c r="S22" s="17"/>
      <x:c r="T22" s="17"/>
      <x:c r="U22" s="17"/>
      <x:c r="V22" s="17"/>
      <x:c r="W22" s="17"/>
      <x:c r="X22" s="17"/>
      <x:c r="Y22" s="17"/>
      <x:c r="Z22" s="17"/>
    </x:row>
    <x:row r="23">
      <x:c r="A23" s="17" t="str">
        <x:v>Qwen3.7-Max</x:v>
      </x:c>
      <x:c r="B23" s="17" t="str">
        <x:v>Qwen3.7-Max</x:v>
      </x:c>
      <x:c r="C23" s="17" t="n">
        <x:v>46161</x:v>
      </x:c>
      <x:c r="D23" s="17" t="n">
        <x:v>153.05</x:v>
      </x:c>
      <x:c r="E23" s="17" t="n">
        <x:v>151.09</x:v>
      </x:c>
      <x:c r="F23" s="17" t="n">
        <x:v>155.37</x:v>
      </x:c>
      <x:c r="G23" s="17" t="str">
        <x:v>Alibaba</x:v>
      </x:c>
      <x:c r="H23" s="17" t="str">
        <x:v>China</x:v>
      </x:c>
      <x:c r="I23" s="17" t="str">
        <x:v>API access</x:v>
      </x:c>
      <x:c r="J23" s="17" t="str">
        <x:v>Closed weights</x:v>
      </x:c>
      <x:c r="K23" s="17"/>
      <x:c r="L23" s="17"/>
      <x:c r="M23" s="17"/>
      <x:c r="N23" s="17"/>
      <x:c r="O23" s="17"/>
      <x:c r="P23" s="17"/>
      <x:c r="Q23" s="17"/>
      <x:c r="R23" s="17"/>
      <x:c r="S23" s="17"/>
      <x:c r="T23" s="17"/>
      <x:c r="U23" s="17"/>
      <x:c r="V23" s="17"/>
      <x:c r="W23" s="17"/>
      <x:c r="X23" s="17"/>
      <x:c r="Y23" s="17"/>
      <x:c r="Z23" s="17"/>
    </x:row>
    <x:row r="24">
      <x:c r="A24" s="17" t="str">
        <x:v>Grok 4.20</x:v>
      </x:c>
      <x:c r="B24" s="17" t="str">
        <x:v>Grok 4.20</x:v>
      </x:c>
      <x:c r="C24" s="17" t="n">
        <x:v>46070</x:v>
      </x:c>
      <x:c r="D24" s="17" t="n">
        <x:v>152.56</x:v>
      </x:c>
      <x:c r="E24" s="17" t="n">
        <x:v>149.24</x:v>
      </x:c>
      <x:c r="F24" s="17" t="n">
        <x:v>154.54</x:v>
      </x:c>
      <x:c r="G24" s="17" t="str">
        <x:v>xAI</x:v>
      </x:c>
      <x:c r="H24" s="17" t="str">
        <x:v>United States of America</x:v>
      </x:c>
      <x:c r="I24" s="17" t="str">
        <x:v>API access</x:v>
      </x:c>
      <x:c r="J24" s="17" t="str">
        <x:v>Closed weights</x:v>
      </x:c>
      <x:c r="K24" s="17"/>
      <x:c r="L24" s="17"/>
      <x:c r="M24" s="17"/>
      <x:c r="N24" s="17"/>
      <x:c r="O24" s="17"/>
      <x:c r="P24" s="17"/>
      <x:c r="Q24" s="17"/>
      <x:c r="R24" s="17"/>
      <x:c r="S24" s="17"/>
      <x:c r="T24" s="17"/>
      <x:c r="U24" s="17"/>
      <x:c r="V24" s="17"/>
      <x:c r="W24" s="17"/>
      <x:c r="X24" s="17"/>
      <x:c r="Y24" s="17"/>
      <x:c r="Z24" s="17"/>
    </x:row>
    <x:row r="25">
      <x:c r="A25" s="17" t="str">
        <x:v>GLM-5.2</x:v>
      </x:c>
      <x:c r="B25" s="17" t="str">
        <x:v>GLM-5.2</x:v>
      </x:c>
      <x:c r="C25" s="17" t="n">
        <x:v>46189</x:v>
      </x:c>
      <x:c r="D25" s="17" t="n">
        <x:v>151.6</x:v>
      </x:c>
      <x:c r="E25" s="17" t="n">
        <x:v>149.97</x:v>
      </x:c>
      <x:c r="F25" s="17" t="n">
        <x:v>153.86</x:v>
      </x:c>
      <x:c r="G25" s="17" t="str">
        <x:v>Z.ai (Zhipu AI)</x:v>
      </x:c>
      <x:c r="H25" s="17" t="str">
        <x:v>China</x:v>
      </x:c>
      <x:c r="I25" s="17" t="str">
        <x:v>Open weights (unrestricted)</x:v>
      </x:c>
      <x:c r="J25" s="17" t="str">
        <x:v>Open weights</x:v>
      </x:c>
      <x:c r="K25" s="17"/>
      <x:c r="L25" s="17"/>
      <x:c r="M25" s="17"/>
      <x:c r="N25" s="17"/>
      <x:c r="O25" s="17"/>
      <x:c r="P25" s="17"/>
      <x:c r="Q25" s="17"/>
      <x:c r="R25" s="17"/>
      <x:c r="S25" s="17"/>
      <x:c r="T25" s="17"/>
      <x:c r="U25" s="17"/>
      <x:c r="V25" s="17"/>
      <x:c r="W25" s="17"/>
      <x:c r="X25" s="17"/>
      <x:c r="Y25" s="17"/>
      <x:c r="Z25" s="17"/>
    </x:row>
    <x:row r="26">
      <x:c r="A26" s="17" t="str">
        <x:v>Kimi K2.6</x:v>
      </x:c>
      <x:c r="B26" s="17" t="str">
        <x:v>Kimi K2.6</x:v>
      </x:c>
      <x:c r="C26" s="17" t="n">
        <x:v>46132</x:v>
      </x:c>
      <x:c r="D26" s="17" t="n">
        <x:v>151.02</x:v>
      </x:c>
      <x:c r="E26" s="17" t="n">
        <x:v>149.18</x:v>
      </x:c>
      <x:c r="F26" s="17" t="n">
        <x:v>152.53</x:v>
      </x:c>
      <x:c r="G26" s="17" t="str">
        <x:v>Moonshot</x:v>
      </x:c>
      <x:c r="H26" s="17" t="str">
        <x:v>China</x:v>
      </x:c>
      <x:c r="I26" s="17" t="str">
        <x:v>Open weights (unrestricted)</x:v>
      </x:c>
      <x:c r="J26" s="17" t="str">
        <x:v>Open weights</x:v>
      </x:c>
      <x:c r="K26" s="17"/>
      <x:c r="L26" s="17"/>
      <x:c r="M26" s="17"/>
      <x:c r="N26" s="17"/>
      <x:c r="O26" s="17"/>
      <x:c r="P26" s="17"/>
      <x:c r="Q26" s="17"/>
      <x:c r="R26" s="17"/>
      <x:c r="S26" s="17"/>
      <x:c r="T26" s="17"/>
      <x:c r="U26" s="17"/>
      <x:c r="V26" s="17"/>
      <x:c r="W26" s="17"/>
      <x:c r="X26" s="17"/>
      <x:c r="Y26" s="17"/>
      <x:c r="Z26" s="17"/>
    </x:row>
    <x:row r="27">
      <x:c r="A27" s="17" t="str">
        <x:v>Gemini 3 Flash</x:v>
      </x:c>
      <x:c r="B27" s="17" t="str">
        <x:v>Gemini 3 Flash</x:v>
      </x:c>
      <x:c r="C27" s="17" t="n">
        <x:v>46008</x:v>
      </x:c>
      <x:c r="D27" s="17" t="n">
        <x:v>150.62</x:v>
      </x:c>
      <x:c r="E27" s="17" t="n">
        <x:v>146.15</x:v>
      </x:c>
      <x:c r="F27" s="17" t="n">
        <x:v>152.88</x:v>
      </x:c>
      <x:c r="G27" s="17" t="str">
        <x:v>Google DeepMind</x:v>
      </x:c>
      <x:c r="H27" s="17" t="str">
        <x:v>United States of America</x:v>
      </x:c>
      <x:c r="I27" s="17" t="str">
        <x:v>API access</x:v>
      </x:c>
      <x:c r="J27" s="17" t="str">
        <x:v>Closed weights</x:v>
      </x:c>
      <x:c r="K27" s="17"/>
      <x:c r="L27" s="17"/>
      <x:c r="M27" s="17"/>
      <x:c r="N27" s="17"/>
      <x:c r="O27" s="17"/>
      <x:c r="P27" s="17"/>
      <x:c r="Q27" s="17"/>
      <x:c r="R27" s="17"/>
      <x:c r="S27" s="17"/>
      <x:c r="T27" s="17"/>
      <x:c r="U27" s="17"/>
      <x:c r="V27" s="17"/>
      <x:c r="W27" s="17"/>
      <x:c r="X27" s="17"/>
      <x:c r="Y27" s="17"/>
      <x:c r="Z27" s="17"/>
    </x:row>
    <x:row r="28">
      <x:c r="A28" s="17" t="str">
        <x:v>GPT-5 Pro</x:v>
      </x:c>
      <x:c r="B28" s="17" t="str">
        <x:v>GPT-5 Pro</x:v>
      </x:c>
      <x:c r="C28" s="17" t="n">
        <x:v>45937</x:v>
      </x:c>
      <x:c r="D28" s="17" t="n">
        <x:v>150.43</x:v>
      </x:c>
      <x:c r="E28" s="17" t="n">
        <x:v>148.94</x:v>
      </x:c>
      <x:c r="F28" s="17" t="n">
        <x:v>152.05</x:v>
      </x:c>
      <x:c r="G28" s="17" t="str">
        <x:v>OpenAI</x:v>
      </x:c>
      <x:c r="H28" s="17" t="str">
        <x:v>United States of America</x:v>
      </x:c>
      <x:c r="I28" s="17" t="str">
        <x:v>API access</x:v>
      </x:c>
      <x:c r="J28" s="17" t="str">
        <x:v>Closed weights</x:v>
      </x:c>
      <x:c r="K28" s="17"/>
      <x:c r="L28" s="17"/>
      <x:c r="M28" s="17"/>
      <x:c r="N28" s="17"/>
      <x:c r="O28" s="17"/>
      <x:c r="P28" s="17"/>
      <x:c r="Q28" s="17"/>
      <x:c r="R28" s="17"/>
      <x:c r="S28" s="17"/>
      <x:c r="T28" s="17"/>
      <x:c r="U28" s="17"/>
      <x:c r="V28" s="17"/>
      <x:c r="W28" s="17"/>
      <x:c r="X28" s="17"/>
      <x:c r="Y28" s="17"/>
      <x:c r="Z28" s="17"/>
    </x:row>
    <x:row r="29">
      <x:c r="A29" s="17" t="str">
        <x:v>GLM-5.1</x:v>
      </x:c>
      <x:c r="B29" s="17" t="str">
        <x:v>GLM-5.1</x:v>
      </x:c>
      <x:c r="C29" s="17" t="n">
        <x:v>46119</x:v>
      </x:c>
      <x:c r="D29" s="17" t="n">
        <x:v>150.39</x:v>
      </x:c>
      <x:c r="E29" s="17" t="n">
        <x:v>148.1</x:v>
      </x:c>
      <x:c r="F29" s="17" t="n">
        <x:v>151.89</x:v>
      </x:c>
      <x:c r="G29" s="17" t="str">
        <x:v>Z.ai (Zhipu AI)</x:v>
      </x:c>
      <x:c r="H29" s="17" t="str">
        <x:v>China</x:v>
      </x:c>
      <x:c r="I29" s="17" t="str">
        <x:v>Unknown</x:v>
      </x:c>
      <x:c r="J29" s="17" t="str">
        <x:v>Other</x:v>
      </x:c>
      <x:c r="K29" s="17"/>
      <x:c r="L29" s="17"/>
      <x:c r="M29" s="17"/>
      <x:c r="N29" s="17"/>
      <x:c r="O29" s="17"/>
      <x:c r="P29" s="17"/>
      <x:c r="Q29" s="17"/>
      <x:c r="R29" s="17"/>
      <x:c r="S29" s="17"/>
      <x:c r="T29" s="17"/>
      <x:c r="U29" s="17"/>
      <x:c r="V29" s="17"/>
      <x:c r="W29" s="17"/>
      <x:c r="X29" s="17"/>
      <x:c r="Y29" s="17"/>
      <x:c r="Z29" s="17"/>
    </x:row>
    <x:row r="30">
      <x:c r="A30" s="17" t="str">
        <x:v>Kimi K2.7 Code</x:v>
      </x:c>
      <x:c r="B30" s="17" t="str">
        <x:v>Kimi K2.7 Code</x:v>
      </x:c>
      <x:c r="C30" s="17" t="n">
        <x:v>46185</x:v>
      </x:c>
      <x:c r="D30" s="17" t="n">
        <x:v>150.07</x:v>
      </x:c>
      <x:c r="E30" s="17" t="n">
        <x:v>148.48</x:v>
      </x:c>
      <x:c r="F30" s="17" t="n">
        <x:v>151.25</x:v>
      </x:c>
      <x:c r="G30" s="17" t="str">
        <x:v>Moonshot</x:v>
      </x:c>
      <x:c r="H30" s="17" t="str">
        <x:v>China</x:v>
      </x:c>
      <x:c r="I30" s="17" t="str">
        <x:v>Open weights (unrestricted)</x:v>
      </x:c>
      <x:c r="J30" s="17" t="str">
        <x:v>Open weights</x:v>
      </x:c>
      <x:c r="K30" s="17"/>
      <x:c r="L30" s="17"/>
      <x:c r="M30" s="17"/>
      <x:c r="N30" s="17"/>
      <x:c r="O30" s="17"/>
      <x:c r="P30" s="17"/>
      <x:c r="Q30" s="17"/>
      <x:c r="R30" s="17"/>
      <x:c r="S30" s="17"/>
      <x:c r="T30" s="17"/>
      <x:c r="U30" s="17"/>
      <x:c r="V30" s="17"/>
      <x:c r="W30" s="17"/>
      <x:c r="X30" s="17"/>
      <x:c r="Y30" s="17"/>
      <x:c r="Z30" s="17"/>
    </x:row>
    <x:row r="31">
      <x:c r="A31" s="17" t="str">
        <x:v>GPT-5</x:v>
      </x:c>
      <x:c r="B31" s="17" t="str">
        <x:v>GPT-5</x:v>
      </x:c>
      <x:c r="C31" s="17" t="n">
        <x:v>45876</x:v>
      </x:c>
      <x:c r="D31" s="17" t="n">
        <x:v>150</x:v>
      </x:c>
      <x:c r="E31" s="17"/>
      <x:c r="F31" s="17"/>
      <x:c r="G31" s="17" t="str">
        <x:v>OpenAI</x:v>
      </x:c>
      <x:c r="H31" s="17" t="str">
        <x:v>United States of America</x:v>
      </x:c>
      <x:c r="I31" s="17" t="str">
        <x:v>API access</x:v>
      </x:c>
      <x:c r="J31" s="17" t="str">
        <x:v>Closed weights</x:v>
      </x:c>
      <x:c r="K31" s="17"/>
      <x:c r="L31" s="17"/>
      <x:c r="M31" s="17"/>
      <x:c r="N31" s="17"/>
      <x:c r="O31" s="17"/>
      <x:c r="P31" s="17"/>
      <x:c r="Q31" s="17"/>
      <x:c r="R31" s="17"/>
      <x:c r="S31" s="17"/>
      <x:c r="T31" s="17"/>
      <x:c r="U31" s="17"/>
      <x:c r="V31" s="17"/>
      <x:c r="W31" s="17"/>
      <x:c r="X31" s="17"/>
      <x:c r="Y31" s="17"/>
      <x:c r="Z31" s="17"/>
    </x:row>
    <x:row r="32">
      <x:c r="A32" s="17" t="str">
        <x:v>DeepSeek-V4-Pro</x:v>
      </x:c>
      <x:c r="B32" s="17" t="str">
        <x:v>DeepSeek-V4-Pro</x:v>
      </x:c>
      <x:c r="C32" s="17" t="n">
        <x:v>46136</x:v>
      </x:c>
      <x:c r="D32" s="17" t="n">
        <x:v>149.74</x:v>
      </x:c>
      <x:c r="E32" s="17" t="n">
        <x:v>147.87</x:v>
      </x:c>
      <x:c r="F32" s="17" t="n">
        <x:v>152.06</x:v>
      </x:c>
      <x:c r="G32" s="17" t="str">
        <x:v>DeepSeek</x:v>
      </x:c>
      <x:c r="H32" s="17" t="str">
        <x:v>China</x:v>
      </x:c>
      <x:c r="I32" s="17" t="str">
        <x:v>Open weights (unrestricted)</x:v>
      </x:c>
      <x:c r="J32" s="17" t="str">
        <x:v>Open weights</x:v>
      </x:c>
      <x:c r="K32" s="17"/>
      <x:c r="L32" s="17"/>
      <x:c r="M32" s="17"/>
      <x:c r="N32" s="17"/>
      <x:c r="O32" s="17"/>
      <x:c r="P32" s="17"/>
      <x:c r="Q32" s="17"/>
      <x:c r="R32" s="17"/>
      <x:c r="S32" s="17"/>
      <x:c r="T32" s="17"/>
      <x:c r="U32" s="17"/>
      <x:c r="V32" s="17"/>
      <x:c r="W32" s="17"/>
      <x:c r="X32" s="17"/>
      <x:c r="Y32" s="17"/>
      <x:c r="Z32" s="17"/>
    </x:row>
    <x:row r="33">
      <x:c r="A33" s="17" t="str">
        <x:v>GPT-5.1</x:v>
      </x:c>
      <x:c r="B33" s="17" t="str">
        <x:v>GPT-5.1</x:v>
      </x:c>
      <x:c r="C33" s="17" t="n">
        <x:v>45974</x:v>
      </x:c>
      <x:c r="D33" s="17" t="n">
        <x:v>149.72</x:v>
      </x:c>
      <x:c r="E33" s="17" t="n">
        <x:v>148.31</x:v>
      </x:c>
      <x:c r="F33" s="17" t="n">
        <x:v>151.01</x:v>
      </x:c>
      <x:c r="G33" s="17" t="str">
        <x:v>OpenAI</x:v>
      </x:c>
      <x:c r="H33" s="17" t="str">
        <x:v>United States of America</x:v>
      </x:c>
      <x:c r="I33" s="17" t="str">
        <x:v>API access</x:v>
      </x:c>
      <x:c r="J33" s="17" t="str">
        <x:v>Closed weights</x:v>
      </x:c>
      <x:c r="K33" s="17"/>
      <x:c r="L33" s="17"/>
      <x:c r="M33" s="17"/>
      <x:c r="N33" s="17"/>
      <x:c r="O33" s="17"/>
      <x:c r="P33" s="17"/>
      <x:c r="Q33" s="17"/>
      <x:c r="R33" s="17"/>
      <x:c r="S33" s="17"/>
      <x:c r="T33" s="17"/>
      <x:c r="U33" s="17"/>
      <x:c r="V33" s="17"/>
      <x:c r="W33" s="17"/>
      <x:c r="X33" s="17"/>
      <x:c r="Y33" s="17"/>
      <x:c r="Z33" s="17"/>
    </x:row>
    <x:row r="34">
      <x:c r="A34" s="17" t="str">
        <x:v>Qwen 3.6 Max (Preview)</x:v>
      </x:c>
      <x:c r="B34" s="17" t="str">
        <x:v>Qwen 3.6 Max (Preview)</x:v>
      </x:c>
      <x:c r="C34" s="17" t="n">
        <x:v>46132</x:v>
      </x:c>
      <x:c r="D34" s="17" t="n">
        <x:v>149.61</x:v>
      </x:c>
      <x:c r="E34" s="17" t="n">
        <x:v>147.62</x:v>
      </x:c>
      <x:c r="F34" s="17" t="n">
        <x:v>153.07</x:v>
      </x:c>
      <x:c r="G34" s="17" t="str">
        <x:v>Alibaba</x:v>
      </x:c>
      <x:c r="H34" s="17" t="str">
        <x:v>China</x:v>
      </x:c>
      <x:c r="I34" s="17" t="str">
        <x:v>Unknown</x:v>
      </x:c>
      <x:c r="J34" s="17" t="str">
        <x:v>Other</x:v>
      </x:c>
      <x:c r="K34" s="17"/>
      <x:c r="L34" s="17"/>
      <x:c r="M34" s="17"/>
      <x:c r="N34" s="17"/>
      <x:c r="O34" s="17"/>
      <x:c r="P34" s="17"/>
      <x:c r="Q34" s="17"/>
      <x:c r="R34" s="17"/>
      <x:c r="S34" s="17"/>
      <x:c r="T34" s="17"/>
      <x:c r="U34" s="17"/>
      <x:c r="V34" s="17"/>
      <x:c r="W34" s="17"/>
      <x:c r="X34" s="17"/>
      <x:c r="Y34" s="17"/>
      <x:c r="Z34" s="17"/>
    </x:row>
    <x:row r="35">
      <x:c r="A35" s="17" t="str">
        <x:v>Claude Opus 4.5</x:v>
      </x:c>
      <x:c r="B35" s="17" t="str">
        <x:v>Claude Opus 4.5</x:v>
      </x:c>
      <x:c r="C35" s="17" t="n">
        <x:v>45985</x:v>
      </x:c>
      <x:c r="D35" s="17" t="n">
        <x:v>149.53</x:v>
      </x:c>
      <x:c r="E35" s="17" t="n">
        <x:v>147.66</x:v>
      </x:c>
      <x:c r="F35" s="17" t="n">
        <x:v>151.99</x:v>
      </x:c>
      <x:c r="G35" s="17" t="str">
        <x:v>Anthropic</x:v>
      </x:c>
      <x:c r="H35" s="17" t="str">
        <x:v>United States of America</x:v>
      </x:c>
      <x:c r="I35" s="17" t="str">
        <x:v>API access</x:v>
      </x:c>
      <x:c r="J35" s="17" t="str">
        <x:v>Closed weights</x:v>
      </x:c>
      <x:c r="K35" s="17"/>
      <x:c r="L35" s="17"/>
      <x:c r="M35" s="17"/>
      <x:c r="N35" s="17"/>
      <x:c r="O35" s="17"/>
      <x:c r="P35" s="17"/>
      <x:c r="Q35" s="17"/>
      <x:c r="R35" s="17"/>
      <x:c r="S35" s="17"/>
      <x:c r="T35" s="17"/>
      <x:c r="U35" s="17"/>
      <x:c r="V35" s="17"/>
      <x:c r="W35" s="17"/>
      <x:c r="X35" s="17"/>
      <x:c r="Y35" s="17"/>
      <x:c r="Z35" s="17"/>
    </x:row>
    <x:row r="36">
      <x:c r="A36" s="17" t="str">
        <x:v>Qwen 3.6 Plus</x:v>
      </x:c>
      <x:c r="B36" s="17" t="str">
        <x:v>Qwen 3.6 Plus</x:v>
      </x:c>
      <x:c r="C36" s="17" t="n">
        <x:v>46113</x:v>
      </x:c>
      <x:c r="D36" s="17" t="n">
        <x:v>149.13</x:v>
      </x:c>
      <x:c r="E36" s="17" t="n">
        <x:v>146.49</x:v>
      </x:c>
      <x:c r="F36" s="17" t="n">
        <x:v>150.98</x:v>
      </x:c>
      <x:c r="G36" s="17" t="str">
        <x:v>Alibaba</x:v>
      </x:c>
      <x:c r="H36" s="17" t="str">
        <x:v>China</x:v>
      </x:c>
      <x:c r="I36" s="17" t="str">
        <x:v>API access</x:v>
      </x:c>
      <x:c r="J36" s="17" t="str">
        <x:v>Closed weights</x:v>
      </x:c>
      <x:c r="K36" s="17"/>
      <x:c r="L36" s="17"/>
      <x:c r="M36" s="17"/>
      <x:c r="N36" s="17"/>
      <x:c r="O36" s="17"/>
      <x:c r="P36" s="17"/>
      <x:c r="Q36" s="17"/>
      <x:c r="R36" s="17"/>
      <x:c r="S36" s="17"/>
      <x:c r="T36" s="17"/>
      <x:c r="U36" s="17"/>
      <x:c r="V36" s="17"/>
      <x:c r="W36" s="17"/>
      <x:c r="X36" s="17"/>
      <x:c r="Y36" s="17"/>
      <x:c r="Z36" s="17"/>
    </x:row>
    <x:row r="37">
      <x:c r="A37" s="17" t="str">
        <x:v>Grok 4.3 Beta</x:v>
      </x:c>
      <x:c r="B37" s="17" t="str">
        <x:v>Grok 4.3 Beta</x:v>
      </x:c>
      <x:c r="C37" s="17" t="n">
        <x:v>46129</x:v>
      </x:c>
      <x:c r="D37" s="17" t="n">
        <x:v>148.98</x:v>
      </x:c>
      <x:c r="E37" s="17" t="n">
        <x:v>147.37</x:v>
      </x:c>
      <x:c r="F37" s="17" t="n">
        <x:v>150.53</x:v>
      </x:c>
      <x:c r="G37" s="17" t="str">
        <x:v>xAI</x:v>
      </x:c>
      <x:c r="H37" s="17" t="str">
        <x:v>United States of America</x:v>
      </x:c>
      <x:c r="I37" s="17" t="str">
        <x:v>Hosted access (no API)</x:v>
      </x:c>
      <x:c r="J37" s="17" t="str">
        <x:v>Closed weights</x:v>
      </x:c>
      <x:c r="K37" s="17"/>
      <x:c r="L37" s="17"/>
      <x:c r="M37" s="17"/>
      <x:c r="N37" s="17"/>
      <x:c r="O37" s="17"/>
      <x:c r="P37" s="17"/>
      <x:c r="Q37" s="17"/>
      <x:c r="R37" s="17"/>
      <x:c r="S37" s="17"/>
      <x:c r="T37" s="17"/>
      <x:c r="U37" s="17"/>
      <x:c r="V37" s="17"/>
      <x:c r="W37" s="17"/>
      <x:c r="X37" s="17"/>
      <x:c r="Y37" s="17"/>
      <x:c r="Z37" s="17"/>
    </x:row>
    <x:row r="38">
      <x:c r="A38" s="17" t="str">
        <x:v>GPT-5.4 Mini</x:v>
      </x:c>
      <x:c r="B38" s="17" t="str">
        <x:v>GPT-5.4 Mini</x:v>
      </x:c>
      <x:c r="C38" s="17" t="n">
        <x:v>46098</x:v>
      </x:c>
      <x:c r="D38" s="17" t="n">
        <x:v>148.9</x:v>
      </x:c>
      <x:c r="E38" s="17" t="n">
        <x:v>147.11</x:v>
      </x:c>
      <x:c r="F38" s="17" t="n">
        <x:v>150.06</x:v>
      </x:c>
      <x:c r="G38" s="17" t="str">
        <x:v>OpenAI</x:v>
      </x:c>
      <x:c r="H38" s="17" t="str">
        <x:v>United States of America</x:v>
      </x:c>
      <x:c r="I38" s="17" t="str">
        <x:v>API access</x:v>
      </x:c>
      <x:c r="J38" s="17" t="str">
        <x:v>Closed weights</x:v>
      </x:c>
      <x:c r="K38" s="17"/>
      <x:c r="L38" s="17"/>
      <x:c r="M38" s="17"/>
      <x:c r="N38" s="17"/>
      <x:c r="O38" s="17"/>
      <x:c r="P38" s="17"/>
      <x:c r="Q38" s="17"/>
      <x:c r="R38" s="17"/>
      <x:c r="S38" s="17"/>
      <x:c r="T38" s="17"/>
      <x:c r="U38" s="17"/>
      <x:c r="V38" s="17"/>
      <x:c r="W38" s="17"/>
      <x:c r="X38" s="17"/>
      <x:c r="Y38" s="17"/>
      <x:c r="Z38" s="17"/>
    </x:row>
    <x:row r="39">
      <x:c r="A39" s="17" t="str">
        <x:v>Kimi K2.5</x:v>
      </x:c>
      <x:c r="B39" s="17" t="str">
        <x:v>Kimi K2.5</x:v>
      </x:c>
      <x:c r="C39" s="17" t="n">
        <x:v>46055</x:v>
      </x:c>
      <x:c r="D39" s="17" t="n">
        <x:v>148.24</x:v>
      </x:c>
      <x:c r="E39" s="17" t="n">
        <x:v>146.58</x:v>
      </x:c>
      <x:c r="F39" s="17" t="n">
        <x:v>149.36</x:v>
      </x:c>
      <x:c r="G39" s="17" t="str">
        <x:v>Moonshot</x:v>
      </x:c>
      <x:c r="H39" s="17" t="str">
        <x:v>China</x:v>
      </x:c>
      <x:c r="I39" s="17" t="str">
        <x:v>Open weights (unrestricted)</x:v>
      </x:c>
      <x:c r="J39" s="17" t="str">
        <x:v>Open weights</x:v>
      </x:c>
      <x:c r="K39" s="17"/>
      <x:c r="L39" s="17"/>
      <x:c r="M39" s="17"/>
      <x:c r="N39" s="17"/>
      <x:c r="O39" s="17"/>
      <x:c r="P39" s="17"/>
      <x:c r="Q39" s="17"/>
      <x:c r="R39" s="17"/>
      <x:c r="S39" s="17"/>
      <x:c r="T39" s="17"/>
      <x:c r="U39" s="17"/>
      <x:c r="V39" s="17"/>
      <x:c r="W39" s="17"/>
      <x:c r="X39" s="17"/>
      <x:c r="Y39" s="17"/>
      <x:c r="Z39" s="17"/>
    </x:row>
    <x:row r="40">
      <x:c r="A40" s="17" t="str">
        <x:v>o3-pro</x:v>
      </x:c>
      <x:c r="B40" s="17" t="str">
        <x:v>o3-pro</x:v>
      </x:c>
      <x:c r="C40" s="17" t="n">
        <x:v>45818</x:v>
      </x:c>
      <x:c r="D40" s="17" t="n">
        <x:v>147.92</x:v>
      </x:c>
      <x:c r="E40" s="17" t="n">
        <x:v>146.24</x:v>
      </x:c>
      <x:c r="F40" s="17" t="n">
        <x:v>150.45</x:v>
      </x:c>
      <x:c r="G40" s="17" t="str">
        <x:v>OpenAI</x:v>
      </x:c>
      <x:c r="H40" s="17" t="str">
        <x:v>United States of America</x:v>
      </x:c>
      <x:c r="I40" s="17" t="str">
        <x:v>Unknown</x:v>
      </x:c>
      <x:c r="J40" s="17" t="str">
        <x:v>Other</x:v>
      </x:c>
      <x:c r="K40" s="17"/>
      <x:c r="L40" s="17"/>
      <x:c r="M40" s="17"/>
      <x:c r="N40" s="17"/>
      <x:c r="O40" s="17"/>
      <x:c r="P40" s="17"/>
      <x:c r="Q40" s="17"/>
      <x:c r="R40" s="17"/>
      <x:c r="S40" s="17"/>
      <x:c r="T40" s="17"/>
      <x:c r="U40" s="17"/>
      <x:c r="V40" s="17"/>
      <x:c r="W40" s="17"/>
      <x:c r="X40" s="17"/>
      <x:c r="Y40" s="17"/>
      <x:c r="Z40" s="17"/>
    </x:row>
    <x:row r="41">
      <x:c r="A41" s="17" t="str">
        <x:v>MiniMax-M2.5</x:v>
      </x:c>
      <x:c r="B41" s="17" t="str">
        <x:v>MiniMax-M2.5</x:v>
      </x:c>
      <x:c r="C41" s="17" t="n">
        <x:v>46065</x:v>
      </x:c>
      <x:c r="D41" s="17" t="n">
        <x:v>147.07</x:v>
      </x:c>
      <x:c r="E41" s="17" t="n">
        <x:v>142.34</x:v>
      </x:c>
      <x:c r="F41" s="17" t="n">
        <x:v>148.14</x:v>
      </x:c>
      <x:c r="G41" s="17" t="str">
        <x:v>MiniMax</x:v>
      </x:c>
      <x:c r="H41" s="17" t="str">
        <x:v>China</x:v>
      </x:c>
      <x:c r="I41" s="17" t="str">
        <x:v>Open weights (unrestricted)</x:v>
      </x:c>
      <x:c r="J41" s="17" t="str">
        <x:v>Open weights</x:v>
      </x:c>
      <x:c r="K41" s="17"/>
      <x:c r="L41" s="17"/>
      <x:c r="M41" s="17"/>
      <x:c r="N41" s="17"/>
      <x:c r="O41" s="17"/>
      <x:c r="P41" s="17"/>
      <x:c r="Q41" s="17"/>
      <x:c r="R41" s="17"/>
      <x:c r="S41" s="17"/>
      <x:c r="T41" s="17"/>
      <x:c r="U41" s="17"/>
      <x:c r="V41" s="17"/>
      <x:c r="W41" s="17"/>
      <x:c r="X41" s="17"/>
      <x:c r="Y41" s="17"/>
      <x:c r="Z41" s="17"/>
    </x:row>
    <x:row r="42">
      <x:c r="A42" s="17" t="str">
        <x:v>o3</x:v>
      </x:c>
      <x:c r="B42" s="17" t="str">
        <x:v>o3</x:v>
      </x:c>
      <x:c r="C42" s="17" t="n">
        <x:v>45646</x:v>
      </x:c>
      <x:c r="D42" s="17" t="n">
        <x:v>147.05</x:v>
      </x:c>
      <x:c r="E42" s="17" t="n">
        <x:v>145.11</x:v>
      </x:c>
      <x:c r="F42" s="17" t="n">
        <x:v>148.38</x:v>
      </x:c>
      <x:c r="G42" s="17" t="str">
        <x:v>OpenAI</x:v>
      </x:c>
      <x:c r="H42" s="17" t="str">
        <x:v>United States of America</x:v>
      </x:c>
      <x:c r="I42" s="17" t="str">
        <x:v>API access</x:v>
      </x:c>
      <x:c r="J42" s="17" t="str">
        <x:v>Closed weights</x:v>
      </x:c>
      <x:c r="K42" s="17"/>
      <x:c r="L42" s="17"/>
      <x:c r="M42" s="17"/>
      <x:c r="N42" s="17"/>
      <x:c r="O42" s="17"/>
      <x:c r="P42" s="17"/>
      <x:c r="Q42" s="17"/>
      <x:c r="R42" s="17"/>
      <x:c r="S42" s="17"/>
      <x:c r="T42" s="17"/>
      <x:c r="U42" s="17"/>
      <x:c r="V42" s="17"/>
      <x:c r="W42" s="17"/>
      <x:c r="X42" s="17"/>
      <x:c r="Y42" s="17"/>
      <x:c r="Z42" s="17"/>
    </x:row>
    <x:row r="43">
      <x:c r="A43" s="17" t="str">
        <x:v>Grok 4</x:v>
      </x:c>
      <x:c r="B43" s="17" t="str">
        <x:v>Grok 4</x:v>
      </x:c>
      <x:c r="C43" s="17" t="n">
        <x:v>45847</x:v>
      </x:c>
      <x:c r="D43" s="17" t="n">
        <x:v>147.04</x:v>
      </x:c>
      <x:c r="E43" s="17" t="n">
        <x:v>144.92</x:v>
      </x:c>
      <x:c r="F43" s="17" t="n">
        <x:v>148.75</x:v>
      </x:c>
      <x:c r="G43" s="17" t="str">
        <x:v>xAI</x:v>
      </x:c>
      <x:c r="H43" s="17" t="str">
        <x:v>United States of America</x:v>
      </x:c>
      <x:c r="I43" s="17" t="str">
        <x:v>API access</x:v>
      </x:c>
      <x:c r="J43" s="17" t="str">
        <x:v>Closed weights</x:v>
      </x:c>
      <x:c r="K43" s="17"/>
      <x:c r="L43" s="17"/>
      <x:c r="M43" s="17"/>
      <x:c r="N43" s="17"/>
      <x:c r="O43" s="17"/>
      <x:c r="P43" s="17"/>
      <x:c r="Q43" s="17"/>
      <x:c r="R43" s="17"/>
      <x:c r="S43" s="17"/>
      <x:c r="T43" s="17"/>
      <x:c r="U43" s="17"/>
      <x:c r="V43" s="17"/>
      <x:c r="W43" s="17"/>
      <x:c r="X43" s="17"/>
      <x:c r="Y43" s="17"/>
      <x:c r="Z43" s="17"/>
    </x:row>
    <x:row r="44">
      <x:c r="A44" s="17" t="str">
        <x:v>Qwen 3.5 Plus (hosted 397B-A17B)</x:v>
      </x:c>
      <x:c r="B44" s="17" t="str">
        <x:v>Qwen 3.5 Plus (hosted 397B-A17B)</x:v>
      </x:c>
      <x:c r="C44" s="17" t="n">
        <x:v>46069</x:v>
      </x:c>
      <x:c r="D44" s="17" t="n">
        <x:v>146.95</x:v>
      </x:c>
      <x:c r="E44" s="17" t="n">
        <x:v>144.65</x:v>
      </x:c>
      <x:c r="F44" s="17" t="n">
        <x:v>148.03</x:v>
      </x:c>
      <x:c r="G44" s="17" t="str">
        <x:v>Alibaba</x:v>
      </x:c>
      <x:c r="H44" s="17" t="str">
        <x:v>China</x:v>
      </x:c>
      <x:c r="I44" s="17" t="str">
        <x:v>Unknown</x:v>
      </x:c>
      <x:c r="J44" s="17" t="str">
        <x:v>Other</x:v>
      </x:c>
      <x:c r="K44" s="17"/>
      <x:c r="L44" s="17"/>
      <x:c r="M44" s="17"/>
      <x:c r="N44" s="17"/>
      <x:c r="O44" s="17"/>
      <x:c r="P44" s="17"/>
      <x:c r="Q44" s="17"/>
      <x:c r="R44" s="17"/>
      <x:c r="S44" s="17"/>
      <x:c r="T44" s="17"/>
      <x:c r="U44" s="17"/>
      <x:c r="V44" s="17"/>
      <x:c r="W44" s="17"/>
      <x:c r="X44" s="17"/>
      <x:c r="Y44" s="17"/>
      <x:c r="Z44" s="17"/>
    </x:row>
    <x:row r="45">
      <x:c r="A45" s="17" t="str">
        <x:v>Claude Sonnet 4.5</x:v>
      </x:c>
      <x:c r="B45" s="17" t="str">
        <x:v>Claude Sonnet 4.5</x:v>
      </x:c>
      <x:c r="C45" s="17" t="n">
        <x:v>45929</x:v>
      </x:c>
      <x:c r="D45" s="17" t="n">
        <x:v>146.75</x:v>
      </x:c>
      <x:c r="E45" s="17" t="n">
        <x:v>144.71</x:v>
      </x:c>
      <x:c r="F45" s="17" t="n">
        <x:v>148.07</x:v>
      </x:c>
      <x:c r="G45" s="17" t="str">
        <x:v>Anthropic</x:v>
      </x:c>
      <x:c r="H45" s="17" t="str">
        <x:v>United States of America</x:v>
      </x:c>
      <x:c r="I45" s="17" t="str">
        <x:v>API access</x:v>
      </x:c>
      <x:c r="J45" s="17" t="str">
        <x:v>Closed weights</x:v>
      </x:c>
      <x:c r="K45" s="17"/>
      <x:c r="L45" s="17"/>
      <x:c r="M45" s="17"/>
      <x:c r="N45" s="17"/>
      <x:c r="O45" s="17"/>
      <x:c r="P45" s="17"/>
      <x:c r="Q45" s="17"/>
      <x:c r="R45" s="17"/>
      <x:c r="S45" s="17"/>
      <x:c r="T45" s="17"/>
      <x:c r="U45" s="17"/>
      <x:c r="V45" s="17"/>
      <x:c r="W45" s="17"/>
      <x:c r="X45" s="17"/>
      <x:c r="Y45" s="17"/>
      <x:c r="Z45" s="17"/>
    </x:row>
    <x:row r="46">
      <x:c r="A46" s="17" t="str">
        <x:v>GPT-5.4 Nano</x:v>
      </x:c>
      <x:c r="B46" s="17" t="str">
        <x:v>GPT-5.4 Nano</x:v>
      </x:c>
      <x:c r="C46" s="17" t="n">
        <x:v>46098</x:v>
      </x:c>
      <x:c r="D46" s="17" t="n">
        <x:v>146.64</x:v>
      </x:c>
      <x:c r="E46" s="17" t="n">
        <x:v>144.07</x:v>
      </x:c>
      <x:c r="F46" s="17" t="n">
        <x:v>148.4</x:v>
      </x:c>
      <x:c r="G46" s="17" t="str">
        <x:v>OpenAI</x:v>
      </x:c>
      <x:c r="H46" s="17" t="str">
        <x:v>United States of America</x:v>
      </x:c>
      <x:c r="I46" s="17" t="str">
        <x:v>API access</x:v>
      </x:c>
      <x:c r="J46" s="17" t="str">
        <x:v>Closed weights</x:v>
      </x:c>
      <x:c r="K46" s="17"/>
      <x:c r="L46" s="17"/>
      <x:c r="M46" s="17"/>
      <x:c r="N46" s="17"/>
      <x:c r="O46" s="17"/>
      <x:c r="P46" s="17"/>
      <x:c r="Q46" s="17"/>
      <x:c r="R46" s="17"/>
      <x:c r="S46" s="17"/>
      <x:c r="T46" s="17"/>
      <x:c r="U46" s="17"/>
      <x:c r="V46" s="17"/>
      <x:c r="W46" s="17"/>
      <x:c r="X46" s="17"/>
      <x:c r="Y46" s="17"/>
      <x:c r="Z46" s="17"/>
    </x:row>
    <x:row r="47">
      <x:c r="A47" s="17" t="str">
        <x:v>DeepSeek-V3.2</x:v>
      </x:c>
      <x:c r="B47" s="17" t="str">
        <x:v>DeepSeek-V3.2</x:v>
      </x:c>
      <x:c r="C47" s="17" t="n">
        <x:v>45992</x:v>
      </x:c>
      <x:c r="D47" s="17" t="n">
        <x:v>146.56</x:v>
      </x:c>
      <x:c r="E47" s="17" t="n">
        <x:v>144.63</x:v>
      </x:c>
      <x:c r="F47" s="17" t="n">
        <x:v>147.62</x:v>
      </x:c>
      <x:c r="G47" s="17" t="str">
        <x:v>DeepSeek</x:v>
      </x:c>
      <x:c r="H47" s="17" t="str">
        <x:v>China</x:v>
      </x:c>
      <x:c r="I47" s="17" t="str">
        <x:v>Open weights (unrestricted)</x:v>
      </x:c>
      <x:c r="J47" s="17" t="str">
        <x:v>Open weights</x:v>
      </x:c>
      <x:c r="K47" s="17"/>
      <x:c r="L47" s="17"/>
      <x:c r="M47" s="17"/>
      <x:c r="N47" s="17"/>
      <x:c r="O47" s="17"/>
      <x:c r="P47" s="17"/>
      <x:c r="Q47" s="17"/>
      <x:c r="R47" s="17"/>
      <x:c r="S47" s="17"/>
      <x:c r="T47" s="17"/>
      <x:c r="U47" s="17"/>
      <x:c r="V47" s="17"/>
      <x:c r="W47" s="17"/>
      <x:c r="X47" s="17"/>
      <x:c r="Y47" s="17"/>
      <x:c r="Z47" s="17"/>
    </x:row>
    <x:row r="48">
      <x:c r="A48" s="17" t="str">
        <x:v>o4-mini</x:v>
      </x:c>
      <x:c r="B48" s="17" t="str">
        <x:v>o4-mini</x:v>
      </x:c>
      <x:c r="C48" s="17" t="n">
        <x:v>45763</x:v>
      </x:c>
      <x:c r="D48" s="17" t="n">
        <x:v>146.54</x:v>
      </x:c>
      <x:c r="E48" s="17" t="n">
        <x:v>144.05</x:v>
      </x:c>
      <x:c r="F48" s="17" t="n">
        <x:v>147.85</x:v>
      </x:c>
      <x:c r="G48" s="17" t="str">
        <x:v>OpenAI</x:v>
      </x:c>
      <x:c r="H48" s="17" t="str">
        <x:v>United States of America</x:v>
      </x:c>
      <x:c r="I48" s="17" t="str">
        <x:v>API access</x:v>
      </x:c>
      <x:c r="J48" s="17" t="str">
        <x:v>Closed weights</x:v>
      </x:c>
      <x:c r="K48" s="17"/>
      <x:c r="L48" s="17"/>
      <x:c r="M48" s="17"/>
      <x:c r="N48" s="17"/>
      <x:c r="O48" s="17"/>
      <x:c r="P48" s="17"/>
      <x:c r="Q48" s="17"/>
      <x:c r="R48" s="17"/>
      <x:c r="S48" s="17"/>
      <x:c r="T48" s="17"/>
      <x:c r="U48" s="17"/>
      <x:c r="V48" s="17"/>
      <x:c r="W48" s="17"/>
      <x:c r="X48" s="17"/>
      <x:c r="Y48" s="17"/>
      <x:c r="Z48" s="17"/>
    </x:row>
    <x:row r="49">
      <x:c r="A49" s="17" t="str">
        <x:v>GLM-5</x:v>
      </x:c>
      <x:c r="B49" s="17" t="str">
        <x:v>GLM-5</x:v>
      </x:c>
      <x:c r="C49" s="17" t="n">
        <x:v>46064</x:v>
      </x:c>
      <x:c r="D49" s="17" t="n">
        <x:v>146.39</x:v>
      </x:c>
      <x:c r="E49" s="17" t="n">
        <x:v>144.52</x:v>
      </x:c>
      <x:c r="F49" s="17" t="n">
        <x:v>147.86</x:v>
      </x:c>
      <x:c r="G49" s="17" t="str">
        <x:v>Z.ai (Zhipu AI)</x:v>
      </x:c>
      <x:c r="H49" s="17" t="str">
        <x:v>China</x:v>
      </x:c>
      <x:c r="I49" s="17" t="str">
        <x:v>Open weights (unrestricted)</x:v>
      </x:c>
      <x:c r="J49" s="17" t="str">
        <x:v>Open weights</x:v>
      </x:c>
      <x:c r="K49" s="17"/>
      <x:c r="L49" s="17"/>
      <x:c r="M49" s="17"/>
      <x:c r="N49" s="17"/>
      <x:c r="O49" s="17"/>
      <x:c r="P49" s="17"/>
      <x:c r="Q49" s="17"/>
      <x:c r="R49" s="17"/>
      <x:c r="S49" s="17"/>
      <x:c r="T49" s="17"/>
      <x:c r="U49" s="17"/>
      <x:c r="V49" s="17"/>
      <x:c r="W49" s="17"/>
      <x:c r="X49" s="17"/>
      <x:c r="Y49" s="17"/>
      <x:c r="Z49" s="17"/>
    </x:row>
    <x:row r="50">
      <x:c r="A50" s="17" t="str">
        <x:v>Gemini 2.5 Pro (Jun 2025)</x:v>
      </x:c>
      <x:c r="B50" s="17" t="str">
        <x:v>Gemini 2.5 Pro (Jun 2025)</x:v>
      </x:c>
      <x:c r="C50" s="17" t="n">
        <x:v>45813</x:v>
      </x:c>
      <x:c r="D50" s="17" t="n">
        <x:v>146.08</x:v>
      </x:c>
      <x:c r="E50" s="17" t="n">
        <x:v>144.33</x:v>
      </x:c>
      <x:c r="F50" s="17" t="n">
        <x:v>147.72</x:v>
      </x:c>
      <x:c r="G50" s="17" t="str">
        <x:v>Google DeepMind</x:v>
      </x:c>
      <x:c r="H50" s="17" t="str">
        <x:v>United States of America</x:v>
      </x:c>
      <x:c r="I50" s="17" t="str">
        <x:v>API access</x:v>
      </x:c>
      <x:c r="J50" s="17" t="str">
        <x:v>Closed weights</x:v>
      </x:c>
      <x:c r="K50" s="17"/>
      <x:c r="L50" s="17"/>
      <x:c r="M50" s="17"/>
      <x:c r="N50" s="17"/>
      <x:c r="O50" s="17"/>
      <x:c r="P50" s="17"/>
      <x:c r="Q50" s="17"/>
      <x:c r="R50" s="17"/>
      <x:c r="S50" s="17"/>
      <x:c r="T50" s="17"/>
      <x:c r="U50" s="17"/>
      <x:c r="V50" s="17"/>
      <x:c r="W50" s="17"/>
      <x:c r="X50" s="17"/>
      <x:c r="Y50" s="17"/>
      <x:c r="Z50" s="17"/>
    </x:row>
    <x:row r="51">
      <x:c r="A51" s="17" t="str">
        <x:v>Kimi K2 Thinking</x:v>
      </x:c>
      <x:c r="B51" s="17" t="str">
        <x:v>Kimi K2 Thinking</x:v>
      </x:c>
      <x:c r="C51" s="17" t="n">
        <x:v>45967</x:v>
      </x:c>
      <x:c r="D51" s="17" t="n">
        <x:v>146.01</x:v>
      </x:c>
      <x:c r="E51" s="17" t="n">
        <x:v>143.68</x:v>
      </x:c>
      <x:c r="F51" s="17" t="n">
        <x:v>147.44</x:v>
      </x:c>
      <x:c r="G51" s="17" t="str">
        <x:v>Moonshot</x:v>
      </x:c>
      <x:c r="H51" s="17" t="str">
        <x:v>China</x:v>
      </x:c>
      <x:c r="I51" s="17" t="str">
        <x:v>Open weights (restricted use)</x:v>
      </x:c>
      <x:c r="J51" s="17" t="str">
        <x:v>Open weights</x:v>
      </x:c>
      <x:c r="K51" s="17"/>
      <x:c r="L51" s="17"/>
      <x:c r="M51" s="17"/>
      <x:c r="N51" s="17"/>
      <x:c r="O51" s="17"/>
      <x:c r="P51" s="17"/>
      <x:c r="Q51" s="17"/>
      <x:c r="R51" s="17"/>
      <x:c r="S51" s="17"/>
      <x:c r="T51" s="17"/>
      <x:c r="U51" s="17"/>
      <x:c r="V51" s="17"/>
      <x:c r="W51" s="17"/>
      <x:c r="X51" s="17"/>
      <x:c r="Y51" s="17"/>
      <x:c r="Z51" s="17"/>
    </x:row>
    <x:row r="52">
      <x:c r="A52" s="17" t="str">
        <x:v>GPT-5 mini</x:v>
      </x:c>
      <x:c r="B52" s="17" t="str">
        <x:v>GPT-5 mini</x:v>
      </x:c>
      <x:c r="C52" s="17" t="n">
        <x:v>45876</x:v>
      </x:c>
      <x:c r="D52" s="17" t="n">
        <x:v>145.79</x:v>
      </x:c>
      <x:c r="E52" s="17" t="n">
        <x:v>143.69</x:v>
      </x:c>
      <x:c r="F52" s="17" t="n">
        <x:v>147.21</x:v>
      </x:c>
      <x:c r="G52" s="17" t="str">
        <x:v>OpenAI</x:v>
      </x:c>
      <x:c r="H52" s="17" t="str">
        <x:v>United States of America</x:v>
      </x:c>
      <x:c r="I52" s="17" t="str">
        <x:v>API access</x:v>
      </x:c>
      <x:c r="J52" s="17" t="str">
        <x:v>Closed weights</x:v>
      </x:c>
      <x:c r="K52" s="17"/>
      <x:c r="L52" s="17"/>
      <x:c r="M52" s="17"/>
      <x:c r="N52" s="17"/>
      <x:c r="O52" s="17"/>
      <x:c r="P52" s="17"/>
      <x:c r="Q52" s="17"/>
      <x:c r="R52" s="17"/>
      <x:c r="S52" s="17"/>
      <x:c r="T52" s="17"/>
      <x:c r="U52" s="17"/>
      <x:c r="V52" s="17"/>
      <x:c r="W52" s="17"/>
      <x:c r="X52" s="17"/>
      <x:c r="Y52" s="17"/>
      <x:c r="Z52" s="17"/>
    </x:row>
    <x:row r="53">
      <x:c r="A53" s="17" t="str">
        <x:v>MiniMax-M2.7</x:v>
      </x:c>
      <x:c r="B53" s="17" t="str">
        <x:v>MiniMax-M2.7</x:v>
      </x:c>
      <x:c r="C53" s="17" t="n">
        <x:v>46099</x:v>
      </x:c>
      <x:c r="D53" s="17" t="n">
        <x:v>145.61</x:v>
      </x:c>
      <x:c r="E53" s="17" t="n">
        <x:v>138.06</x:v>
      </x:c>
      <x:c r="F53" s="17" t="n">
        <x:v>147.75</x:v>
      </x:c>
      <x:c r="G53" s="17" t="str">
        <x:v>MiniMax</x:v>
      </x:c>
      <x:c r="H53" s="17" t="str">
        <x:v>China</x:v>
      </x:c>
      <x:c r="I53" s="17" t="str">
        <x:v>Open weights (non-commercial)</x:v>
      </x:c>
      <x:c r="J53" s="17" t="str">
        <x:v>Open weights</x:v>
      </x:c>
      <x:c r="K53" s="17"/>
      <x:c r="L53" s="17"/>
      <x:c r="M53" s="17"/>
      <x:c r="N53" s="17"/>
      <x:c r="O53" s="17"/>
      <x:c r="P53" s="17"/>
      <x:c r="Q53" s="17"/>
      <x:c r="R53" s="17"/>
      <x:c r="S53" s="17"/>
      <x:c r="T53" s="17"/>
      <x:c r="U53" s="17"/>
      <x:c r="V53" s="17"/>
      <x:c r="W53" s="17"/>
      <x:c r="X53" s="17"/>
      <x:c r="Y53" s="17"/>
      <x:c r="Z53" s="17"/>
    </x:row>
    <x:row r="54">
      <x:c r="A54" s="17" t="str">
        <x:v>MiniMax-M3</x:v>
      </x:c>
      <x:c r="B54" s="17" t="str">
        <x:v>MiniMax-M3</x:v>
      </x:c>
      <x:c r="C54" s="17" t="n">
        <x:v>46174</x:v>
      </x:c>
      <x:c r="D54" s="17" t="n">
        <x:v>144.93</x:v>
      </x:c>
      <x:c r="E54" s="17" t="n">
        <x:v>141.94</x:v>
      </x:c>
      <x:c r="F54" s="17" t="n">
        <x:v>146.52</x:v>
      </x:c>
      <x:c r="G54" s="17" t="str">
        <x:v>MiniMax</x:v>
      </x:c>
      <x:c r="H54" s="17" t="str">
        <x:v>China</x:v>
      </x:c>
      <x:c r="I54" s="17" t="str">
        <x:v>API access</x:v>
      </x:c>
      <x:c r="J54" s="17" t="str">
        <x:v>Closed weights</x:v>
      </x:c>
      <x:c r="K54" s="17"/>
      <x:c r="L54" s="17"/>
      <x:c r="M54" s="17"/>
      <x:c r="N54" s="17"/>
      <x:c r="O54" s="17"/>
      <x:c r="P54" s="17"/>
      <x:c r="Q54" s="17"/>
      <x:c r="R54" s="17"/>
      <x:c r="S54" s="17"/>
      <x:c r="T54" s="17"/>
      <x:c r="U54" s="17"/>
      <x:c r="V54" s="17"/>
      <x:c r="W54" s="17"/>
      <x:c r="X54" s="17"/>
      <x:c r="Y54" s="17"/>
      <x:c r="Z54" s="17"/>
    </x:row>
    <x:row r="55">
      <x:c r="A55" s="17" t="str">
        <x:v>DeepSeek-V3.2-Exp</x:v>
      </x:c>
      <x:c r="B55" s="17" t="str">
        <x:v>DeepSeek-V3.2-Exp</x:v>
      </x:c>
      <x:c r="C55" s="17" t="n">
        <x:v>45929</x:v>
      </x:c>
      <x:c r="D55" s="17" t="n">
        <x:v>144.86</x:v>
      </x:c>
      <x:c r="E55" s="17" t="n">
        <x:v>141.79</x:v>
      </x:c>
      <x:c r="F55" s="17" t="n">
        <x:v>146.71</x:v>
      </x:c>
      <x:c r="G55" s="17" t="str">
        <x:v>DeepSeek</x:v>
      </x:c>
      <x:c r="H55" s="17" t="str">
        <x:v>China</x:v>
      </x:c>
      <x:c r="I55" s="17" t="str">
        <x:v>Open weights (unrestricted)</x:v>
      </x:c>
      <x:c r="J55" s="17" t="str">
        <x:v>Open weights</x:v>
      </x:c>
      <x:c r="K55" s="17"/>
      <x:c r="L55" s="17"/>
      <x:c r="M55" s="17"/>
      <x:c r="N55" s="17"/>
      <x:c r="O55" s="17"/>
      <x:c r="P55" s="17"/>
      <x:c r="Q55" s="17"/>
      <x:c r="R55" s="17"/>
      <x:c r="S55" s="17"/>
      <x:c r="T55" s="17"/>
      <x:c r="U55" s="17"/>
      <x:c r="V55" s="17"/>
      <x:c r="W55" s="17"/>
      <x:c r="X55" s="17"/>
      <x:c r="Y55" s="17"/>
      <x:c r="Z55" s="17"/>
    </x:row>
    <x:row r="56">
      <x:c r="A56" s="17" t="str">
        <x:v>Gemini 2.5 Pro (Mar 2025)</x:v>
      </x:c>
      <x:c r="B56" s="17" t="str">
        <x:v>Gemini 2.5 Pro (Mar 2025)</x:v>
      </x:c>
      <x:c r="C56" s="17" t="n">
        <x:v>45741</x:v>
      </x:c>
      <x:c r="D56" s="17" t="n">
        <x:v>144.84</x:v>
      </x:c>
      <x:c r="E56" s="17" t="n">
        <x:v>142.71</x:v>
      </x:c>
      <x:c r="F56" s="17" t="n">
        <x:v>147.18</x:v>
      </x:c>
      <x:c r="G56" s="17" t="str">
        <x:v>Google DeepMind</x:v>
      </x:c>
      <x:c r="H56" s="17" t="str">
        <x:v>United States of America</x:v>
      </x:c>
      <x:c r="I56" s="17" t="str">
        <x:v>API access</x:v>
      </x:c>
      <x:c r="J56" s="17" t="str">
        <x:v>Closed weights</x:v>
      </x:c>
      <x:c r="K56" s="17"/>
      <x:c r="L56" s="17"/>
      <x:c r="M56" s="17"/>
      <x:c r="N56" s="17"/>
      <x:c r="O56" s="17"/>
      <x:c r="P56" s="17"/>
      <x:c r="Q56" s="17"/>
      <x:c r="R56" s="17"/>
      <x:c r="S56" s="17"/>
      <x:c r="T56" s="17"/>
      <x:c r="U56" s="17"/>
      <x:c r="V56" s="17"/>
      <x:c r="W56" s="17"/>
      <x:c r="X56" s="17"/>
      <x:c r="Y56" s="17"/>
      <x:c r="Z56" s="17"/>
    </x:row>
    <x:row r="57">
      <x:c r="A57" s="17" t="str">
        <x:v>Qwen3-235B-A22B-Thinking (Jul 2025)</x:v>
      </x:c>
      <x:c r="B57" s="17" t="str">
        <x:v>Qwen3-235B-A22B-Thinking (Jul 2025)</x:v>
      </x:c>
      <x:c r="C57" s="17" t="n">
        <x:v>45863</x:v>
      </x:c>
      <x:c r="D57" s="17" t="n">
        <x:v>144.78</x:v>
      </x:c>
      <x:c r="E57" s="17" t="n">
        <x:v>142.35</x:v>
      </x:c>
      <x:c r="F57" s="17" t="n">
        <x:v>147.4</x:v>
      </x:c>
      <x:c r="G57" s="17" t="str">
        <x:v>Alibaba</x:v>
      </x:c>
      <x:c r="H57" s="17" t="str">
        <x:v>China</x:v>
      </x:c>
      <x:c r="I57" s="17" t="str">
        <x:v>Open weights (unrestricted)</x:v>
      </x:c>
      <x:c r="J57" s="17" t="str">
        <x:v>Open weights</x:v>
      </x:c>
      <x:c r="K57" s="17"/>
      <x:c r="L57" s="17"/>
      <x:c r="M57" s="17"/>
      <x:c r="N57" s="17"/>
      <x:c r="O57" s="17"/>
      <x:c r="P57" s="17"/>
      <x:c r="Q57" s="17"/>
      <x:c r="R57" s="17"/>
      <x:c r="S57" s="17"/>
      <x:c r="T57" s="17"/>
      <x:c r="U57" s="17"/>
      <x:c r="V57" s="17"/>
      <x:c r="W57" s="17"/>
      <x:c r="X57" s="17"/>
      <x:c r="Y57" s="17"/>
      <x:c r="Z57" s="17"/>
    </x:row>
    <x:row r="58">
      <x:c r="A58" s="17" t="str">
        <x:v>Grok 4 Fast</x:v>
      </x:c>
      <x:c r="B58" s="17" t="str">
        <x:v>Grok 4 Fast</x:v>
      </x:c>
      <x:c r="C58" s="17" t="n">
        <x:v>45919</x:v>
      </x:c>
      <x:c r="D58" s="17" t="n">
        <x:v>144.62</x:v>
      </x:c>
      <x:c r="E58" s="17" t="n">
        <x:v>141.49</x:v>
      </x:c>
      <x:c r="F58" s="17" t="n">
        <x:v>147.06</x:v>
      </x:c>
      <x:c r="G58" s="17" t="str">
        <x:v>xAI</x:v>
      </x:c>
      <x:c r="H58" s="17" t="str">
        <x:v>United States of America</x:v>
      </x:c>
      <x:c r="I58" s="17" t="str">
        <x:v>API access</x:v>
      </x:c>
      <x:c r="J58" s="17" t="str">
        <x:v>Closed weights</x:v>
      </x:c>
      <x:c r="K58" s="17"/>
      <x:c r="L58" s="17"/>
      <x:c r="M58" s="17"/>
      <x:c r="N58" s="17"/>
      <x:c r="O58" s="17"/>
      <x:c r="P58" s="17"/>
      <x:c r="Q58" s="17"/>
      <x:c r="R58" s="17"/>
      <x:c r="S58" s="17"/>
      <x:c r="T58" s="17"/>
      <x:c r="U58" s="17"/>
      <x:c r="V58" s="17"/>
      <x:c r="W58" s="17"/>
      <x:c r="X58" s="17"/>
      <x:c r="Y58" s="17"/>
      <x:c r="Z58" s="17"/>
    </x:row>
    <x:row r="59">
      <x:c r="A59" s="17" t="str">
        <x:v>Gemini 3.1 Flash-Lite</x:v>
      </x:c>
      <x:c r="B59" s="17" t="str">
        <x:v>Gemini 3.1 Flash-Lite</x:v>
      </x:c>
      <x:c r="C59" s="17" t="n">
        <x:v>46084</x:v>
      </x:c>
      <x:c r="D59" s="17" t="n">
        <x:v>144.36</x:v>
      </x:c>
      <x:c r="E59" s="17" t="n">
        <x:v>136.85</x:v>
      </x:c>
      <x:c r="F59" s="17" t="n">
        <x:v>146.37</x:v>
      </x:c>
      <x:c r="G59" s="17" t="str">
        <x:v>Google</x:v>
      </x:c>
      <x:c r="H59" s="17" t="str">
        <x:v>United States of America</x:v>
      </x:c>
      <x:c r="I59" s="17" t="str">
        <x:v>API access</x:v>
      </x:c>
      <x:c r="J59" s="17" t="str">
        <x:v>Closed weights</x:v>
      </x:c>
      <x:c r="K59" s="17"/>
      <x:c r="L59" s="17"/>
      <x:c r="M59" s="17"/>
      <x:c r="N59" s="17"/>
      <x:c r="O59" s="17"/>
      <x:c r="P59" s="17"/>
      <x:c r="Q59" s="17"/>
      <x:c r="R59" s="17"/>
      <x:c r="S59" s="17"/>
      <x:c r="T59" s="17"/>
      <x:c r="U59" s="17"/>
      <x:c r="V59" s="17"/>
      <x:c r="W59" s="17"/>
      <x:c r="X59" s="17"/>
      <x:c r="Y59" s="17"/>
      <x:c r="Z59" s="17"/>
    </x:row>
    <x:row r="60">
      <x:c r="A60" s="17" t="str">
        <x:v>Claude Opus 4.1</x:v>
      </x:c>
      <x:c r="B60" s="17" t="str">
        <x:v>Claude Opus 4.1</x:v>
      </x:c>
      <x:c r="C60" s="17" t="n">
        <x:v>45874</x:v>
      </x:c>
      <x:c r="D60" s="17" t="n">
        <x:v>144.21</x:v>
      </x:c>
      <x:c r="E60" s="17" t="n">
        <x:v>141.74</x:v>
      </x:c>
      <x:c r="F60" s="17" t="n">
        <x:v>146.36</x:v>
      </x:c>
      <x:c r="G60" s="17" t="str">
        <x:v>Anthropic</x:v>
      </x:c>
      <x:c r="H60" s="17" t="str">
        <x:v>United States of America</x:v>
      </x:c>
      <x:c r="I60" s="17" t="str">
        <x:v>API access</x:v>
      </x:c>
      <x:c r="J60" s="17" t="str">
        <x:v>Closed weights</x:v>
      </x:c>
      <x:c r="K60" s="17"/>
      <x:c r="L60" s="17"/>
      <x:c r="M60" s="17"/>
      <x:c r="N60" s="17"/>
      <x:c r="O60" s="17"/>
      <x:c r="P60" s="17"/>
      <x:c r="Q60" s="17"/>
      <x:c r="R60" s="17"/>
      <x:c r="S60" s="17"/>
      <x:c r="T60" s="17"/>
      <x:c r="U60" s="17"/>
      <x:c r="V60" s="17"/>
      <x:c r="W60" s="17"/>
      <x:c r="X60" s="17"/>
      <x:c r="Y60" s="17"/>
      <x:c r="Z60" s="17"/>
    </x:row>
    <x:row r="61">
      <x:c r="A61" s="17" t="str">
        <x:v>Qwen 3.6 Flash</x:v>
      </x:c>
      <x:c r="B61" s="17" t="str">
        <x:v>Qwen 3.6 Flash</x:v>
      </x:c>
      <x:c r="C61" s="17" t="n">
        <x:v>46138</x:v>
      </x:c>
      <x:c r="D61" s="17" t="n">
        <x:v>144.17</x:v>
      </x:c>
      <x:c r="E61" s="17" t="n">
        <x:v>141.12</x:v>
      </x:c>
      <x:c r="F61" s="17" t="n">
        <x:v>145.65</x:v>
      </x:c>
      <x:c r="G61" s="17" t="str">
        <x:v>Alibaba</x:v>
      </x:c>
      <x:c r="H61" s="17" t="str">
        <x:v>China</x:v>
      </x:c>
      <x:c r="I61" s="17" t="str">
        <x:v>Unknown</x:v>
      </x:c>
      <x:c r="J61" s="17" t="str">
        <x:v>Other</x:v>
      </x:c>
      <x:c r="K61" s="17"/>
      <x:c r="L61" s="17"/>
      <x:c r="M61" s="17"/>
      <x:c r="N61" s="17"/>
      <x:c r="O61" s="17"/>
      <x:c r="P61" s="17"/>
      <x:c r="Q61" s="17"/>
      <x:c r="R61" s="17"/>
      <x:c r="S61" s="17"/>
      <x:c r="T61" s="17"/>
      <x:c r="U61" s="17"/>
      <x:c r="V61" s="17"/>
      <x:c r="W61" s="17"/>
      <x:c r="X61" s="17"/>
      <x:c r="Y61" s="17"/>
      <x:c r="Z61" s="17"/>
    </x:row>
    <x:row r="62">
      <x:c r="A62" s="17" t="str">
        <x:v>Qwen 3.5 Flash (hosted 35B-A3B)</x:v>
      </x:c>
      <x:c r="B62" s="17" t="str">
        <x:v>Qwen 3.5 Flash (hosted 35B-A3B)</x:v>
      </x:c>
      <x:c r="C62" s="17" t="n">
        <x:v>46078</x:v>
      </x:c>
      <x:c r="D62" s="17" t="n">
        <x:v>144.07</x:v>
      </x:c>
      <x:c r="E62" s="17" t="n">
        <x:v>140.99</x:v>
      </x:c>
      <x:c r="F62" s="17" t="n">
        <x:v>146.42</x:v>
      </x:c>
      <x:c r="G62" s="17" t="str">
        <x:v>Alibaba</x:v>
      </x:c>
      <x:c r="H62" s="17" t="str">
        <x:v>China</x:v>
      </x:c>
      <x:c r="I62" s="17" t="str">
        <x:v>Unknown</x:v>
      </x:c>
      <x:c r="J62" s="17" t="str">
        <x:v>Other</x:v>
      </x:c>
      <x:c r="K62" s="17"/>
      <x:c r="L62" s="17"/>
      <x:c r="M62" s="17"/>
      <x:c r="N62" s="17"/>
      <x:c r="O62" s="17"/>
      <x:c r="P62" s="17"/>
      <x:c r="Q62" s="17"/>
      <x:c r="R62" s="17"/>
      <x:c r="S62" s="17"/>
      <x:c r="T62" s="17"/>
      <x:c r="U62" s="17"/>
      <x:c r="V62" s="17"/>
      <x:c r="W62" s="17"/>
      <x:c r="X62" s="17"/>
      <x:c r="Y62" s="17"/>
      <x:c r="Z62" s="17"/>
    </x:row>
    <x:row r="63">
      <x:c r="A63" s="17" t="str">
        <x:v>Qwen3-Max</x:v>
      </x:c>
      <x:c r="B63" s="17" t="str">
        <x:v>Qwen3-Max</x:v>
      </x:c>
      <x:c r="C63" s="17" t="n">
        <x:v>45905</x:v>
      </x:c>
      <x:c r="D63" s="17" t="n">
        <x:v>143.95</x:v>
      </x:c>
      <x:c r="E63" s="17" t="n">
        <x:v>140.4</x:v>
      </x:c>
      <x:c r="F63" s="17" t="n">
        <x:v>155.83</x:v>
      </x:c>
      <x:c r="G63" s="17" t="str">
        <x:v>Alibaba</x:v>
      </x:c>
      <x:c r="H63" s="17" t="str">
        <x:v>China</x:v>
      </x:c>
      <x:c r="I63" s="17" t="str">
        <x:v>API access</x:v>
      </x:c>
      <x:c r="J63" s="17" t="str">
        <x:v>Closed weights</x:v>
      </x:c>
      <x:c r="K63" s="17"/>
      <x:c r="L63" s="17"/>
      <x:c r="M63" s="17"/>
      <x:c r="N63" s="17"/>
      <x:c r="O63" s="17"/>
      <x:c r="P63" s="17"/>
      <x:c r="Q63" s="17"/>
      <x:c r="R63" s="17"/>
      <x:c r="S63" s="17"/>
      <x:c r="T63" s="17"/>
      <x:c r="U63" s="17"/>
      <x:c r="V63" s="17"/>
      <x:c r="W63" s="17"/>
      <x:c r="X63" s="17"/>
      <x:c r="Y63" s="17"/>
      <x:c r="Z63" s="17"/>
    </x:row>
    <x:row r="64">
      <x:c r="A64" s="17" t="str">
        <x:v>GLM-4.7</x:v>
      </x:c>
      <x:c r="B64" s="17" t="str">
        <x:v>GLM-4.7</x:v>
      </x:c>
      <x:c r="C64" s="17" t="n">
        <x:v>46013</x:v>
      </x:c>
      <x:c r="D64" s="17" t="n">
        <x:v>143.73</x:v>
      </x:c>
      <x:c r="E64" s="17" t="n">
        <x:v>141.11</x:v>
      </x:c>
      <x:c r="F64" s="17" t="n">
        <x:v>145.38</x:v>
      </x:c>
      <x:c r="G64" s="17" t="str">
        <x:v>Z.ai (Zhipu AI)</x:v>
      </x:c>
      <x:c r="H64" s="17" t="str">
        <x:v>China</x:v>
      </x:c>
      <x:c r="I64" s="17" t="str">
        <x:v>Open weights (unrestricted)</x:v>
      </x:c>
      <x:c r="J64" s="17" t="str">
        <x:v>Open weights</x:v>
      </x:c>
      <x:c r="K64" s="17"/>
      <x:c r="L64" s="17"/>
      <x:c r="M64" s="17"/>
      <x:c r="N64" s="17"/>
      <x:c r="O64" s="17"/>
      <x:c r="P64" s="17"/>
      <x:c r="Q64" s="17"/>
      <x:c r="R64" s="17"/>
      <x:c r="S64" s="17"/>
      <x:c r="T64" s="17"/>
      <x:c r="U64" s="17"/>
      <x:c r="V64" s="17"/>
      <x:c r="W64" s="17"/>
      <x:c r="X64" s="17"/>
      <x:c r="Y64" s="17"/>
      <x:c r="Z64" s="17"/>
    </x:row>
    <x:row r="65">
      <x:c r="A65" s="17" t="str">
        <x:v>Gemini 2.5 Flash (Sep 2025)</x:v>
      </x:c>
      <x:c r="B65" s="17" t="str">
        <x:v>Gemini 2.5 Flash (Sep 2025)</x:v>
      </x:c>
      <x:c r="C65" s="17" t="n">
        <x:v>45925</x:v>
      </x:c>
      <x:c r="D65" s="17" t="n">
        <x:v>143.1</x:v>
      </x:c>
      <x:c r="E65" s="17" t="n">
        <x:v>138.81</x:v>
      </x:c>
      <x:c r="F65" s="17" t="n">
        <x:v>146.24</x:v>
      </x:c>
      <x:c r="G65" s="17" t="str">
        <x:v>Google DeepMind</x:v>
      </x:c>
      <x:c r="H65" s="17" t="str">
        <x:v>United States of America</x:v>
      </x:c>
      <x:c r="I65" s="17" t="str">
        <x:v>API access</x:v>
      </x:c>
      <x:c r="J65" s="17" t="str">
        <x:v>Closed weights</x:v>
      </x:c>
      <x:c r="K65" s="17"/>
      <x:c r="L65" s="17"/>
      <x:c r="M65" s="17"/>
      <x:c r="N65" s="17"/>
      <x:c r="O65" s="17"/>
      <x:c r="P65" s="17"/>
      <x:c r="Q65" s="17"/>
      <x:c r="R65" s="17"/>
      <x:c r="S65" s="17"/>
      <x:c r="T65" s="17"/>
      <x:c r="U65" s="17"/>
      <x:c r="V65" s="17"/>
      <x:c r="W65" s="17"/>
      <x:c r="X65" s="17"/>
      <x:c r="Y65" s="17"/>
      <x:c r="Z65" s="17"/>
    </x:row>
    <x:row r="66">
      <x:c r="A66" s="17" t="str">
        <x:v>Claude Opus 4</x:v>
      </x:c>
      <x:c r="B66" s="17" t="str">
        <x:v>Claude Opus 4</x:v>
      </x:c>
      <x:c r="C66" s="17" t="n">
        <x:v>45799</x:v>
      </x:c>
      <x:c r="D66" s="17" t="n">
        <x:v>142.89</x:v>
      </x:c>
      <x:c r="E66" s="17" t="n">
        <x:v>140.36</x:v>
      </x:c>
      <x:c r="F66" s="17" t="n">
        <x:v>144.3</x:v>
      </x:c>
      <x:c r="G66" s="17" t="str">
        <x:v>Anthropic</x:v>
      </x:c>
      <x:c r="H66" s="17" t="str">
        <x:v>United States of America</x:v>
      </x:c>
      <x:c r="I66" s="17" t="str">
        <x:v>API access</x:v>
      </x:c>
      <x:c r="J66" s="17" t="str">
        <x:v>Closed weights</x:v>
      </x:c>
      <x:c r="K66" s="17"/>
      <x:c r="L66" s="17"/>
      <x:c r="M66" s="17"/>
      <x:c r="N66" s="17"/>
      <x:c r="O66" s="17"/>
      <x:c r="P66" s="17"/>
      <x:c r="Q66" s="17"/>
      <x:c r="R66" s="17"/>
      <x:c r="S66" s="17"/>
      <x:c r="T66" s="17"/>
      <x:c r="U66" s="17"/>
      <x:c r="V66" s="17"/>
      <x:c r="W66" s="17"/>
      <x:c r="X66" s="17"/>
      <x:c r="Y66" s="17"/>
      <x:c r="Z66" s="17"/>
    </x:row>
    <x:row r="67">
      <x:c r="A67" s="17" t="str">
        <x:v>Claude Haiku 4.5</x:v>
      </x:c>
      <x:c r="B67" s="17" t="str">
        <x:v>Claude Haiku 4.5</x:v>
      </x:c>
      <x:c r="C67" s="17" t="n">
        <x:v>45945</x:v>
      </x:c>
      <x:c r="D67" s="17" t="n">
        <x:v>142.86</x:v>
      </x:c>
      <x:c r="E67" s="17" t="n">
        <x:v>139.6</x:v>
      </x:c>
      <x:c r="F67" s="17" t="n">
        <x:v>144.62</x:v>
      </x:c>
      <x:c r="G67" s="17" t="str">
        <x:v>Anthropic</x:v>
      </x:c>
      <x:c r="H67" s="17" t="str">
        <x:v>United States of America</x:v>
      </x:c>
      <x:c r="I67" s="17" t="str">
        <x:v>API access</x:v>
      </x:c>
      <x:c r="J67" s="17" t="str">
        <x:v>Closed weights</x:v>
      </x:c>
      <x:c r="K67" s="17"/>
      <x:c r="L67" s="17"/>
      <x:c r="M67" s="17"/>
      <x:c r="N67" s="17"/>
      <x:c r="O67" s="17"/>
      <x:c r="P67" s="17"/>
      <x:c r="Q67" s="17"/>
      <x:c r="R67" s="17"/>
      <x:c r="S67" s="17"/>
      <x:c r="T67" s="17"/>
      <x:c r="U67" s="17"/>
      <x:c r="V67" s="17"/>
      <x:c r="W67" s="17"/>
      <x:c r="X67" s="17"/>
      <x:c r="Y67" s="17"/>
      <x:c r="Z67" s="17"/>
    </x:row>
    <x:row r="68">
      <x:c r="A68" s="17" t="str">
        <x:v>Gemini 2.5 Pro (May 2025)</x:v>
      </x:c>
      <x:c r="B68" s="17" t="str">
        <x:v>Gemini 2.5 Pro (May 2025)</x:v>
      </x:c>
      <x:c r="C68" s="17" t="n">
        <x:v>45783</x:v>
      </x:c>
      <x:c r="D68" s="17" t="n">
        <x:v>142.83</x:v>
      </x:c>
      <x:c r="E68" s="17" t="n">
        <x:v>139.38</x:v>
      </x:c>
      <x:c r="F68" s="17" t="n">
        <x:v>145.35</x:v>
      </x:c>
      <x:c r="G68" s="17" t="str">
        <x:v>Google DeepMind</x:v>
      </x:c>
      <x:c r="H68" s="17" t="str">
        <x:v>United States of America</x:v>
      </x:c>
      <x:c r="I68" s="17" t="str">
        <x:v>API access</x:v>
      </x:c>
      <x:c r="J68" s="17" t="str">
        <x:v>Closed weights</x:v>
      </x:c>
      <x:c r="K68" s="17"/>
      <x:c r="L68" s="17"/>
      <x:c r="M68" s="17"/>
      <x:c r="N68" s="17"/>
      <x:c r="O68" s="17"/>
      <x:c r="P68" s="17"/>
      <x:c r="Q68" s="17"/>
      <x:c r="R68" s="17"/>
      <x:c r="S68" s="17"/>
      <x:c r="T68" s="17"/>
      <x:c r="U68" s="17"/>
      <x:c r="V68" s="17"/>
      <x:c r="W68" s="17"/>
      <x:c r="X68" s="17"/>
      <x:c r="Y68" s="17"/>
      <x:c r="Z68" s="17"/>
    </x:row>
    <x:row r="69">
      <x:c r="A69" s="17" t="str">
        <x:v>o1</x:v>
      </x:c>
      <x:c r="B69" s="17" t="str">
        <x:v>o1</x:v>
      </x:c>
      <x:c r="C69" s="17" t="n">
        <x:v>45631</x:v>
      </x:c>
      <x:c r="D69" s="17" t="n">
        <x:v>142.69</x:v>
      </x:c>
      <x:c r="E69" s="17" t="n">
        <x:v>140.88</x:v>
      </x:c>
      <x:c r="F69" s="17" t="n">
        <x:v>143.81</x:v>
      </x:c>
      <x:c r="G69" s="17" t="str">
        <x:v>OpenAI</x:v>
      </x:c>
      <x:c r="H69" s="17" t="str">
        <x:v>United States of America</x:v>
      </x:c>
      <x:c r="I69" s="17" t="str">
        <x:v>API access</x:v>
      </x:c>
      <x:c r="J69" s="17" t="str">
        <x:v>Closed weights</x:v>
      </x:c>
      <x:c r="K69" s="17"/>
      <x:c r="L69" s="17"/>
      <x:c r="M69" s="17"/>
      <x:c r="N69" s="17"/>
      <x:c r="O69" s="17"/>
      <x:c r="P69" s="17"/>
      <x:c r="Q69" s="17"/>
      <x:c r="R69" s="17"/>
      <x:c r="S69" s="17"/>
      <x:c r="T69" s="17"/>
      <x:c r="U69" s="17"/>
      <x:c r="V69" s="17"/>
      <x:c r="W69" s="17"/>
      <x:c r="X69" s="17"/>
      <x:c r="Y69" s="17"/>
      <x:c r="Z69" s="17"/>
    </x:row>
    <x:row r="70">
      <x:c r="A70" s="17" t="str">
        <x:v>Gemini 2.5 Flash (May 2025)</x:v>
      </x:c>
      <x:c r="B70" s="17" t="str">
        <x:v>Gemini 2.5 Flash (May 2025)</x:v>
      </x:c>
      <x:c r="C70" s="17" t="n">
        <x:v>45797</x:v>
      </x:c>
      <x:c r="D70" s="17" t="n">
        <x:v>142.24</x:v>
      </x:c>
      <x:c r="E70" s="17" t="n">
        <x:v>139.89</x:v>
      </x:c>
      <x:c r="F70" s="17" t="n">
        <x:v>143.54</x:v>
      </x:c>
      <x:c r="G70" s="17" t="str">
        <x:v>Google DeepMind</x:v>
      </x:c>
      <x:c r="H70" s="17" t="str">
        <x:v>United States of America</x:v>
      </x:c>
      <x:c r="I70" s="17" t="str">
        <x:v>API access</x:v>
      </x:c>
      <x:c r="J70" s="17" t="str">
        <x:v>Closed weights</x:v>
      </x:c>
      <x:c r="K70" s="17"/>
      <x:c r="L70" s="17"/>
      <x:c r="M70" s="17"/>
      <x:c r="N70" s="17"/>
      <x:c r="O70" s="17"/>
      <x:c r="P70" s="17"/>
      <x:c r="Q70" s="17"/>
      <x:c r="R70" s="17"/>
      <x:c r="S70" s="17"/>
      <x:c r="T70" s="17"/>
      <x:c r="U70" s="17"/>
      <x:c r="V70" s="17"/>
      <x:c r="W70" s="17"/>
      <x:c r="X70" s="17"/>
      <x:c r="Y70" s="17"/>
      <x:c r="Z70" s="17"/>
    </x:row>
    <x:row r="71">
      <x:c r="A71" s="17" t="str">
        <x:v>Claude Sonnet 4</x:v>
      </x:c>
      <x:c r="B71" s="17" t="str">
        <x:v>Claude Sonnet 4</x:v>
      </x:c>
      <x:c r="C71" s="17" t="n">
        <x:v>45799</x:v>
      </x:c>
      <x:c r="D71" s="17" t="n">
        <x:v>142.15</x:v>
      </x:c>
      <x:c r="E71" s="17" t="n">
        <x:v>139.04</x:v>
      </x:c>
      <x:c r="F71" s="17" t="n">
        <x:v>143.61</x:v>
      </x:c>
      <x:c r="G71" s="17" t="str">
        <x:v>Anthropic</x:v>
      </x:c>
      <x:c r="H71" s="17" t="str">
        <x:v>United States of America</x:v>
      </x:c>
      <x:c r="I71" s="17" t="str">
        <x:v>API access</x:v>
      </x:c>
      <x:c r="J71" s="17" t="str">
        <x:v>Closed weights</x:v>
      </x:c>
      <x:c r="K71" s="17"/>
      <x:c r="L71" s="17"/>
      <x:c r="M71" s="17"/>
      <x:c r="N71" s="17"/>
      <x:c r="O71" s="17"/>
      <x:c r="P71" s="17"/>
      <x:c r="Q71" s="17"/>
      <x:c r="R71" s="17"/>
      <x:c r="S71" s="17"/>
      <x:c r="T71" s="17"/>
      <x:c r="U71" s="17"/>
      <x:c r="V71" s="17"/>
      <x:c r="W71" s="17"/>
      <x:c r="X71" s="17"/>
      <x:c r="Y71" s="17"/>
      <x:c r="Z71" s="17"/>
    </x:row>
    <x:row r="72">
      <x:c r="A72" s="17" t="str">
        <x:v>DeepSeek-R1 (May 2025)</x:v>
      </x:c>
      <x:c r="B72" s="17" t="str">
        <x:v>DeepSeek-R1 (May 2025)</x:v>
      </x:c>
      <x:c r="C72" s="17" t="n">
        <x:v>45805</x:v>
      </x:c>
      <x:c r="D72" s="17" t="n">
        <x:v>142</x:v>
      </x:c>
      <x:c r="E72" s="17" t="n">
        <x:v>139.66</x:v>
      </x:c>
      <x:c r="F72" s="17" t="n">
        <x:v>143.43</x:v>
      </x:c>
      <x:c r="G72" s="17" t="str">
        <x:v>DeepSeek</x:v>
      </x:c>
      <x:c r="H72" s="17" t="str">
        <x:v>China</x:v>
      </x:c>
      <x:c r="I72" s="17" t="str">
        <x:v>Open weights (unrestricted)</x:v>
      </x:c>
      <x:c r="J72" s="17" t="str">
        <x:v>Open weights</x:v>
      </x:c>
      <x:c r="K72" s="17"/>
      <x:c r="L72" s="17"/>
      <x:c r="M72" s="17"/>
      <x:c r="N72" s="17"/>
      <x:c r="O72" s="17"/>
      <x:c r="P72" s="17"/>
      <x:c r="Q72" s="17"/>
      <x:c r="R72" s="17"/>
      <x:c r="S72" s="17"/>
      <x:c r="T72" s="17"/>
      <x:c r="U72" s="17"/>
      <x:c r="V72" s="17"/>
      <x:c r="W72" s="17"/>
      <x:c r="X72" s="17"/>
      <x:c r="Y72" s="17"/>
      <x:c r="Z72" s="17"/>
    </x:row>
    <x:row r="73">
      <x:c r="A73" s="17" t="str">
        <x:v>Claude 3.7 Sonnet</x:v>
      </x:c>
      <x:c r="B73" s="17" t="str">
        <x:v>Claude 3.7 Sonnet</x:v>
      </x:c>
      <x:c r="C73" s="17" t="n">
        <x:v>45712</x:v>
      </x:c>
      <x:c r="D73" s="17" t="n">
        <x:v>141.7</x:v>
      </x:c>
      <x:c r="E73" s="17" t="n">
        <x:v>139.28</x:v>
      </x:c>
      <x:c r="F73" s="17" t="n">
        <x:v>143.27</x:v>
      </x:c>
      <x:c r="G73" s="17" t="str">
        <x:v>Anthropic</x:v>
      </x:c>
      <x:c r="H73" s="17" t="str">
        <x:v>United States of America</x:v>
      </x:c>
      <x:c r="I73" s="17" t="str">
        <x:v>API access</x:v>
      </x:c>
      <x:c r="J73" s="17" t="str">
        <x:v>Closed weights</x:v>
      </x:c>
      <x:c r="K73" s="17"/>
      <x:c r="L73" s="17"/>
      <x:c r="M73" s="17"/>
      <x:c r="N73" s="17"/>
      <x:c r="O73" s="17"/>
      <x:c r="P73" s="17"/>
      <x:c r="Q73" s="17"/>
      <x:c r="R73" s="17"/>
      <x:c r="S73" s="17"/>
      <x:c r="T73" s="17"/>
      <x:c r="U73" s="17"/>
      <x:c r="V73" s="17"/>
      <x:c r="W73" s="17"/>
      <x:c r="X73" s="17"/>
      <x:c r="Y73" s="17"/>
      <x:c r="Z73" s="17"/>
    </x:row>
    <x:row r="74">
      <x:c r="A74" s="17" t="str">
        <x:v>o3-mini</x:v>
      </x:c>
      <x:c r="B74" s="17" t="str">
        <x:v>o3-mini</x:v>
      </x:c>
      <x:c r="C74" s="17" t="n">
        <x:v>45688</x:v>
      </x:c>
      <x:c r="D74" s="17" t="n">
        <x:v>141.41</x:v>
      </x:c>
      <x:c r="E74" s="17" t="n">
        <x:v>137.82</x:v>
      </x:c>
      <x:c r="F74" s="17" t="n">
        <x:v>142.81</x:v>
      </x:c>
      <x:c r="G74" s="17" t="str">
        <x:v>OpenAI</x:v>
      </x:c>
      <x:c r="H74" s="17" t="str">
        <x:v>United States of America</x:v>
      </x:c>
      <x:c r="I74" s="17" t="str">
        <x:v>API access</x:v>
      </x:c>
      <x:c r="J74" s="17" t="str">
        <x:v>Closed weights</x:v>
      </x:c>
      <x:c r="K74" s="17"/>
      <x:c r="L74" s="17"/>
      <x:c r="M74" s="17"/>
      <x:c r="N74" s="17"/>
      <x:c r="O74" s="17"/>
      <x:c r="P74" s="17"/>
      <x:c r="Q74" s="17"/>
      <x:c r="R74" s="17"/>
      <x:c r="S74" s="17"/>
      <x:c r="T74" s="17"/>
      <x:c r="U74" s="17"/>
      <x:c r="V74" s="17"/>
      <x:c r="W74" s="17"/>
      <x:c r="X74" s="17"/>
      <x:c r="Y74" s="17"/>
      <x:c r="Z74" s="17"/>
    </x:row>
    <x:row r="75">
      <x:c r="A75" s="17" t="str">
        <x:v>Grok-3 mini</x:v>
      </x:c>
      <x:c r="B75" s="17" t="str">
        <x:v>Grok-3 mini</x:v>
      </x:c>
      <x:c r="C75" s="17" t="n">
        <x:v>45707</x:v>
      </x:c>
      <x:c r="D75" s="17" t="n">
        <x:v>141.01</x:v>
      </x:c>
      <x:c r="E75" s="17" t="n">
        <x:v>137.89</x:v>
      </x:c>
      <x:c r="F75" s="17" t="n">
        <x:v>142.63</x:v>
      </x:c>
      <x:c r="G75" s="17" t="str">
        <x:v>xAI</x:v>
      </x:c>
      <x:c r="H75" s="17" t="str">
        <x:v>United States of America</x:v>
      </x:c>
      <x:c r="I75" s="17" t="str">
        <x:v>API access</x:v>
      </x:c>
      <x:c r="J75" s="17" t="str">
        <x:v>Closed weights</x:v>
      </x:c>
      <x:c r="K75" s="17"/>
      <x:c r="L75" s="17"/>
      <x:c r="M75" s="17"/>
      <x:c r="N75" s="17"/>
      <x:c r="O75" s="17"/>
      <x:c r="P75" s="17"/>
      <x:c r="Q75" s="17"/>
      <x:c r="R75" s="17"/>
      <x:c r="S75" s="17"/>
      <x:c r="T75" s="17"/>
      <x:c r="U75" s="17"/>
      <x:c r="V75" s="17"/>
      <x:c r="W75" s="17"/>
      <x:c r="X75" s="17"/>
      <x:c r="Y75" s="17"/>
      <x:c r="Z75" s="17"/>
    </x:row>
    <x:row r="76">
      <x:c r="A76" s="17" t="str">
        <x:v>Kimi K2 (Sep 2025)</x:v>
      </x:c>
      <x:c r="B76" s="17" t="str">
        <x:v>Kimi K2 (Sep 2025)</x:v>
      </x:c>
      <x:c r="C76" s="17" t="n">
        <x:v>45849</x:v>
      </x:c>
      <x:c r="D76" s="17" t="n">
        <x:v>140.98</x:v>
      </x:c>
      <x:c r="E76" s="17" t="n">
        <x:v>138.39</x:v>
      </x:c>
      <x:c r="F76" s="17" t="n">
        <x:v>142.27</x:v>
      </x:c>
      <x:c r="G76" s="17" t="str">
        <x:v>Moonshot</x:v>
      </x:c>
      <x:c r="H76" s="17" t="str">
        <x:v>China</x:v>
      </x:c>
      <x:c r="I76" s="17" t="str">
        <x:v>Open weights (restricted use)</x:v>
      </x:c>
      <x:c r="J76" s="17" t="str">
        <x:v>Open weights</x:v>
      </x:c>
      <x:c r="K76" s="17"/>
      <x:c r="L76" s="17"/>
      <x:c r="M76" s="17"/>
      <x:c r="N76" s="17"/>
      <x:c r="O76" s="17"/>
      <x:c r="P76" s="17"/>
      <x:c r="Q76" s="17"/>
      <x:c r="R76" s="17"/>
      <x:c r="S76" s="17"/>
      <x:c r="T76" s="17"/>
      <x:c r="U76" s="17"/>
      <x:c r="V76" s="17"/>
      <x:c r="W76" s="17"/>
      <x:c r="X76" s="17"/>
      <x:c r="Y76" s="17"/>
      <x:c r="Z76" s="17"/>
    </x:row>
    <x:row r="77">
      <x:c r="A77" s="17" t="str">
        <x:v>GLM-4.6</x:v>
      </x:c>
      <x:c r="B77" s="17" t="str">
        <x:v>GLM-4.6</x:v>
      </x:c>
      <x:c r="C77" s="17" t="n">
        <x:v>45930</x:v>
      </x:c>
      <x:c r="D77" s="17" t="n">
        <x:v>140.95</x:v>
      </x:c>
      <x:c r="E77" s="17" t="n">
        <x:v>136.28</x:v>
      </x:c>
      <x:c r="F77" s="17" t="n">
        <x:v>142.51</x:v>
      </x:c>
      <x:c r="G77" s="17" t="str">
        <x:v>Z.ai (Zhipu AI),Tsinghua University</x:v>
      </x:c>
      <x:c r="H77" s="17" t="str">
        <x:v>China</x:v>
      </x:c>
      <x:c r="I77" s="17" t="str">
        <x:v>Open weights (unrestricted)</x:v>
      </x:c>
      <x:c r="J77" s="17" t="str">
        <x:v>Open weights</x:v>
      </x:c>
      <x:c r="K77" s="17"/>
      <x:c r="L77" s="17"/>
      <x:c r="M77" s="17"/>
      <x:c r="N77" s="17"/>
      <x:c r="O77" s="17"/>
      <x:c r="P77" s="17"/>
      <x:c r="Q77" s="17"/>
      <x:c r="R77" s="17"/>
      <x:c r="S77" s="17"/>
      <x:c r="T77" s="17"/>
      <x:c r="U77" s="17"/>
      <x:c r="V77" s="17"/>
      <x:c r="W77" s="17"/>
      <x:c r="X77" s="17"/>
      <x:c r="Y77" s="17"/>
      <x:c r="Z77" s="17"/>
    </x:row>
    <x:row r="78">
      <x:c r="A78" s="17" t="str">
        <x:v>GPT-5 nano</x:v>
      </x:c>
      <x:c r="B78" s="17" t="str">
        <x:v>GPT-5 nano</x:v>
      </x:c>
      <x:c r="C78" s="17" t="n">
        <x:v>45876</x:v>
      </x:c>
      <x:c r="D78" s="17" t="n">
        <x:v>140.85</x:v>
      </x:c>
      <x:c r="E78" s="17" t="n">
        <x:v>136.43</x:v>
      </x:c>
      <x:c r="F78" s="17" t="n">
        <x:v>142.54</x:v>
      </x:c>
      <x:c r="G78" s="17" t="str">
        <x:v>OpenAI</x:v>
      </x:c>
      <x:c r="H78" s="17" t="str">
        <x:v>United States of America</x:v>
      </x:c>
      <x:c r="I78" s="17" t="str">
        <x:v>API access</x:v>
      </x:c>
      <x:c r="J78" s="17" t="str">
        <x:v>Closed weights</x:v>
      </x:c>
      <x:c r="K78" s="17"/>
      <x:c r="L78" s="17"/>
      <x:c r="M78" s="17"/>
      <x:c r="N78" s="17"/>
      <x:c r="O78" s="17"/>
      <x:c r="P78" s="17"/>
      <x:c r="Q78" s="17"/>
      <x:c r="R78" s="17"/>
      <x:c r="S78" s="17"/>
      <x:c r="T78" s="17"/>
      <x:c r="U78" s="17"/>
      <x:c r="V78" s="17"/>
      <x:c r="W78" s="17"/>
      <x:c r="X78" s="17"/>
      <x:c r="Y78" s="17"/>
      <x:c r="Z78" s="17"/>
    </x:row>
    <x:row r="79">
      <x:c r="A79" s="17" t="str">
        <x:v>Gemini 2.5 Flash (Apr 2025)</x:v>
      </x:c>
      <x:c r="B79" s="17" t="str">
        <x:v>Gemini 2.5 Flash (Apr 2025)</x:v>
      </x:c>
      <x:c r="C79" s="17" t="n">
        <x:v>45764</x:v>
      </x:c>
      <x:c r="D79" s="17" t="n">
        <x:v>140.61</x:v>
      </x:c>
      <x:c r="E79" s="17" t="n">
        <x:v>135.95</x:v>
      </x:c>
      <x:c r="F79" s="17" t="n">
        <x:v>142.64</x:v>
      </x:c>
      <x:c r="G79" s="17" t="str">
        <x:v>Google DeepMind</x:v>
      </x:c>
      <x:c r="H79" s="17" t="str">
        <x:v>United States of America</x:v>
      </x:c>
      <x:c r="I79" s="17" t="str">
        <x:v>API access</x:v>
      </x:c>
      <x:c r="J79" s="17" t="str">
        <x:v>Closed weights</x:v>
      </x:c>
      <x:c r="K79" s="17"/>
      <x:c r="L79" s="17"/>
      <x:c r="M79" s="17"/>
      <x:c r="N79" s="17"/>
      <x:c r="O79" s="17"/>
      <x:c r="P79" s="17"/>
      <x:c r="Q79" s="17"/>
      <x:c r="R79" s="17"/>
      <x:c r="S79" s="17"/>
      <x:c r="T79" s="17"/>
      <x:c r="U79" s="17"/>
      <x:c r="V79" s="17"/>
      <x:c r="W79" s="17"/>
      <x:c r="X79" s="17"/>
      <x:c r="Y79" s="17"/>
      <x:c r="Z79" s="17"/>
    </x:row>
    <x:row r="80">
      <x:c r="A80" s="17" t="str">
        <x:v>gpt-oss-120b</x:v>
      </x:c>
      <x:c r="B80" s="17" t="str">
        <x:v>gpt-oss-120b</x:v>
      </x:c>
      <x:c r="C80" s="17" t="n">
        <x:v>45874</x:v>
      </x:c>
      <x:c r="D80" s="17" t="n">
        <x:v>140.57</x:v>
      </x:c>
      <x:c r="E80" s="17" t="n">
        <x:v>136.18</x:v>
      </x:c>
      <x:c r="F80" s="17" t="n">
        <x:v>143.08</x:v>
      </x:c>
      <x:c r="G80" s="17" t="str">
        <x:v>OpenAI</x:v>
      </x:c>
      <x:c r="H80" s="17" t="str">
        <x:v>United States of America</x:v>
      </x:c>
      <x:c r="I80" s="17" t="str">
        <x:v>Open weights (unrestricted)</x:v>
      </x:c>
      <x:c r="J80" s="17" t="str">
        <x:v>Open weights</x:v>
      </x:c>
      <x:c r="K80" s="17"/>
      <x:c r="L80" s="17"/>
      <x:c r="M80" s="17"/>
      <x:c r="N80" s="17"/>
      <x:c r="O80" s="17"/>
      <x:c r="P80" s="17"/>
      <x:c r="Q80" s="17"/>
      <x:c r="R80" s="17"/>
      <x:c r="S80" s="17"/>
      <x:c r="T80" s="17"/>
      <x:c r="U80" s="17"/>
      <x:c r="V80" s="17"/>
      <x:c r="W80" s="17"/>
      <x:c r="X80" s="17"/>
      <x:c r="Y80" s="17"/>
      <x:c r="Z80" s="17"/>
    </x:row>
    <x:row r="81">
      <x:c r="A81" s="17" t="str">
        <x:v>Kimi K2 (Jul 2025)</x:v>
      </x:c>
      <x:c r="B81" s="17" t="str">
        <x:v>Kimi K2 (Jul 2025)</x:v>
      </x:c>
      <x:c r="C81" s="17" t="n">
        <x:v>45849</x:v>
      </x:c>
      <x:c r="D81" s="17" t="n">
        <x:v>140.45</x:v>
      </x:c>
      <x:c r="E81" s="17" t="n">
        <x:v>137</x:v>
      </x:c>
      <x:c r="F81" s="17" t="n">
        <x:v>142.06</x:v>
      </x:c>
      <x:c r="G81" s="17" t="str">
        <x:v>Moonshot</x:v>
      </x:c>
      <x:c r="H81" s="17" t="str">
        <x:v>China</x:v>
      </x:c>
      <x:c r="I81" s="17" t="str">
        <x:v>Open weights (restricted use)</x:v>
      </x:c>
      <x:c r="J81" s="17" t="str">
        <x:v>Open weights</x:v>
      </x:c>
      <x:c r="K81" s="17"/>
      <x:c r="L81" s="17"/>
      <x:c r="M81" s="17"/>
      <x:c r="N81" s="17"/>
      <x:c r="O81" s="17"/>
      <x:c r="P81" s="17"/>
      <x:c r="Q81" s="17"/>
      <x:c r="R81" s="17"/>
      <x:c r="S81" s="17"/>
      <x:c r="T81" s="17"/>
      <x:c r="U81" s="17"/>
      <x:c r="V81" s="17"/>
      <x:c r="W81" s="17"/>
      <x:c r="X81" s="17"/>
      <x:c r="Y81" s="17"/>
      <x:c r="Z81" s="17"/>
    </x:row>
    <x:row r="82">
      <x:c r="A82" s="17" t="str">
        <x:v>Gemini 2.5 Flash (Jun 2025)</x:v>
      </x:c>
      <x:c r="B82" s="17" t="str">
        <x:v>Gemini 2.5 Flash (Jun 2025)</x:v>
      </x:c>
      <x:c r="C82" s="17" t="n">
        <x:v>45825</x:v>
      </x:c>
      <x:c r="D82" s="17" t="n">
        <x:v>140.26</x:v>
      </x:c>
      <x:c r="E82" s="17" t="n">
        <x:v>136.94</x:v>
      </x:c>
      <x:c r="F82" s="17" t="n">
        <x:v>142</x:v>
      </x:c>
      <x:c r="G82" s="17" t="str">
        <x:v>Google DeepMind</x:v>
      </x:c>
      <x:c r="H82" s="17" t="str">
        <x:v>United States of America</x:v>
      </x:c>
      <x:c r="I82" s="17" t="str">
        <x:v>API access</x:v>
      </x:c>
      <x:c r="J82" s="17" t="str">
        <x:v>Closed weights</x:v>
      </x:c>
      <x:c r="K82" s="17"/>
      <x:c r="L82" s="17"/>
      <x:c r="M82" s="17"/>
      <x:c r="N82" s="17"/>
      <x:c r="O82" s="17"/>
      <x:c r="P82" s="17"/>
      <x:c r="Q82" s="17"/>
      <x:c r="R82" s="17"/>
      <x:c r="S82" s="17"/>
      <x:c r="T82" s="17"/>
      <x:c r="U82" s="17"/>
      <x:c r="V82" s="17"/>
      <x:c r="W82" s="17"/>
      <x:c r="X82" s="17"/>
      <x:c r="Y82" s="17"/>
      <x:c r="Z82" s="17"/>
    </x:row>
    <x:row r="83">
      <x:c r="A83" s="17" t="str">
        <x:v>DeepSeek-R1</x:v>
      </x:c>
      <x:c r="B83" s="17" t="str">
        <x:v>DeepSeek-R1</x:v>
      </x:c>
      <x:c r="C83" s="17" t="n">
        <x:v>45677</x:v>
      </x:c>
      <x:c r="D83" s="17" t="n">
        <x:v>139.67</x:v>
      </x:c>
      <x:c r="E83" s="17" t="n">
        <x:v>136.9</x:v>
      </x:c>
      <x:c r="F83" s="17" t="n">
        <x:v>140.9</x:v>
      </x:c>
      <x:c r="G83" s="17" t="str">
        <x:v>DeepSeek</x:v>
      </x:c>
      <x:c r="H83" s="17" t="str">
        <x:v>China</x:v>
      </x:c>
      <x:c r="I83" s="17" t="str">
        <x:v>Open weights (unrestricted)</x:v>
      </x:c>
      <x:c r="J83" s="17" t="str">
        <x:v>Open weights</x:v>
      </x:c>
      <x:c r="K83" s="17"/>
      <x:c r="L83" s="17"/>
      <x:c r="M83" s="17"/>
      <x:c r="N83" s="17"/>
      <x:c r="O83" s="17"/>
      <x:c r="P83" s="17"/>
      <x:c r="Q83" s="17"/>
      <x:c r="R83" s="17"/>
      <x:c r="S83" s="17"/>
      <x:c r="T83" s="17"/>
      <x:c r="U83" s="17"/>
      <x:c r="V83" s="17"/>
      <x:c r="W83" s="17"/>
      <x:c r="X83" s="17"/>
      <x:c r="Y83" s="17"/>
      <x:c r="Z83" s="17"/>
    </x:row>
    <x:row r="84">
      <x:c r="A84" s="17" t="str">
        <x:v>Qwen3-235B-A22B</x:v>
      </x:c>
      <x:c r="B84" s="17" t="str">
        <x:v>Qwen3-235B-A22B</x:v>
      </x:c>
      <x:c r="C84" s="17" t="n">
        <x:v>45775</x:v>
      </x:c>
      <x:c r="D84" s="17" t="n">
        <x:v>139.58</x:v>
      </x:c>
      <x:c r="E84" s="17" t="n">
        <x:v>134.79</x:v>
      </x:c>
      <x:c r="F84" s="17" t="n">
        <x:v>141.08</x:v>
      </x:c>
      <x:c r="G84" s="17" t="str">
        <x:v>Alibaba</x:v>
      </x:c>
      <x:c r="H84" s="17" t="str">
        <x:v>China</x:v>
      </x:c>
      <x:c r="I84" s="17" t="str">
        <x:v>Open weights (unrestricted)</x:v>
      </x:c>
      <x:c r="J84" s="17" t="str">
        <x:v>Open weights</x:v>
      </x:c>
      <x:c r="K84" s="17"/>
      <x:c r="L84" s="17"/>
      <x:c r="M84" s="17"/>
      <x:c r="N84" s="17"/>
      <x:c r="O84" s="17"/>
      <x:c r="P84" s="17"/>
      <x:c r="Q84" s="17"/>
      <x:c r="R84" s="17"/>
      <x:c r="S84" s="17"/>
      <x:c r="T84" s="17"/>
      <x:c r="U84" s="17"/>
      <x:c r="V84" s="17"/>
      <x:c r="W84" s="17"/>
      <x:c r="X84" s="17"/>
      <x:c r="Y84" s="17"/>
      <x:c r="Z84" s="17"/>
    </x:row>
    <x:row r="85">
      <x:c r="A85" s="17" t="str">
        <x:v>Grok 3</x:v>
      </x:c>
      <x:c r="B85" s="17" t="str">
        <x:v>Grok 3</x:v>
      </x:c>
      <x:c r="C85" s="17" t="n">
        <x:v>45705</x:v>
      </x:c>
      <x:c r="D85" s="17" t="n">
        <x:v>139.02</x:v>
      </x:c>
      <x:c r="E85" s="17" t="n">
        <x:v>136.17</x:v>
      </x:c>
      <x:c r="F85" s="17" t="n">
        <x:v>140.24</x:v>
      </x:c>
      <x:c r="G85" s="17" t="str">
        <x:v>xAI</x:v>
      </x:c>
      <x:c r="H85" s="17" t="str">
        <x:v>United States of America</x:v>
      </x:c>
      <x:c r="I85" s="17" t="str">
        <x:v>API access</x:v>
      </x:c>
      <x:c r="J85" s="17" t="str">
        <x:v>Closed weights</x:v>
      </x:c>
      <x:c r="K85" s="17"/>
      <x:c r="L85" s="17"/>
      <x:c r="M85" s="17"/>
      <x:c r="N85" s="17"/>
      <x:c r="O85" s="17"/>
      <x:c r="P85" s="17"/>
      <x:c r="Q85" s="17"/>
      <x:c r="R85" s="17"/>
      <x:c r="S85" s="17"/>
      <x:c r="T85" s="17"/>
      <x:c r="U85" s="17"/>
      <x:c r="V85" s="17"/>
      <x:c r="W85" s="17"/>
      <x:c r="X85" s="17"/>
      <x:c r="Y85" s="17"/>
      <x:c r="Z85" s="17"/>
    </x:row>
    <x:row r="86">
      <x:c r="A86" s="17" t="str">
        <x:v>Qwen3-235B-A22B-Instruct (Jul 2025)</x:v>
      </x:c>
      <x:c r="B86" s="17" t="str">
        <x:v>Qwen3-235B-A22B-Instruct (Jul 2025)</x:v>
      </x:c>
      <x:c r="C86" s="17" t="n">
        <x:v>45863</x:v>
      </x:c>
      <x:c r="D86" s="17" t="n">
        <x:v>138.96</x:v>
      </x:c>
      <x:c r="E86" s="17" t="n">
        <x:v>135.35</x:v>
      </x:c>
      <x:c r="F86" s="17" t="n">
        <x:v>140.84</x:v>
      </x:c>
      <x:c r="G86" s="17" t="str">
        <x:v>Alibaba</x:v>
      </x:c>
      <x:c r="H86" s="17" t="str">
        <x:v>China</x:v>
      </x:c>
      <x:c r="I86" s="17" t="str">
        <x:v>Open weights (unrestricted)</x:v>
      </x:c>
      <x:c r="J86" s="17" t="str">
        <x:v>Open weights</x:v>
      </x:c>
      <x:c r="K86" s="17"/>
      <x:c r="L86" s="17"/>
      <x:c r="M86" s="17"/>
      <x:c r="N86" s="17"/>
      <x:c r="O86" s="17"/>
      <x:c r="P86" s="17"/>
      <x:c r="Q86" s="17"/>
      <x:c r="R86" s="17"/>
      <x:c r="S86" s="17"/>
      <x:c r="T86" s="17"/>
      <x:c r="U86" s="17"/>
      <x:c r="V86" s="17"/>
      <x:c r="W86" s="17"/>
      <x:c r="X86" s="17"/>
      <x:c r="Y86" s="17"/>
      <x:c r="Z86" s="17"/>
    </x:row>
    <x:row r="87">
      <x:c r="A87" s="17" t="str">
        <x:v>DeepSeek-V3.1</x:v>
      </x:c>
      <x:c r="B87" s="17" t="str">
        <x:v>DeepSeek-V3.1</x:v>
      </x:c>
      <x:c r="C87" s="17" t="n">
        <x:v>45890</x:v>
      </x:c>
      <x:c r="D87" s="17" t="n">
        <x:v>138.68</x:v>
      </x:c>
      <x:c r="E87" s="17" t="n">
        <x:v>135.73</x:v>
      </x:c>
      <x:c r="F87" s="17" t="n">
        <x:v>142.57</x:v>
      </x:c>
      <x:c r="G87" s="17" t="str">
        <x:v>DeepSeek</x:v>
      </x:c>
      <x:c r="H87" s="17" t="str">
        <x:v>China</x:v>
      </x:c>
      <x:c r="I87" s="17" t="str">
        <x:v>Open weights (unrestricted)</x:v>
      </x:c>
      <x:c r="J87" s="17" t="str">
        <x:v>Open weights</x:v>
      </x:c>
      <x:c r="K87" s="17"/>
      <x:c r="L87" s="17"/>
      <x:c r="M87" s="17"/>
      <x:c r="N87" s="17"/>
      <x:c r="O87" s="17"/>
      <x:c r="P87" s="17"/>
      <x:c r="Q87" s="17"/>
      <x:c r="R87" s="17"/>
      <x:c r="S87" s="17"/>
      <x:c r="T87" s="17"/>
      <x:c r="U87" s="17"/>
      <x:c r="V87" s="17"/>
      <x:c r="W87" s="17"/>
      <x:c r="X87" s="17"/>
      <x:c r="Y87" s="17"/>
      <x:c r="Z87" s="17"/>
    </x:row>
    <x:row r="88">
      <x:c r="A88" s="17" t="str">
        <x:v>GPT-4.5</x:v>
      </x:c>
      <x:c r="B88" s="17" t="str">
        <x:v>GPT-4.5</x:v>
      </x:c>
      <x:c r="C88" s="17" t="n">
        <x:v>45715</x:v>
      </x:c>
      <x:c r="D88" s="17" t="n">
        <x:v>137.54</x:v>
      </x:c>
      <x:c r="E88" s="17" t="n">
        <x:v>134.46</x:v>
      </x:c>
      <x:c r="F88" s="17" t="n">
        <x:v>139.14</x:v>
      </x:c>
      <x:c r="G88" s="17" t="str">
        <x:v>OpenAI</x:v>
      </x:c>
      <x:c r="H88" s="17" t="str">
        <x:v>United States of America</x:v>
      </x:c>
      <x:c r="I88" s="17" t="str">
        <x:v>API access</x:v>
      </x:c>
      <x:c r="J88" s="17" t="str">
        <x:v>Closed weights</x:v>
      </x:c>
      <x:c r="K88" s="17"/>
      <x:c r="L88" s="17"/>
      <x:c r="M88" s="17"/>
      <x:c r="N88" s="17"/>
      <x:c r="O88" s="17"/>
      <x:c r="P88" s="17"/>
      <x:c r="Q88" s="17"/>
      <x:c r="R88" s="17"/>
      <x:c r="S88" s="17"/>
      <x:c r="T88" s="17"/>
      <x:c r="U88" s="17"/>
      <x:c r="V88" s="17"/>
      <x:c r="W88" s="17"/>
      <x:c r="X88" s="17"/>
      <x:c r="Y88" s="17"/>
      <x:c r="Z88" s="17"/>
    </x:row>
    <x:row r="89">
      <x:c r="A89" s="17" t="str">
        <x:v>GPT-4.1</x:v>
      </x:c>
      <x:c r="B89" s="17" t="str">
        <x:v>GPT-4.1</x:v>
      </x:c>
      <x:c r="C89" s="17" t="n">
        <x:v>45761</x:v>
      </x:c>
      <x:c r="D89" s="17" t="n">
        <x:v>137.46</x:v>
      </x:c>
      <x:c r="E89" s="17" t="n">
        <x:v>134.54</x:v>
      </x:c>
      <x:c r="F89" s="17" t="n">
        <x:v>139.14</x:v>
      </x:c>
      <x:c r="G89" s="17" t="str">
        <x:v>OpenAI</x:v>
      </x:c>
      <x:c r="H89" s="17" t="str">
        <x:v>United States of America</x:v>
      </x:c>
      <x:c r="I89" s="17" t="str">
        <x:v>API access</x:v>
      </x:c>
      <x:c r="J89" s="17" t="str">
        <x:v>Closed weights</x:v>
      </x:c>
      <x:c r="K89" s="17"/>
      <x:c r="L89" s="17"/>
      <x:c r="M89" s="17"/>
      <x:c r="N89" s="17"/>
      <x:c r="O89" s="17"/>
      <x:c r="P89" s="17"/>
      <x:c r="Q89" s="17"/>
      <x:c r="R89" s="17"/>
      <x:c r="S89" s="17"/>
      <x:c r="T89" s="17"/>
      <x:c r="U89" s="17"/>
      <x:c r="V89" s="17"/>
      <x:c r="W89" s="17"/>
      <x:c r="X89" s="17"/>
      <x:c r="Y89" s="17"/>
      <x:c r="Z89" s="17"/>
    </x:row>
    <x:row r="90">
      <x:c r="A90" s="17" t="str">
        <x:v>DeepSeek-V3 (Mar 2025)</x:v>
      </x:c>
      <x:c r="B90" s="17" t="str">
        <x:v>DeepSeek-V3 (Mar 2025)</x:v>
      </x:c>
      <x:c r="C90" s="17" t="n">
        <x:v>45740</x:v>
      </x:c>
      <x:c r="D90" s="17" t="n">
        <x:v>137.04</x:v>
      </x:c>
      <x:c r="E90" s="17" t="n">
        <x:v>133.64</x:v>
      </x:c>
      <x:c r="F90" s="17" t="n">
        <x:v>138.66</x:v>
      </x:c>
      <x:c r="G90" s="17" t="str">
        <x:v>DeepSeek</x:v>
      </x:c>
      <x:c r="H90" s="17" t="str">
        <x:v>China</x:v>
      </x:c>
      <x:c r="I90" s="17" t="str">
        <x:v>Open weights (restricted use)</x:v>
      </x:c>
      <x:c r="J90" s="17" t="str">
        <x:v>Open weights</x:v>
      </x:c>
      <x:c r="K90" s="17"/>
      <x:c r="L90" s="17"/>
      <x:c r="M90" s="17"/>
      <x:c r="N90" s="17"/>
      <x:c r="O90" s="17"/>
      <x:c r="P90" s="17"/>
      <x:c r="Q90" s="17"/>
      <x:c r="R90" s="17"/>
      <x:c r="S90" s="17"/>
      <x:c r="T90" s="17"/>
      <x:c r="U90" s="17"/>
      <x:c r="V90" s="17"/>
      <x:c r="W90" s="17"/>
      <x:c r="X90" s="17"/>
      <x:c r="Y90" s="17"/>
      <x:c r="Z90" s="17"/>
    </x:row>
    <x:row r="91">
      <x:c r="A91" s="17" t="str">
        <x:v>o1-mini</x:v>
      </x:c>
      <x:c r="B91" s="17" t="str">
        <x:v>o1-mini</x:v>
      </x:c>
      <x:c r="C91" s="17" t="n">
        <x:v>45547</x:v>
      </x:c>
      <x:c r="D91" s="17" t="n">
        <x:v>136.56</x:v>
      </x:c>
      <x:c r="E91" s="17" t="n">
        <x:v>132.78</x:v>
      </x:c>
      <x:c r="F91" s="17" t="n">
        <x:v>138</x:v>
      </x:c>
      <x:c r="G91" s="17" t="str">
        <x:v>OpenAI</x:v>
      </x:c>
      <x:c r="H91" s="17" t="str">
        <x:v>United States of America</x:v>
      </x:c>
      <x:c r="I91" s="17" t="str">
        <x:v>API access</x:v>
      </x:c>
      <x:c r="J91" s="17" t="str">
        <x:v>Closed weights</x:v>
      </x:c>
      <x:c r="K91" s="17"/>
      <x:c r="L91" s="17"/>
      <x:c r="M91" s="17"/>
      <x:c r="N91" s="17"/>
      <x:c r="O91" s="17"/>
      <x:c r="P91" s="17"/>
      <x:c r="Q91" s="17"/>
      <x:c r="R91" s="17"/>
      <x:c r="S91" s="17"/>
      <x:c r="T91" s="17"/>
      <x:c r="U91" s="17"/>
      <x:c r="V91" s="17"/>
      <x:c r="W91" s="17"/>
      <x:c r="X91" s="17"/>
      <x:c r="Y91" s="17"/>
      <x:c r="Z91" s="17"/>
    </x:row>
    <x:row r="92">
      <x:c r="A92" s="17" t="str">
        <x:v>Gemini 2.0 Flash Thinking (Jan 2025)</x:v>
      </x:c>
      <x:c r="B92" s="17" t="str">
        <x:v>Gemini 2.0 Flash Thinking (Jan 2025)</x:v>
      </x:c>
      <x:c r="C92" s="17" t="n">
        <x:v>45678</x:v>
      </x:c>
      <x:c r="D92" s="17" t="n">
        <x:v>136.23</x:v>
      </x:c>
      <x:c r="E92" s="17" t="n">
        <x:v>130.57</x:v>
      </x:c>
      <x:c r="F92" s="17" t="n">
        <x:v>139</x:v>
      </x:c>
      <x:c r="G92" s="17" t="str">
        <x:v>Google DeepMind,Google</x:v>
      </x:c>
      <x:c r="H92" s="17" t="str">
        <x:v>United States of America</x:v>
      </x:c>
      <x:c r="I92" s="17" t="str">
        <x:v>API access</x:v>
      </x:c>
      <x:c r="J92" s="17" t="str">
        <x:v>Closed weights</x:v>
      </x:c>
      <x:c r="K92" s="17"/>
      <x:c r="L92" s="17"/>
      <x:c r="M92" s="17"/>
      <x:c r="N92" s="17"/>
      <x:c r="O92" s="17"/>
      <x:c r="P92" s="17"/>
      <x:c r="Q92" s="17"/>
      <x:c r="R92" s="17"/>
      <x:c r="S92" s="17"/>
      <x:c r="T92" s="17"/>
      <x:c r="U92" s="17"/>
      <x:c r="V92" s="17"/>
      <x:c r="W92" s="17"/>
      <x:c r="X92" s="17"/>
      <x:c r="Y92" s="17"/>
      <x:c r="Z92" s="17"/>
    </x:row>
    <x:row r="93">
      <x:c r="A93" s="17" t="str">
        <x:v>o1-preview</x:v>
      </x:c>
      <x:c r="B93" s="17" t="str">
        <x:v>o1-preview</x:v>
      </x:c>
      <x:c r="C93" s="17" t="n">
        <x:v>45547</x:v>
      </x:c>
      <x:c r="D93" s="17" t="n">
        <x:v>135.81</x:v>
      </x:c>
      <x:c r="E93" s="17" t="n">
        <x:v>132.17</x:v>
      </x:c>
      <x:c r="F93" s="17" t="n">
        <x:v>139.39</x:v>
      </x:c>
      <x:c r="G93" s="17" t="str">
        <x:v>OpenAI</x:v>
      </x:c>
      <x:c r="H93" s="17" t="str">
        <x:v>United States of America</x:v>
      </x:c>
      <x:c r="I93" s="17" t="str">
        <x:v>API access</x:v>
      </x:c>
      <x:c r="J93" s="17" t="str">
        <x:v>Closed weights</x:v>
      </x:c>
      <x:c r="K93" s="17"/>
      <x:c r="L93" s="17"/>
      <x:c r="M93" s="17"/>
      <x:c r="N93" s="17"/>
      <x:c r="O93" s="17"/>
      <x:c r="P93" s="17"/>
      <x:c r="Q93" s="17"/>
      <x:c r="R93" s="17"/>
      <x:c r="S93" s="17"/>
      <x:c r="T93" s="17"/>
      <x:c r="U93" s="17"/>
      <x:c r="V93" s="17"/>
      <x:c r="W93" s="17"/>
      <x:c r="X93" s="17"/>
      <x:c r="Y93" s="17"/>
      <x:c r="Z93" s="17"/>
    </x:row>
    <x:row r="94">
      <x:c r="A94" s="17" t="str">
        <x:v>GPT-4.1 mini</x:v>
      </x:c>
      <x:c r="B94" s="17" t="str">
        <x:v>GPT-4.1 mini</x:v>
      </x:c>
      <x:c r="C94" s="17" t="n">
        <x:v>45761</x:v>
      </x:c>
      <x:c r="D94" s="17" t="n">
        <x:v>135.79</x:v>
      </x:c>
      <x:c r="E94" s="17" t="n">
        <x:v>131.28</x:v>
      </x:c>
      <x:c r="F94" s="17" t="n">
        <x:v>137.58</x:v>
      </x:c>
      <x:c r="G94" s="17" t="str">
        <x:v>OpenAI</x:v>
      </x:c>
      <x:c r="H94" s="17" t="str">
        <x:v>United States of America</x:v>
      </x:c>
      <x:c r="I94" s="17" t="str">
        <x:v>API access</x:v>
      </x:c>
      <x:c r="J94" s="17" t="str">
        <x:v>Closed weights</x:v>
      </x:c>
      <x:c r="K94" s="17"/>
      <x:c r="L94" s="17"/>
      <x:c r="M94" s="17"/>
      <x:c r="N94" s="17"/>
      <x:c r="O94" s="17"/>
      <x:c r="P94" s="17"/>
      <x:c r="Q94" s="17"/>
      <x:c r="R94" s="17"/>
      <x:c r="S94" s="17"/>
      <x:c r="T94" s="17"/>
      <x:c r="U94" s="17"/>
      <x:c r="V94" s="17"/>
      <x:c r="W94" s="17"/>
      <x:c r="X94" s="17"/>
      <x:c r="Y94" s="17"/>
      <x:c r="Z94" s="17"/>
    </x:row>
    <x:row r="95">
      <x:c r="A95" s="17" t="str">
        <x:v>Gemini 2.0 Flash (Feb 2025)</x:v>
      </x:c>
      <x:c r="B95" s="17" t="str">
        <x:v>Gemini 2.0 Flash (Feb 2025)</x:v>
      </x:c>
      <x:c r="C95" s="17" t="n">
        <x:v>45637</x:v>
      </x:c>
      <x:c r="D95" s="17" t="n">
        <x:v>135.79</x:v>
      </x:c>
      <x:c r="E95" s="17" t="n">
        <x:v>132.35</x:v>
      </x:c>
      <x:c r="F95" s="17" t="n">
        <x:v>137.51</x:v>
      </x:c>
      <x:c r="G95" s="17" t="str">
        <x:v>Google DeepMind,Google</x:v>
      </x:c>
      <x:c r="H95" s="17" t="str">
        <x:v>United States of America</x:v>
      </x:c>
      <x:c r="I95" s="17" t="str">
        <x:v>API access</x:v>
      </x:c>
      <x:c r="J95" s="17" t="str">
        <x:v>Closed weights</x:v>
      </x:c>
      <x:c r="K95" s="17"/>
      <x:c r="L95" s="17"/>
      <x:c r="M95" s="17"/>
      <x:c r="N95" s="17"/>
      <x:c r="O95" s="17"/>
      <x:c r="P95" s="17"/>
      <x:c r="Q95" s="17"/>
      <x:c r="R95" s="17"/>
      <x:c r="S95" s="17"/>
      <x:c r="T95" s="17"/>
      <x:c r="U95" s="17"/>
      <x:c r="V95" s="17"/>
      <x:c r="W95" s="17"/>
      <x:c r="X95" s="17"/>
      <x:c r="Y95" s="17"/>
      <x:c r="Z95" s="17"/>
    </x:row>
    <x:row r="96">
      <x:c r="A96" s="17" t="str">
        <x:v>Gemini 2.0 Pro</x:v>
      </x:c>
      <x:c r="B96" s="17" t="str">
        <x:v>Gemini 2.0 Pro</x:v>
      </x:c>
      <x:c r="C96" s="17" t="n">
        <x:v>45637</x:v>
      </x:c>
      <x:c r="D96" s="17" t="n">
        <x:v>135.62</x:v>
      </x:c>
      <x:c r="E96" s="17" t="n">
        <x:v>131.84</x:v>
      </x:c>
      <x:c r="F96" s="17" t="n">
        <x:v>137.18</x:v>
      </x:c>
      <x:c r="G96" s="17" t="str">
        <x:v>Google DeepMind</x:v>
      </x:c>
      <x:c r="H96" s="17" t="str">
        <x:v>United States of America</x:v>
      </x:c>
      <x:c r="I96" s="17" t="str">
        <x:v>Hosted access (no API)</x:v>
      </x:c>
      <x:c r="J96" s="17" t="str">
        <x:v>Closed weights</x:v>
      </x:c>
      <x:c r="K96" s="17"/>
      <x:c r="L96" s="17"/>
      <x:c r="M96" s="17"/>
      <x:c r="N96" s="17"/>
      <x:c r="O96" s="17"/>
      <x:c r="P96" s="17"/>
      <x:c r="Q96" s="17"/>
      <x:c r="R96" s="17"/>
      <x:c r="S96" s="17"/>
      <x:c r="T96" s="17"/>
      <x:c r="U96" s="17"/>
      <x:c r="V96" s="17"/>
      <x:c r="W96" s="17"/>
      <x:c r="X96" s="17"/>
      <x:c r="Y96" s="17"/>
      <x:c r="Z96" s="17"/>
    </x:row>
    <x:row r="97">
      <x:c r="A97" s="17" t="str">
        <x:v>Mistral Medium 3</x:v>
      </x:c>
      <x:c r="B97" s="17" t="str">
        <x:v>Mistral Medium 3</x:v>
      </x:c>
      <x:c r="C97" s="17" t="n">
        <x:v>45784</x:v>
      </x:c>
      <x:c r="D97" s="17" t="n">
        <x:v>135.28</x:v>
      </x:c>
      <x:c r="E97" s="17" t="n">
        <x:v>131.52</x:v>
      </x:c>
      <x:c r="F97" s="17" t="n">
        <x:v>136.44</x:v>
      </x:c>
      <x:c r="G97" s="17" t="str">
        <x:v>Mistral AI</x:v>
      </x:c>
      <x:c r="H97" s="17" t="str">
        <x:v>France</x:v>
      </x:c>
      <x:c r="I97" s="17" t="str">
        <x:v>API access</x:v>
      </x:c>
      <x:c r="J97" s="17" t="str">
        <x:v>Closed weights</x:v>
      </x:c>
      <x:c r="K97" s="17"/>
      <x:c r="L97" s="17"/>
      <x:c r="M97" s="17"/>
      <x:c r="N97" s="17"/>
      <x:c r="O97" s="17"/>
      <x:c r="P97" s="17"/>
      <x:c r="Q97" s="17"/>
      <x:c r="R97" s="17"/>
      <x:c r="S97" s="17"/>
      <x:c r="T97" s="17"/>
      <x:c r="U97" s="17"/>
      <x:c r="V97" s="17"/>
      <x:c r="W97" s="17"/>
      <x:c r="X97" s="17"/>
      <x:c r="Y97" s="17"/>
      <x:c r="Z97" s="17"/>
    </x:row>
    <x:row r="98">
      <x:c r="A98" s="17" t="str">
        <x:v>Gemini 2.0 Flash (Dec 2024)</x:v>
      </x:c>
      <x:c r="B98" s="17" t="str">
        <x:v>Gemini 2.0 Flash (Dec 2024)</x:v>
      </x:c>
      <x:c r="C98" s="17" t="n">
        <x:v>45637</x:v>
      </x:c>
      <x:c r="D98" s="17" t="n">
        <x:v>135.06</x:v>
      </x:c>
      <x:c r="E98" s="17" t="n">
        <x:v>123.87</x:v>
      </x:c>
      <x:c r="F98" s="17" t="n">
        <x:v>136.77</x:v>
      </x:c>
      <x:c r="G98" s="17" t="str">
        <x:v>Google DeepMind,Google</x:v>
      </x:c>
      <x:c r="H98" s="17" t="str">
        <x:v>United States of America</x:v>
      </x:c>
      <x:c r="I98" s="17" t="str">
        <x:v>API access</x:v>
      </x:c>
      <x:c r="J98" s="17" t="str">
        <x:v>Closed weights</x:v>
      </x:c>
      <x:c r="K98" s="17"/>
      <x:c r="L98" s="17"/>
      <x:c r="M98" s="17"/>
      <x:c r="N98" s="17"/>
      <x:c r="O98" s="17"/>
      <x:c r="P98" s="17"/>
      <x:c r="Q98" s="17"/>
      <x:c r="R98" s="17"/>
      <x:c r="S98" s="17"/>
      <x:c r="T98" s="17"/>
      <x:c r="U98" s="17"/>
      <x:c r="V98" s="17"/>
      <x:c r="W98" s="17"/>
      <x:c r="X98" s="17"/>
      <x:c r="Y98" s="17"/>
      <x:c r="Z98" s="17"/>
    </x:row>
    <x:row r="99">
      <x:c r="A99" s="17" t="str">
        <x:v>Claude 3.5 Sonnet (October 2024)</x:v>
      </x:c>
      <x:c r="B99" s="17" t="str">
        <x:v>Claude 3.5 Sonnet (October 2024)</x:v>
      </x:c>
      <x:c r="C99" s="17" t="n">
        <x:v>45587</x:v>
      </x:c>
      <x:c r="D99" s="17" t="n">
        <x:v>134.28</x:v>
      </x:c>
      <x:c r="E99" s="17" t="n">
        <x:v>129.48</x:v>
      </x:c>
      <x:c r="F99" s="17" t="n">
        <x:v>138.92</x:v>
      </x:c>
      <x:c r="G99" s="17" t="str">
        <x:v>Anthropic</x:v>
      </x:c>
      <x:c r="H99" s="17" t="str">
        <x:v>United States of America</x:v>
      </x:c>
      <x:c r="I99" s="17" t="str">
        <x:v>API access</x:v>
      </x:c>
      <x:c r="J99" s="17" t="str">
        <x:v>Closed weights</x:v>
      </x:c>
      <x:c r="K99" s="17"/>
      <x:c r="L99" s="17"/>
      <x:c r="M99" s="17"/>
      <x:c r="N99" s="17"/>
      <x:c r="O99" s="17"/>
      <x:c r="P99" s="17"/>
      <x:c r="Q99" s="17"/>
      <x:c r="R99" s="17"/>
      <x:c r="S99" s="17"/>
      <x:c r="T99" s="17"/>
      <x:c r="U99" s="17"/>
      <x:c r="V99" s="17"/>
      <x:c r="W99" s="17"/>
      <x:c r="X99" s="17"/>
      <x:c r="Y99" s="17"/>
      <x:c r="Z99" s="17"/>
    </x:row>
    <x:row r="100">
      <x:c r="A100" s="17" t="str">
        <x:v>Qwen2.5-Max</x:v>
      </x:c>
      <x:c r="B100" s="17" t="str">
        <x:v>Qwen2.5-Max</x:v>
      </x:c>
      <x:c r="C100" s="17" t="n">
        <x:v>45682</x:v>
      </x:c>
      <x:c r="D100" s="17" t="n">
        <x:v>133.41</x:v>
      </x:c>
      <x:c r="E100" s="17" t="n">
        <x:v>129.19</x:v>
      </x:c>
      <x:c r="F100" s="17" t="n">
        <x:v>136.34</x:v>
      </x:c>
      <x:c r="G100" s="17" t="str">
        <x:v>Alibaba</x:v>
      </x:c>
      <x:c r="H100" s="17" t="str">
        <x:v>China</x:v>
      </x:c>
      <x:c r="I100" s="17" t="str">
        <x:v>API access</x:v>
      </x:c>
      <x:c r="J100" s="17" t="str">
        <x:v>Closed weights</x:v>
      </x:c>
      <x:c r="K100" s="17"/>
      <x:c r="L100" s="17"/>
      <x:c r="M100" s="17"/>
      <x:c r="N100" s="17"/>
      <x:c r="O100" s="17"/>
      <x:c r="P100" s="17"/>
      <x:c r="Q100" s="17"/>
      <x:c r="R100" s="17"/>
      <x:c r="S100" s="17"/>
      <x:c r="T100" s="17"/>
      <x:c r="U100" s="17"/>
      <x:c r="V100" s="17"/>
      <x:c r="W100" s="17"/>
      <x:c r="X100" s="17"/>
      <x:c r="Y100" s="17"/>
      <x:c r="Z100" s="17"/>
    </x:row>
    <x:row r="101">
      <x:c r="A101" s="17" t="str">
        <x:v>Magistral Small 1.1</x:v>
      </x:c>
      <x:c r="B101" s="17" t="str">
        <x:v>Magistral Small 1.1</x:v>
      </x:c>
      <x:c r="C101" s="17" t="n">
        <x:v>45818</x:v>
      </x:c>
      <x:c r="D101" s="17" t="n">
        <x:v>133.07</x:v>
      </x:c>
      <x:c r="E101" s="17" t="n">
        <x:v>127.02</x:v>
      </x:c>
      <x:c r="F101" s="17" t="n">
        <x:v>135.4</x:v>
      </x:c>
      <x:c r="G101" s="17" t="str">
        <x:v>Mistral AI</x:v>
      </x:c>
      <x:c r="H101" s="17" t="str">
        <x:v>France</x:v>
      </x:c>
      <x:c r="I101" s="17" t="str">
        <x:v>Open weights (unrestricted)</x:v>
      </x:c>
      <x:c r="J101" s="17" t="str">
        <x:v>Open weights</x:v>
      </x:c>
      <x:c r="K101" s="17"/>
      <x:c r="L101" s="17"/>
      <x:c r="M101" s="17"/>
      <x:c r="N101" s="17"/>
      <x:c r="O101" s="17"/>
      <x:c r="P101" s="17"/>
      <x:c r="Q101" s="17"/>
      <x:c r="R101" s="17"/>
      <x:c r="S101" s="17"/>
      <x:c r="T101" s="17"/>
      <x:c r="U101" s="17"/>
      <x:c r="V101" s="17"/>
      <x:c r="W101" s="17"/>
      <x:c r="X101" s="17"/>
      <x:c r="Y101" s="17"/>
      <x:c r="Z101" s="17"/>
    </x:row>
    <x:row r="102">
      <x:c r="A102" s="17" t="str">
        <x:v>Llama 4 Maverick</x:v>
      </x:c>
      <x:c r="B102" s="17" t="str">
        <x:v>Llama 4 Maverick</x:v>
      </x:c>
      <x:c r="C102" s="17" t="n">
        <x:v>45752</x:v>
      </x:c>
      <x:c r="D102" s="17" t="n">
        <x:v>133.04</x:v>
      </x:c>
      <x:c r="E102" s="17" t="n">
        <x:v>128.11</x:v>
      </x:c>
      <x:c r="F102" s="17" t="n">
        <x:v>135.12</x:v>
      </x:c>
      <x:c r="G102" s="17" t="str">
        <x:v>Meta AI</x:v>
      </x:c>
      <x:c r="H102" s="17" t="str">
        <x:v>United States of America</x:v>
      </x:c>
      <x:c r="I102" s="17" t="str">
        <x:v>Open weights (restricted use)</x:v>
      </x:c>
      <x:c r="J102" s="17" t="str">
        <x:v>Open weights</x:v>
      </x:c>
      <x:c r="K102" s="17"/>
      <x:c r="L102" s="17"/>
      <x:c r="M102" s="17"/>
      <x:c r="N102" s="17"/>
      <x:c r="O102" s="17"/>
      <x:c r="P102" s="17"/>
      <x:c r="Q102" s="17"/>
      <x:c r="R102" s="17"/>
      <x:c r="S102" s="17"/>
      <x:c r="T102" s="17"/>
      <x:c r="U102" s="17"/>
      <x:c r="V102" s="17"/>
      <x:c r="W102" s="17"/>
      <x:c r="X102" s="17"/>
      <x:c r="Y102" s="17"/>
      <x:c r="Z102" s="17"/>
    </x:row>
    <x:row r="103">
      <x:c r="A103" s="17" t="str">
        <x:v>DeepSeek-V3</x:v>
      </x:c>
      <x:c r="B103" s="17" t="str">
        <x:v>DeepSeek-V3</x:v>
      </x:c>
      <x:c r="C103" s="17" t="n">
        <x:v>45650</x:v>
      </x:c>
      <x:c r="D103" s="17" t="n">
        <x:v>132.99</x:v>
      </x:c>
      <x:c r="E103" s="17" t="n">
        <x:v>127.9</x:v>
      </x:c>
      <x:c r="F103" s="17" t="n">
        <x:v>135.76</x:v>
      </x:c>
      <x:c r="G103" s="17" t="str">
        <x:v>DeepSeek</x:v>
      </x:c>
      <x:c r="H103" s="17" t="str">
        <x:v>China</x:v>
      </x:c>
      <x:c r="I103" s="17" t="str">
        <x:v>Open weights (restricted use)</x:v>
      </x:c>
      <x:c r="J103" s="17" t="str">
        <x:v>Open weights</x:v>
      </x:c>
      <x:c r="K103" s="17"/>
      <x:c r="L103" s="17"/>
      <x:c r="M103" s="17"/>
      <x:c r="N103" s="17"/>
      <x:c r="O103" s="17"/>
      <x:c r="P103" s="17"/>
      <x:c r="Q103" s="17"/>
      <x:c r="R103" s="17"/>
      <x:c r="S103" s="17"/>
      <x:c r="T103" s="17"/>
      <x:c r="U103" s="17"/>
      <x:c r="V103" s="17"/>
      <x:c r="W103" s="17"/>
      <x:c r="X103" s="17"/>
      <x:c r="Y103" s="17"/>
      <x:c r="Z103" s="17"/>
    </x:row>
    <x:row r="104">
      <x:c r="A104" s="17" t="str">
        <x:v>Gemini 1.5 Pro (Sept 2024)</x:v>
      </x:c>
      <x:c r="B104" s="17" t="str">
        <x:v>Gemini 1.5 Pro (Sept 2024)</x:v>
      </x:c>
      <x:c r="C104" s="17" t="n">
        <x:v>45559</x:v>
      </x:c>
      <x:c r="D104" s="17" t="n">
        <x:v>132.7</x:v>
      </x:c>
      <x:c r="E104" s="17" t="n">
        <x:v>127.97</x:v>
      </x:c>
      <x:c r="F104" s="17" t="n">
        <x:v>133.93</x:v>
      </x:c>
      <x:c r="G104" s="17" t="str">
        <x:v>Google DeepMind</x:v>
      </x:c>
      <x:c r="H104" s="17" t="str">
        <x:v>United States of America</x:v>
      </x:c>
      <x:c r="I104" s="17" t="str">
        <x:v>API access</x:v>
      </x:c>
      <x:c r="J104" s="17" t="str">
        <x:v>Closed weights</x:v>
      </x:c>
      <x:c r="K104" s="17"/>
      <x:c r="L104" s="17"/>
      <x:c r="M104" s="17"/>
      <x:c r="N104" s="17"/>
      <x:c r="O104" s="17"/>
      <x:c r="P104" s="17"/>
      <x:c r="Q104" s="17"/>
      <x:c r="R104" s="17"/>
      <x:c r="S104" s="17"/>
      <x:c r="T104" s="17"/>
      <x:c r="U104" s="17"/>
      <x:c r="V104" s="17"/>
      <x:c r="W104" s="17"/>
      <x:c r="X104" s="17"/>
      <x:c r="Y104" s="17"/>
      <x:c r="Z104" s="17"/>
    </x:row>
    <x:row r="105">
      <x:c r="A105" s="17" t="str">
        <x:v>Gemma 3 27B</x:v>
      </x:c>
      <x:c r="B105" s="17" t="str">
        <x:v>Gemma 3 27B</x:v>
      </x:c>
      <x:c r="C105" s="17" t="n">
        <x:v>45728</x:v>
      </x:c>
      <x:c r="D105" s="17" t="n">
        <x:v>131.08</x:v>
      </x:c>
      <x:c r="E105" s="17" t="n">
        <x:v>124.84</x:v>
      </x:c>
      <x:c r="F105" s="17" t="n">
        <x:v>133.28</x:v>
      </x:c>
      <x:c r="G105" s="17" t="str">
        <x:v>Google DeepMind</x:v>
      </x:c>
      <x:c r="H105" s="17" t="str">
        <x:v>United States of America</x:v>
      </x:c>
      <x:c r="I105" s="17" t="str">
        <x:v>Open weights (restricted use)</x:v>
      </x:c>
      <x:c r="J105" s="17" t="str">
        <x:v>Open weights</x:v>
      </x:c>
      <x:c r="K105" s="17"/>
      <x:c r="L105" s="17"/>
      <x:c r="M105" s="17"/>
      <x:c r="N105" s="17"/>
      <x:c r="O105" s="17"/>
      <x:c r="P105" s="17"/>
      <x:c r="Q105" s="17"/>
      <x:c r="R105" s="17"/>
      <x:c r="S105" s="17"/>
      <x:c r="T105" s="17"/>
      <x:c r="U105" s="17"/>
      <x:c r="V105" s="17"/>
      <x:c r="W105" s="17"/>
      <x:c r="X105" s="17"/>
      <x:c r="Y105" s="17"/>
      <x:c r="Z105" s="17"/>
    </x:row>
    <x:row r="106">
      <x:c r="A106" s="17" t="str">
        <x:v>Phi-4</x:v>
      </x:c>
      <x:c r="B106" s="17" t="str">
        <x:v>Phi-4</x:v>
      </x:c>
      <x:c r="C106" s="17" t="n">
        <x:v>45638</x:v>
      </x:c>
      <x:c r="D106" s="17" t="n">
        <x:v>131.05</x:v>
      </x:c>
      <x:c r="E106" s="17" t="n">
        <x:v>123.6</x:v>
      </x:c>
      <x:c r="F106" s="17" t="n">
        <x:v>132.36</x:v>
      </x:c>
      <x:c r="G106" s="17" t="str">
        <x:v>Microsoft Research</x:v>
      </x:c>
      <x:c r="H106" s="17" t="str">
        <x:v>United States of America</x:v>
      </x:c>
      <x:c r="I106" s="17" t="str">
        <x:v>Open weights (unrestricted)</x:v>
      </x:c>
      <x:c r="J106" s="17" t="str">
        <x:v>Open weights</x:v>
      </x:c>
      <x:c r="K106" s="17"/>
      <x:c r="L106" s="17"/>
      <x:c r="M106" s="17"/>
      <x:c r="N106" s="17"/>
      <x:c r="O106" s="17"/>
      <x:c r="P106" s="17"/>
      <x:c r="Q106" s="17"/>
      <x:c r="R106" s="17"/>
      <x:c r="S106" s="17"/>
      <x:c r="T106" s="17"/>
      <x:c r="U106" s="17"/>
      <x:c r="V106" s="17"/>
      <x:c r="W106" s="17"/>
      <x:c r="X106" s="17"/>
      <x:c r="Y106" s="17"/>
      <x:c r="Z106" s="17"/>
    </x:row>
    <x:row r="107">
      <x:c r="A107" s="17" t="str">
        <x:v>GPT-4.1 nano</x:v>
      </x:c>
      <x:c r="B107" s="17" t="str">
        <x:v>GPT-4.1 nano</x:v>
      </x:c>
      <x:c r="C107" s="17" t="n">
        <x:v>45761</x:v>
      </x:c>
      <x:c r="D107" s="17" t="n">
        <x:v>130.88</x:v>
      </x:c>
      <x:c r="E107" s="17" t="n">
        <x:v>125.17</x:v>
      </x:c>
      <x:c r="F107" s="17" t="n">
        <x:v>133.34</x:v>
      </x:c>
      <x:c r="G107" s="17" t="str">
        <x:v>OpenAI</x:v>
      </x:c>
      <x:c r="H107" s="17" t="str">
        <x:v>United States of America</x:v>
      </x:c>
      <x:c r="I107" s="17" t="str">
        <x:v>API access</x:v>
      </x:c>
      <x:c r="J107" s="17" t="str">
        <x:v>Closed weights</x:v>
      </x:c>
      <x:c r="K107" s="17"/>
      <x:c r="L107" s="17"/>
      <x:c r="M107" s="17"/>
      <x:c r="N107" s="17"/>
      <x:c r="O107" s="17"/>
      <x:c r="P107" s="17"/>
      <x:c r="Q107" s="17"/>
      <x:c r="R107" s="17"/>
      <x:c r="S107" s="17"/>
      <x:c r="T107" s="17"/>
      <x:c r="U107" s="17"/>
      <x:c r="V107" s="17"/>
      <x:c r="W107" s="17"/>
      <x:c r="X107" s="17"/>
      <x:c r="Y107" s="17"/>
      <x:c r="Z107" s="17"/>
    </x:row>
    <x:row r="108">
      <x:c r="A108" s="17" t="str">
        <x:v>Grok-2 (Dec 2024)</x:v>
      </x:c>
      <x:c r="B108" s="17" t="str">
        <x:v>Grok-2 (Dec 2024)</x:v>
      </x:c>
      <x:c r="C108" s="17" t="n">
        <x:v>45517</x:v>
      </x:c>
      <x:c r="D108" s="17" t="n">
        <x:v>130.78</x:v>
      </x:c>
      <x:c r="E108" s="17" t="n">
        <x:v>124.85</x:v>
      </x:c>
      <x:c r="F108" s="17" t="n">
        <x:v>131.99</x:v>
      </x:c>
      <x:c r="G108" s="17" t="str">
        <x:v>xAI</x:v>
      </x:c>
      <x:c r="H108" s="17" t="str">
        <x:v>United States of America</x:v>
      </x:c>
      <x:c r="I108" s="17" t="str">
        <x:v>API access</x:v>
      </x:c>
      <x:c r="J108" s="17" t="str">
        <x:v>Closed weights</x:v>
      </x:c>
      <x:c r="K108" s="17"/>
      <x:c r="L108" s="17"/>
      <x:c r="M108" s="17"/>
      <x:c r="N108" s="17"/>
      <x:c r="O108" s="17"/>
      <x:c r="P108" s="17"/>
      <x:c r="Q108" s="17"/>
      <x:c r="R108" s="17"/>
      <x:c r="S108" s="17"/>
      <x:c r="T108" s="17"/>
      <x:c r="U108" s="17"/>
      <x:c r="V108" s="17"/>
      <x:c r="W108" s="17"/>
      <x:c r="X108" s="17"/>
      <x:c r="Y108" s="17"/>
      <x:c r="Z108" s="17"/>
    </x:row>
    <x:row r="109">
      <x:c r="A109" s="17" t="str">
        <x:v>Llama 4 Scout</x:v>
      </x:c>
      <x:c r="B109" s="17" t="str">
        <x:v>Llama 4 Scout</x:v>
      </x:c>
      <x:c r="C109" s="17" t="n">
        <x:v>45752</x:v>
      </x:c>
      <x:c r="D109" s="17" t="n">
        <x:v>130.56</x:v>
      </x:c>
      <x:c r="E109" s="17" t="n">
        <x:v>125.67</x:v>
      </x:c>
      <x:c r="F109" s="17" t="n">
        <x:v>132.06</x:v>
      </x:c>
      <x:c r="G109" s="17" t="str">
        <x:v>Meta AI</x:v>
      </x:c>
      <x:c r="H109" s="17" t="str">
        <x:v>United States of America</x:v>
      </x:c>
      <x:c r="I109" s="17" t="str">
        <x:v>Open weights (restricted use)</x:v>
      </x:c>
      <x:c r="J109" s="17" t="str">
        <x:v>Open weights</x:v>
      </x:c>
      <x:c r="K109" s="17"/>
      <x:c r="L109" s="17"/>
      <x:c r="M109" s="17"/>
      <x:c r="N109" s="17"/>
      <x:c r="O109" s="17"/>
      <x:c r="P109" s="17"/>
      <x:c r="Q109" s="17"/>
      <x:c r="R109" s="17"/>
      <x:c r="S109" s="17"/>
      <x:c r="T109" s="17"/>
      <x:c r="U109" s="17"/>
      <x:c r="V109" s="17"/>
      <x:c r="W109" s="17"/>
      <x:c r="X109" s="17"/>
      <x:c r="Y109" s="17"/>
      <x:c r="Z109" s="17"/>
    </x:row>
    <x:row r="110">
      <x:c r="A110" s="17" t="str">
        <x:v>Gemini 1.5 Flash (Sep 2024)</x:v>
      </x:c>
      <x:c r="B110" s="17" t="str">
        <x:v>Gemini 1.5 Flash (Sep 2024)</x:v>
      </x:c>
      <x:c r="C110" s="17" t="n">
        <x:v>45422</x:v>
      </x:c>
      <x:c r="D110" s="17" t="n">
        <x:v>130.39</x:v>
      </x:c>
      <x:c r="E110" s="17" t="n">
        <x:v>123.54</x:v>
      </x:c>
      <x:c r="F110" s="17" t="n">
        <x:v>132.06</x:v>
      </x:c>
      <x:c r="G110" s="17" t="str">
        <x:v>Google DeepMind</x:v>
      </x:c>
      <x:c r="H110" s="17" t="str">
        <x:v>United States of America</x:v>
      </x:c>
      <x:c r="I110" s="17" t="str">
        <x:v>API access</x:v>
      </x:c>
      <x:c r="J110" s="17" t="str">
        <x:v>Closed weights</x:v>
      </x:c>
      <x:c r="K110" s="17"/>
      <x:c r="L110" s="17"/>
      <x:c r="M110" s="17"/>
      <x:c r="N110" s="17"/>
      <x:c r="O110" s="17"/>
      <x:c r="P110" s="17"/>
      <x:c r="Q110" s="17"/>
      <x:c r="R110" s="17"/>
      <x:c r="S110" s="17"/>
      <x:c r="T110" s="17"/>
      <x:c r="U110" s="17"/>
      <x:c r="V110" s="17"/>
      <x:c r="W110" s="17"/>
      <x:c r="X110" s="17"/>
      <x:c r="Y110" s="17"/>
      <x:c r="Z110" s="17"/>
    </x:row>
    <x:row r="111">
      <x:c r="A111" s="17" t="str">
        <x:v>Claude 3.5 Sonnet</x:v>
      </x:c>
      <x:c r="B111" s="17" t="str">
        <x:v>Claude 3.5 Sonnet</x:v>
      </x:c>
      <x:c r="C111" s="17" t="n">
        <x:v>45463</x:v>
      </x:c>
      <x:c r="D111" s="17" t="n">
        <x:v>130</x:v>
      </x:c>
      <x:c r="E111" s="17"/>
      <x:c r="F111" s="17"/>
      <x:c r="G111" s="17" t="str">
        <x:v>Anthropic</x:v>
      </x:c>
      <x:c r="H111" s="17" t="str">
        <x:v>United States of America</x:v>
      </x:c>
      <x:c r="I111" s="17" t="str">
        <x:v>API access</x:v>
      </x:c>
      <x:c r="J111" s="17" t="str">
        <x:v>Closed weights</x:v>
      </x:c>
      <x:c r="K111" s="17"/>
      <x:c r="L111" s="17"/>
      <x:c r="M111" s="17"/>
      <x:c r="N111" s="17"/>
      <x:c r="O111" s="17"/>
      <x:c r="P111" s="17"/>
      <x:c r="Q111" s="17"/>
      <x:c r="R111" s="17"/>
      <x:c r="S111" s="17"/>
      <x:c r="T111" s="17"/>
      <x:c r="U111" s="17"/>
      <x:c r="V111" s="17"/>
      <x:c r="W111" s="17"/>
      <x:c r="X111" s="17"/>
      <x:c r="Y111" s="17"/>
      <x:c r="Z111" s="17"/>
    </x:row>
    <x:row r="112">
      <x:c r="A112" s="17" t="str">
        <x:v>GPT-4o (Nov 2024)</x:v>
      </x:c>
      <x:c r="B112" s="17" t="str">
        <x:v>GPT-4o (Nov 2024)</x:v>
      </x:c>
      <x:c r="C112" s="17" t="n">
        <x:v>45425</x:v>
      </x:c>
      <x:c r="D112" s="17" t="n">
        <x:v>129.31</x:v>
      </x:c>
      <x:c r="E112" s="17" t="n">
        <x:v>124.23</x:v>
      </x:c>
      <x:c r="F112" s="17" t="n">
        <x:v>131.64</x:v>
      </x:c>
      <x:c r="G112" s="17" t="str">
        <x:v>OpenAI</x:v>
      </x:c>
      <x:c r="H112" s="17" t="str">
        <x:v>United States of America</x:v>
      </x:c>
      <x:c r="I112" s="17" t="str">
        <x:v>API access</x:v>
      </x:c>
      <x:c r="J112" s="17" t="str">
        <x:v>Closed weights</x:v>
      </x:c>
      <x:c r="K112" s="17"/>
      <x:c r="L112" s="17"/>
      <x:c r="M112" s="17"/>
      <x:c r="N112" s="17"/>
      <x:c r="O112" s="17"/>
      <x:c r="P112" s="17"/>
      <x:c r="Q112" s="17"/>
      <x:c r="R112" s="17"/>
      <x:c r="S112" s="17"/>
      <x:c r="T112" s="17"/>
      <x:c r="U112" s="17"/>
      <x:c r="V112" s="17"/>
      <x:c r="W112" s="17"/>
      <x:c r="X112" s="17"/>
      <x:c r="Y112" s="17"/>
      <x:c r="Z112" s="17"/>
    </x:row>
    <x:row r="113">
      <x:c r="A113" s="17" t="str">
        <x:v>GPT-4o (Aug 2024)</x:v>
      </x:c>
      <x:c r="B113" s="17" t="str">
        <x:v>GPT-4o (Aug 2024)</x:v>
      </x:c>
      <x:c r="C113" s="17" t="n">
        <x:v>45425</x:v>
      </x:c>
      <x:c r="D113" s="17" t="n">
        <x:v>129.16</x:v>
      </x:c>
      <x:c r="E113" s="17" t="n">
        <x:v>123.4</x:v>
      </x:c>
      <x:c r="F113" s="17" t="n">
        <x:v>130.88</x:v>
      </x:c>
      <x:c r="G113" s="17" t="str">
        <x:v>OpenAI</x:v>
      </x:c>
      <x:c r="H113" s="17" t="str">
        <x:v>United States of America</x:v>
      </x:c>
      <x:c r="I113" s="17" t="str">
        <x:v>API access</x:v>
      </x:c>
      <x:c r="J113" s="17" t="str">
        <x:v>Closed weights</x:v>
      </x:c>
      <x:c r="K113" s="17"/>
      <x:c r="L113" s="17"/>
      <x:c r="M113" s="17"/>
      <x:c r="N113" s="17"/>
      <x:c r="O113" s="17"/>
      <x:c r="P113" s="17"/>
      <x:c r="Q113" s="17"/>
      <x:c r="R113" s="17"/>
      <x:c r="S113" s="17"/>
      <x:c r="T113" s="17"/>
      <x:c r="U113" s="17"/>
      <x:c r="V113" s="17"/>
      <x:c r="W113" s="17"/>
      <x:c r="X113" s="17"/>
      <x:c r="Y113" s="17"/>
      <x:c r="Z113" s="17"/>
    </x:row>
    <x:row r="114">
      <x:c r="A114" s="17" t="str">
        <x:v>Qwen2.5-72B</x:v>
      </x:c>
      <x:c r="B114" s="17" t="str">
        <x:v>Qwen2.5-72B</x:v>
      </x:c>
      <x:c r="C114" s="17" t="n">
        <x:v>45554</x:v>
      </x:c>
      <x:c r="D114" s="17" t="n">
        <x:v>129.12</x:v>
      </x:c>
      <x:c r="E114" s="17" t="n">
        <x:v>122.2</x:v>
      </x:c>
      <x:c r="F114" s="17" t="n">
        <x:v>130.91</x:v>
      </x:c>
      <x:c r="G114" s="17" t="str">
        <x:v>Alibaba</x:v>
      </x:c>
      <x:c r="H114" s="17" t="str">
        <x:v>China</x:v>
      </x:c>
      <x:c r="I114" s="17" t="str">
        <x:v>Open weights (unrestricted)</x:v>
      </x:c>
      <x:c r="J114" s="17" t="str">
        <x:v>Open weights</x:v>
      </x:c>
      <x:c r="K114" s="17"/>
      <x:c r="L114" s="17"/>
      <x:c r="M114" s="17"/>
      <x:c r="N114" s="17"/>
      <x:c r="O114" s="17"/>
      <x:c r="P114" s="17"/>
      <x:c r="Q114" s="17"/>
      <x:c r="R114" s="17"/>
      <x:c r="S114" s="17"/>
      <x:c r="T114" s="17"/>
      <x:c r="U114" s="17"/>
      <x:c r="V114" s="17"/>
      <x:c r="W114" s="17"/>
      <x:c r="X114" s="17"/>
      <x:c r="Y114" s="17"/>
      <x:c r="Z114" s="17"/>
    </x:row>
    <x:row r="115">
      <x:c r="A115" s="17" t="str">
        <x:v>Llama 3.1-405B</x:v>
      </x:c>
      <x:c r="B115" s="17" t="str">
        <x:v>Llama 3.1-405B</x:v>
      </x:c>
      <x:c r="C115" s="17" t="n">
        <x:v>45496</x:v>
      </x:c>
      <x:c r="D115" s="17" t="n">
        <x:v>128.99</x:v>
      </x:c>
      <x:c r="E115" s="17" t="n">
        <x:v>123.59</x:v>
      </x:c>
      <x:c r="F115" s="17" t="n">
        <x:v>130.73</x:v>
      </x:c>
      <x:c r="G115" s="17" t="str">
        <x:v>Meta AI</x:v>
      </x:c>
      <x:c r="H115" s="17" t="str">
        <x:v>United States of America</x:v>
      </x:c>
      <x:c r="I115" s="17" t="str">
        <x:v>Open weights (restricted use)</x:v>
      </x:c>
      <x:c r="J115" s="17" t="str">
        <x:v>Open weights</x:v>
      </x:c>
      <x:c r="K115" s="17"/>
      <x:c r="L115" s="17"/>
      <x:c r="M115" s="17"/>
      <x:c r="N115" s="17"/>
      <x:c r="O115" s="17"/>
      <x:c r="P115" s="17"/>
      <x:c r="Q115" s="17"/>
      <x:c r="R115" s="17"/>
      <x:c r="S115" s="17"/>
      <x:c r="T115" s="17"/>
      <x:c r="U115" s="17"/>
      <x:c r="V115" s="17"/>
      <x:c r="W115" s="17"/>
      <x:c r="X115" s="17"/>
      <x:c r="Y115" s="17"/>
      <x:c r="Z115" s="17"/>
    </x:row>
    <x:row r="116">
      <x:c r="A116" s="17" t="str">
        <x:v>GPT-4o (May 2024)</x:v>
      </x:c>
      <x:c r="B116" s="17" t="str">
        <x:v>GPT-4o (May 2024)</x:v>
      </x:c>
      <x:c r="C116" s="17" t="n">
        <x:v>45425</x:v>
      </x:c>
      <x:c r="D116" s="17" t="n">
        <x:v>128.83</x:v>
      </x:c>
      <x:c r="E116" s="17" t="n">
        <x:v>123.33</x:v>
      </x:c>
      <x:c r="F116" s="17" t="n">
        <x:v>130.68</x:v>
      </x:c>
      <x:c r="G116" s="17" t="str">
        <x:v>OpenAI</x:v>
      </x:c>
      <x:c r="H116" s="17" t="str">
        <x:v>United States of America</x:v>
      </x:c>
      <x:c r="I116" s="17" t="str">
        <x:v>API access</x:v>
      </x:c>
      <x:c r="J116" s="17" t="str">
        <x:v>Closed weights</x:v>
      </x:c>
      <x:c r="K116" s="17"/>
      <x:c r="L116" s="17"/>
      <x:c r="M116" s="17"/>
      <x:c r="N116" s="17"/>
      <x:c r="O116" s="17"/>
      <x:c r="P116" s="17"/>
      <x:c r="Q116" s="17"/>
      <x:c r="R116" s="17"/>
      <x:c r="S116" s="17"/>
      <x:c r="T116" s="17"/>
      <x:c r="U116" s="17"/>
      <x:c r="V116" s="17"/>
      <x:c r="W116" s="17"/>
      <x:c r="X116" s="17"/>
      <x:c r="Y116" s="17"/>
      <x:c r="Z116" s="17"/>
    </x:row>
    <x:row r="117">
      <x:c r="A117" s="17" t="str">
        <x:v>Mistral Large 2 (Nov 2024)</x:v>
      </x:c>
      <x:c r="B117" s="17" t="str">
        <x:v>Mistral Large 2 (Nov 2024)</x:v>
      </x:c>
      <x:c r="C117" s="17" t="n">
        <x:v>45497</x:v>
      </x:c>
      <x:c r="D117" s="17" t="n">
        <x:v>128.81</x:v>
      </x:c>
      <x:c r="E117" s="17" t="n">
        <x:v>123.59</x:v>
      </x:c>
      <x:c r="F117" s="17" t="n">
        <x:v>130.68</x:v>
      </x:c>
      <x:c r="G117" s="17" t="str">
        <x:v>Mistral AI</x:v>
      </x:c>
      <x:c r="H117" s="17" t="str">
        <x:v>France</x:v>
      </x:c>
      <x:c r="I117" s="17" t="str">
        <x:v>Open weights (non-commercial)</x:v>
      </x:c>
      <x:c r="J117" s="17" t="str">
        <x:v>Open weights</x:v>
      </x:c>
      <x:c r="K117" s="17"/>
      <x:c r="L117" s="17"/>
      <x:c r="M117" s="17"/>
      <x:c r="N117" s="17"/>
      <x:c r="O117" s="17"/>
      <x:c r="P117" s="17"/>
      <x:c r="Q117" s="17"/>
      <x:c r="R117" s="17"/>
      <x:c r="S117" s="17"/>
      <x:c r="T117" s="17"/>
      <x:c r="U117" s="17"/>
      <x:c r="V117" s="17"/>
      <x:c r="W117" s="17"/>
      <x:c r="X117" s="17"/>
      <x:c r="Y117" s="17"/>
      <x:c r="Z117" s="17"/>
    </x:row>
    <x:row r="118">
      <x:c r="A118" s="17" t="str">
        <x:v>Mistral Small 3.1</x:v>
      </x:c>
      <x:c r="B118" s="17" t="str">
        <x:v>Mistral Small 3.1</x:v>
      </x:c>
      <x:c r="C118" s="17" t="n">
        <x:v>45733</x:v>
      </x:c>
      <x:c r="D118" s="17" t="n">
        <x:v>127.75</x:v>
      </x:c>
      <x:c r="E118" s="17" t="n">
        <x:v>121.89</x:v>
      </x:c>
      <x:c r="F118" s="17" t="n">
        <x:v>129.38</x:v>
      </x:c>
      <x:c r="G118" s="17" t="str">
        <x:v>Mistral AI</x:v>
      </x:c>
      <x:c r="H118" s="17" t="str">
        <x:v>France</x:v>
      </x:c>
      <x:c r="I118" s="17" t="str">
        <x:v>Open weights (unrestricted)</x:v>
      </x:c>
      <x:c r="J118" s="17" t="str">
        <x:v>Open weights</x:v>
      </x:c>
      <x:c r="K118" s="17"/>
      <x:c r="L118" s="17"/>
      <x:c r="M118" s="17"/>
      <x:c r="N118" s="17"/>
      <x:c r="O118" s="17"/>
      <x:c r="P118" s="17"/>
      <x:c r="Q118" s="17"/>
      <x:c r="R118" s="17"/>
      <x:c r="S118" s="17"/>
      <x:c r="T118" s="17"/>
      <x:c r="U118" s="17"/>
      <x:c r="V118" s="17"/>
      <x:c r="W118" s="17"/>
      <x:c r="X118" s="17"/>
      <x:c r="Y118" s="17"/>
      <x:c r="Z118" s="17"/>
    </x:row>
    <x:row r="119">
      <x:c r="A119" s="17" t="str">
        <x:v>GPT-4 Turbo (Apr 2024)</x:v>
      </x:c>
      <x:c r="B119" s="17" t="str">
        <x:v>GPT-4 Turbo (Apr 2024)</x:v>
      </x:c>
      <x:c r="C119" s="17" t="n">
        <x:v>45391</x:v>
      </x:c>
      <x:c r="D119" s="17" t="n">
        <x:v>127.59</x:v>
      </x:c>
      <x:c r="E119" s="17" t="n">
        <x:v>121.74</x:v>
      </x:c>
      <x:c r="F119" s="17" t="n">
        <x:v>129</x:v>
      </x:c>
      <x:c r="G119" s="17" t="str">
        <x:v>OpenAI</x:v>
      </x:c>
      <x:c r="H119" s="17" t="str">
        <x:v>United States of America</x:v>
      </x:c>
      <x:c r="I119" s="17" t="str">
        <x:v>API access</x:v>
      </x:c>
      <x:c r="J119" s="17" t="str">
        <x:v>Closed weights</x:v>
      </x:c>
      <x:c r="K119" s="17"/>
      <x:c r="L119" s="17"/>
      <x:c r="M119" s="17"/>
      <x:c r="N119" s="17"/>
      <x:c r="O119" s="17"/>
      <x:c r="P119" s="17"/>
      <x:c r="Q119" s="17"/>
      <x:c r="R119" s="17"/>
      <x:c r="S119" s="17"/>
      <x:c r="T119" s="17"/>
      <x:c r="U119" s="17"/>
      <x:c r="V119" s="17"/>
      <x:c r="W119" s="17"/>
      <x:c r="X119" s="17"/>
      <x:c r="Y119" s="17"/>
      <x:c r="Z119" s="17"/>
    </x:row>
    <x:row r="120">
      <x:c r="A120" s="17" t="str">
        <x:v>Mistral Large 2 (Jul 2024)</x:v>
      </x:c>
      <x:c r="B120" s="17" t="str">
        <x:v>Mistral Large 2 (Jul 2024)</x:v>
      </x:c>
      <x:c r="C120" s="17" t="n">
        <x:v>45497</x:v>
      </x:c>
      <x:c r="D120" s="17" t="n">
        <x:v>127.53</x:v>
      </x:c>
      <x:c r="E120" s="17" t="n">
        <x:v>121.93</x:v>
      </x:c>
      <x:c r="F120" s="17" t="n">
        <x:v>129.33</x:v>
      </x:c>
      <x:c r="G120" s="17" t="str">
        <x:v>Mistral AI</x:v>
      </x:c>
      <x:c r="H120" s="17" t="str">
        <x:v>France</x:v>
      </x:c>
      <x:c r="I120" s="17" t="str">
        <x:v>Open weights (non-commercial)</x:v>
      </x:c>
      <x:c r="J120" s="17" t="str">
        <x:v>Open weights</x:v>
      </x:c>
      <x:c r="K120" s="17"/>
      <x:c r="L120" s="17"/>
      <x:c r="M120" s="17"/>
      <x:c r="N120" s="17"/>
      <x:c r="O120" s="17"/>
      <x:c r="P120" s="17"/>
      <x:c r="Q120" s="17"/>
      <x:c r="R120" s="17"/>
      <x:c r="S120" s="17"/>
      <x:c r="T120" s="17"/>
      <x:c r="U120" s="17"/>
      <x:c r="V120" s="17"/>
      <x:c r="W120" s="17"/>
      <x:c r="X120" s="17"/>
      <x:c r="Y120" s="17"/>
      <x:c r="Z120" s="17"/>
    </x:row>
    <x:row r="121">
      <x:c r="A121" s="17" t="str">
        <x:v>Claude 3.5 Haiku</x:v>
      </x:c>
      <x:c r="B121" s="17" t="str">
        <x:v>Claude 3.5 Haiku</x:v>
      </x:c>
      <x:c r="C121" s="17" t="n">
        <x:v>45587</x:v>
      </x:c>
      <x:c r="D121" s="17" t="n">
        <x:v>127.5</x:v>
      </x:c>
      <x:c r="E121" s="17" t="n">
        <x:v>119.27</x:v>
      </x:c>
      <x:c r="F121" s="17" t="n">
        <x:v>130.1</x:v>
      </x:c>
      <x:c r="G121" s="17" t="str">
        <x:v>Anthropic</x:v>
      </x:c>
      <x:c r="H121" s="17" t="str">
        <x:v>United States of America</x:v>
      </x:c>
      <x:c r="I121" s="17" t="str">
        <x:v>API access</x:v>
      </x:c>
      <x:c r="J121" s="17" t="str">
        <x:v>Closed weights</x:v>
      </x:c>
      <x:c r="K121" s="17"/>
      <x:c r="L121" s="17"/>
      <x:c r="M121" s="17"/>
      <x:c r="N121" s="17"/>
      <x:c r="O121" s="17"/>
      <x:c r="P121" s="17"/>
      <x:c r="Q121" s="17"/>
      <x:c r="R121" s="17"/>
      <x:c r="S121" s="17"/>
      <x:c r="T121" s="17"/>
      <x:c r="U121" s="17"/>
      <x:c r="V121" s="17"/>
      <x:c r="W121" s="17"/>
      <x:c r="X121" s="17"/>
      <x:c r="Y121" s="17"/>
      <x:c r="Z121" s="17"/>
    </x:row>
    <x:row r="122">
      <x:c r="A122" s="17" t="str">
        <x:v>Llama 3.3 70B</x:v>
      </x:c>
      <x:c r="B122" s="17" t="str">
        <x:v>Llama 3.3 70B</x:v>
      </x:c>
      <x:c r="C122" s="17" t="n">
        <x:v>45632</x:v>
      </x:c>
      <x:c r="D122" s="17" t="n">
        <x:v>127.5</x:v>
      </x:c>
      <x:c r="E122" s="17" t="n">
        <x:v>122.01</x:v>
      </x:c>
      <x:c r="F122" s="17" t="n">
        <x:v>129.87</x:v>
      </x:c>
      <x:c r="G122" s="17" t="str">
        <x:v>Meta AI</x:v>
      </x:c>
      <x:c r="H122" s="17" t="str">
        <x:v>United States of America</x:v>
      </x:c>
      <x:c r="I122" s="17" t="str">
        <x:v>Open weights (restricted use)</x:v>
      </x:c>
      <x:c r="J122" s="17" t="str">
        <x:v>Open weights</x:v>
      </x:c>
      <x:c r="K122" s="17"/>
      <x:c r="L122" s="17"/>
      <x:c r="M122" s="17"/>
      <x:c r="N122" s="17"/>
      <x:c r="O122" s="17"/>
      <x:c r="P122" s="17"/>
      <x:c r="Q122" s="17"/>
      <x:c r="R122" s="17"/>
      <x:c r="S122" s="17"/>
      <x:c r="T122" s="17"/>
      <x:c r="U122" s="17"/>
      <x:c r="V122" s="17"/>
      <x:c r="W122" s="17"/>
      <x:c r="X122" s="17"/>
      <x:c r="Y122" s="17"/>
      <x:c r="Z122" s="17"/>
    </x:row>
    <x:row r="123">
      <x:c r="A123" s="17" t="str">
        <x:v>Gemini 1.5 Pro (May 2024)</x:v>
      </x:c>
      <x:c r="B123" s="17" t="str">
        <x:v>Gemini 1.5 Pro (May 2024)</x:v>
      </x:c>
      <x:c r="C123" s="17" t="n">
        <x:v>45426</x:v>
      </x:c>
      <x:c r="D123" s="17" t="n">
        <x:v>127.2</x:v>
      </x:c>
      <x:c r="E123" s="17" t="n">
        <x:v>121.34</x:v>
      </x:c>
      <x:c r="F123" s="17" t="n">
        <x:v>129.39</x:v>
      </x:c>
      <x:c r="G123" s="17" t="str">
        <x:v>Google DeepMind</x:v>
      </x:c>
      <x:c r="H123" s="17" t="str">
        <x:v>United States of America</x:v>
      </x:c>
      <x:c r="I123" s="17" t="str">
        <x:v>API access</x:v>
      </x:c>
      <x:c r="J123" s="17" t="str">
        <x:v>Closed weights</x:v>
      </x:c>
      <x:c r="K123" s="17"/>
      <x:c r="L123" s="17"/>
      <x:c r="M123" s="17"/>
      <x:c r="N123" s="17"/>
      <x:c r="O123" s="17"/>
      <x:c r="P123" s="17"/>
      <x:c r="Q123" s="17"/>
      <x:c r="R123" s="17"/>
      <x:c r="S123" s="17"/>
      <x:c r="T123" s="17"/>
      <x:c r="U123" s="17"/>
      <x:c r="V123" s="17"/>
      <x:c r="W123" s="17"/>
      <x:c r="X123" s="17"/>
      <x:c r="Y123" s="17"/>
      <x:c r="Z123" s="17"/>
    </x:row>
    <x:row r="124">
      <x:c r="A124" s="17" t="str">
        <x:v>GPT-4o mini</x:v>
      </x:c>
      <x:c r="B124" s="17" t="str">
        <x:v>GPT-4o mini</x:v>
      </x:c>
      <x:c r="C124" s="17" t="n">
        <x:v>45491</x:v>
      </x:c>
      <x:c r="D124" s="17" t="n">
        <x:v>126.94</x:v>
      </x:c>
      <x:c r="E124" s="17" t="n">
        <x:v>120.2</x:v>
      </x:c>
      <x:c r="F124" s="17" t="n">
        <x:v>129.11</x:v>
      </x:c>
      <x:c r="G124" s="17" t="str">
        <x:v>OpenAI</x:v>
      </x:c>
      <x:c r="H124" s="17" t="str">
        <x:v>United States of America</x:v>
      </x:c>
      <x:c r="I124" s="17" t="str">
        <x:v>API access</x:v>
      </x:c>
      <x:c r="J124" s="17" t="str">
        <x:v>Closed weights</x:v>
      </x:c>
      <x:c r="K124" s="17"/>
      <x:c r="L124" s="17"/>
      <x:c r="M124" s="17"/>
      <x:c r="N124" s="17"/>
      <x:c r="O124" s="17"/>
      <x:c r="P124" s="17"/>
      <x:c r="Q124" s="17"/>
      <x:c r="R124" s="17"/>
      <x:c r="S124" s="17"/>
      <x:c r="T124" s="17"/>
      <x:c r="U124" s="17"/>
      <x:c r="V124" s="17"/>
      <x:c r="W124" s="17"/>
      <x:c r="X124" s="17"/>
      <x:c r="Y124" s="17"/>
      <x:c r="Z124" s="17"/>
    </x:row>
    <x:row r="125">
      <x:c r="A125" s="17" t="str">
        <x:v>Claude 3 Opus</x:v>
      </x:c>
      <x:c r="B125" s="17" t="str">
        <x:v>Claude 3 Opus</x:v>
      </x:c>
      <x:c r="C125" s="17" t="n">
        <x:v>45355</x:v>
      </x:c>
      <x:c r="D125" s="17" t="n">
        <x:v>126.92</x:v>
      </x:c>
      <x:c r="E125" s="17" t="n">
        <x:v>121.31</x:v>
      </x:c>
      <x:c r="F125" s="17" t="n">
        <x:v>129.83</x:v>
      </x:c>
      <x:c r="G125" s="17" t="str">
        <x:v>Anthropic</x:v>
      </x:c>
      <x:c r="H125" s="17" t="str">
        <x:v>United States of America</x:v>
      </x:c>
      <x:c r="I125" s="17" t="str">
        <x:v>API access</x:v>
      </x:c>
      <x:c r="J125" s="17" t="str">
        <x:v>Closed weights</x:v>
      </x:c>
      <x:c r="K125" s="17"/>
      <x:c r="L125" s="17"/>
      <x:c r="M125" s="17"/>
      <x:c r="N125" s="17"/>
      <x:c r="O125" s="17"/>
      <x:c r="P125" s="17"/>
      <x:c r="Q125" s="17"/>
      <x:c r="R125" s="17"/>
      <x:c r="S125" s="17"/>
      <x:c r="T125" s="17"/>
      <x:c r="U125" s="17"/>
      <x:c r="V125" s="17"/>
      <x:c r="W125" s="17"/>
      <x:c r="X125" s="17"/>
      <x:c r="Y125" s="17"/>
      <x:c r="Z125" s="17"/>
    </x:row>
    <x:row r="126">
      <x:c r="A126" s="17" t="str">
        <x:v>GPT-4 (Mar 2023)</x:v>
      </x:c>
      <x:c r="B126" s="17" t="str">
        <x:v>GPT-4 (Mar 2023)</x:v>
      </x:c>
      <x:c r="C126" s="17" t="n">
        <x:v>45000</x:v>
      </x:c>
      <x:c r="D126" s="17" t="n">
        <x:v>125.93</x:v>
      </x:c>
      <x:c r="E126" s="17" t="n">
        <x:v>119.58</x:v>
      </x:c>
      <x:c r="F126" s="17" t="n">
        <x:v>132.2</x:v>
      </x:c>
      <x:c r="G126" s="17" t="str">
        <x:v>OpenAI</x:v>
      </x:c>
      <x:c r="H126" s="17" t="str">
        <x:v>United States of America</x:v>
      </x:c>
      <x:c r="I126" s="17" t="str">
        <x:v>API access</x:v>
      </x:c>
      <x:c r="J126" s="17" t="str">
        <x:v>Closed weights</x:v>
      </x:c>
      <x:c r="K126" s="17"/>
      <x:c r="L126" s="17"/>
      <x:c r="M126" s="17"/>
      <x:c r="N126" s="17"/>
      <x:c r="O126" s="17"/>
      <x:c r="P126" s="17"/>
      <x:c r="Q126" s="17"/>
      <x:c r="R126" s="17"/>
      <x:c r="S126" s="17"/>
      <x:c r="T126" s="17"/>
      <x:c r="U126" s="17"/>
      <x:c r="V126" s="17"/>
      <x:c r="W126" s="17"/>
      <x:c r="X126" s="17"/>
      <x:c r="Y126" s="17"/>
      <x:c r="Z126" s="17"/>
    </x:row>
    <x:row r="127">
      <x:c r="A127" s="17" t="str">
        <x:v>Llama 3.2 90B</x:v>
      </x:c>
      <x:c r="B127" s="17" t="str">
        <x:v>Llama 3.2 90B</x:v>
      </x:c>
      <x:c r="C127" s="17" t="n">
        <x:v>45559</x:v>
      </x:c>
      <x:c r="D127" s="17" t="n">
        <x:v>125.71</x:v>
      </x:c>
      <x:c r="E127" s="17" t="n">
        <x:v>119.36</x:v>
      </x:c>
      <x:c r="F127" s="17" t="n">
        <x:v>127.43</x:v>
      </x:c>
      <x:c r="G127" s="17" t="str">
        <x:v>Meta AI</x:v>
      </x:c>
      <x:c r="H127" s="17" t="str">
        <x:v>United States of America</x:v>
      </x:c>
      <x:c r="I127" s="17" t="str">
        <x:v>Open weights (restricted use)</x:v>
      </x:c>
      <x:c r="J127" s="17" t="str">
        <x:v>Open weights</x:v>
      </x:c>
      <x:c r="K127" s="17"/>
      <x:c r="L127" s="17"/>
      <x:c r="M127" s="17"/>
      <x:c r="N127" s="17"/>
      <x:c r="O127" s="17"/>
      <x:c r="P127" s="17"/>
      <x:c r="Q127" s="17"/>
      <x:c r="R127" s="17"/>
      <x:c r="S127" s="17"/>
      <x:c r="T127" s="17"/>
      <x:c r="U127" s="17"/>
      <x:c r="V127" s="17"/>
      <x:c r="W127" s="17"/>
      <x:c r="X127" s="17"/>
      <x:c r="Y127" s="17"/>
      <x:c r="Z127" s="17"/>
    </x:row>
    <x:row r="128">
      <x:c r="A128" s="17" t="str">
        <x:v>Llama 3.1-70B</x:v>
      </x:c>
      <x:c r="B128" s="17" t="str">
        <x:v>Llama 3.1-70B</x:v>
      </x:c>
      <x:c r="C128" s="17" t="n">
        <x:v>45496</x:v>
      </x:c>
      <x:c r="D128" s="17" t="n">
        <x:v>125.53</x:v>
      </x:c>
      <x:c r="E128" s="17" t="n">
        <x:v>118.91</x:v>
      </x:c>
      <x:c r="F128" s="17" t="n">
        <x:v>127.47</x:v>
      </x:c>
      <x:c r="G128" s="17" t="str">
        <x:v>Meta AI</x:v>
      </x:c>
      <x:c r="H128" s="17" t="str">
        <x:v>United States of America</x:v>
      </x:c>
      <x:c r="I128" s="17" t="str">
        <x:v>Open weights (restricted use)</x:v>
      </x:c>
      <x:c r="J128" s="17" t="str">
        <x:v>Open weights</x:v>
      </x:c>
      <x:c r="K128" s="17"/>
      <x:c r="L128" s="17"/>
      <x:c r="M128" s="17"/>
      <x:c r="N128" s="17"/>
      <x:c r="O128" s="17"/>
      <x:c r="P128" s="17"/>
      <x:c r="Q128" s="17"/>
      <x:c r="R128" s="17"/>
      <x:c r="S128" s="17"/>
      <x:c r="T128" s="17"/>
      <x:c r="U128" s="17"/>
      <x:c r="V128" s="17"/>
      <x:c r="W128" s="17"/>
      <x:c r="X128" s="17"/>
      <x:c r="Y128" s="17"/>
      <x:c r="Z128" s="17"/>
    </x:row>
    <x:row r="129">
      <x:c r="A129" s="17" t="str">
        <x:v>Qwen2-72B</x:v>
      </x:c>
      <x:c r="B129" s="17" t="str">
        <x:v>Qwen2-72B</x:v>
      </x:c>
      <x:c r="C129" s="17" t="n">
        <x:v>45450</x:v>
      </x:c>
      <x:c r="D129" s="17" t="n">
        <x:v>125.49</x:v>
      </x:c>
      <x:c r="E129" s="17" t="n">
        <x:v>119.09</x:v>
      </x:c>
      <x:c r="F129" s="17" t="n">
        <x:v>127.01</x:v>
      </x:c>
      <x:c r="G129" s="17" t="str">
        <x:v>Alibaba</x:v>
      </x:c>
      <x:c r="H129" s="17" t="str">
        <x:v>China</x:v>
      </x:c>
      <x:c r="I129" s="17" t="str">
        <x:v>Open weights (unrestricted)</x:v>
      </x:c>
      <x:c r="J129" s="17" t="str">
        <x:v>Open weights</x:v>
      </x:c>
      <x:c r="K129" s="17"/>
      <x:c r="L129" s="17"/>
      <x:c r="M129" s="17"/>
      <x:c r="N129" s="17"/>
      <x:c r="O129" s="17"/>
      <x:c r="P129" s="17"/>
      <x:c r="Q129" s="17"/>
      <x:c r="R129" s="17"/>
      <x:c r="S129" s="17"/>
      <x:c r="T129" s="17"/>
      <x:c r="U129" s="17"/>
      <x:c r="V129" s="17"/>
      <x:c r="W129" s="17"/>
      <x:c r="X129" s="17"/>
      <x:c r="Y129" s="17"/>
      <x:c r="Z129" s="17"/>
    </x:row>
    <x:row r="130">
      <x:c r="A130" s="17" t="str">
        <x:v>DeepSeek-V2 (MoE-236B, May 2024)</x:v>
      </x:c>
      <x:c r="B130" s="17" t="str">
        <x:v>DeepSeek-V2 (MoE-236B, May 2024)</x:v>
      </x:c>
      <x:c r="C130" s="17" t="n">
        <x:v>45419</x:v>
      </x:c>
      <x:c r="D130" s="17" t="n">
        <x:v>124.58</x:v>
      </x:c>
      <x:c r="E130" s="17" t="n">
        <x:v>117.97</x:v>
      </x:c>
      <x:c r="F130" s="17" t="n">
        <x:v>127.63</x:v>
      </x:c>
      <x:c r="G130" s="17" t="str">
        <x:v>DeepSeek</x:v>
      </x:c>
      <x:c r="H130" s="17" t="str">
        <x:v>China</x:v>
      </x:c>
      <x:c r="I130" s="17" t="str">
        <x:v>Open weights (restricted use)</x:v>
      </x:c>
      <x:c r="J130" s="17" t="str">
        <x:v>Open weights</x:v>
      </x:c>
      <x:c r="K130" s="17"/>
      <x:c r="L130" s="17"/>
      <x:c r="M130" s="17"/>
      <x:c r="N130" s="17"/>
      <x:c r="O130" s="17"/>
      <x:c r="P130" s="17"/>
      <x:c r="Q130" s="17"/>
      <x:c r="R130" s="17"/>
      <x:c r="S130" s="17"/>
      <x:c r="T130" s="17"/>
      <x:c r="U130" s="17"/>
      <x:c r="V130" s="17"/>
      <x:c r="W130" s="17"/>
      <x:c r="X130" s="17"/>
      <x:c r="Y130" s="17"/>
      <x:c r="Z130" s="17"/>
    </x:row>
    <x:row r="131">
      <x:c r="A131" s="17" t="str">
        <x:v>Amazon Nova Pro</x:v>
      </x:c>
      <x:c r="B131" s="17" t="str">
        <x:v>Amazon Nova Pro</x:v>
      </x:c>
      <x:c r="C131" s="17" t="n">
        <x:v>45629</x:v>
      </x:c>
      <x:c r="D131" s="17" t="n">
        <x:v>123.88</x:v>
      </x:c>
      <x:c r="E131" s="17" t="n">
        <x:v>110.76</x:v>
      </x:c>
      <x:c r="F131" s="17" t="n">
        <x:v>126.58</x:v>
      </x:c>
      <x:c r="G131" s="17" t="str">
        <x:v>Amazon</x:v>
      </x:c>
      <x:c r="H131" s="17" t="str">
        <x:v>United States of America</x:v>
      </x:c>
      <x:c r="I131" s="17" t="str">
        <x:v>API access</x:v>
      </x:c>
      <x:c r="J131" s="17" t="str">
        <x:v>Closed weights</x:v>
      </x:c>
      <x:c r="K131" s="17"/>
      <x:c r="L131" s="17"/>
      <x:c r="M131" s="17"/>
      <x:c r="N131" s="17"/>
      <x:c r="O131" s="17"/>
      <x:c r="P131" s="17"/>
      <x:c r="Q131" s="17"/>
      <x:c r="R131" s="17"/>
      <x:c r="S131" s="17"/>
      <x:c r="T131" s="17"/>
      <x:c r="U131" s="17"/>
      <x:c r="V131" s="17"/>
      <x:c r="W131" s="17"/>
      <x:c r="X131" s="17"/>
      <x:c r="Y131" s="17"/>
      <x:c r="Z131" s="17"/>
    </x:row>
    <x:row r="132">
      <x:c r="A132" s="17" t="str">
        <x:v>Llama 3-70B</x:v>
      </x:c>
      <x:c r="B132" s="17" t="str">
        <x:v>Llama 3-70B</x:v>
      </x:c>
      <x:c r="C132" s="17" t="n">
        <x:v>45400</x:v>
      </x:c>
      <x:c r="D132" s="17" t="n">
        <x:v>122.61</x:v>
      </x:c>
      <x:c r="E132" s="17" t="n">
        <x:v>115.79</x:v>
      </x:c>
      <x:c r="F132" s="17" t="n">
        <x:v>125.52</x:v>
      </x:c>
      <x:c r="G132" s="17" t="str">
        <x:v>Meta AI</x:v>
      </x:c>
      <x:c r="H132" s="17" t="str">
        <x:v>United States of America</x:v>
      </x:c>
      <x:c r="I132" s="17" t="str">
        <x:v>Open weights (restricted use)</x:v>
      </x:c>
      <x:c r="J132" s="17" t="str">
        <x:v>Open weights</x:v>
      </x:c>
      <x:c r="K132" s="17"/>
      <x:c r="L132" s="17"/>
      <x:c r="M132" s="17"/>
      <x:c r="N132" s="17"/>
      <x:c r="O132" s="17"/>
      <x:c r="P132" s="17"/>
      <x:c r="Q132" s="17"/>
      <x:c r="R132" s="17"/>
      <x:c r="S132" s="17"/>
      <x:c r="T132" s="17"/>
      <x:c r="U132" s="17"/>
      <x:c r="V132" s="17"/>
      <x:c r="W132" s="17"/>
      <x:c r="X132" s="17"/>
      <x:c r="Y132" s="17"/>
      <x:c r="Z132" s="17"/>
    </x:row>
    <x:row r="133">
      <x:c r="A133" s="17" t="str">
        <x:v>Gemini 1.5 Flash (May 2024)</x:v>
      </x:c>
      <x:c r="B133" s="17" t="str">
        <x:v>Gemini 1.5 Flash (May 2024)</x:v>
      </x:c>
      <x:c r="C133" s="17" t="n">
        <x:v>45422</x:v>
      </x:c>
      <x:c r="D133" s="17" t="n">
        <x:v>122.54</x:v>
      </x:c>
      <x:c r="E133" s="17" t="n">
        <x:v>115.28</x:v>
      </x:c>
      <x:c r="F133" s="17" t="n">
        <x:v>124.46</x:v>
      </x:c>
      <x:c r="G133" s="17" t="str">
        <x:v>Google DeepMind</x:v>
      </x:c>
      <x:c r="H133" s="17" t="str">
        <x:v>United States of America</x:v>
      </x:c>
      <x:c r="I133" s="17" t="str">
        <x:v>API access</x:v>
      </x:c>
      <x:c r="J133" s="17" t="str">
        <x:v>Closed weights</x:v>
      </x:c>
      <x:c r="K133" s="17"/>
      <x:c r="L133" s="17"/>
      <x:c r="M133" s="17"/>
      <x:c r="N133" s="17"/>
      <x:c r="O133" s="17"/>
      <x:c r="P133" s="17"/>
      <x:c r="Q133" s="17"/>
      <x:c r="R133" s="17"/>
      <x:c r="S133" s="17"/>
      <x:c r="T133" s="17"/>
      <x:c r="U133" s="17"/>
      <x:c r="V133" s="17"/>
      <x:c r="W133" s="17"/>
      <x:c r="X133" s="17"/>
      <x:c r="Y133" s="17"/>
      <x:c r="Z133" s="17"/>
    </x:row>
    <x:row r="134">
      <x:c r="A134" s="17" t="str">
        <x:v>Gemma 2 27B</x:v>
      </x:c>
      <x:c r="B134" s="17" t="str">
        <x:v>Gemma 2 27B</x:v>
      </x:c>
      <x:c r="C134" s="17" t="n">
        <x:v>45467</x:v>
      </x:c>
      <x:c r="D134" s="17" t="n">
        <x:v>122.47</x:v>
      </x:c>
      <x:c r="E134" s="17" t="n">
        <x:v>115.04</x:v>
      </x:c>
      <x:c r="F134" s="17" t="n">
        <x:v>124.23</x:v>
      </x:c>
      <x:c r="G134" s="17" t="str">
        <x:v>Google DeepMind</x:v>
      </x:c>
      <x:c r="H134" s="17" t="str">
        <x:v>United States of America</x:v>
      </x:c>
      <x:c r="I134" s="17" t="str">
        <x:v>Open weights (restricted use)</x:v>
      </x:c>
      <x:c r="J134" s="17" t="str">
        <x:v>Open weights</x:v>
      </x:c>
      <x:c r="K134" s="17"/>
      <x:c r="L134" s="17"/>
      <x:c r="M134" s="17"/>
      <x:c r="N134" s="17"/>
      <x:c r="O134" s="17"/>
      <x:c r="P134" s="17"/>
      <x:c r="Q134" s="17"/>
      <x:c r="R134" s="17"/>
      <x:c r="S134" s="17"/>
      <x:c r="T134" s="17"/>
      <x:c r="U134" s="17"/>
      <x:c r="V134" s="17"/>
      <x:c r="W134" s="17"/>
      <x:c r="X134" s="17"/>
      <x:c r="Y134" s="17"/>
      <x:c r="Z134" s="17"/>
    </x:row>
    <x:row r="135">
      <x:c r="A135" s="17" t="str">
        <x:v>GPT-4 (Jun 2023)</x:v>
      </x:c>
      <x:c r="B135" s="17" t="str">
        <x:v>GPT-4 (Jun 2023)</x:v>
      </x:c>
      <x:c r="C135" s="17" t="n">
        <x:v>45090</x:v>
      </x:c>
      <x:c r="D135" s="17" t="n">
        <x:v>121.91</x:v>
      </x:c>
      <x:c r="E135" s="17" t="n">
        <x:v>114.46</x:v>
      </x:c>
      <x:c r="F135" s="17" t="n">
        <x:v>124.8</x:v>
      </x:c>
      <x:c r="G135" s="17" t="str">
        <x:v>OpenAI</x:v>
      </x:c>
      <x:c r="H135" s="17" t="str">
        <x:v>United States of America</x:v>
      </x:c>
      <x:c r="I135" s="17" t="str">
        <x:v>API access</x:v>
      </x:c>
      <x:c r="J135" s="17" t="str">
        <x:v>Closed weights</x:v>
      </x:c>
      <x:c r="K135" s="17"/>
      <x:c r="L135" s="17"/>
      <x:c r="M135" s="17"/>
      <x:c r="N135" s="17"/>
      <x:c r="O135" s="17"/>
      <x:c r="P135" s="17"/>
      <x:c r="Q135" s="17"/>
      <x:c r="R135" s="17"/>
      <x:c r="S135" s="17"/>
      <x:c r="T135" s="17"/>
      <x:c r="U135" s="17"/>
      <x:c r="V135" s="17"/>
      <x:c r="W135" s="17"/>
      <x:c r="X135" s="17"/>
      <x:c r="Y135" s="17"/>
      <x:c r="Z135" s="17"/>
    </x:row>
    <x:row r="136">
      <x:c r="A136" s="17" t="str">
        <x:v>phi-3-small 7.4B</x:v>
      </x:c>
      <x:c r="B136" s="17" t="str">
        <x:v>phi-3-small 7.4B</x:v>
      </x:c>
      <x:c r="C136" s="17" t="n">
        <x:v>45405</x:v>
      </x:c>
      <x:c r="D136" s="17" t="n">
        <x:v>121.64</x:v>
      </x:c>
      <x:c r="E136" s="17" t="n">
        <x:v>113.57</x:v>
      </x:c>
      <x:c r="F136" s="17" t="n">
        <x:v>124.38</x:v>
      </x:c>
      <x:c r="G136" s="17" t="str">
        <x:v>Microsoft</x:v>
      </x:c>
      <x:c r="H136" s="17" t="str">
        <x:v>United States of America</x:v>
      </x:c>
      <x:c r="I136" s="17" t="str">
        <x:v>Open weights (unrestricted)</x:v>
      </x:c>
      <x:c r="J136" s="17" t="str">
        <x:v>Open weights</x:v>
      </x:c>
      <x:c r="K136" s="17"/>
      <x:c r="L136" s="17"/>
      <x:c r="M136" s="17"/>
      <x:c r="N136" s="17"/>
      <x:c r="O136" s="17"/>
      <x:c r="P136" s="17"/>
      <x:c r="Q136" s="17"/>
      <x:c r="R136" s="17"/>
      <x:c r="S136" s="17"/>
      <x:c r="T136" s="17"/>
      <x:c r="U136" s="17"/>
      <x:c r="V136" s="17"/>
      <x:c r="W136" s="17"/>
      <x:c r="X136" s="17"/>
      <x:c r="Y136" s="17"/>
      <x:c r="Z136" s="17"/>
    </x:row>
    <x:row r="137">
      <x:c r="A137" s="17" t="str">
        <x:v>Mixtral 8x22B</x:v>
      </x:c>
      <x:c r="B137" s="17" t="str">
        <x:v>Mixtral 8x22B</x:v>
      </x:c>
      <x:c r="C137" s="17" t="n">
        <x:v>45399</x:v>
      </x:c>
      <x:c r="D137" s="17" t="n">
        <x:v>121.28</x:v>
      </x:c>
      <x:c r="E137" s="17" t="n">
        <x:v>112.48</x:v>
      </x:c>
      <x:c r="F137" s="17" t="n">
        <x:v>123.4</x:v>
      </x:c>
      <x:c r="G137" s="17" t="str">
        <x:v>Mistral AI</x:v>
      </x:c>
      <x:c r="H137" s="17" t="str">
        <x:v>France</x:v>
      </x:c>
      <x:c r="I137" s="17" t="str">
        <x:v>Open weights (unrestricted)</x:v>
      </x:c>
      <x:c r="J137" s="17" t="str">
        <x:v>Open weights</x:v>
      </x:c>
      <x:c r="K137" s="17"/>
      <x:c r="L137" s="17"/>
      <x:c r="M137" s="17"/>
      <x:c r="N137" s="17"/>
      <x:c r="O137" s="17"/>
      <x:c r="P137" s="17"/>
      <x:c r="Q137" s="17"/>
      <x:c r="R137" s="17"/>
      <x:c r="S137" s="17"/>
      <x:c r="T137" s="17"/>
      <x:c r="U137" s="17"/>
      <x:c r="V137" s="17"/>
      <x:c r="W137" s="17"/>
      <x:c r="X137" s="17"/>
      <x:c r="Y137" s="17"/>
      <x:c r="Z137" s="17"/>
    </x:row>
    <x:row r="138">
      <x:c r="A138" s="17" t="str">
        <x:v>Claude Instant</x:v>
      </x:c>
      <x:c r="B138" s="17" t="str">
        <x:v>Claude Instant</x:v>
      </x:c>
      <x:c r="C138" s="17" t="n">
        <x:v>45147</x:v>
      </x:c>
      <x:c r="D138" s="17" t="n">
        <x:v>121.11</x:v>
      </x:c>
      <x:c r="E138" s="17" t="n">
        <x:v>113.87</x:v>
      </x:c>
      <x:c r="F138" s="17" t="n">
        <x:v>123.96</x:v>
      </x:c>
      <x:c r="G138" s="17" t="str">
        <x:v>Anthropic</x:v>
      </x:c>
      <x:c r="H138" s="17" t="str">
        <x:v>United States of America</x:v>
      </x:c>
      <x:c r="I138" s="17" t="str">
        <x:v>API access</x:v>
      </x:c>
      <x:c r="J138" s="17" t="str">
        <x:v>Closed weights</x:v>
      </x:c>
      <x:c r="K138" s="17"/>
      <x:c r="L138" s="17"/>
      <x:c r="M138" s="17"/>
      <x:c r="N138" s="17"/>
      <x:c r="O138" s="17"/>
      <x:c r="P138" s="17"/>
      <x:c r="Q138" s="17"/>
      <x:c r="R138" s="17"/>
      <x:c r="S138" s="17"/>
      <x:c r="T138" s="17"/>
      <x:c r="U138" s="17"/>
      <x:c r="V138" s="17"/>
      <x:c r="W138" s="17"/>
      <x:c r="X138" s="17"/>
      <x:c r="Y138" s="17"/>
      <x:c r="Z138" s="17"/>
    </x:row>
    <x:row r="139">
      <x:c r="A139" s="17" t="str">
        <x:v>phi-3-medium 14B</x:v>
      </x:c>
      <x:c r="B139" s="17" t="str">
        <x:v>phi-3-medium 14B</x:v>
      </x:c>
      <x:c r="C139" s="17" t="n">
        <x:v>45405</x:v>
      </x:c>
      <x:c r="D139" s="17" t="n">
        <x:v>121.07</x:v>
      </x:c>
      <x:c r="E139" s="17" t="n">
        <x:v>113.81</x:v>
      </x:c>
      <x:c r="F139" s="17" t="n">
        <x:v>123.74</x:v>
      </x:c>
      <x:c r="G139" s="17" t="str">
        <x:v>Microsoft</x:v>
      </x:c>
      <x:c r="H139" s="17" t="str">
        <x:v>United States of America</x:v>
      </x:c>
      <x:c r="I139" s="17" t="str">
        <x:v>Open weights (unrestricted)</x:v>
      </x:c>
      <x:c r="J139" s="17" t="str">
        <x:v>Open weights</x:v>
      </x:c>
      <x:c r="K139" s="17"/>
      <x:c r="L139" s="17"/>
      <x:c r="M139" s="17"/>
      <x:c r="N139" s="17"/>
      <x:c r="O139" s="17"/>
      <x:c r="P139" s="17"/>
      <x:c r="Q139" s="17"/>
      <x:c r="R139" s="17"/>
      <x:c r="S139" s="17"/>
      <x:c r="T139" s="17"/>
      <x:c r="U139" s="17"/>
      <x:c r="V139" s="17"/>
      <x:c r="W139" s="17"/>
      <x:c r="X139" s="17"/>
      <x:c r="Y139" s="17"/>
      <x:c r="Z139" s="17"/>
    </x:row>
    <x:row r="140">
      <x:c r="A140" s="17" t="str">
        <x:v>Mistral Large</x:v>
      </x:c>
      <x:c r="B140" s="17" t="str">
        <x:v>Mistral Large</x:v>
      </x:c>
      <x:c r="C140" s="17" t="n">
        <x:v>45348</x:v>
      </x:c>
      <x:c r="D140" s="17" t="n">
        <x:v>121.01</x:v>
      </x:c>
      <x:c r="E140" s="17" t="n">
        <x:v>112.49</x:v>
      </x:c>
      <x:c r="F140" s="17" t="n">
        <x:v>123.7</x:v>
      </x:c>
      <x:c r="G140" s="17" t="str">
        <x:v>Mistral AI</x:v>
      </x:c>
      <x:c r="H140" s="17" t="str">
        <x:v>France</x:v>
      </x:c>
      <x:c r="I140" s="17" t="str">
        <x:v>API access</x:v>
      </x:c>
      <x:c r="J140" s="17" t="str">
        <x:v>Closed weights</x:v>
      </x:c>
      <x:c r="K140" s="17"/>
      <x:c r="L140" s="17"/>
      <x:c r="M140" s="17"/>
      <x:c r="N140" s="17"/>
      <x:c r="O140" s="17"/>
      <x:c r="P140" s="17"/>
      <x:c r="Q140" s="17"/>
      <x:c r="R140" s="17"/>
      <x:c r="S140" s="17"/>
      <x:c r="T140" s="17"/>
      <x:c r="U140" s="17"/>
      <x:c r="V140" s="17"/>
      <x:c r="W140" s="17"/>
      <x:c r="X140" s="17"/>
      <x:c r="Y140" s="17"/>
      <x:c r="Z140" s="17"/>
    </x:row>
    <x:row r="141">
      <x:c r="A141" s="17" t="str">
        <x:v>Claude 3 Sonnet</x:v>
      </x:c>
      <x:c r="B141" s="17" t="str">
        <x:v>Claude 3 Sonnet</x:v>
      </x:c>
      <x:c r="C141" s="17" t="n">
        <x:v>45355</x:v>
      </x:c>
      <x:c r="D141" s="17" t="n">
        <x:v>119.9</x:v>
      </x:c>
      <x:c r="E141" s="17" t="n">
        <x:v>111.74</x:v>
      </x:c>
      <x:c r="F141" s="17" t="n">
        <x:v>122.91</x:v>
      </x:c>
      <x:c r="G141" s="17" t="str">
        <x:v>Anthropic</x:v>
      </x:c>
      <x:c r="H141" s="17" t="str">
        <x:v>United States of America</x:v>
      </x:c>
      <x:c r="I141" s="17" t="str">
        <x:v>API access</x:v>
      </x:c>
      <x:c r="J141" s="17" t="str">
        <x:v>Closed weights</x:v>
      </x:c>
      <x:c r="K141" s="17"/>
      <x:c r="L141" s="17"/>
      <x:c r="M141" s="17"/>
      <x:c r="N141" s="17"/>
      <x:c r="O141" s="17"/>
      <x:c r="P141" s="17"/>
      <x:c r="Q141" s="17"/>
      <x:c r="R141" s="17"/>
      <x:c r="S141" s="17"/>
      <x:c r="T141" s="17"/>
      <x:c r="U141" s="17"/>
      <x:c r="V141" s="17"/>
      <x:c r="W141" s="17"/>
      <x:c r="X141" s="17"/>
      <x:c r="Y141" s="17"/>
      <x:c r="Z141" s="17"/>
    </x:row>
    <x:row r="142">
      <x:c r="A142" s="17" t="str">
        <x:v>Claude 2</x:v>
      </x:c>
      <x:c r="B142" s="17" t="str">
        <x:v>Claude 2</x:v>
      </x:c>
      <x:c r="C142" s="17" t="n">
        <x:v>45118</x:v>
      </x:c>
      <x:c r="D142" s="17" t="n">
        <x:v>119.58</x:v>
      </x:c>
      <x:c r="E142" s="17" t="n">
        <x:v>111.5</x:v>
      </x:c>
      <x:c r="F142" s="17" t="n">
        <x:v>124.06</x:v>
      </x:c>
      <x:c r="G142" s="17" t="str">
        <x:v>Anthropic</x:v>
      </x:c>
      <x:c r="H142" s="17" t="str">
        <x:v>United States of America</x:v>
      </x:c>
      <x:c r="I142" s="17" t="str">
        <x:v>API access</x:v>
      </x:c>
      <x:c r="J142" s="17" t="str">
        <x:v>Closed weights</x:v>
      </x:c>
      <x:c r="K142" s="17"/>
      <x:c r="L142" s="17"/>
      <x:c r="M142" s="17"/>
      <x:c r="N142" s="17"/>
      <x:c r="O142" s="17"/>
      <x:c r="P142" s="17"/>
      <x:c r="Q142" s="17"/>
      <x:c r="R142" s="17"/>
      <x:c r="S142" s="17"/>
      <x:c r="T142" s="17"/>
      <x:c r="U142" s="17"/>
      <x:c r="V142" s="17"/>
      <x:c r="W142" s="17"/>
      <x:c r="X142" s="17"/>
      <x:c r="Y142" s="17"/>
      <x:c r="Z142" s="17"/>
    </x:row>
    <x:row r="143">
      <x:c r="A143" s="17" t="str">
        <x:v>Gemma 2 9B</x:v>
      </x:c>
      <x:c r="B143" s="17" t="str">
        <x:v>Gemma 2 9B</x:v>
      </x:c>
      <x:c r="C143" s="17" t="n">
        <x:v>45467</x:v>
      </x:c>
      <x:c r="D143" s="17" t="n">
        <x:v>119.58</x:v>
      </x:c>
      <x:c r="E143" s="17" t="n">
        <x:v>111.3</x:v>
      </x:c>
      <x:c r="F143" s="17" t="n">
        <x:v>122.38</x:v>
      </x:c>
      <x:c r="G143" s="17" t="str">
        <x:v>Google DeepMind</x:v>
      </x:c>
      <x:c r="H143" s="17" t="str">
        <x:v>United States of America</x:v>
      </x:c>
      <x:c r="I143" s="17" t="str">
        <x:v>Open weights (restricted use)</x:v>
      </x:c>
      <x:c r="J143" s="17" t="str">
        <x:v>Open weights</x:v>
      </x:c>
      <x:c r="K143" s="17"/>
      <x:c r="L143" s="17"/>
      <x:c r="M143" s="17"/>
      <x:c r="N143" s="17"/>
      <x:c r="O143" s="17"/>
      <x:c r="P143" s="17"/>
      <x:c r="Q143" s="17"/>
      <x:c r="R143" s="17"/>
      <x:c r="S143" s="17"/>
      <x:c r="T143" s="17"/>
      <x:c r="U143" s="17"/>
      <x:c r="V143" s="17"/>
      <x:c r="W143" s="17"/>
      <x:c r="X143" s="17"/>
      <x:c r="Y143" s="17"/>
      <x:c r="Z143" s="17"/>
    </x:row>
    <x:row r="144">
      <x:c r="A144" s="17" t="str">
        <x:v>Qwen2.5-Coder-32B</x:v>
      </x:c>
      <x:c r="B144" s="17" t="str">
        <x:v>Qwen2.5-Coder-32B</x:v>
      </x:c>
      <x:c r="C144" s="17" t="n">
        <x:v>45553</x:v>
      </x:c>
      <x:c r="D144" s="17" t="n">
        <x:v>119.27</x:v>
      </x:c>
      <x:c r="E144" s="17" t="n">
        <x:v>110.01</x:v>
      </x:c>
      <x:c r="F144" s="17" t="n">
        <x:v>124.64</x:v>
      </x:c>
      <x:c r="G144" s="17" t="str">
        <x:v>Alibaba</x:v>
      </x:c>
      <x:c r="H144" s="17" t="str">
        <x:v>China</x:v>
      </x:c>
      <x:c r="I144" s="17" t="str">
        <x:v>Open weights (unrestricted)</x:v>
      </x:c>
      <x:c r="J144" s="17" t="str">
        <x:v>Open weights</x:v>
      </x:c>
      <x:c r="K144" s="17"/>
      <x:c r="L144" s="17"/>
      <x:c r="M144" s="17"/>
      <x:c r="N144" s="17"/>
      <x:c r="O144" s="17"/>
      <x:c r="P144" s="17"/>
      <x:c r="Q144" s="17"/>
      <x:c r="R144" s="17"/>
      <x:c r="S144" s="17"/>
      <x:c r="T144" s="17"/>
      <x:c r="U144" s="17"/>
      <x:c r="V144" s="17"/>
      <x:c r="W144" s="17"/>
      <x:c r="X144" s="17"/>
      <x:c r="Y144" s="17"/>
      <x:c r="Z144" s="17"/>
    </x:row>
    <x:row r="145">
      <x:c r="A145" s="17" t="str">
        <x:v>Mistral NeMo</x:v>
      </x:c>
      <x:c r="B145" s="17" t="str">
        <x:v>Mistral NeMo</x:v>
      </x:c>
      <x:c r="C145" s="17" t="n">
        <x:v>45491</x:v>
      </x:c>
      <x:c r="D145" s="17" t="n">
        <x:v>118.38</x:v>
      </x:c>
      <x:c r="E145" s="17" t="n">
        <x:v>109.85</x:v>
      </x:c>
      <x:c r="F145" s="17" t="n">
        <x:v>121.76</x:v>
      </x:c>
      <x:c r="G145" s="17" t="str">
        <x:v>Mistral AI</x:v>
      </x:c>
      <x:c r="H145" s="17" t="str">
        <x:v>France</x:v>
      </x:c>
      <x:c r="I145" s="17" t="str">
        <x:v>Open weights (unrestricted)</x:v>
      </x:c>
      <x:c r="J145" s="17" t="str">
        <x:v>Open weights</x:v>
      </x:c>
      <x:c r="K145" s="17"/>
      <x:c r="L145" s="17"/>
      <x:c r="M145" s="17"/>
      <x:c r="N145" s="17"/>
      <x:c r="O145" s="17"/>
      <x:c r="P145" s="17"/>
      <x:c r="Q145" s="17"/>
      <x:c r="R145" s="17"/>
      <x:c r="S145" s="17"/>
      <x:c r="T145" s="17"/>
      <x:c r="U145" s="17"/>
      <x:c r="V145" s="17"/>
      <x:c r="W145" s="17"/>
      <x:c r="X145" s="17"/>
      <x:c r="Y145" s="17"/>
      <x:c r="Z145" s="17"/>
    </x:row>
    <x:row r="146">
      <x:c r="A146" s="17" t="str">
        <x:v>Claude 2.1</x:v>
      </x:c>
      <x:c r="B146" s="17" t="str">
        <x:v>Claude 2.1</x:v>
      </x:c>
      <x:c r="C146" s="17" t="n">
        <x:v>45251</x:v>
      </x:c>
      <x:c r="D146" s="17" t="n">
        <x:v>118.37</x:v>
      </x:c>
      <x:c r="E146" s="17" t="n">
        <x:v>109.82</x:v>
      </x:c>
      <x:c r="F146" s="17" t="n">
        <x:v>120.77</x:v>
      </x:c>
      <x:c r="G146" s="17" t="str">
        <x:v>Anthropic</x:v>
      </x:c>
      <x:c r="H146" s="17" t="str">
        <x:v>United States of America</x:v>
      </x:c>
      <x:c r="I146" s="17" t="str">
        <x:v>API access</x:v>
      </x:c>
      <x:c r="J146" s="17" t="str">
        <x:v>Closed weights</x:v>
      </x:c>
      <x:c r="K146" s="17"/>
      <x:c r="L146" s="17"/>
      <x:c r="M146" s="17"/>
      <x:c r="N146" s="17"/>
      <x:c r="O146" s="17"/>
      <x:c r="P146" s="17"/>
      <x:c r="Q146" s="17"/>
      <x:c r="R146" s="17"/>
      <x:c r="S146" s="17"/>
      <x:c r="T146" s="17"/>
      <x:c r="U146" s="17"/>
      <x:c r="V146" s="17"/>
      <x:c r="W146" s="17"/>
      <x:c r="X146" s="17"/>
      <x:c r="Y146" s="17"/>
      <x:c r="Z146" s="17"/>
    </x:row>
    <x:row r="147">
      <x:c r="A147" s="17" t="str">
        <x:v>GPT-3.5 Turbo (Nov 2023)</x:v>
      </x:c>
      <x:c r="B147" s="17" t="str">
        <x:v>GPT-3.5 Turbo (Nov 2023)</x:v>
      </x:c>
      <x:c r="C147" s="17" t="n">
        <x:v>45090</x:v>
      </x:c>
      <x:c r="D147" s="17" t="n">
        <x:v>118.28</x:v>
      </x:c>
      <x:c r="E147" s="17" t="n">
        <x:v>108.74</x:v>
      </x:c>
      <x:c r="F147" s="17" t="n">
        <x:v>121.51</x:v>
      </x:c>
      <x:c r="G147" s="17" t="str">
        <x:v>OpenAI</x:v>
      </x:c>
      <x:c r="H147" s="17" t="str">
        <x:v>United States of America</x:v>
      </x:c>
      <x:c r="I147" s="17" t="str">
        <x:v>API access</x:v>
      </x:c>
      <x:c r="J147" s="17" t="str">
        <x:v>Closed weights</x:v>
      </x:c>
      <x:c r="K147" s="17"/>
      <x:c r="L147" s="17"/>
      <x:c r="M147" s="17"/>
      <x:c r="N147" s="17"/>
      <x:c r="O147" s="17"/>
      <x:c r="P147" s="17"/>
      <x:c r="Q147" s="17"/>
      <x:c r="R147" s="17"/>
      <x:c r="S147" s="17"/>
      <x:c r="T147" s="17"/>
      <x:c r="U147" s="17"/>
      <x:c r="V147" s="17"/>
      <x:c r="W147" s="17"/>
      <x:c r="X147" s="17"/>
      <x:c r="Y147" s="17"/>
      <x:c r="Z147" s="17"/>
    </x:row>
    <x:row r="148">
      <x:c r="A148" s="17" t="str">
        <x:v>Mixtral 8x7B</x:v>
      </x:c>
      <x:c r="B148" s="17" t="str">
        <x:v>Mixtral 8x7B</x:v>
      </x:c>
      <x:c r="C148" s="17" t="n">
        <x:v>45271</x:v>
      </x:c>
      <x:c r="D148" s="17" t="n">
        <x:v>118.13</x:v>
      </x:c>
      <x:c r="E148" s="17" t="n">
        <x:v>109.36</x:v>
      </x:c>
      <x:c r="F148" s="17" t="n">
        <x:v>120.78</x:v>
      </x:c>
      <x:c r="G148" s="17" t="str">
        <x:v>Mistral AI</x:v>
      </x:c>
      <x:c r="H148" s="17" t="str">
        <x:v>France</x:v>
      </x:c>
      <x:c r="I148" s="17" t="str">
        <x:v>Open weights (unrestricted)</x:v>
      </x:c>
      <x:c r="J148" s="17" t="str">
        <x:v>Open weights</x:v>
      </x:c>
      <x:c r="K148" s="17"/>
      <x:c r="L148" s="17"/>
      <x:c r="M148" s="17"/>
      <x:c r="N148" s="17"/>
      <x:c r="O148" s="17"/>
      <x:c r="P148" s="17"/>
      <x:c r="Q148" s="17"/>
      <x:c r="R148" s="17"/>
      <x:c r="S148" s="17"/>
      <x:c r="T148" s="17"/>
      <x:c r="U148" s="17"/>
      <x:c r="V148" s="17"/>
      <x:c r="W148" s="17"/>
      <x:c r="X148" s="17"/>
      <x:c r="Y148" s="17"/>
      <x:c r="Z148" s="17"/>
    </x:row>
    <x:row r="149">
      <x:c r="A149" s="17" t="str">
        <x:v>Claude 3 Haiku</x:v>
      </x:c>
      <x:c r="B149" s="17" t="str">
        <x:v>Claude 3 Haiku</x:v>
      </x:c>
      <x:c r="C149" s="17" t="n">
        <x:v>45355</x:v>
      </x:c>
      <x:c r="D149" s="17" t="n">
        <x:v>117.64</x:v>
      </x:c>
      <x:c r="E149" s="17" t="n">
        <x:v>108.61</x:v>
      </x:c>
      <x:c r="F149" s="17" t="n">
        <x:v>121.01</x:v>
      </x:c>
      <x:c r="G149" s="17" t="str">
        <x:v>Anthropic</x:v>
      </x:c>
      <x:c r="H149" s="17" t="str">
        <x:v>United States of America</x:v>
      </x:c>
      <x:c r="I149" s="17" t="str">
        <x:v>API access</x:v>
      </x:c>
      <x:c r="J149" s="17" t="str">
        <x:v>Closed weights</x:v>
      </x:c>
      <x:c r="K149" s="17"/>
      <x:c r="L149" s="17"/>
      <x:c r="M149" s="17"/>
      <x:c r="N149" s="17"/>
      <x:c r="O149" s="17"/>
      <x:c r="P149" s="17"/>
      <x:c r="Q149" s="17"/>
      <x:c r="R149" s="17"/>
      <x:c r="S149" s="17"/>
      <x:c r="T149" s="17"/>
      <x:c r="U149" s="17"/>
      <x:c r="V149" s="17"/>
      <x:c r="W149" s="17"/>
      <x:c r="X149" s="17"/>
      <x:c r="Y149" s="17"/>
      <x:c r="Z149" s="17"/>
    </x:row>
    <x:row r="150">
      <x:c r="A150" s="17" t="str">
        <x:v>Yi-34B</x:v>
      </x:c>
      <x:c r="B150" s="17" t="str">
        <x:v>Yi-34B</x:v>
      </x:c>
      <x:c r="C150" s="17" t="n">
        <x:v>45232</x:v>
      </x:c>
      <x:c r="D150" s="17" t="n">
        <x:v>117.14</x:v>
      </x:c>
      <x:c r="E150" s="17" t="n">
        <x:v>109.02</x:v>
      </x:c>
      <x:c r="F150" s="17" t="n">
        <x:v>120.55</x:v>
      </x:c>
      <x:c r="G150" s="17" t="str">
        <x:v>01.AI</x:v>
      </x:c>
      <x:c r="H150" s="17" t="str">
        <x:v>China</x:v>
      </x:c>
      <x:c r="I150" s="17" t="str">
        <x:v>Open weights (restricted use)</x:v>
      </x:c>
      <x:c r="J150" s="17" t="str">
        <x:v>Open weights</x:v>
      </x:c>
      <x:c r="K150" s="17"/>
      <x:c r="L150" s="17"/>
      <x:c r="M150" s="17"/>
      <x:c r="N150" s="17"/>
      <x:c r="O150" s="17"/>
      <x:c r="P150" s="17"/>
      <x:c r="Q150" s="17"/>
      <x:c r="R150" s="17"/>
      <x:c r="S150" s="17"/>
      <x:c r="T150" s="17"/>
      <x:c r="U150" s="17"/>
      <x:c r="V150" s="17"/>
      <x:c r="W150" s="17"/>
      <x:c r="X150" s="17"/>
      <x:c r="Y150" s="17"/>
      <x:c r="Z150" s="17"/>
    </x:row>
    <x:row r="151">
      <x:c r="A151" s="17" t="str">
        <x:v>phi-3-mini 3.8B</x:v>
      </x:c>
      <x:c r="B151" s="17" t="str">
        <x:v>phi-3-mini 3.8B</x:v>
      </x:c>
      <x:c r="C151" s="17" t="n">
        <x:v>45405</x:v>
      </x:c>
      <x:c r="D151" s="17" t="n">
        <x:v>117.14</x:v>
      </x:c>
      <x:c r="E151" s="17" t="n">
        <x:v>107.43</x:v>
      </x:c>
      <x:c r="F151" s="17" t="n">
        <x:v>120.17</x:v>
      </x:c>
      <x:c r="G151" s="17" t="str">
        <x:v>Microsoft</x:v>
      </x:c>
      <x:c r="H151" s="17" t="str">
        <x:v>United States of America</x:v>
      </x:c>
      <x:c r="I151" s="17" t="str">
        <x:v>Open weights (unrestricted)</x:v>
      </x:c>
      <x:c r="J151" s="17" t="str">
        <x:v>Open weights</x:v>
      </x:c>
      <x:c r="K151" s="17"/>
      <x:c r="L151" s="17"/>
      <x:c r="M151" s="17"/>
      <x:c r="N151" s="17"/>
      <x:c r="O151" s="17"/>
      <x:c r="P151" s="17"/>
      <x:c r="Q151" s="17"/>
      <x:c r="R151" s="17"/>
      <x:c r="S151" s="17"/>
      <x:c r="T151" s="17"/>
      <x:c r="U151" s="17"/>
      <x:c r="V151" s="17"/>
      <x:c r="W151" s="17"/>
      <x:c r="X151" s="17"/>
      <x:c r="Y151" s="17"/>
      <x:c r="Z151" s="17"/>
    </x:row>
    <x:row r="152">
      <x:c r="A152" s="17" t="str">
        <x:v>Gemini 1.0 Pro</x:v>
      </x:c>
      <x:c r="B152" s="17" t="str">
        <x:v>Gemini 1.0 Pro</x:v>
      </x:c>
      <x:c r="C152" s="17" t="n">
        <x:v>45266</x:v>
      </x:c>
      <x:c r="D152" s="17" t="n">
        <x:v>117</x:v>
      </x:c>
      <x:c r="E152" s="17" t="n">
        <x:v>108.79</x:v>
      </x:c>
      <x:c r="F152" s="17" t="n">
        <x:v>119.86</x:v>
      </x:c>
      <x:c r="G152" s="17" t="str">
        <x:v>Google DeepMind</x:v>
      </x:c>
      <x:c r="H152" s="17" t="str">
        <x:v>United States of America</x:v>
      </x:c>
      <x:c r="I152" s="17" t="str">
        <x:v>API access</x:v>
      </x:c>
      <x:c r="J152" s="17" t="str">
        <x:v>Closed weights</x:v>
      </x:c>
      <x:c r="K152" s="17"/>
      <x:c r="L152" s="17"/>
      <x:c r="M152" s="17"/>
      <x:c r="N152" s="17"/>
      <x:c r="O152" s="17"/>
      <x:c r="P152" s="17"/>
      <x:c r="Q152" s="17"/>
      <x:c r="R152" s="17"/>
      <x:c r="S152" s="17"/>
      <x:c r="T152" s="17"/>
      <x:c r="U152" s="17"/>
      <x:c r="V152" s="17"/>
      <x:c r="W152" s="17"/>
      <x:c r="X152" s="17"/>
      <x:c r="Y152" s="17"/>
      <x:c r="Z152" s="17"/>
    </x:row>
    <x:row r="153">
      <x:c r="A153" s="17" t="str">
        <x:v>Stable Beluga 2</x:v>
      </x:c>
      <x:c r="B153" s="17" t="str">
        <x:v>Stable Beluga 2</x:v>
      </x:c>
      <x:c r="C153" s="17" t="n">
        <x:v>45127</x:v>
      </x:c>
      <x:c r="D153" s="17" t="n">
        <x:v>116.91</x:v>
      </x:c>
      <x:c r="E153" s="17" t="n">
        <x:v>107.97</x:v>
      </x:c>
      <x:c r="F153" s="17" t="n">
        <x:v>120.27</x:v>
      </x:c>
      <x:c r="G153" s="17" t="str">
        <x:v>Stability AI</x:v>
      </x:c>
      <x:c r="H153" s="17" t="str">
        <x:v>United Kingdom of Great Britain and Northern Ireland</x:v>
      </x:c>
      <x:c r="I153" s="17" t="str">
        <x:v>Open weights (non-commercial)</x:v>
      </x:c>
      <x:c r="J153" s="17" t="str">
        <x:v>Open weights</x:v>
      </x:c>
      <x:c r="K153" s="17"/>
      <x:c r="L153" s="17"/>
      <x:c r="M153" s="17"/>
      <x:c r="N153" s="17"/>
      <x:c r="O153" s="17"/>
      <x:c r="P153" s="17"/>
      <x:c r="Q153" s="17"/>
      <x:c r="R153" s="17"/>
      <x:c r="S153" s="17"/>
      <x:c r="T153" s="17"/>
      <x:c r="U153" s="17"/>
      <x:c r="V153" s="17"/>
      <x:c r="W153" s="17"/>
      <x:c r="X153" s="17"/>
      <x:c r="Y153" s="17"/>
      <x:c r="Z153" s="17"/>
    </x:row>
    <x:row r="154">
      <x:c r="A154" s="17" t="str">
        <x:v>Llama 3-8B</x:v>
      </x:c>
      <x:c r="B154" s="17" t="str">
        <x:v>Llama 3-8B</x:v>
      </x:c>
      <x:c r="C154" s="17" t="n">
        <x:v>45400</x:v>
      </x:c>
      <x:c r="D154" s="17" t="n">
        <x:v>116.43</x:v>
      </x:c>
      <x:c r="E154" s="17" t="n">
        <x:v>107.42</x:v>
      </x:c>
      <x:c r="F154" s="17" t="n">
        <x:v>119.25</x:v>
      </x:c>
      <x:c r="G154" s="17" t="str">
        <x:v>Meta AI</x:v>
      </x:c>
      <x:c r="H154" s="17" t="str">
        <x:v>United States of America</x:v>
      </x:c>
      <x:c r="I154" s="17" t="str">
        <x:v>Open weights (restricted use)</x:v>
      </x:c>
      <x:c r="J154" s="17" t="str">
        <x:v>Open weights</x:v>
      </x:c>
      <x:c r="K154" s="17"/>
      <x:c r="L154" s="17"/>
      <x:c r="M154" s="17"/>
      <x:c r="N154" s="17"/>
      <x:c r="O154" s="17"/>
      <x:c r="P154" s="17"/>
      <x:c r="Q154" s="17"/>
      <x:c r="R154" s="17"/>
      <x:c r="S154" s="17"/>
      <x:c r="T154" s="17"/>
      <x:c r="U154" s="17"/>
      <x:c r="V154" s="17"/>
      <x:c r="W154" s="17"/>
      <x:c r="X154" s="17"/>
      <x:c r="Y154" s="17"/>
      <x:c r="Z154" s="17"/>
    </x:row>
    <x:row r="155">
      <x:c r="A155" s="17" t="str">
        <x:v>Qwen2.5-Coder-14B</x:v>
      </x:c>
      <x:c r="B155" s="17" t="str">
        <x:v>Qwen2.5-Coder-14B</x:v>
      </x:c>
      <x:c r="C155" s="17" t="n">
        <x:v>45553</x:v>
      </x:c>
      <x:c r="D155" s="17" t="n">
        <x:v>116.18</x:v>
      </x:c>
      <x:c r="E155" s="17" t="n">
        <x:v>106.11</x:v>
      </x:c>
      <x:c r="F155" s="17" t="n">
        <x:v>122.03</x:v>
      </x:c>
      <x:c r="G155" s="17"/>
      <x:c r="H155" s="17"/>
      <x:c r="I155" s="17" t="str">
        <x:v>Unknown</x:v>
      </x:c>
      <x:c r="J155" s="17" t="str">
        <x:v>Other</x:v>
      </x:c>
      <x:c r="K155" s="17"/>
      <x:c r="L155" s="17"/>
      <x:c r="M155" s="17"/>
      <x:c r="N155" s="17"/>
      <x:c r="O155" s="17"/>
      <x:c r="P155" s="17"/>
      <x:c r="Q155" s="17"/>
      <x:c r="R155" s="17"/>
      <x:c r="S155" s="17"/>
      <x:c r="T155" s="17"/>
      <x:c r="U155" s="17"/>
      <x:c r="V155" s="17"/>
      <x:c r="W155" s="17"/>
      <x:c r="X155" s="17"/>
      <x:c r="Y155" s="17"/>
      <x:c r="Z155" s="17"/>
    </x:row>
    <x:row r="156">
      <x:c r="A156" s="17" t="str">
        <x:v>Llama 3.1-8B</x:v>
      </x:c>
      <x:c r="B156" s="17" t="str">
        <x:v>Llama 3.1-8B</x:v>
      </x:c>
      <x:c r="C156" s="17" t="n">
        <x:v>45496</x:v>
      </x:c>
      <x:c r="D156" s="17" t="n">
        <x:v>115.45</x:v>
      </x:c>
      <x:c r="E156" s="17" t="n">
        <x:v>103.85</x:v>
      </x:c>
      <x:c r="F156" s="17" t="n">
        <x:v>121.29</x:v>
      </x:c>
      <x:c r="G156" s="17" t="str">
        <x:v>Meta AI</x:v>
      </x:c>
      <x:c r="H156" s="17" t="str">
        <x:v>United States of America</x:v>
      </x:c>
      <x:c r="I156" s="17" t="str">
        <x:v>Open weights (restricted use)</x:v>
      </x:c>
      <x:c r="J156" s="17" t="str">
        <x:v>Open weights</x:v>
      </x:c>
      <x:c r="K156" s="17"/>
      <x:c r="L156" s="17"/>
      <x:c r="M156" s="17"/>
      <x:c r="N156" s="17"/>
      <x:c r="O156" s="17"/>
      <x:c r="P156" s="17"/>
      <x:c r="Q156" s="17"/>
      <x:c r="R156" s="17"/>
      <x:c r="S156" s="17"/>
      <x:c r="T156" s="17"/>
      <x:c r="U156" s="17"/>
      <x:c r="V156" s="17"/>
      <x:c r="W156" s="17"/>
      <x:c r="X156" s="17"/>
      <x:c r="Y156" s="17"/>
      <x:c r="Z156" s="17"/>
    </x:row>
    <x:row r="157">
      <x:c r="A157" s="17" t="str">
        <x:v>PaLM 2-L</x:v>
      </x:c>
      <x:c r="B157" s="17" t="str">
        <x:v>PaLM 2-L</x:v>
      </x:c>
      <x:c r="C157" s="17" t="n">
        <x:v>45063</x:v>
      </x:c>
      <x:c r="D157" s="17" t="n">
        <x:v>114.86</x:v>
      </x:c>
      <x:c r="E157" s="17" t="n">
        <x:v>107.01</x:v>
      </x:c>
      <x:c r="F157" s="17" t="n">
        <x:v>128.51</x:v>
      </x:c>
      <x:c r="G157" s="17"/>
      <x:c r="H157" s="17"/>
      <x:c r="I157" s="17" t="str">
        <x:v>Unknown</x:v>
      </x:c>
      <x:c r="J157" s="17" t="str">
        <x:v>Other</x:v>
      </x:c>
      <x:c r="K157" s="17"/>
      <x:c r="L157" s="17"/>
      <x:c r="M157" s="17"/>
      <x:c r="N157" s="17"/>
      <x:c r="O157" s="17"/>
      <x:c r="P157" s="17"/>
      <x:c r="Q157" s="17"/>
      <x:c r="R157" s="17"/>
      <x:c r="S157" s="17"/>
      <x:c r="T157" s="17"/>
      <x:c r="U157" s="17"/>
      <x:c r="V157" s="17"/>
      <x:c r="W157" s="17"/>
      <x:c r="X157" s="17"/>
      <x:c r="Y157" s="17"/>
      <x:c r="Z157" s="17"/>
    </x:row>
    <x:row r="158">
      <x:c r="A158" s="17" t="str">
        <x:v>GPT-3.5 Turbo (Jan 2024)</x:v>
      </x:c>
      <x:c r="B158" s="17" t="str">
        <x:v>GPT-3.5 Turbo (Jan 2024)</x:v>
      </x:c>
      <x:c r="C158" s="17" t="n">
        <x:v>45090</x:v>
      </x:c>
      <x:c r="D158" s="17" t="n">
        <x:v>114.42</x:v>
      </x:c>
      <x:c r="E158" s="17" t="n">
        <x:v>104.52</x:v>
      </x:c>
      <x:c r="F158" s="17" t="n">
        <x:v>117.76</x:v>
      </x:c>
      <x:c r="G158" s="17" t="str">
        <x:v>OpenAI</x:v>
      </x:c>
      <x:c r="H158" s="17" t="str">
        <x:v>United States of America</x:v>
      </x:c>
      <x:c r="I158" s="17" t="str">
        <x:v>API access</x:v>
      </x:c>
      <x:c r="J158" s="17" t="str">
        <x:v>Closed weights</x:v>
      </x:c>
      <x:c r="K158" s="17"/>
      <x:c r="L158" s="17"/>
      <x:c r="M158" s="17"/>
      <x:c r="N158" s="17"/>
      <x:c r="O158" s="17"/>
      <x:c r="P158" s="17"/>
      <x:c r="Q158" s="17"/>
      <x:c r="R158" s="17"/>
      <x:c r="S158" s="17"/>
      <x:c r="T158" s="17"/>
      <x:c r="U158" s="17"/>
      <x:c r="V158" s="17"/>
      <x:c r="W158" s="17"/>
      <x:c r="X158" s="17"/>
      <x:c r="Y158" s="17"/>
      <x:c r="Z158" s="17"/>
    </x:row>
    <x:row r="159">
      <x:c r="A159" s="17" t="str">
        <x:v>Llama 2-70B</x:v>
      </x:c>
      <x:c r="B159" s="17" t="str">
        <x:v>Llama 2-70B</x:v>
      </x:c>
      <x:c r="C159" s="17" t="n">
        <x:v>45125</x:v>
      </x:c>
      <x:c r="D159" s="17" t="n">
        <x:v>113.72</x:v>
      </x:c>
      <x:c r="E159" s="17" t="n">
        <x:v>104.07</x:v>
      </x:c>
      <x:c r="F159" s="17" t="n">
        <x:v>117.82</x:v>
      </x:c>
      <x:c r="G159" s="17" t="str">
        <x:v>Meta AI</x:v>
      </x:c>
      <x:c r="H159" s="17" t="str">
        <x:v>United States of America</x:v>
      </x:c>
      <x:c r="I159" s="17" t="str">
        <x:v>Open weights (restricted use)</x:v>
      </x:c>
      <x:c r="J159" s="17" t="str">
        <x:v>Open weights</x:v>
      </x:c>
      <x:c r="K159" s="17"/>
      <x:c r="L159" s="17"/>
      <x:c r="M159" s="17"/>
      <x:c r="N159" s="17"/>
      <x:c r="O159" s="17"/>
      <x:c r="P159" s="17"/>
      <x:c r="Q159" s="17"/>
      <x:c r="R159" s="17"/>
      <x:c r="S159" s="17"/>
      <x:c r="T159" s="17"/>
      <x:c r="U159" s="17"/>
      <x:c r="V159" s="17"/>
      <x:c r="W159" s="17"/>
      <x:c r="X159" s="17"/>
      <x:c r="Y159" s="17"/>
      <x:c r="Z159" s="17"/>
    </x:row>
    <x:row r="160">
      <x:c r="A160" s="17" t="str">
        <x:v>GPT-3.5 Turbo (Jun 2023)</x:v>
      </x:c>
      <x:c r="B160" s="17" t="str">
        <x:v>GPT-3.5 Turbo (Jun 2023)</x:v>
      </x:c>
      <x:c r="C160" s="17" t="n">
        <x:v>45090</x:v>
      </x:c>
      <x:c r="D160" s="17" t="n">
        <x:v>113.13</x:v>
      </x:c>
      <x:c r="E160" s="17" t="n">
        <x:v>104.69</x:v>
      </x:c>
      <x:c r="F160" s="17" t="n">
        <x:v>118.18</x:v>
      </x:c>
      <x:c r="G160" s="17" t="str">
        <x:v>OpenAI</x:v>
      </x:c>
      <x:c r="H160" s="17" t="str">
        <x:v>United States of America</x:v>
      </x:c>
      <x:c r="I160" s="17" t="str">
        <x:v>API access</x:v>
      </x:c>
      <x:c r="J160" s="17" t="str">
        <x:v>Closed weights</x:v>
      </x:c>
      <x:c r="K160" s="17"/>
      <x:c r="L160" s="17"/>
      <x:c r="M160" s="17"/>
      <x:c r="N160" s="17"/>
      <x:c r="O160" s="17"/>
      <x:c r="P160" s="17"/>
      <x:c r="Q160" s="17"/>
      <x:c r="R160" s="17"/>
      <x:c r="S160" s="17"/>
      <x:c r="T160" s="17"/>
      <x:c r="U160" s="17"/>
      <x:c r="V160" s="17"/>
      <x:c r="W160" s="17"/>
      <x:c r="X160" s="17"/>
      <x:c r="Y160" s="17"/>
      <x:c r="Z160" s="17"/>
    </x:row>
    <x:row r="161">
      <x:c r="A161" s="17" t="str">
        <x:v>Qwen2.5-Coder (7B)</x:v>
      </x:c>
      <x:c r="B161" s="17" t="str">
        <x:v>Qwen2.5-Coder (7B)</x:v>
      </x:c>
      <x:c r="C161" s="17" t="n">
        <x:v>45553</x:v>
      </x:c>
      <x:c r="D161" s="17" t="n">
        <x:v>112.91</x:v>
      </x:c>
      <x:c r="E161" s="17" t="n">
        <x:v>102.1</x:v>
      </x:c>
      <x:c r="F161" s="17" t="n">
        <x:v>118.64</x:v>
      </x:c>
      <x:c r="G161" s="17" t="str">
        <x:v>Alibaba</x:v>
      </x:c>
      <x:c r="H161" s="17" t="str">
        <x:v>China</x:v>
      </x:c>
      <x:c r="I161" s="17" t="str">
        <x:v>Open weights (unrestricted)</x:v>
      </x:c>
      <x:c r="J161" s="17" t="str">
        <x:v>Open weights</x:v>
      </x:c>
      <x:c r="K161" s="17"/>
      <x:c r="L161" s="17"/>
      <x:c r="M161" s="17"/>
      <x:c r="N161" s="17"/>
      <x:c r="O161" s="17"/>
      <x:c r="P161" s="17"/>
      <x:c r="Q161" s="17"/>
      <x:c r="R161" s="17"/>
      <x:c r="S161" s="17"/>
      <x:c r="T161" s="17"/>
      <x:c r="U161" s="17"/>
      <x:c r="V161" s="17"/>
      <x:c r="W161" s="17"/>
      <x:c r="X161" s="17"/>
      <x:c r="Y161" s="17"/>
      <x:c r="Z161" s="17"/>
    </x:row>
    <x:row r="162">
      <x:c r="A162" s="17" t="str">
        <x:v>Qwen-14B</x:v>
      </x:c>
      <x:c r="B162" s="17" t="str">
        <x:v>Qwen-14B</x:v>
      </x:c>
      <x:c r="C162" s="17" t="n">
        <x:v>45193</x:v>
      </x:c>
      <x:c r="D162" s="17" t="n">
        <x:v>112.8</x:v>
      </x:c>
      <x:c r="E162" s="17" t="n">
        <x:v>103.39</x:v>
      </x:c>
      <x:c r="F162" s="17" t="n">
        <x:v>117.54</x:v>
      </x:c>
      <x:c r="G162" s="17" t="str">
        <x:v>Alibaba</x:v>
      </x:c>
      <x:c r="H162" s="17" t="str">
        <x:v>China</x:v>
      </x:c>
      <x:c r="I162" s="17" t="str">
        <x:v>Open weights (restricted use)</x:v>
      </x:c>
      <x:c r="J162" s="17" t="str">
        <x:v>Open weights</x:v>
      </x:c>
      <x:c r="K162" s="17"/>
      <x:c r="L162" s="17"/>
      <x:c r="M162" s="17"/>
      <x:c r="N162" s="17"/>
      <x:c r="O162" s="17"/>
      <x:c r="P162" s="17"/>
      <x:c r="Q162" s="17"/>
      <x:c r="R162" s="17"/>
      <x:c r="S162" s="17"/>
      <x:c r="T162" s="17"/>
      <x:c r="U162" s="17"/>
      <x:c r="V162" s="17"/>
      <x:c r="W162" s="17"/>
      <x:c r="X162" s="17"/>
      <x:c r="Y162" s="17"/>
      <x:c r="Z162" s="17"/>
    </x:row>
    <x:row r="163">
      <x:c r="A163" s="17" t="str">
        <x:v>Mistral 7B v0.1</x:v>
      </x:c>
      <x:c r="B163" s="17" t="str">
        <x:v>Mistral 7B v0.1</x:v>
      </x:c>
      <x:c r="C163" s="17" t="n">
        <x:v>45209</x:v>
      </x:c>
      <x:c r="D163" s="17" t="n">
        <x:v>111.98</x:v>
      </x:c>
      <x:c r="E163" s="17" t="n">
        <x:v>102.38</x:v>
      </x:c>
      <x:c r="F163" s="17" t="n">
        <x:v>115.99</x:v>
      </x:c>
      <x:c r="G163" s="17" t="str">
        <x:v>Mistral AI</x:v>
      </x:c>
      <x:c r="H163" s="17" t="str">
        <x:v>France</x:v>
      </x:c>
      <x:c r="I163" s="17" t="str">
        <x:v>Open weights (unrestricted)</x:v>
      </x:c>
      <x:c r="J163" s="17" t="str">
        <x:v>Open weights</x:v>
      </x:c>
      <x:c r="K163" s="17"/>
      <x:c r="L163" s="17"/>
      <x:c r="M163" s="17"/>
      <x:c r="N163" s="17"/>
      <x:c r="O163" s="17"/>
      <x:c r="P163" s="17"/>
      <x:c r="Q163" s="17"/>
      <x:c r="R163" s="17"/>
      <x:c r="S163" s="17"/>
      <x:c r="T163" s="17"/>
      <x:c r="U163" s="17"/>
      <x:c r="V163" s="17"/>
      <x:c r="W163" s="17"/>
      <x:c r="X163" s="17"/>
      <x:c r="Y163" s="17"/>
      <x:c r="Z163" s="17"/>
    </x:row>
    <x:row r="164">
      <x:c r="A164" s="17" t="str">
        <x:v>Falcon-180B</x:v>
      </x:c>
      <x:c r="B164" s="17" t="str">
        <x:v>Falcon-180B</x:v>
      </x:c>
      <x:c r="C164" s="17" t="n">
        <x:v>45175</x:v>
      </x:c>
      <x:c r="D164" s="17" t="n">
        <x:v>111.92</x:v>
      </x:c>
      <x:c r="E164" s="17" t="n">
        <x:v>102.04</x:v>
      </x:c>
      <x:c r="F164" s="17" t="n">
        <x:v>119.45</x:v>
      </x:c>
      <x:c r="G164" s="17" t="str">
        <x:v>Technology Innovation Institute</x:v>
      </x:c>
      <x:c r="H164" s="17" t="str">
        <x:v>United Arab Emirates</x:v>
      </x:c>
      <x:c r="I164" s="17" t="str">
        <x:v>Open weights (restricted use)</x:v>
      </x:c>
      <x:c r="J164" s="17" t="str">
        <x:v>Open weights</x:v>
      </x:c>
      <x:c r="K164" s="17"/>
      <x:c r="L164" s="17"/>
      <x:c r="M164" s="17"/>
      <x:c r="N164" s="17"/>
      <x:c r="O164" s="17"/>
      <x:c r="P164" s="17"/>
      <x:c r="Q164" s="17"/>
      <x:c r="R164" s="17"/>
      <x:c r="S164" s="17"/>
      <x:c r="T164" s="17"/>
      <x:c r="U164" s="17"/>
      <x:c r="V164" s="17"/>
      <x:c r="W164" s="17"/>
      <x:c r="X164" s="17"/>
      <x:c r="Y164" s="17"/>
      <x:c r="Z164" s="17"/>
    </x:row>
    <x:row r="165">
      <x:c r="A165" s="17" t="str">
        <x:v>internlm-20b</x:v>
      </x:c>
      <x:c r="B165" s="17" t="str">
        <x:v>internlm-20b</x:v>
      </x:c>
      <x:c r="C165" s="17" t="n">
        <x:v>45187</x:v>
      </x:c>
      <x:c r="D165" s="17" t="n">
        <x:v>111.86</x:v>
      </x:c>
      <x:c r="E165" s="17" t="n">
        <x:v>101.31</x:v>
      </x:c>
      <x:c r="F165" s="17" t="n">
        <x:v>116.95</x:v>
      </x:c>
      <x:c r="G165" s="17"/>
      <x:c r="H165" s="17"/>
      <x:c r="I165" s="17" t="str">
        <x:v>Unknown</x:v>
      </x:c>
      <x:c r="J165" s="17" t="str">
        <x:v>Other</x:v>
      </x:c>
      <x:c r="K165" s="17"/>
      <x:c r="L165" s="17"/>
      <x:c r="M165" s="17"/>
      <x:c r="N165" s="17"/>
      <x:c r="O165" s="17"/>
      <x:c r="P165" s="17"/>
      <x:c r="Q165" s="17"/>
      <x:c r="R165" s="17"/>
      <x:c r="S165" s="17"/>
      <x:c r="T165" s="17"/>
      <x:c r="U165" s="17"/>
      <x:c r="V165" s="17"/>
      <x:c r="W165" s="17"/>
      <x:c r="X165" s="17"/>
      <x:c r="Y165" s="17"/>
      <x:c r="Z165" s="17"/>
    </x:row>
    <x:row r="166">
      <x:c r="A166" s="17" t="str">
        <x:v>Gemma 7B</x:v>
      </x:c>
      <x:c r="B166" s="17" t="str">
        <x:v>Gemma 7B</x:v>
      </x:c>
      <x:c r="C166" s="17" t="n">
        <x:v>45343</x:v>
      </x:c>
      <x:c r="D166" s="17" t="n">
        <x:v>111.76</x:v>
      </x:c>
      <x:c r="E166" s="17" t="n">
        <x:v>103.06</x:v>
      </x:c>
      <x:c r="F166" s="17" t="n">
        <x:v>116.41</x:v>
      </x:c>
      <x:c r="G166" s="17" t="str">
        <x:v>Google DeepMind</x:v>
      </x:c>
      <x:c r="H166" s="17" t="str">
        <x:v>United States of America</x:v>
      </x:c>
      <x:c r="I166" s="17" t="str">
        <x:v>Open weights (restricted use)</x:v>
      </x:c>
      <x:c r="J166" s="17" t="str">
        <x:v>Open weights</x:v>
      </x:c>
      <x:c r="K166" s="17"/>
      <x:c r="L166" s="17"/>
      <x:c r="M166" s="17"/>
      <x:c r="N166" s="17"/>
      <x:c r="O166" s="17"/>
      <x:c r="P166" s="17"/>
      <x:c r="Q166" s="17"/>
      <x:c r="R166" s="17"/>
      <x:c r="S166" s="17"/>
      <x:c r="T166" s="17"/>
      <x:c r="U166" s="17"/>
      <x:c r="V166" s="17"/>
      <x:c r="W166" s="17"/>
      <x:c r="X166" s="17"/>
      <x:c r="Y166" s="17"/>
      <x:c r="Z166" s="17"/>
    </x:row>
    <x:row r="167">
      <x:c r="A167" s="17" t="str">
        <x:v>LLaMA-65B</x:v>
      </x:c>
      <x:c r="B167" s="17" t="str">
        <x:v>LLaMA-65B</x:v>
      </x:c>
      <x:c r="C167" s="17" t="n">
        <x:v>44981</x:v>
      </x:c>
      <x:c r="D167" s="17" t="n">
        <x:v>109.93</x:v>
      </x:c>
      <x:c r="E167" s="17" t="n">
        <x:v>100.46</x:v>
      </x:c>
      <x:c r="F167" s="17" t="n">
        <x:v>114.37</x:v>
      </x:c>
      <x:c r="G167" s="17" t="str">
        <x:v>Meta AI</x:v>
      </x:c>
      <x:c r="H167" s="17" t="str">
        <x:v>United States of America</x:v>
      </x:c>
      <x:c r="I167" s="17" t="str">
        <x:v>Open weights (non-commercial)</x:v>
      </x:c>
      <x:c r="J167" s="17" t="str">
        <x:v>Open weights</x:v>
      </x:c>
      <x:c r="K167" s="17"/>
      <x:c r="L167" s="17"/>
      <x:c r="M167" s="17"/>
      <x:c r="N167" s="17"/>
      <x:c r="O167" s="17"/>
      <x:c r="P167" s="17"/>
      <x:c r="Q167" s="17"/>
      <x:c r="R167" s="17"/>
      <x:c r="S167" s="17"/>
      <x:c r="T167" s="17"/>
      <x:c r="U167" s="17"/>
      <x:c r="V167" s="17"/>
      <x:c r="W167" s="17"/>
      <x:c r="X167" s="17"/>
      <x:c r="Y167" s="17"/>
      <x:c r="Z167" s="17"/>
    </x:row>
    <x:row r="168">
      <x:c r="A168" s="17" t="str">
        <x:v>Falcon 2 11B</x:v>
      </x:c>
      <x:c r="B168" s="17" t="str">
        <x:v>Falcon 2 11B</x:v>
      </x:c>
      <x:c r="C168" s="17" t="n">
        <x:v>45421</x:v>
      </x:c>
      <x:c r="D168" s="17" t="n">
        <x:v>109.3</x:v>
      </x:c>
      <x:c r="E168" s="17" t="n">
        <x:v>99.71</x:v>
      </x:c>
      <x:c r="F168" s="17" t="n">
        <x:v>115.81</x:v>
      </x:c>
      <x:c r="G168" s="17" t="str">
        <x:v>Technology Innovation Institute</x:v>
      </x:c>
      <x:c r="H168" s="17" t="str">
        <x:v>United Arab Emirates</x:v>
      </x:c>
      <x:c r="I168" s="17" t="str">
        <x:v>Open weights (restricted use)</x:v>
      </x:c>
      <x:c r="J168" s="17" t="str">
        <x:v>Open weights</x:v>
      </x:c>
      <x:c r="K168" s="17"/>
      <x:c r="L168" s="17"/>
      <x:c r="M168" s="17"/>
      <x:c r="N168" s="17"/>
      <x:c r="O168" s="17"/>
      <x:c r="P168" s="17"/>
      <x:c r="Q168" s="17"/>
      <x:c r="R168" s="17"/>
      <x:c r="S168" s="17"/>
      <x:c r="T168" s="17"/>
      <x:c r="U168" s="17"/>
      <x:c r="V168" s="17"/>
      <x:c r="W168" s="17"/>
      <x:c r="X168" s="17"/>
      <x:c r="Y168" s="17"/>
      <x:c r="Z168" s="17"/>
    </x:row>
    <x:row r="169">
      <x:c r="A169" s="17" t="str">
        <x:v>DeepSeek-Coder-V2-Lite-Base</x:v>
      </x:c>
      <x:c r="B169" s="17" t="str">
        <x:v>DeepSeek-Coder-V2-Lite-Base</x:v>
      </x:c>
      <x:c r="C169" s="17" t="n">
        <x:v>45456</x:v>
      </x:c>
      <x:c r="D169" s="17" t="n">
        <x:v>108.64</x:v>
      </x:c>
      <x:c r="E169" s="17" t="n">
        <x:v>98.31</x:v>
      </x:c>
      <x:c r="F169" s="17" t="n">
        <x:v>113.9</x:v>
      </x:c>
      <x:c r="G169" s="17"/>
      <x:c r="H169" s="17"/>
      <x:c r="I169" s="17" t="str">
        <x:v>Unknown</x:v>
      </x:c>
      <x:c r="J169" s="17" t="str">
        <x:v>Other</x:v>
      </x:c>
      <x:c r="K169" s="17"/>
      <x:c r="L169" s="17"/>
      <x:c r="M169" s="17"/>
      <x:c r="N169" s="17"/>
      <x:c r="O169" s="17"/>
      <x:c r="P169" s="17"/>
      <x:c r="Q169" s="17"/>
      <x:c r="R169" s="17"/>
      <x:c r="S169" s="17"/>
      <x:c r="T169" s="17"/>
      <x:c r="U169" s="17"/>
      <x:c r="V169" s="17"/>
      <x:c r="W169" s="17"/>
      <x:c r="X169" s="17"/>
      <x:c r="Y169" s="17"/>
      <x:c r="Z169" s="17"/>
    </x:row>
    <x:row r="170">
      <x:c r="A170" s="17" t="str">
        <x:v>PaLM 2-M</x:v>
      </x:c>
      <x:c r="B170" s="17" t="str">
        <x:v>PaLM 2-M</x:v>
      </x:c>
      <x:c r="C170" s="17" t="n">
        <x:v>45063</x:v>
      </x:c>
      <x:c r="D170" s="17" t="n">
        <x:v>108.09</x:v>
      </x:c>
      <x:c r="E170" s="17" t="n">
        <x:v>99.04</x:v>
      </x:c>
      <x:c r="F170" s="17" t="n">
        <x:v>119.05</x:v>
      </x:c>
      <x:c r="G170" s="17"/>
      <x:c r="H170" s="17"/>
      <x:c r="I170" s="17" t="str">
        <x:v>Unknown</x:v>
      </x:c>
      <x:c r="J170" s="17" t="str">
        <x:v>Other</x:v>
      </x:c>
      <x:c r="K170" s="17"/>
      <x:c r="L170" s="17"/>
      <x:c r="M170" s="17"/>
      <x:c r="N170" s="17"/>
      <x:c r="O170" s="17"/>
      <x:c r="P170" s="17"/>
      <x:c r="Q170" s="17"/>
      <x:c r="R170" s="17"/>
      <x:c r="S170" s="17"/>
      <x:c r="T170" s="17"/>
      <x:c r="U170" s="17"/>
      <x:c r="V170" s="17"/>
      <x:c r="W170" s="17"/>
      <x:c r="X170" s="17"/>
      <x:c r="Y170" s="17"/>
      <x:c r="Z170" s="17"/>
    </x:row>
    <x:row r="171">
      <x:c r="A171" s="17" t="str">
        <x:v>Phi-2</x:v>
      </x:c>
      <x:c r="B171" s="17" t="str">
        <x:v>Phi-2</x:v>
      </x:c>
      <x:c r="C171" s="17" t="n">
        <x:v>45272</x:v>
      </x:c>
      <x:c r="D171" s="17" t="n">
        <x:v>107.66</x:v>
      </x:c>
      <x:c r="E171" s="17" t="n">
        <x:v>85.19</x:v>
      </x:c>
      <x:c r="F171" s="17" t="n">
        <x:v>113.86</x:v>
      </x:c>
      <x:c r="G171" s="17" t="str">
        <x:v>Microsoft</x:v>
      </x:c>
      <x:c r="H171" s="17" t="str">
        <x:v>United States of America</x:v>
      </x:c>
      <x:c r="I171" s="17" t="str">
        <x:v>Open weights (unrestricted)</x:v>
      </x:c>
      <x:c r="J171" s="17" t="str">
        <x:v>Open weights</x:v>
      </x:c>
      <x:c r="K171" s="17"/>
      <x:c r="L171" s="17"/>
      <x:c r="M171" s="17"/>
      <x:c r="N171" s="17"/>
      <x:c r="O171" s="17"/>
      <x:c r="P171" s="17"/>
      <x:c r="Q171" s="17"/>
      <x:c r="R171" s="17"/>
      <x:c r="S171" s="17"/>
      <x:c r="T171" s="17"/>
      <x:c r="U171" s="17"/>
      <x:c r="V171" s="17"/>
      <x:c r="W171" s="17"/>
      <x:c r="X171" s="17"/>
      <x:c r="Y171" s="17"/>
      <x:c r="Z171" s="17"/>
    </x:row>
    <x:row r="172">
      <x:c r="A172" s="17" t="str">
        <x:v>Qwen2.5-Coder-3B</x:v>
      </x:c>
      <x:c r="B172" s="17" t="str">
        <x:v>Qwen2.5-Coder-3B</x:v>
      </x:c>
      <x:c r="C172" s="17" t="n">
        <x:v>45553</x:v>
      </x:c>
      <x:c r="D172" s="17" t="n">
        <x:v>107.5</x:v>
      </x:c>
      <x:c r="E172" s="17" t="n">
        <x:v>94.63</x:v>
      </x:c>
      <x:c r="F172" s="17" t="n">
        <x:v>115.24</x:v>
      </x:c>
      <x:c r="G172" s="17"/>
      <x:c r="H172" s="17"/>
      <x:c r="I172" s="17" t="str">
        <x:v>Unknown</x:v>
      </x:c>
      <x:c r="J172" s="17" t="str">
        <x:v>Other</x:v>
      </x:c>
      <x:c r="K172" s="17"/>
      <x:c r="L172" s="17"/>
      <x:c r="M172" s="17"/>
      <x:c r="N172" s="17"/>
      <x:c r="O172" s="17"/>
      <x:c r="P172" s="17"/>
      <x:c r="Q172" s="17"/>
      <x:c r="R172" s="17"/>
      <x:c r="S172" s="17"/>
      <x:c r="T172" s="17"/>
      <x:c r="U172" s="17"/>
      <x:c r="V172" s="17"/>
      <x:c r="W172" s="17"/>
      <x:c r="X172" s="17"/>
      <x:c r="Y172" s="17"/>
      <x:c r="Z172" s="17"/>
    </x:row>
    <x:row r="173">
      <x:c r="A173" s="17" t="str">
        <x:v>Nemotron-4 15B</x:v>
      </x:c>
      <x:c r="B173" s="17" t="str">
        <x:v>Nemotron-4 15B</x:v>
      </x:c>
      <x:c r="C173" s="17" t="n">
        <x:v>45349</x:v>
      </x:c>
      <x:c r="D173" s="17" t="n">
        <x:v>107.48</x:v>
      </x:c>
      <x:c r="E173" s="17" t="n">
        <x:v>96.93</x:v>
      </x:c>
      <x:c r="F173" s="17" t="n">
        <x:v>113.63</x:v>
      </x:c>
      <x:c r="G173" s="17" t="str">
        <x:v>NVIDIA</x:v>
      </x:c>
      <x:c r="H173" s="17" t="str">
        <x:v>United States of America</x:v>
      </x:c>
      <x:c r="I173" s="17" t="str">
        <x:v>Unreleased</x:v>
      </x:c>
      <x:c r="J173" s="17" t="str">
        <x:v>Closed weights</x:v>
      </x:c>
      <x:c r="K173" s="17"/>
      <x:c r="L173" s="17"/>
      <x:c r="M173" s="17"/>
      <x:c r="N173" s="17"/>
      <x:c r="O173" s="17"/>
      <x:c r="P173" s="17"/>
      <x:c r="Q173" s="17"/>
      <x:c r="R173" s="17"/>
      <x:c r="S173" s="17"/>
      <x:c r="T173" s="17"/>
      <x:c r="U173" s="17"/>
      <x:c r="V173" s="17"/>
      <x:c r="W173" s="17"/>
      <x:c r="X173" s="17"/>
      <x:c r="Y173" s="17"/>
      <x:c r="Z173" s="17"/>
    </x:row>
    <x:row r="174">
      <x:c r="A174" s="17" t="str">
        <x:v>Yi-9B</x:v>
      </x:c>
      <x:c r="B174" s="17" t="str">
        <x:v>Yi-9B</x:v>
      </x:c>
      <x:c r="C174" s="17" t="n">
        <x:v>45352</x:v>
      </x:c>
      <x:c r="D174" s="17" t="n">
        <x:v>107.38</x:v>
      </x:c>
      <x:c r="E174" s="17" t="n">
        <x:v>96.48</x:v>
      </x:c>
      <x:c r="F174" s="17" t="n">
        <x:v>115.19</x:v>
      </x:c>
      <x:c r="G174" s="17"/>
      <x:c r="H174" s="17"/>
      <x:c r="I174" s="17" t="str">
        <x:v>Unknown</x:v>
      </x:c>
      <x:c r="J174" s="17" t="str">
        <x:v>Other</x:v>
      </x:c>
      <x:c r="K174" s="17"/>
      <x:c r="L174" s="17"/>
      <x:c r="M174" s="17"/>
      <x:c r="N174" s="17"/>
      <x:c r="O174" s="17"/>
      <x:c r="P174" s="17"/>
      <x:c r="Q174" s="17"/>
      <x:c r="R174" s="17"/>
      <x:c r="S174" s="17"/>
      <x:c r="T174" s="17"/>
      <x:c r="U174" s="17"/>
      <x:c r="V174" s="17"/>
      <x:c r="W174" s="17"/>
      <x:c r="X174" s="17"/>
      <x:c r="Y174" s="17"/>
      <x:c r="Z174" s="17"/>
    </x:row>
    <x:row r="175">
      <x:c r="A175" s="17" t="str">
        <x:v>LLaMA-33B</x:v>
      </x:c>
      <x:c r="B175" s="17" t="str">
        <x:v>LLaMA-33B</x:v>
      </x:c>
      <x:c r="C175" s="17" t="n">
        <x:v>44984</x:v>
      </x:c>
      <x:c r="D175" s="17" t="n">
        <x:v>107.16</x:v>
      </x:c>
      <x:c r="E175" s="17" t="n">
        <x:v>96.33</x:v>
      </x:c>
      <x:c r="F175" s="17" t="n">
        <x:v>112.28</x:v>
      </x:c>
      <x:c r="G175" s="17" t="str">
        <x:v>Meta AI</x:v>
      </x:c>
      <x:c r="H175" s="17" t="str">
        <x:v>United States of America</x:v>
      </x:c>
      <x:c r="I175" s="17" t="str">
        <x:v>Open weights (non-commercial)</x:v>
      </x:c>
      <x:c r="J175" s="17" t="str">
        <x:v>Open weights</x:v>
      </x:c>
      <x:c r="K175" s="17"/>
      <x:c r="L175" s="17"/>
      <x:c r="M175" s="17"/>
      <x:c r="N175" s="17"/>
      <x:c r="O175" s="17"/>
      <x:c r="P175" s="17"/>
      <x:c r="Q175" s="17"/>
      <x:c r="R175" s="17"/>
      <x:c r="S175" s="17"/>
      <x:c r="T175" s="17"/>
      <x:c r="U175" s="17"/>
      <x:c r="V175" s="17"/>
      <x:c r="W175" s="17"/>
      <x:c r="X175" s="17"/>
      <x:c r="Y175" s="17"/>
      <x:c r="Z175" s="17"/>
    </x:row>
    <x:row r="176">
      <x:c r="A176" s="17" t="str">
        <x:v>Qwen-7B</x:v>
      </x:c>
      <x:c r="B176" s="17" t="str">
        <x:v>Qwen-7B</x:v>
      </x:c>
      <x:c r="C176" s="17" t="n">
        <x:v>45197</x:v>
      </x:c>
      <x:c r="D176" s="17" t="n">
        <x:v>106.56</x:v>
      </x:c>
      <x:c r="E176" s="17" t="n">
        <x:v>93.93</x:v>
      </x:c>
      <x:c r="F176" s="17" t="n">
        <x:v>112.46</x:v>
      </x:c>
      <x:c r="G176" s="17" t="str">
        <x:v>Alibaba</x:v>
      </x:c>
      <x:c r="H176" s="17" t="str">
        <x:v>China</x:v>
      </x:c>
      <x:c r="I176" s="17" t="str">
        <x:v>Open weights (restricted use)</x:v>
      </x:c>
      <x:c r="J176" s="17" t="str">
        <x:v>Open weights</x:v>
      </x:c>
      <x:c r="K176" s="17"/>
      <x:c r="L176" s="17"/>
      <x:c r="M176" s="17"/>
      <x:c r="N176" s="17"/>
      <x:c r="O176" s="17"/>
      <x:c r="P176" s="17"/>
      <x:c r="Q176" s="17"/>
      <x:c r="R176" s="17"/>
      <x:c r="S176" s="17"/>
      <x:c r="T176" s="17"/>
      <x:c r="U176" s="17"/>
      <x:c r="V176" s="17"/>
      <x:c r="W176" s="17"/>
      <x:c r="X176" s="17"/>
      <x:c r="Y176" s="17"/>
      <x:c r="Z176" s="17"/>
    </x:row>
    <x:row r="177">
      <x:c r="A177" s="17" t="str">
        <x:v>PaLM 2-S</x:v>
      </x:c>
      <x:c r="B177" s="17" t="str">
        <x:v>PaLM 2-S</x:v>
      </x:c>
      <x:c r="C177" s="17" t="n">
        <x:v>45063</x:v>
      </x:c>
      <x:c r="D177" s="17" t="n">
        <x:v>105.96</x:v>
      </x:c>
      <x:c r="E177" s="17" t="n">
        <x:v>96.19</x:v>
      </x:c>
      <x:c r="F177" s="17" t="n">
        <x:v>113.44</x:v>
      </x:c>
      <x:c r="G177" s="17"/>
      <x:c r="H177" s="17"/>
      <x:c r="I177" s="17" t="str">
        <x:v>Unknown</x:v>
      </x:c>
      <x:c r="J177" s="17" t="str">
        <x:v>Other</x:v>
      </x:c>
      <x:c r="K177" s="17"/>
      <x:c r="L177" s="17"/>
      <x:c r="M177" s="17"/>
      <x:c r="N177" s="17"/>
      <x:c r="O177" s="17"/>
      <x:c r="P177" s="17"/>
      <x:c r="Q177" s="17"/>
      <x:c r="R177" s="17"/>
      <x:c r="S177" s="17"/>
      <x:c r="T177" s="17"/>
      <x:c r="U177" s="17"/>
      <x:c r="V177" s="17"/>
      <x:c r="W177" s="17"/>
      <x:c r="X177" s="17"/>
      <x:c r="Y177" s="17"/>
      <x:c r="Z177" s="17"/>
    </x:row>
    <x:row r="178">
      <x:c r="A178" s="17" t="str">
        <x:v>Llama 2-13B</x:v>
      </x:c>
      <x:c r="B178" s="17" t="str">
        <x:v>Llama 2-13B</x:v>
      </x:c>
      <x:c r="C178" s="17" t="n">
        <x:v>45125</x:v>
      </x:c>
      <x:c r="D178" s="17" t="n">
        <x:v>105.91</x:v>
      </x:c>
      <x:c r="E178" s="17" t="n">
        <x:v>95.41</x:v>
      </x:c>
      <x:c r="F178" s="17" t="n">
        <x:v>111.37</x:v>
      </x:c>
      <x:c r="G178" s="17" t="str">
        <x:v>Meta AI</x:v>
      </x:c>
      <x:c r="H178" s="17" t="str">
        <x:v>United States of America</x:v>
      </x:c>
      <x:c r="I178" s="17" t="str">
        <x:v>Open weights (restricted use)</x:v>
      </x:c>
      <x:c r="J178" s="17" t="str">
        <x:v>Open weights</x:v>
      </x:c>
      <x:c r="K178" s="17"/>
      <x:c r="L178" s="17"/>
      <x:c r="M178" s="17"/>
      <x:c r="N178" s="17"/>
      <x:c r="O178" s="17"/>
      <x:c r="P178" s="17"/>
      <x:c r="Q178" s="17"/>
      <x:c r="R178" s="17"/>
      <x:c r="S178" s="17"/>
      <x:c r="T178" s="17"/>
      <x:c r="U178" s="17"/>
      <x:c r="V178" s="17"/>
      <x:c r="W178" s="17"/>
      <x:c r="X178" s="17"/>
      <x:c r="Y178" s="17"/>
      <x:c r="Z178" s="17"/>
    </x:row>
    <x:row r="179">
      <x:c r="A179" s="17" t="str">
        <x:v>Llama 2-34B</x:v>
      </x:c>
      <x:c r="B179" s="17" t="str">
        <x:v>Llama 2-34B</x:v>
      </x:c>
      <x:c r="C179" s="17" t="n">
        <x:v>45125</x:v>
      </x:c>
      <x:c r="D179" s="17" t="n">
        <x:v>104.95</x:v>
      </x:c>
      <x:c r="E179" s="17" t="n">
        <x:v>94.08</x:v>
      </x:c>
      <x:c r="F179" s="17" t="n">
        <x:v>110.71</x:v>
      </x:c>
      <x:c r="G179" s="17" t="str">
        <x:v>Meta AI</x:v>
      </x:c>
      <x:c r="H179" s="17" t="str">
        <x:v>United States of America</x:v>
      </x:c>
      <x:c r="I179" s="17" t="str">
        <x:v>Unreleased</x:v>
      </x:c>
      <x:c r="J179" s="17" t="str">
        <x:v>Closed weights</x:v>
      </x:c>
      <x:c r="K179" s="17"/>
      <x:c r="L179" s="17"/>
      <x:c r="M179" s="17"/>
      <x:c r="N179" s="17"/>
      <x:c r="O179" s="17"/>
      <x:c r="P179" s="17"/>
      <x:c r="Q179" s="17"/>
      <x:c r="R179" s="17"/>
      <x:c r="S179" s="17"/>
      <x:c r="T179" s="17"/>
      <x:c r="U179" s="17"/>
      <x:c r="V179" s="17"/>
      <x:c r="W179" s="17"/>
      <x:c r="X179" s="17"/>
      <x:c r="Y179" s="17"/>
      <x:c r="Z179" s="17"/>
    </x:row>
    <x:row r="180">
      <x:c r="A180" s="17" t="str">
        <x:v>StarCoder 2 15B</x:v>
      </x:c>
      <x:c r="B180" s="17" t="str">
        <x:v>StarCoder 2 15B</x:v>
      </x:c>
      <x:c r="C180" s="17" t="n">
        <x:v>45351</x:v>
      </x:c>
      <x:c r="D180" s="17" t="n">
        <x:v>104.74</x:v>
      </x:c>
      <x:c r="E180" s="17" t="n">
        <x:v>92.4</x:v>
      </x:c>
      <x:c r="F180" s="17" t="n">
        <x:v>112.13</x:v>
      </x:c>
      <x:c r="G180" s="17" t="str">
        <x:v>Hugging Face,ServiceNow,NVIDIA,BigCode</x:v>
      </x:c>
      <x:c r="H180" s="17" t="str">
        <x:v>United States of America</x:v>
      </x:c>
      <x:c r="I180" s="17" t="str">
        <x:v>Open weights (restricted use)</x:v>
      </x:c>
      <x:c r="J180" s="17" t="str">
        <x:v>Open weights</x:v>
      </x:c>
      <x:c r="K180" s="17"/>
      <x:c r="L180" s="17"/>
      <x:c r="M180" s="17"/>
      <x:c r="N180" s="17"/>
      <x:c r="O180" s="17"/>
      <x:c r="P180" s="17"/>
      <x:c r="Q180" s="17"/>
      <x:c r="R180" s="17"/>
      <x:c r="S180" s="17"/>
      <x:c r="T180" s="17"/>
      <x:c r="U180" s="17"/>
      <x:c r="V180" s="17"/>
      <x:c r="W180" s="17"/>
      <x:c r="X180" s="17"/>
      <x:c r="Y180" s="17"/>
      <x:c r="Z180" s="17"/>
    </x:row>
    <x:row r="181">
      <x:c r="A181" s="17" t="str">
        <x:v>Yi 6B</x:v>
      </x:c>
      <x:c r="B181" s="17" t="str">
        <x:v>Yi 6B</x:v>
      </x:c>
      <x:c r="C181" s="17" t="n">
        <x:v>45232</x:v>
      </x:c>
      <x:c r="D181" s="17" t="n">
        <x:v>104.51</x:v>
      </x:c>
      <x:c r="E181" s="17" t="n">
        <x:v>93.1</x:v>
      </x:c>
      <x:c r="F181" s="17" t="n">
        <x:v>110.55</x:v>
      </x:c>
      <x:c r="G181" s="17" t="str">
        <x:v>01.AI</x:v>
      </x:c>
      <x:c r="H181" s="17" t="str">
        <x:v>China</x:v>
      </x:c>
      <x:c r="I181" s="17" t="str">
        <x:v>Open weights (restricted use)</x:v>
      </x:c>
      <x:c r="J181" s="17" t="str">
        <x:v>Open weights</x:v>
      </x:c>
      <x:c r="K181" s="17"/>
      <x:c r="L181" s="17"/>
      <x:c r="M181" s="17"/>
      <x:c r="N181" s="17"/>
      <x:c r="O181" s="17"/>
      <x:c r="P181" s="17"/>
      <x:c r="Q181" s="17"/>
      <x:c r="R181" s="17"/>
      <x:c r="S181" s="17"/>
      <x:c r="T181" s="17"/>
      <x:c r="U181" s="17"/>
      <x:c r="V181" s="17"/>
      <x:c r="W181" s="17"/>
      <x:c r="X181" s="17"/>
      <x:c r="Y181" s="17"/>
      <x:c r="Z181" s="17"/>
    </x:row>
    <x:row r="182">
      <x:c r="A182" s="17" t="str">
        <x:v>Falcon-40B</x:v>
      </x:c>
      <x:c r="B182" s="17" t="str">
        <x:v>Falcon-40B</x:v>
      </x:c>
      <x:c r="C182" s="17" t="n">
        <x:v>45000</x:v>
      </x:c>
      <x:c r="D182" s="17" t="n">
        <x:v>104.19</x:v>
      </x:c>
      <x:c r="E182" s="17" t="n">
        <x:v>94.99</x:v>
      </x:c>
      <x:c r="F182" s="17" t="n">
        <x:v>110.58</x:v>
      </x:c>
      <x:c r="G182" s="17" t="str">
        <x:v>Technology Innovation Institute</x:v>
      </x:c>
      <x:c r="H182" s="17" t="str">
        <x:v>United Arab Emirates</x:v>
      </x:c>
      <x:c r="I182" s="17" t="str">
        <x:v>Open weights (unrestricted)</x:v>
      </x:c>
      <x:c r="J182" s="17" t="str">
        <x:v>Open weights</x:v>
      </x:c>
      <x:c r="K182" s="17"/>
      <x:c r="L182" s="17"/>
      <x:c r="M182" s="17"/>
      <x:c r="N182" s="17"/>
      <x:c r="O182" s="17"/>
      <x:c r="P182" s="17"/>
      <x:c r="Q182" s="17"/>
      <x:c r="R182" s="17"/>
      <x:c r="S182" s="17"/>
      <x:c r="T182" s="17"/>
      <x:c r="U182" s="17"/>
      <x:c r="V182" s="17"/>
      <x:c r="W182" s="17"/>
      <x:c r="X182" s="17"/>
      <x:c r="Y182" s="17"/>
      <x:c r="Z182" s="17"/>
    </x:row>
    <x:row r="183">
      <x:c r="A183" s="17" t="str">
        <x:v>Baichuan2-13B</x:v>
      </x:c>
      <x:c r="B183" s="17" t="str">
        <x:v>Baichuan2-13B</x:v>
      </x:c>
      <x:c r="C183" s="17" t="n">
        <x:v>45175</x:v>
      </x:c>
      <x:c r="D183" s="17" t="n">
        <x:v>102.93</x:v>
      </x:c>
      <x:c r="E183" s="17" t="n">
        <x:v>89.49</x:v>
      </x:c>
      <x:c r="F183" s="17" t="n">
        <x:v>110.46</x:v>
      </x:c>
      <x:c r="G183" s="17" t="str">
        <x:v>Baichuan</x:v>
      </x:c>
      <x:c r="H183" s="17" t="str">
        <x:v>China</x:v>
      </x:c>
      <x:c r="I183" s="17" t="str">
        <x:v>Open weights (restricted use)</x:v>
      </x:c>
      <x:c r="J183" s="17" t="str">
        <x:v>Open weights</x:v>
      </x:c>
      <x:c r="K183" s="17"/>
      <x:c r="L183" s="17"/>
      <x:c r="M183" s="17"/>
      <x:c r="N183" s="17"/>
      <x:c r="O183" s="17"/>
      <x:c r="P183" s="17"/>
      <x:c r="Q183" s="17"/>
      <x:c r="R183" s="17"/>
      <x:c r="S183" s="17"/>
      <x:c r="T183" s="17"/>
      <x:c r="U183" s="17"/>
      <x:c r="V183" s="17"/>
      <x:c r="W183" s="17"/>
      <x:c r="X183" s="17"/>
      <x:c r="Y183" s="17"/>
      <x:c r="Z183" s="17"/>
    </x:row>
    <x:row r="184">
      <x:c r="A184" s="17" t="str">
        <x:v>Qwen2.5-Coder (1.5B)</x:v>
      </x:c>
      <x:c r="B184" s="17" t="str">
        <x:v>Qwen2.5-Coder (1.5B)</x:v>
      </x:c>
      <x:c r="C184" s="17" t="n">
        <x:v>45553</x:v>
      </x:c>
      <x:c r="D184" s="17" t="n">
        <x:v>102.72</x:v>
      </x:c>
      <x:c r="E184" s="17" t="n">
        <x:v>86.18</x:v>
      </x:c>
      <x:c r="F184" s="17" t="n">
        <x:v>110.55</x:v>
      </x:c>
      <x:c r="G184" s="17" t="str">
        <x:v>Alibaba</x:v>
      </x:c>
      <x:c r="H184" s="17" t="str">
        <x:v>China</x:v>
      </x:c>
      <x:c r="I184" s="17" t="str">
        <x:v>Open weights (unrestricted)</x:v>
      </x:c>
      <x:c r="J184" s="17" t="str">
        <x:v>Open weights</x:v>
      </x:c>
      <x:c r="K184" s="17"/>
      <x:c r="L184" s="17"/>
      <x:c r="M184" s="17"/>
      <x:c r="N184" s="17"/>
      <x:c r="O184" s="17"/>
      <x:c r="P184" s="17"/>
      <x:c r="Q184" s="17"/>
      <x:c r="R184" s="17"/>
      <x:c r="S184" s="17"/>
      <x:c r="T184" s="17"/>
      <x:c r="U184" s="17"/>
      <x:c r="V184" s="17"/>
      <x:c r="W184" s="17"/>
      <x:c r="X184" s="17"/>
      <x:c r="Y184" s="17"/>
      <x:c r="Z184" s="17"/>
    </x:row>
    <x:row r="185">
      <x:c r="A185" s="17" t="str">
        <x:v>internlm-7b</x:v>
      </x:c>
      <x:c r="B185" s="17" t="str">
        <x:v>internlm-7b</x:v>
      </x:c>
      <x:c r="C185" s="17" t="n">
        <x:v>45112</x:v>
      </x:c>
      <x:c r="D185" s="17" t="n">
        <x:v>102.58</x:v>
      </x:c>
      <x:c r="E185" s="17" t="n">
        <x:v>89.7</x:v>
      </x:c>
      <x:c r="F185" s="17" t="n">
        <x:v>109.22</x:v>
      </x:c>
      <x:c r="G185" s="17"/>
      <x:c r="H185" s="17"/>
      <x:c r="I185" s="17" t="str">
        <x:v>Unknown</x:v>
      </x:c>
      <x:c r="J185" s="17" t="str">
        <x:v>Other</x:v>
      </x:c>
      <x:c r="K185" s="17"/>
      <x:c r="L185" s="17"/>
      <x:c r="M185" s="17"/>
      <x:c r="N185" s="17"/>
      <x:c r="O185" s="17"/>
      <x:c r="P185" s="17"/>
      <x:c r="Q185" s="17"/>
      <x:c r="R185" s="17"/>
      <x:c r="S185" s="17"/>
      <x:c r="T185" s="17"/>
      <x:c r="U185" s="17"/>
      <x:c r="V185" s="17"/>
      <x:c r="W185" s="17"/>
      <x:c r="X185" s="17"/>
      <x:c r="Y185" s="17"/>
      <x:c r="Z185" s="17"/>
    </x:row>
    <x:row r="186">
      <x:c r="A186" s="17" t="str">
        <x:v>INTELLECT-1</x:v>
      </x:c>
      <x:c r="B186" s="17" t="str">
        <x:v>INTELLECT-1</x:v>
      </x:c>
      <x:c r="C186" s="17" t="n">
        <x:v>45625</x:v>
      </x:c>
      <x:c r="D186" s="17" t="n">
        <x:v>100.58</x:v>
      </x:c>
      <x:c r="E186" s="17" t="n">
        <x:v>88.56</x:v>
      </x:c>
      <x:c r="F186" s="17" t="n">
        <x:v>107.05</x:v>
      </x:c>
      <x:c r="G186" s="17" t="str">
        <x:v>Prime Intellect,Hugging Face,Arcee AI</x:v>
      </x:c>
      <x:c r="H186" s="17" t="str">
        <x:v>United States of America</x:v>
      </x:c>
      <x:c r="I186" s="17" t="str">
        <x:v>Unknown</x:v>
      </x:c>
      <x:c r="J186" s="17" t="str">
        <x:v>Other</x:v>
      </x:c>
      <x:c r="K186" s="17"/>
      <x:c r="L186" s="17"/>
      <x:c r="M186" s="17"/>
      <x:c r="N186" s="17"/>
      <x:c r="O186" s="17"/>
      <x:c r="P186" s="17"/>
      <x:c r="Q186" s="17"/>
      <x:c r="R186" s="17"/>
      <x:c r="S186" s="17"/>
      <x:c r="T186" s="17"/>
      <x:c r="U186" s="17"/>
      <x:c r="V186" s="17"/>
      <x:c r="W186" s="17"/>
      <x:c r="X186" s="17"/>
      <x:c r="Y186" s="17"/>
      <x:c r="Z186" s="17"/>
    </x:row>
    <x:row r="187">
      <x:c r="A187" s="17" t="str">
        <x:v>MPT-30B</x:v>
      </x:c>
      <x:c r="B187" s="17" t="str">
        <x:v>MPT-30B</x:v>
      </x:c>
      <x:c r="C187" s="17" t="n">
        <x:v>45099</x:v>
      </x:c>
      <x:c r="D187" s="17" t="n">
        <x:v>100.38</x:v>
      </x:c>
      <x:c r="E187" s="17" t="n">
        <x:v>89.25</x:v>
      </x:c>
      <x:c r="F187" s="17" t="n">
        <x:v>106.66</x:v>
      </x:c>
      <x:c r="G187" s="17" t="str">
        <x:v>MosaicML</x:v>
      </x:c>
      <x:c r="H187" s="17" t="str">
        <x:v>United States of America</x:v>
      </x:c>
      <x:c r="I187" s="17" t="str">
        <x:v>Open weights (unrestricted)</x:v>
      </x:c>
      <x:c r="J187" s="17" t="str">
        <x:v>Open weights</x:v>
      </x:c>
      <x:c r="K187" s="17"/>
      <x:c r="L187" s="17"/>
      <x:c r="M187" s="17"/>
      <x:c r="N187" s="17"/>
      <x:c r="O187" s="17"/>
      <x:c r="P187" s="17"/>
      <x:c r="Q187" s="17"/>
      <x:c r="R187" s="17"/>
      <x:c r="S187" s="17"/>
      <x:c r="T187" s="17"/>
      <x:c r="U187" s="17"/>
      <x:c r="V187" s="17"/>
      <x:c r="W187" s="17"/>
      <x:c r="X187" s="17"/>
      <x:c r="Y187" s="17"/>
      <x:c r="Z187" s="17"/>
    </x:row>
    <x:row r="188">
      <x:c r="A188" s="17" t="str">
        <x:v>LLaMA-13B</x:v>
      </x:c>
      <x:c r="B188" s="17" t="str">
        <x:v>LLaMA-13B</x:v>
      </x:c>
      <x:c r="C188" s="17" t="n">
        <x:v>44984</x:v>
      </x:c>
      <x:c r="D188" s="17" t="n">
        <x:v>100.3</x:v>
      </x:c>
      <x:c r="E188" s="17" t="n">
        <x:v>89.58</x:v>
      </x:c>
      <x:c r="F188" s="17" t="n">
        <x:v>106.66</x:v>
      </x:c>
      <x:c r="G188" s="17" t="str">
        <x:v>Meta AI</x:v>
      </x:c>
      <x:c r="H188" s="17" t="str">
        <x:v>United States of America</x:v>
      </x:c>
      <x:c r="I188" s="17" t="str">
        <x:v>Open weights (non-commercial)</x:v>
      </x:c>
      <x:c r="J188" s="17" t="str">
        <x:v>Open weights</x:v>
      </x:c>
      <x:c r="K188" s="17"/>
      <x:c r="L188" s="17"/>
      <x:c r="M188" s="17"/>
      <x:c r="N188" s="17"/>
      <x:c r="O188" s="17"/>
      <x:c r="P188" s="17"/>
      <x:c r="Q188" s="17"/>
      <x:c r="R188" s="17"/>
      <x:c r="S188" s="17"/>
      <x:c r="T188" s="17"/>
      <x:c r="U188" s="17"/>
      <x:c r="V188" s="17"/>
      <x:c r="W188" s="17"/>
      <x:c r="X188" s="17"/>
      <x:c r="Y188" s="17"/>
      <x:c r="Z188" s="17"/>
    </x:row>
    <x:row r="189">
      <x:c r="A189" s="17" t="str">
        <x:v>Llama 2-7B</x:v>
      </x:c>
      <x:c r="B189" s="17" t="str">
        <x:v>Llama 2-7B</x:v>
      </x:c>
      <x:c r="C189" s="17" t="n">
        <x:v>45125</x:v>
      </x:c>
      <x:c r="D189" s="17" t="n">
        <x:v>98.78</x:v>
      </x:c>
      <x:c r="E189" s="17" t="n">
        <x:v>87.09</x:v>
      </x:c>
      <x:c r="F189" s="17" t="n">
        <x:v>105.57</x:v>
      </x:c>
      <x:c r="G189" s="17" t="str">
        <x:v>Meta AI</x:v>
      </x:c>
      <x:c r="H189" s="17" t="str">
        <x:v>United States of America</x:v>
      </x:c>
      <x:c r="I189" s="17" t="str">
        <x:v>Open weights (restricted use)</x:v>
      </x:c>
      <x:c r="J189" s="17" t="str">
        <x:v>Open weights</x:v>
      </x:c>
      <x:c r="K189" s="17"/>
      <x:c r="L189" s="17"/>
      <x:c r="M189" s="17"/>
      <x:c r="N189" s="17"/>
      <x:c r="O189" s="17"/>
      <x:c r="P189" s="17"/>
      <x:c r="Q189" s="17"/>
      <x:c r="R189" s="17"/>
      <x:c r="S189" s="17"/>
      <x:c r="T189" s="17"/>
      <x:c r="U189" s="17"/>
      <x:c r="V189" s="17"/>
      <x:c r="W189" s="17"/>
      <x:c r="X189" s="17"/>
      <x:c r="Y189" s="17"/>
      <x:c r="Z189" s="17"/>
    </x:row>
    <x:row r="190">
      <x:c r="A190" s="17" t="str">
        <x:v>chatglm2-6b</x:v>
      </x:c>
      <x:c r="B190" s="17" t="str">
        <x:v>chatglm2-6b</x:v>
      </x:c>
      <x:c r="C190" s="17" t="n">
        <x:v>45101</x:v>
      </x:c>
      <x:c r="D190" s="17" t="n">
        <x:v>98.63</x:v>
      </x:c>
      <x:c r="E190" s="17" t="n">
        <x:v>76.75</x:v>
      </x:c>
      <x:c r="F190" s="17" t="n">
        <x:v>105.82</x:v>
      </x:c>
      <x:c r="G190" s="17"/>
      <x:c r="H190" s="17"/>
      <x:c r="I190" s="17" t="str">
        <x:v>Unknown</x:v>
      </x:c>
      <x:c r="J190" s="17" t="str">
        <x:v>Other</x:v>
      </x:c>
      <x:c r="K190" s="17"/>
      <x:c r="L190" s="17"/>
      <x:c r="M190" s="17"/>
      <x:c r="N190" s="17"/>
      <x:c r="O190" s="17"/>
      <x:c r="P190" s="17"/>
      <x:c r="Q190" s="17"/>
      <x:c r="R190" s="17"/>
      <x:c r="S190" s="17"/>
      <x:c r="T190" s="17"/>
      <x:c r="U190" s="17"/>
      <x:c r="V190" s="17"/>
      <x:c r="W190" s="17"/>
      <x:c r="X190" s="17"/>
      <x:c r="Y190" s="17"/>
      <x:c r="Z190" s="17"/>
    </x:row>
    <x:row r="191">
      <x:c r="A191" s="17" t="str">
        <x:v>LLaMA-7B</x:v>
      </x:c>
      <x:c r="B191" s="17" t="str">
        <x:v>LLaMA-7B</x:v>
      </x:c>
      <x:c r="C191" s="17" t="n">
        <x:v>44981</x:v>
      </x:c>
      <x:c r="D191" s="17" t="n">
        <x:v>96.41</x:v>
      </x:c>
      <x:c r="E191" s="17" t="n">
        <x:v>83.74</x:v>
      </x:c>
      <x:c r="F191" s="17" t="n">
        <x:v>104.14</x:v>
      </x:c>
      <x:c r="G191" s="17" t="str">
        <x:v>Meta AI</x:v>
      </x:c>
      <x:c r="H191" s="17" t="str">
        <x:v>United States of America</x:v>
      </x:c>
      <x:c r="I191" s="17" t="str">
        <x:v>Open weights (non-commercial)</x:v>
      </x:c>
      <x:c r="J191" s="17" t="str">
        <x:v>Open weights</x:v>
      </x:c>
      <x:c r="K191" s="17"/>
      <x:c r="L191" s="17"/>
      <x:c r="M191" s="17"/>
      <x:c r="N191" s="17"/>
      <x:c r="O191" s="17"/>
      <x:c r="P191" s="17"/>
      <x:c r="Q191" s="17"/>
      <x:c r="R191" s="17"/>
      <x:c r="S191" s="17"/>
      <x:c r="T191" s="17"/>
      <x:c r="U191" s="17"/>
      <x:c r="V191" s="17"/>
      <x:c r="W191" s="17"/>
      <x:c r="X191" s="17"/>
      <x:c r="Y191" s="17"/>
      <x:c r="Z191" s="17"/>
    </x:row>
    <x:row r="192">
      <x:c r="A192" s="17" t="str">
        <x:v>Baichuan 2-7B</x:v>
      </x:c>
      <x:c r="B192" s="17" t="str">
        <x:v>Baichuan 2-7B</x:v>
      </x:c>
      <x:c r="C192" s="17" t="n">
        <x:v>45189</x:v>
      </x:c>
      <x:c r="D192" s="17" t="n">
        <x:v>96.04</x:v>
      </x:c>
      <x:c r="E192" s="17" t="n">
        <x:v>84.33</x:v>
      </x:c>
      <x:c r="F192" s="17" t="n">
        <x:v>104.53</x:v>
      </x:c>
      <x:c r="G192" s="17" t="str">
        <x:v>Baichuan</x:v>
      </x:c>
      <x:c r="H192" s="17" t="str">
        <x:v>China</x:v>
      </x:c>
      <x:c r="I192" s="17" t="str">
        <x:v>Open weights (restricted use)</x:v>
      </x:c>
      <x:c r="J192" s="17" t="str">
        <x:v>Open weights</x:v>
      </x:c>
      <x:c r="K192" s="17"/>
      <x:c r="L192" s="17"/>
      <x:c r="M192" s="17"/>
      <x:c r="N192" s="17"/>
      <x:c r="O192" s="17"/>
      <x:c r="P192" s="17"/>
      <x:c r="Q192" s="17"/>
      <x:c r="R192" s="17"/>
      <x:c r="S192" s="17"/>
      <x:c r="T192" s="17"/>
      <x:c r="U192" s="17"/>
      <x:c r="V192" s="17"/>
      <x:c r="W192" s="17"/>
      <x:c r="X192" s="17"/>
      <x:c r="Y192" s="17"/>
      <x:c r="Z192" s="17"/>
    </x:row>
    <x:row r="193">
      <x:c r="A193" s="17" t="str">
        <x:v>DeepSeek Coder 33B</x:v>
      </x:c>
      <x:c r="B193" s="17" t="str">
        <x:v>DeepSeek Coder 33B</x:v>
      </x:c>
      <x:c r="C193" s="17" t="n">
        <x:v>45316</x:v>
      </x:c>
      <x:c r="D193" s="17" t="n">
        <x:v>96.02</x:v>
      </x:c>
      <x:c r="E193" s="17" t="n">
        <x:v>82.39</x:v>
      </x:c>
      <x:c r="F193" s="17" t="n">
        <x:v>103.58</x:v>
      </x:c>
      <x:c r="G193" s="17" t="str">
        <x:v>DeepSeek,Peking University</x:v>
      </x:c>
      <x:c r="H193" s="17" t="str">
        <x:v>China</x:v>
      </x:c>
      <x:c r="I193" s="17" t="str">
        <x:v>Open weights (restricted use)</x:v>
      </x:c>
      <x:c r="J193" s="17" t="str">
        <x:v>Open weights</x:v>
      </x:c>
      <x:c r="K193" s="17"/>
      <x:c r="L193" s="17"/>
      <x:c r="M193" s="17"/>
      <x:c r="N193" s="17"/>
      <x:c r="O193" s="17"/>
      <x:c r="P193" s="17"/>
      <x:c r="Q193" s="17"/>
      <x:c r="R193" s="17"/>
      <x:c r="S193" s="17"/>
      <x:c r="T193" s="17"/>
      <x:c r="U193" s="17"/>
      <x:c r="V193" s="17"/>
      <x:c r="W193" s="17"/>
      <x:c r="X193" s="17"/>
      <x:c r="Y193" s="17"/>
      <x:c r="Z193" s="17"/>
    </x:row>
    <x:row r="194">
      <x:c r="A194" s="17" t="str">
        <x:v>Falcon-7B</x:v>
      </x:c>
      <x:c r="B194" s="17" t="str">
        <x:v>Falcon-7B</x:v>
      </x:c>
      <x:c r="C194" s="17" t="n">
        <x:v>45040</x:v>
      </x:c>
      <x:c r="D194" s="17" t="n">
        <x:v>94.81</x:v>
      </x:c>
      <x:c r="E194" s="17" t="n">
        <x:v>81.69</x:v>
      </x:c>
      <x:c r="F194" s="17" t="n">
        <x:v>102.89</x:v>
      </x:c>
      <x:c r="G194" s="17" t="str">
        <x:v>Technology Innovation Institute</x:v>
      </x:c>
      <x:c r="H194" s="17" t="str">
        <x:v>United Arab Emirates</x:v>
      </x:c>
      <x:c r="I194" s="17" t="str">
        <x:v>Open weights (unrestricted)</x:v>
      </x:c>
      <x:c r="J194" s="17" t="str">
        <x:v>Open weights</x:v>
      </x:c>
      <x:c r="K194" s="17"/>
      <x:c r="L194" s="17"/>
      <x:c r="M194" s="17"/>
      <x:c r="N194" s="17"/>
      <x:c r="O194" s="17"/>
      <x:c r="P194" s="17"/>
      <x:c r="Q194" s="17"/>
      <x:c r="R194" s="17"/>
      <x:c r="S194" s="17"/>
      <x:c r="T194" s="17"/>
      <x:c r="U194" s="17"/>
      <x:c r="V194" s="17"/>
      <x:c r="W194" s="17"/>
      <x:c r="X194" s="17"/>
      <x:c r="Y194" s="17"/>
      <x:c r="Z194" s="17"/>
    </x:row>
    <x:row r="195">
      <x:c r="A195" s="17" t="str">
        <x:v>CodeQwen1.5-7B</x:v>
      </x:c>
      <x:c r="B195" s="17" t="str">
        <x:v>CodeQwen1.5-7B</x:v>
      </x:c>
      <x:c r="C195" s="17" t="n">
        <x:v>45397</x:v>
      </x:c>
      <x:c r="D195" s="17" t="n">
        <x:v>94.56</x:v>
      </x:c>
      <x:c r="E195" s="17" t="n">
        <x:v>81.18</x:v>
      </x:c>
      <x:c r="F195" s="17" t="n">
        <x:v>102.94</x:v>
      </x:c>
      <x:c r="G195" s="17"/>
      <x:c r="H195" s="17"/>
      <x:c r="I195" s="17" t="str">
        <x:v>Unknown</x:v>
      </x:c>
      <x:c r="J195" s="17" t="str">
        <x:v>Other</x:v>
      </x:c>
      <x:c r="K195" s="17"/>
      <x:c r="L195" s="17"/>
      <x:c r="M195" s="17"/>
      <x:c r="N195" s="17"/>
      <x:c r="O195" s="17"/>
      <x:c r="P195" s="17"/>
      <x:c r="Q195" s="17"/>
      <x:c r="R195" s="17"/>
      <x:c r="S195" s="17"/>
      <x:c r="T195" s="17"/>
      <x:c r="U195" s="17"/>
      <x:c r="V195" s="17"/>
      <x:c r="W195" s="17"/>
      <x:c r="X195" s="17"/>
      <x:c r="Y195" s="17"/>
      <x:c r="Z195" s="17"/>
    </x:row>
    <x:row r="196">
      <x:c r="A196" s="17" t="str">
        <x:v>vicuna-13b-v1.1</x:v>
      </x:c>
      <x:c r="B196" s="17" t="str">
        <x:v>vicuna-13b-v1.1</x:v>
      </x:c>
      <x:c r="C196" s="17" t="n">
        <x:v>45028</x:v>
      </x:c>
      <x:c r="D196" s="17" t="n">
        <x:v>94.4</x:v>
      </x:c>
      <x:c r="E196" s="17" t="n">
        <x:v>81.38</x:v>
      </x:c>
      <x:c r="F196" s="17" t="n">
        <x:v>103.21</x:v>
      </x:c>
      <x:c r="G196" s="17"/>
      <x:c r="H196" s="17"/>
      <x:c r="I196" s="17" t="str">
        <x:v>Unknown</x:v>
      </x:c>
      <x:c r="J196" s="17" t="str">
        <x:v>Other</x:v>
      </x:c>
      <x:c r="K196" s="17"/>
      <x:c r="L196" s="17"/>
      <x:c r="M196" s="17"/>
      <x:c r="N196" s="17"/>
      <x:c r="O196" s="17"/>
      <x:c r="P196" s="17"/>
      <x:c r="Q196" s="17"/>
      <x:c r="R196" s="17"/>
      <x:c r="S196" s="17"/>
      <x:c r="T196" s="17"/>
      <x:c r="U196" s="17"/>
      <x:c r="V196" s="17"/>
      <x:c r="W196" s="17"/>
      <x:c r="X196" s="17"/>
      <x:c r="Y196" s="17"/>
      <x:c r="Z196" s="17"/>
    </x:row>
    <x:row r="197">
      <x:c r="A197" s="17" t="str">
        <x:v>MPT-7B</x:v>
      </x:c>
      <x:c r="B197" s="17" t="str">
        <x:v>MPT-7B</x:v>
      </x:c>
      <x:c r="C197" s="17" t="n">
        <x:v>45051</x:v>
      </x:c>
      <x:c r="D197" s="17" t="n">
        <x:v>94.3</x:v>
      </x:c>
      <x:c r="E197" s="17" t="n">
        <x:v>81.04</x:v>
      </x:c>
      <x:c r="F197" s="17" t="n">
        <x:v>102.67</x:v>
      </x:c>
      <x:c r="G197" s="17" t="str">
        <x:v>MosaicML</x:v>
      </x:c>
      <x:c r="H197" s="17" t="str">
        <x:v>United States of America</x:v>
      </x:c>
      <x:c r="I197" s="17" t="str">
        <x:v>Open weights (unrestricted)</x:v>
      </x:c>
      <x:c r="J197" s="17" t="str">
        <x:v>Open weights</x:v>
      </x:c>
      <x:c r="K197" s="17"/>
      <x:c r="L197" s="17"/>
      <x:c r="M197" s="17"/>
      <x:c r="N197" s="17"/>
      <x:c r="O197" s="17"/>
      <x:c r="P197" s="17"/>
      <x:c r="Q197" s="17"/>
      <x:c r="R197" s="17"/>
      <x:c r="S197" s="17"/>
      <x:c r="T197" s="17"/>
      <x:c r="U197" s="17"/>
      <x:c r="V197" s="17"/>
      <x:c r="W197" s="17"/>
      <x:c r="X197" s="17"/>
      <x:c r="Y197" s="17"/>
      <x:c r="Z197" s="17"/>
    </x:row>
    <x:row r="198">
      <x:c r="A198" s="17" t="str">
        <x:v>Gemma 2B</x:v>
      </x:c>
      <x:c r="B198" s="17" t="str">
        <x:v>Gemma 2B</x:v>
      </x:c>
      <x:c r="C198" s="17" t="n">
        <x:v>45343</x:v>
      </x:c>
      <x:c r="D198" s="17" t="n">
        <x:v>93.91</x:v>
      </x:c>
      <x:c r="E198" s="17" t="n">
        <x:v>81</x:v>
      </x:c>
      <x:c r="F198" s="17" t="n">
        <x:v>101.27</x:v>
      </x:c>
      <x:c r="G198" s="17" t="str">
        <x:v>Google DeepMind</x:v>
      </x:c>
      <x:c r="H198" s="17" t="str">
        <x:v>United States of America</x:v>
      </x:c>
      <x:c r="I198" s="17" t="str">
        <x:v>Open weights (restricted use)</x:v>
      </x:c>
      <x:c r="J198" s="17" t="str">
        <x:v>Open weights</x:v>
      </x:c>
      <x:c r="K198" s="17"/>
      <x:c r="L198" s="17"/>
      <x:c r="M198" s="17"/>
      <x:c r="N198" s="17"/>
      <x:c r="O198" s="17"/>
      <x:c r="P198" s="17"/>
      <x:c r="Q198" s="17"/>
      <x:c r="R198" s="17"/>
      <x:c r="S198" s="17"/>
      <x:c r="T198" s="17"/>
      <x:c r="U198" s="17"/>
      <x:c r="V198" s="17"/>
      <x:c r="W198" s="17"/>
      <x:c r="X198" s="17"/>
      <x:c r="Y198" s="17"/>
      <x:c r="Z198" s="17"/>
    </x:row>
    <x:row r="199">
      <x:c r="A199" s="17" t="str">
        <x:v>StarCoder 2 7B</x:v>
      </x:c>
      <x:c r="B199" s="17" t="str">
        <x:v>StarCoder 2 7B</x:v>
      </x:c>
      <x:c r="C199" s="17" t="n">
        <x:v>45351</x:v>
      </x:c>
      <x:c r="D199" s="17" t="n">
        <x:v>93.25</x:v>
      </x:c>
      <x:c r="E199" s="17" t="n">
        <x:v>76.05</x:v>
      </x:c>
      <x:c r="F199" s="17" t="n">
        <x:v>102.02</x:v>
      </x:c>
      <x:c r="G199" s="17" t="str">
        <x:v>Hugging Face,ServiceNow,NVIDIA,BigCode</x:v>
      </x:c>
      <x:c r="H199" s="17" t="str">
        <x:v>United States of America</x:v>
      </x:c>
      <x:c r="I199" s="17" t="str">
        <x:v>Open weights (restricted use)</x:v>
      </x:c>
      <x:c r="J199" s="17" t="str">
        <x:v>Open weights</x:v>
      </x:c>
      <x:c r="K199" s="17"/>
      <x:c r="L199" s="17"/>
      <x:c r="M199" s="17"/>
      <x:c r="N199" s="17"/>
      <x:c r="O199" s="17"/>
      <x:c r="P199" s="17"/>
      <x:c r="Q199" s="17"/>
      <x:c r="R199" s="17"/>
      <x:c r="S199" s="17"/>
      <x:c r="T199" s="17"/>
      <x:c r="U199" s="17"/>
      <x:c r="V199" s="17"/>
      <x:c r="W199" s="17"/>
      <x:c r="X199" s="17"/>
      <x:c r="Y199" s="17"/>
      <x:c r="Z199" s="17"/>
    </x:row>
    <x:row r="200">
      <x:c r="A200" s="17" t="str">
        <x:v>XGen-7B</x:v>
      </x:c>
      <x:c r="B200" s="17" t="str">
        <x:v>XGen-7B</x:v>
      </x:c>
      <x:c r="C200" s="17" t="n">
        <x:v>45176</x:v>
      </x:c>
      <x:c r="D200" s="17" t="n">
        <x:v>93.11</x:v>
      </x:c>
      <x:c r="E200" s="17" t="n">
        <x:v>79.82</x:v>
      </x:c>
      <x:c r="F200" s="17" t="n">
        <x:v>101.25</x:v>
      </x:c>
      <x:c r="G200" s="17" t="str">
        <x:v>Salesforce</x:v>
      </x:c>
      <x:c r="H200" s="17" t="str">
        <x:v>United States of America</x:v>
      </x:c>
      <x:c r="I200" s="17" t="str">
        <x:v>Open weights (unrestricted)</x:v>
      </x:c>
      <x:c r="J200" s="17" t="str">
        <x:v>Open weights</x:v>
      </x:c>
      <x:c r="K200" s="17"/>
      <x:c r="L200" s="17"/>
      <x:c r="M200" s="17"/>
      <x:c r="N200" s="17"/>
      <x:c r="O200" s="17"/>
      <x:c r="P200" s="17"/>
      <x:c r="Q200" s="17"/>
      <x:c r="R200" s="17"/>
      <x:c r="S200" s="17"/>
      <x:c r="T200" s="17"/>
      <x:c r="U200" s="17"/>
      <x:c r="V200" s="17"/>
      <x:c r="W200" s="17"/>
      <x:c r="X200" s="17"/>
      <x:c r="Y200" s="17"/>
      <x:c r="Z200" s="17"/>
    </x:row>
    <x:row r="201">
      <x:c r="A201" s="17" t="str">
        <x:v>Qwen-1_8B</x:v>
      </x:c>
      <x:c r="B201" s="17" t="str">
        <x:v>Qwen-1_8B</x:v>
      </x:c>
      <x:c r="C201" s="17" t="n">
        <x:v>45260</x:v>
      </x:c>
      <x:c r="D201" s="17" t="n">
        <x:v>92.58</x:v>
      </x:c>
      <x:c r="E201" s="17" t="n">
        <x:v>72.62</x:v>
      </x:c>
      <x:c r="F201" s="17" t="n">
        <x:v>102.47</x:v>
      </x:c>
      <x:c r="G201" s="17"/>
      <x:c r="H201" s="17"/>
      <x:c r="I201" s="17" t="str">
        <x:v>Unknown</x:v>
      </x:c>
      <x:c r="J201" s="17" t="str">
        <x:v>Other</x:v>
      </x:c>
      <x:c r="K201" s="17"/>
      <x:c r="L201" s="17"/>
      <x:c r="M201" s="17"/>
      <x:c r="N201" s="17"/>
      <x:c r="O201" s="17"/>
      <x:c r="P201" s="17"/>
      <x:c r="Q201" s="17"/>
      <x:c r="R201" s="17"/>
      <x:c r="S201" s="17"/>
      <x:c r="T201" s="17"/>
      <x:c r="U201" s="17"/>
      <x:c r="V201" s="17"/>
      <x:c r="W201" s="17"/>
      <x:c r="X201" s="17"/>
      <x:c r="Y201" s="17"/>
      <x:c r="Z201" s="17"/>
    </x:row>
    <x:row r="202">
      <x:c r="A202" s="17" t="str">
        <x:v>open_llama_7b</x:v>
      </x:c>
      <x:c r="B202" s="17" t="str">
        <x:v>open_llama_7b</x:v>
      </x:c>
      <x:c r="C202" s="17" t="n">
        <x:v>45084</x:v>
      </x:c>
      <x:c r="D202" s="17" t="n">
        <x:v>91.36</x:v>
      </x:c>
      <x:c r="E202" s="17" t="n">
        <x:v>76.58</x:v>
      </x:c>
      <x:c r="F202" s="17" t="n">
        <x:v>100.39</x:v>
      </x:c>
      <x:c r="G202" s="17"/>
      <x:c r="H202" s="17"/>
      <x:c r="I202" s="17" t="str">
        <x:v>Unknown</x:v>
      </x:c>
      <x:c r="J202" s="17" t="str">
        <x:v>Other</x:v>
      </x:c>
      <x:c r="K202" s="17"/>
      <x:c r="L202" s="17"/>
      <x:c r="M202" s="17"/>
      <x:c r="N202" s="17"/>
      <x:c r="O202" s="17"/>
      <x:c r="P202" s="17"/>
      <x:c r="Q202" s="17"/>
      <x:c r="R202" s="17"/>
      <x:c r="S202" s="17"/>
      <x:c r="T202" s="17"/>
      <x:c r="U202" s="17"/>
      <x:c r="V202" s="17"/>
      <x:c r="W202" s="17"/>
      <x:c r="X202" s="17"/>
      <x:c r="Y202" s="17"/>
      <x:c r="Z202" s="17"/>
    </x:row>
    <x:row r="203">
      <x:c r="A203" s="17" t="str">
        <x:v>Phi-1.5</x:v>
      </x:c>
      <x:c r="B203" s="17" t="str">
        <x:v>Phi-1.5</x:v>
      </x:c>
      <x:c r="C203" s="17" t="n">
        <x:v>45180</x:v>
      </x:c>
      <x:c r="D203" s="17" t="n">
        <x:v>91.26</x:v>
      </x:c>
      <x:c r="E203" s="17" t="n">
        <x:v>72.29</x:v>
      </x:c>
      <x:c r="F203" s="17" t="n">
        <x:v>101.39</x:v>
      </x:c>
      <x:c r="G203" s="17" t="str">
        <x:v>Microsoft</x:v>
      </x:c>
      <x:c r="H203" s="17" t="str">
        <x:v>United States of America</x:v>
      </x:c>
      <x:c r="I203" s="17" t="str">
        <x:v>Open weights (unrestricted)</x:v>
      </x:c>
      <x:c r="J203" s="17" t="str">
        <x:v>Open weights</x:v>
      </x:c>
      <x:c r="K203" s="17"/>
      <x:c r="L203" s="17"/>
      <x:c r="M203" s="17"/>
      <x:c r="N203" s="17"/>
      <x:c r="O203" s="17"/>
      <x:c r="P203" s="17"/>
      <x:c r="Q203" s="17"/>
      <x:c r="R203" s="17"/>
      <x:c r="S203" s="17"/>
      <x:c r="T203" s="17"/>
      <x:c r="U203" s="17"/>
      <x:c r="V203" s="17"/>
      <x:c r="W203" s="17"/>
      <x:c r="X203" s="17"/>
      <x:c r="Y203" s="17"/>
      <x:c r="Z203" s="17"/>
    </x:row>
    <x:row r="204">
      <x:c r="A204" s="17" t="str">
        <x:v>Baichuan1-7B</x:v>
      </x:c>
      <x:c r="B204" s="17" t="str">
        <x:v>Baichuan1-7B</x:v>
      </x:c>
      <x:c r="C204" s="17" t="n">
        <x:v>45078</x:v>
      </x:c>
      <x:c r="D204" s="17" t="n">
        <x:v>90.14</x:v>
      </x:c>
      <x:c r="E204" s="17" t="n">
        <x:v>75.09</x:v>
      </x:c>
      <x:c r="F204" s="17" t="n">
        <x:v>99.78</x:v>
      </x:c>
      <x:c r="G204" s="17" t="str">
        <x:v>Baichuan</x:v>
      </x:c>
      <x:c r="H204" s="17" t="str">
        <x:v>China</x:v>
      </x:c>
      <x:c r="I204" s="17" t="str">
        <x:v>Open weights (non-commercial)</x:v>
      </x:c>
      <x:c r="J204" s="17" t="str">
        <x:v>Open weights</x:v>
      </x:c>
      <x:c r="K204" s="17"/>
      <x:c r="L204" s="17"/>
      <x:c r="M204" s="17"/>
      <x:c r="N204" s="17"/>
      <x:c r="O204" s="17"/>
      <x:c r="P204" s="17"/>
      <x:c r="Q204" s="17"/>
      <x:c r="R204" s="17"/>
      <x:c r="S204" s="17"/>
      <x:c r="T204" s="17"/>
      <x:c r="U204" s="17"/>
      <x:c r="V204" s="17"/>
      <x:c r="W204" s="17"/>
      <x:c r="X204" s="17"/>
      <x:c r="Y204" s="17"/>
      <x:c r="Z204" s="17"/>
    </x:row>
    <x:row r="205">
      <x:c r="A205" s="17" t="str">
        <x:v>RedPajama-INCITE-7B-Base</x:v>
      </x:c>
      <x:c r="B205" s="17" t="str">
        <x:v>RedPajama-INCITE-7B-Base</x:v>
      </x:c>
      <x:c r="C205" s="17" t="n">
        <x:v>45050</x:v>
      </x:c>
      <x:c r="D205" s="17" t="n">
        <x:v>90.12</x:v>
      </x:c>
      <x:c r="E205" s="17" t="n">
        <x:v>74.73</x:v>
      </x:c>
      <x:c r="F205" s="17" t="n">
        <x:v>99.34</x:v>
      </x:c>
      <x:c r="G205" s="17"/>
      <x:c r="H205" s="17"/>
      <x:c r="I205" s="17" t="str">
        <x:v>Unknown</x:v>
      </x:c>
      <x:c r="J205" s="17" t="str">
        <x:v>Other</x:v>
      </x:c>
      <x:c r="K205" s="17"/>
      <x:c r="L205" s="17"/>
      <x:c r="M205" s="17"/>
      <x:c r="N205" s="17"/>
      <x:c r="O205" s="17"/>
      <x:c r="P205" s="17"/>
      <x:c r="Q205" s="17"/>
      <x:c r="R205" s="17"/>
      <x:c r="S205" s="17"/>
      <x:c r="T205" s="17"/>
      <x:c r="U205" s="17"/>
      <x:c r="V205" s="17"/>
      <x:c r="W205" s="17"/>
      <x:c r="X205" s="17"/>
      <x:c r="Y205" s="17"/>
      <x:c r="Z205" s="17"/>
    </x:row>
    <x:row r="206">
      <x:c r="A206" s="17" t="str">
        <x:v>Dolly 2.0-12b</x:v>
      </x:c>
      <x:c r="B206" s="17" t="str">
        <x:v>Dolly 2.0-12b</x:v>
      </x:c>
      <x:c r="C206" s="17" t="n">
        <x:v>45028</x:v>
      </x:c>
      <x:c r="D206" s="17" t="n">
        <x:v>89.37</x:v>
      </x:c>
      <x:c r="E206" s="17" t="n">
        <x:v>74.42</x:v>
      </x:c>
      <x:c r="F206" s="17" t="n">
        <x:v>98.45</x:v>
      </x:c>
      <x:c r="G206" s="17" t="str">
        <x:v>Databricks</x:v>
      </x:c>
      <x:c r="H206" s="17" t="str">
        <x:v>United States of America</x:v>
      </x:c>
      <x:c r="I206" s="17" t="str">
        <x:v>Open weights (unrestricted)</x:v>
      </x:c>
      <x:c r="J206" s="17" t="str">
        <x:v>Open weights</x:v>
      </x:c>
      <x:c r="K206" s="17"/>
      <x:c r="L206" s="17"/>
      <x:c r="M206" s="17"/>
      <x:c r="N206" s="17"/>
      <x:c r="O206" s="17"/>
      <x:c r="P206" s="17"/>
      <x:c r="Q206" s="17"/>
      <x:c r="R206" s="17"/>
      <x:c r="S206" s="17"/>
      <x:c r="T206" s="17"/>
      <x:c r="U206" s="17"/>
      <x:c r="V206" s="17"/>
      <x:c r="W206" s="17"/>
      <x:c r="X206" s="17"/>
      <x:c r="Y206" s="17"/>
      <x:c r="Z206" s="17"/>
    </x:row>
    <x:row r="207">
      <x:c r="A207" s="17" t="str">
        <x:v>DeepSeek Coder 6.7B</x:v>
      </x:c>
      <x:c r="B207" s="17" t="str">
        <x:v>DeepSeek Coder 6.7B</x:v>
      </x:c>
      <x:c r="C207" s="17" t="n">
        <x:v>45316</x:v>
      </x:c>
      <x:c r="D207" s="17" t="n">
        <x:v>89.32</x:v>
      </x:c>
      <x:c r="E207" s="17" t="n">
        <x:v>72.08</x:v>
      </x:c>
      <x:c r="F207" s="17" t="n">
        <x:v>98.6</x:v>
      </x:c>
      <x:c r="G207" s="17" t="str">
        <x:v>DeepSeek,Peking University</x:v>
      </x:c>
      <x:c r="H207" s="17" t="str">
        <x:v>China</x:v>
      </x:c>
      <x:c r="I207" s="17" t="str">
        <x:v>Open weights (restricted use)</x:v>
      </x:c>
      <x:c r="J207" s="17" t="str">
        <x:v>Open weights</x:v>
      </x:c>
      <x:c r="K207" s="17"/>
      <x:c r="L207" s="17"/>
      <x:c r="M207" s="17"/>
      <x:c r="N207" s="17"/>
      <x:c r="O207" s="17"/>
      <x:c r="P207" s="17"/>
      <x:c r="Q207" s="17"/>
      <x:c r="R207" s="17"/>
      <x:c r="S207" s="17"/>
      <x:c r="T207" s="17"/>
      <x:c r="U207" s="17"/>
      <x:c r="V207" s="17"/>
      <x:c r="W207" s="17"/>
      <x:c r="X207" s="17"/>
      <x:c r="Y207" s="17"/>
      <x:c r="Z207" s="17"/>
    </x:row>
    <x:row r="208">
      <x:c r="A208" s="17" t="str">
        <x:v>StarCoder 2 3B</x:v>
      </x:c>
      <x:c r="B208" s="17" t="str">
        <x:v>StarCoder 2 3B</x:v>
      </x:c>
      <x:c r="C208" s="17" t="n">
        <x:v>45351</x:v>
      </x:c>
      <x:c r="D208" s="17" t="n">
        <x:v>88.47</x:v>
      </x:c>
      <x:c r="E208" s="17" t="n">
        <x:v>73.81</x:v>
      </x:c>
      <x:c r="F208" s="17" t="n">
        <x:v>98.03</x:v>
      </x:c>
      <x:c r="G208" s="17" t="str">
        <x:v>Hugging Face,ServiceNow,NVIDIA,BigCode</x:v>
      </x:c>
      <x:c r="H208" s="17" t="str">
        <x:v>United States of America</x:v>
      </x:c>
      <x:c r="I208" s="17" t="str">
        <x:v>Open weights (restricted use)</x:v>
      </x:c>
      <x:c r="J208" s="17" t="str">
        <x:v>Open weights</x:v>
      </x:c>
      <x:c r="K208" s="17"/>
      <x:c r="L208" s="17"/>
      <x:c r="M208" s="17"/>
      <x:c r="N208" s="17"/>
      <x:c r="O208" s="17"/>
      <x:c r="P208" s="17"/>
      <x:c r="Q208" s="17"/>
      <x:c r="R208" s="17"/>
      <x:c r="S208" s="17"/>
      <x:c r="T208" s="17"/>
      <x:c r="U208" s="17"/>
      <x:c r="V208" s="17"/>
      <x:c r="W208" s="17"/>
      <x:c r="X208" s="17"/>
      <x:c r="Y208" s="17"/>
      <x:c r="Z208" s="17"/>
    </x:row>
    <x:row r="209">
      <x:c r="A209" s="17" t="str">
        <x:v>Qwen2.5-Coder-0.5B</x:v>
      </x:c>
      <x:c r="B209" s="17" t="str">
        <x:v>Qwen2.5-Coder-0.5B</x:v>
      </x:c>
      <x:c r="C209" s="17" t="n">
        <x:v>45553</x:v>
      </x:c>
      <x:c r="D209" s="17" t="n">
        <x:v>87.88</x:v>
      </x:c>
      <x:c r="E209" s="17" t="n">
        <x:v>63.22</x:v>
      </x:c>
      <x:c r="F209" s="17" t="n">
        <x:v>100.04</x:v>
      </x:c>
      <x:c r="G209" s="17"/>
      <x:c r="H209" s="17"/>
      <x:c r="I209" s="17" t="str">
        <x:v>Unknown</x:v>
      </x:c>
      <x:c r="J209" s="17" t="str">
        <x:v>Other</x:v>
      </x:c>
      <x:c r="K209" s="17"/>
      <x:c r="L209" s="17"/>
      <x:c r="M209" s="17"/>
      <x:c r="N209" s="17"/>
      <x:c r="O209" s="17"/>
      <x:c r="P209" s="17"/>
      <x:c r="Q209" s="17"/>
      <x:c r="R209" s="17"/>
      <x:c r="S209" s="17"/>
      <x:c r="T209" s="17"/>
      <x:c r="U209" s="17"/>
      <x:c r="V209" s="17"/>
      <x:c r="W209" s="17"/>
      <x:c r="X209" s="17"/>
      <x:c r="Y209" s="17"/>
      <x:c r="Z209" s="17"/>
    </x:row>
    <x:row r="210">
      <x:c r="A210" s="17" t="str">
        <x:v>Cerebras-GPT-13B</x:v>
      </x:c>
      <x:c r="B210" s="17" t="str">
        <x:v>Cerebras-GPT-13B</x:v>
      </x:c>
      <x:c r="C210" s="17" t="n">
        <x:v>45022</x:v>
      </x:c>
      <x:c r="D210" s="17" t="n">
        <x:v>82.95</x:v>
      </x:c>
      <x:c r="E210" s="17" t="n">
        <x:v>67.22</x:v>
      </x:c>
      <x:c r="F210" s="17" t="n">
        <x:v>92.99</x:v>
      </x:c>
      <x:c r="G210" s="17" t="str">
        <x:v>Cerebras Systems</x:v>
      </x:c>
      <x:c r="H210" s="17" t="str">
        <x:v>United States of America</x:v>
      </x:c>
      <x:c r="I210" s="17" t="str">
        <x:v>Open weights (unrestricted)</x:v>
      </x:c>
      <x:c r="J210" s="17" t="str">
        <x:v>Open weights</x:v>
      </x:c>
      <x:c r="K210" s="17"/>
      <x:c r="L210" s="17"/>
      <x:c r="M210" s="17"/>
      <x:c r="N210" s="17"/>
      <x:c r="O210" s="17"/>
      <x:c r="P210" s="17"/>
      <x:c r="Q210" s="17"/>
      <x:c r="R210" s="17"/>
      <x:c r="S210" s="17"/>
      <x:c r="T210" s="17"/>
      <x:c r="U210" s="17"/>
      <x:c r="V210" s="17"/>
      <x:c r="W210" s="17"/>
      <x:c r="X210" s="17"/>
      <x:c r="Y210" s="17"/>
      <x:c r="Z210" s="17"/>
    </x:row>
    <x:row r="211">
      <x:c r="A211" s="17" t="str">
        <x:v>DeepSeek Coder 1.3B</x:v>
      </x:c>
      <x:c r="B211" s="17" t="str">
        <x:v>DeepSeek Coder 1.3B</x:v>
      </x:c>
      <x:c r="C211" s="17" t="n">
        <x:v>45316</x:v>
      </x:c>
      <x:c r="D211" s="17" t="n">
        <x:v>64.01</x:v>
      </x:c>
      <x:c r="E211" s="17" t="n">
        <x:v>44.11</x:v>
      </x:c>
      <x:c r="F211" s="17" t="n">
        <x:v>79.87</x:v>
      </x:c>
      <x:c r="G211" s="17" t="str">
        <x:v>DeepSeek,Peking University</x:v>
      </x:c>
      <x:c r="H211" s="17" t="str">
        <x:v>China</x:v>
      </x:c>
      <x:c r="I211" s="17" t="str">
        <x:v>Open weights (restricted use)</x:v>
      </x:c>
      <x:c r="J211" s="17" t="str">
        <x:v>Open weights</x:v>
      </x:c>
      <x:c r="K211" s="17"/>
      <x:c r="L211" s="17"/>
      <x:c r="M211" s="17"/>
      <x:c r="N211" s="17"/>
      <x:c r="O211" s="17"/>
      <x:c r="P211" s="17"/>
      <x:c r="Q211" s="17"/>
      <x:c r="R211" s="17"/>
      <x:c r="S211" s="17"/>
      <x:c r="T211" s="17"/>
      <x:c r="U211" s="17"/>
      <x:c r="V211" s="17"/>
      <x:c r="W211" s="17"/>
      <x:c r="X211" s="17"/>
      <x:c r="Y211" s="17"/>
      <x:c r="Z211" s="17"/>
    </x:row>
    <x:row r="212">
      <x:c r="A212" s="18" t="str">
        <x:v>stablelm-tuned-alpha-7b</x:v>
      </x:c>
      <x:c r="B212" s="18" t="str">
        <x:v>stablelm-tuned-alpha-7b</x:v>
      </x:c>
      <x:c r="C212" s="18" t="n">
        <x:v>45035</x:v>
      </x:c>
      <x:c r="D212" s="18" t="n">
        <x:v>55.51</x:v>
      </x:c>
      <x:c r="E212" s="18" t="n">
        <x:v>31.98</x:v>
      </x:c>
      <x:c r="F212" s="18" t="n">
        <x:v>74.21</x:v>
      </x:c>
      <x:c r="G212" s="18"/>
      <x:c r="H212" s="18"/>
      <x:c r="I212" s="18" t="str">
        <x:v>Unknown</x:v>
      </x:c>
      <x:c r="J212" s="18" t="str">
        <x:v>Other</x:v>
      </x:c>
      <x:c r="K212" s="18"/>
      <x:c r="L212" s="18"/>
      <x:c r="M212" s="18"/>
      <x:c r="N212" s="18"/>
      <x:c r="O212" s="18"/>
      <x:c r="P212" s="18"/>
      <x:c r="Q212" s="18"/>
      <x:c r="R212" s="18"/>
      <x:c r="S212" s="18"/>
      <x:c r="T212" s="18"/>
      <x:c r="U212" s="18"/>
      <x:c r="V212" s="18"/>
      <x:c r="W212" s="18"/>
      <x:c r="X212" s="18"/>
      <x:c r="Y212" s="18"/>
      <x:c r="Z212" s="18"/>
    </x:row>
  </x:sheetData>
  <x:pageMargins left="0.7" right="0.7" top="0.75" bottom="0.75" header="0.3" footer="0.3"/>
</x:worksheet>
</file>

<file path=xl/worksheets/sheet23.xml><?xml version="1.0" encoding="utf-8"?>
<x:worksheet xmlns:x="http://schemas.openxmlformats.org/spreadsheetml/2006/main">
  <x:sheetViews>
    <x:sheetView showGridLines="0" workbookViewId="0"/>
  </x:sheetViews>
  <x:sheetFormatPr defaultRowHeight="15"/>
  <x:cols>
    <x:col min="1" max="1" width="36" hidden="0" customWidth="1"/>
    <x:col min="2" max="2" width="3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s>
  <x:sheetData>
    <x:row r="1" ht="34" customHeight="1">
      <x:c r="A1" s="71" t="str">
        <x:v>Model</x:v>
      </x:c>
      <x:c r="B1" s="71" t="str">
        <x:v>id_model_version</x:v>
      </x:c>
      <x:c r="C1" s="71" t="str">
        <x:v>Display name</x:v>
      </x:c>
      <x:c r="D1" s="71" t="str">
        <x:v>Organization</x:v>
      </x:c>
      <x:c r="E1" s="71" t="str">
        <x:v>Country (of organization)</x:v>
      </x:c>
      <x:c r="F1" s="71" t="str">
        <x:v>Version release date</x:v>
      </x:c>
      <x:c r="G1" s="71" t="str">
        <x:v>Model accessibility</x:v>
      </x:c>
      <x:c r="H1" s="71" t="str">
        <x:v>Publication date</x:v>
      </x:c>
      <x:c r="I1" s="71" t="str">
        <x:v>Training compute (FLOP)</x:v>
      </x:c>
      <x:c r="J1" s="71" t="str">
        <x:v>Confidence</x:v>
      </x:c>
      <x:c r="K1" s="71" t="str">
        <x:v>Description</x:v>
      </x:c>
      <x:c r="L1" s="71" t="str">
        <x:v>Unique display name</x:v>
      </x:c>
      <x:c r="M1" s="71" t="str">
        <x:v>Model aggregation</x:v>
      </x:c>
      <x:c r="N1" s="71" t="str">
        <x:v>model_group</x:v>
      </x:c>
      <x:c r="O1" s="71" t="str">
        <x:v>slug</x:v>
      </x:c>
      <x:c r="P1" s="71" t="str">
        <x:v>eci</x:v>
      </x:c>
      <x:c r="Q1" s="71" t="str">
        <x:v>eci_ci_low</x:v>
      </x:c>
      <x:c r="R1" s="71" t="str">
        <x:v>eci_ci_high</x:v>
      </x:c>
      <x:c r="S1" s="71"/>
      <x:c r="T1" s="71"/>
      <x:c r="U1" s="71"/>
      <x:c r="V1" s="71"/>
      <x:c r="W1" s="71"/>
      <x:c r="X1" s="71"/>
      <x:c r="Y1" s="71"/>
      <x:c r="Z1" s="71"/>
    </x:row>
    <x:row r="2">
      <x:c r="A2" s="16" t="str">
        <x:v>Grok 4.20</x:v>
      </x:c>
      <x:c r="B2" s="16" t="str">
        <x:v>grok-4.20-0309-reasoning</x:v>
      </x:c>
      <x:c r="C2" s="16"/>
      <x:c r="D2" s="16" t="str">
        <x:v>xAI</x:v>
      </x:c>
      <x:c r="E2" s="16" t="str">
        <x:v>United States of America</x:v>
      </x:c>
      <x:c r="F2" s="16" t="n">
        <x:v>46070</x:v>
      </x:c>
      <x:c r="G2" s="16" t="str">
        <x:v>API access</x:v>
      </x:c>
      <x:c r="H2" s="16" t="n">
        <x:v>46070</x:v>
      </x:c>
      <x:c r="I2" s="16"/>
      <x:c r="J2" s="16" t="str">
        <x:v>Likely</x:v>
      </x:c>
      <x:c r="K2" s="16"/>
      <x:c r="L2" s="16"/>
      <x:c r="M2" s="16"/>
      <x:c r="N2" s="16" t="str">
        <x:v>Grok 4.20</x:v>
      </x:c>
      <x:c r="O2" s="16" t="str">
        <x:v>grok-4-20</x:v>
      </x:c>
      <x:c r="P2" s="16" t="n">
        <x:v>152.56</x:v>
      </x:c>
      <x:c r="Q2" s="16" t="n">
        <x:v>149.24</x:v>
      </x:c>
      <x:c r="R2" s="16" t="n">
        <x:v>154.54</x:v>
      </x:c>
      <x:c r="S2" s="16"/>
      <x:c r="T2" s="16"/>
      <x:c r="U2" s="16"/>
      <x:c r="V2" s="16"/>
      <x:c r="W2" s="16"/>
      <x:c r="X2" s="16"/>
      <x:c r="Y2" s="16"/>
      <x:c r="Z2" s="16"/>
    </x:row>
    <x:row r="3">
      <x:c r="A3" s="17" t="str">
        <x:v>GPT-5.6 Sol</x:v>
      </x:c>
      <x:c r="B3" s="17" t="str">
        <x:v>gpt-5.6-sol_promax</x:v>
      </x:c>
      <x:c r="C3" s="17" t="str">
        <x:v>GPT-5.6 Sol (pro, max)</x:v>
      </x:c>
      <x:c r="D3" s="17" t="str">
        <x:v>OpenAI</x:v>
      </x:c>
      <x:c r="E3" s="17" t="str">
        <x:v>United States of America</x:v>
      </x:c>
      <x:c r="F3" s="17" t="n">
        <x:v>46212</x:v>
      </x:c>
      <x:c r="G3" s="17" t="str">
        <x:v>API access</x:v>
      </x:c>
      <x:c r="H3" s="17" t="n">
        <x:v>46212</x:v>
      </x:c>
      <x:c r="I3" s="17"/>
      <x:c r="J3" s="17" t="str">
        <x:v>Unverified</x:v>
      </x:c>
      <x:c r="K3" s="17"/>
      <x:c r="L3" s="17" t="str">
        <x:v>GPT-5.6 Sol (pro, max)</x:v>
      </x:c>
      <x:c r="M3" s="17"/>
      <x:c r="N3" s="17" t="str">
        <x:v>GPT-5.6 Sol</x:v>
      </x:c>
      <x:c r="O3" s="17" t="str">
        <x:v>gpt-5-6-sol</x:v>
      </x:c>
      <x:c r="P3" s="17" t="n">
        <x:v>161.77</x:v>
      </x:c>
      <x:c r="Q3" s="17" t="n">
        <x:v>159.26</x:v>
      </x:c>
      <x:c r="R3" s="17" t="n">
        <x:v>166.01</x:v>
      </x:c>
      <x:c r="S3" s="17"/>
      <x:c r="T3" s="17"/>
      <x:c r="U3" s="17"/>
      <x:c r="V3" s="17"/>
      <x:c r="W3" s="17"/>
      <x:c r="X3" s="17"/>
      <x:c r="Y3" s="17"/>
      <x:c r="Z3" s="17"/>
    </x:row>
    <x:row r="4">
      <x:c r="A4" s="17" t="str">
        <x:v>GPT-5.6 Terra</x:v>
      </x:c>
      <x:c r="B4" s="17" t="str">
        <x:v>gpt-5.6-terra_max</x:v>
      </x:c>
      <x:c r="C4" s="17" t="str">
        <x:v>GPT-5.6 Terra (max)</x:v>
      </x:c>
      <x:c r="D4" s="17" t="str">
        <x:v>OpenAI</x:v>
      </x:c>
      <x:c r="E4" s="17" t="str">
        <x:v>United States of America</x:v>
      </x:c>
      <x:c r="F4" s="17" t="n">
        <x:v>46212</x:v>
      </x:c>
      <x:c r="G4" s="17" t="str">
        <x:v>API access</x:v>
      </x:c>
      <x:c r="H4" s="17" t="n">
        <x:v>46212</x:v>
      </x:c>
      <x:c r="I4" s="17"/>
      <x:c r="J4" s="17" t="str">
        <x:v>Unverified</x:v>
      </x:c>
      <x:c r="K4" s="17"/>
      <x:c r="L4" s="17" t="str">
        <x:v>GPT-5.6 Terra (max)</x:v>
      </x:c>
      <x:c r="M4" s="17"/>
      <x:c r="N4" s="17" t="str">
        <x:v>GPT-5.6 Terra</x:v>
      </x:c>
      <x:c r="O4" s="17" t="str">
        <x:v>gpt-5-6-terra</x:v>
      </x:c>
      <x:c r="P4" s="17" t="n">
        <x:v>158.25</x:v>
      </x:c>
      <x:c r="Q4" s="17" t="n">
        <x:v>155.39</x:v>
      </x:c>
      <x:c r="R4" s="17" t="n">
        <x:v>161.26</x:v>
      </x:c>
      <x:c r="S4" s="17"/>
      <x:c r="T4" s="17"/>
      <x:c r="U4" s="17"/>
      <x:c r="V4" s="17"/>
      <x:c r="W4" s="17"/>
      <x:c r="X4" s="17"/>
      <x:c r="Y4" s="17"/>
      <x:c r="Z4" s="17"/>
    </x:row>
    <x:row r="5">
      <x:c r="A5" s="17" t="str">
        <x:v>GPT-5.6 Luna</x:v>
      </x:c>
      <x:c r="B5" s="17" t="str">
        <x:v>gpt-5.6-luna_max</x:v>
      </x:c>
      <x:c r="C5" s="17" t="str">
        <x:v>GPT-5.6 Luna (max)</x:v>
      </x:c>
      <x:c r="D5" s="17" t="str">
        <x:v>OpenAI</x:v>
      </x:c>
      <x:c r="E5" s="17" t="str">
        <x:v>United States of America</x:v>
      </x:c>
      <x:c r="F5" s="17" t="n">
        <x:v>46212</x:v>
      </x:c>
      <x:c r="G5" s="17" t="str">
        <x:v>API access</x:v>
      </x:c>
      <x:c r="H5" s="17" t="n">
        <x:v>46212</x:v>
      </x:c>
      <x:c r="I5" s="17"/>
      <x:c r="J5" s="17" t="str">
        <x:v>Unverified</x:v>
      </x:c>
      <x:c r="K5" s="17"/>
      <x:c r="L5" s="17" t="str">
        <x:v>GPT-5.6 Luna (max)</x:v>
      </x:c>
      <x:c r="M5" s="17"/>
      <x:c r="N5" s="17" t="str">
        <x:v>GPT-5.6 Luna</x:v>
      </x:c>
      <x:c r="O5" s="17" t="str">
        <x:v>gpt-5-6-luna</x:v>
      </x:c>
      <x:c r="P5" s="17" t="n">
        <x:v>155.62</x:v>
      </x:c>
      <x:c r="Q5" s="17" t="n">
        <x:v>152.89</x:v>
      </x:c>
      <x:c r="R5" s="17" t="n">
        <x:v>158.51</x:v>
      </x:c>
      <x:c r="S5" s="17"/>
      <x:c r="T5" s="17"/>
      <x:c r="U5" s="17"/>
      <x:c r="V5" s="17"/>
      <x:c r="W5" s="17"/>
      <x:c r="X5" s="17"/>
      <x:c r="Y5" s="17"/>
      <x:c r="Z5" s="17"/>
    </x:row>
    <x:row r="6">
      <x:c r="A6" s="17" t="str">
        <x:v>GPT-5.6 Sol</x:v>
      </x:c>
      <x:c r="B6" s="17" t="str">
        <x:v>gpt-5.6-sol_max</x:v>
      </x:c>
      <x:c r="C6" s="17" t="str">
        <x:v>GPT-5.6 Sol (max)</x:v>
      </x:c>
      <x:c r="D6" s="17" t="str">
        <x:v>OpenAI</x:v>
      </x:c>
      <x:c r="E6" s="17" t="str">
        <x:v>United States of America</x:v>
      </x:c>
      <x:c r="F6" s="17" t="n">
        <x:v>46212</x:v>
      </x:c>
      <x:c r="G6" s="17" t="str">
        <x:v>API access</x:v>
      </x:c>
      <x:c r="H6" s="17" t="n">
        <x:v>46212</x:v>
      </x:c>
      <x:c r="I6" s="17"/>
      <x:c r="J6" s="17" t="str">
        <x:v>Unverified</x:v>
      </x:c>
      <x:c r="K6" s="17"/>
      <x:c r="L6" s="17" t="str">
        <x:v>GPT-5.6 Sol (max)</x:v>
      </x:c>
      <x:c r="M6" s="17"/>
      <x:c r="N6" s="17" t="str">
        <x:v>GPT-5.6 Sol</x:v>
      </x:c>
      <x:c r="O6" s="17" t="str">
        <x:v>gpt-5-6-sol</x:v>
      </x:c>
      <x:c r="P6" s="17" t="n">
        <x:v>161.77</x:v>
      </x:c>
      <x:c r="Q6" s="17" t="n">
        <x:v>159.26</x:v>
      </x:c>
      <x:c r="R6" s="17" t="n">
        <x:v>166.01</x:v>
      </x:c>
      <x:c r="S6" s="17"/>
      <x:c r="T6" s="17"/>
      <x:c r="U6" s="17"/>
      <x:c r="V6" s="17"/>
      <x:c r="W6" s="17"/>
      <x:c r="X6" s="17"/>
      <x:c r="Y6" s="17"/>
      <x:c r="Z6" s="17"/>
    </x:row>
    <x:row r="7">
      <x:c r="A7" s="17" t="str">
        <x:v>Grok 4.5</x:v>
      </x:c>
      <x:c r="B7" s="17" t="str">
        <x:v>grok-4.5_high</x:v>
      </x:c>
      <x:c r="C7" s="17" t="str">
        <x:v>Grok 4.5 (high)</x:v>
      </x:c>
      <x:c r="D7" s="17" t="str">
        <x:v>xAI</x:v>
      </x:c>
      <x:c r="E7" s="17" t="str">
        <x:v>United States of America</x:v>
      </x:c>
      <x:c r="F7" s="17" t="n">
        <x:v>46211</x:v>
      </x:c>
      <x:c r="G7" s="17" t="str">
        <x:v>API access</x:v>
      </x:c>
      <x:c r="H7" s="17" t="n">
        <x:v>46211</x:v>
      </x:c>
      <x:c r="I7" s="17"/>
      <x:c r="J7" s="17" t="str">
        <x:v>Unverified</x:v>
      </x:c>
      <x:c r="K7" s="17"/>
      <x:c r="L7" s="17" t="str">
        <x:v>Grok 4.5 (high)</x:v>
      </x:c>
      <x:c r="M7" s="17"/>
      <x:c r="N7" s="17" t="str">
        <x:v>Grok 4.5</x:v>
      </x:c>
      <x:c r="O7" s="17" t="str">
        <x:v>grok-4-5</x:v>
      </x:c>
      <x:c r="P7" s="17" t="n">
        <x:v>153.17</x:v>
      </x:c>
      <x:c r="Q7" s="17" t="n">
        <x:v>151.65</x:v>
      </x:c>
      <x:c r="R7" s="17" t="n">
        <x:v>156.15</x:v>
      </x:c>
      <x:c r="S7" s="17"/>
      <x:c r="T7" s="17"/>
      <x:c r="U7" s="17"/>
      <x:c r="V7" s="17"/>
      <x:c r="W7" s="17"/>
      <x:c r="X7" s="17"/>
      <x:c r="Y7" s="17"/>
      <x:c r="Z7" s="17"/>
    </x:row>
    <x:row r="8">
      <x:c r="A8" s="17" t="str">
        <x:v>Claude Fable 5</x:v>
      </x:c>
      <x:c r="B8" s="17" t="str">
        <x:v>claude-fable-5_max</x:v>
      </x:c>
      <x:c r="C8" s="17" t="str">
        <x:v>Claude Fable 5 (max)</x:v>
      </x:c>
      <x:c r="D8" s="17" t="str">
        <x:v>Anthropic</x:v>
      </x:c>
      <x:c r="E8" s="17" t="str">
        <x:v>United States of America</x:v>
      </x:c>
      <x:c r="F8" s="17" t="n">
        <x:v>46182</x:v>
      </x:c>
      <x:c r="G8" s="17" t="str">
        <x:v>API access</x:v>
      </x:c>
      <x:c r="H8" s="17" t="n">
        <x:v>46182</x:v>
      </x:c>
      <x:c r="I8" s="17"/>
      <x:c r="J8" s="17" t="str">
        <x:v>Confident</x:v>
      </x:c>
      <x:c r="K8" s="17"/>
      <x:c r="L8" s="17" t="str">
        <x:v>Claude Fable 5 (max)</x:v>
      </x:c>
      <x:c r="M8" s="17"/>
      <x:c r="N8" s="17" t="str">
        <x:v>Claude Fable 5</x:v>
      </x:c>
      <x:c r="O8" s="17" t="str">
        <x:v>claude-fable-5</x:v>
      </x:c>
      <x:c r="P8" s="17" t="n">
        <x:v>160.44</x:v>
      </x:c>
      <x:c r="Q8" s="17" t="n">
        <x:v>158.05</x:v>
      </x:c>
      <x:c r="R8" s="17" t="n">
        <x:v>164.61</x:v>
      </x:c>
      <x:c r="S8" s="17"/>
      <x:c r="T8" s="17"/>
      <x:c r="U8" s="17"/>
      <x:c r="V8" s="17"/>
      <x:c r="W8" s="17"/>
      <x:c r="X8" s="17"/>
      <x:c r="Y8" s="17"/>
      <x:c r="Z8" s="17"/>
    </x:row>
    <x:row r="9">
      <x:c r="A9" s="17" t="str">
        <x:v>Claude Sonnet 5</x:v>
      </x:c>
      <x:c r="B9" s="17" t="str">
        <x:v>claude-sonnet-5_xhigh</x:v>
      </x:c>
      <x:c r="C9" s="17" t="str">
        <x:v>Claude Sonnet 5 (xhigh)</x:v>
      </x:c>
      <x:c r="D9" s="17" t="str">
        <x:v>Anthropic</x:v>
      </x:c>
      <x:c r="E9" s="17" t="str">
        <x:v>United States of America</x:v>
      </x:c>
      <x:c r="F9" s="17" t="n">
        <x:v>46203</x:v>
      </x:c>
      <x:c r="G9" s="17" t="str">
        <x:v>API access</x:v>
      </x:c>
      <x:c r="H9" s="17" t="n">
        <x:v>46203</x:v>
      </x:c>
      <x:c r="I9" s="17"/>
      <x:c r="J9" s="17" t="str">
        <x:v>Confident</x:v>
      </x:c>
      <x:c r="K9" s="17"/>
      <x:c r="L9" s="17" t="str">
        <x:v>Claude Sonnet 5 (xhigh)</x:v>
      </x:c>
      <x:c r="M9" s="17"/>
      <x:c r="N9" s="17" t="str">
        <x:v>Claude Sonnet 5</x:v>
      </x:c>
      <x:c r="O9" s="17" t="str">
        <x:v>claude-sonnet-5</x:v>
      </x:c>
      <x:c r="P9" s="17" t="n">
        <x:v>153.2</x:v>
      </x:c>
      <x:c r="Q9" s="17" t="n">
        <x:v>150.47</x:v>
      </x:c>
      <x:c r="R9" s="17" t="n">
        <x:v>155.24</x:v>
      </x:c>
      <x:c r="S9" s="17"/>
      <x:c r="T9" s="17"/>
      <x:c r="U9" s="17"/>
      <x:c r="V9" s="17"/>
      <x:c r="W9" s="17"/>
      <x:c r="X9" s="17"/>
      <x:c r="Y9" s="17"/>
      <x:c r="Z9" s="17"/>
    </x:row>
    <x:row r="10">
      <x:c r="A10" s="17" t="str">
        <x:v>Claude Sonnet 5</x:v>
      </x:c>
      <x:c r="B10" s="17" t="str">
        <x:v>claude-sonnet-5_max</x:v>
      </x:c>
      <x:c r="C10" s="17" t="str">
        <x:v>Claude Sonnet 5 (max)</x:v>
      </x:c>
      <x:c r="D10" s="17" t="str">
        <x:v>Anthropic</x:v>
      </x:c>
      <x:c r="E10" s="17" t="str">
        <x:v>United States of America</x:v>
      </x:c>
      <x:c r="F10" s="17" t="n">
        <x:v>46203</x:v>
      </x:c>
      <x:c r="G10" s="17" t="str">
        <x:v>API access</x:v>
      </x:c>
      <x:c r="H10" s="17" t="n">
        <x:v>46203</x:v>
      </x:c>
      <x:c r="I10" s="17"/>
      <x:c r="J10" s="17" t="str">
        <x:v>Confident</x:v>
      </x:c>
      <x:c r="K10" s="17"/>
      <x:c r="L10" s="17" t="str">
        <x:v>Claude Sonnet 5 (max)</x:v>
      </x:c>
      <x:c r="M10" s="17"/>
      <x:c r="N10" s="17" t="str">
        <x:v>Claude Sonnet 5</x:v>
      </x:c>
      <x:c r="O10" s="17" t="str">
        <x:v>claude-sonnet-5</x:v>
      </x:c>
      <x:c r="P10" s="17" t="n">
        <x:v>153.2</x:v>
      </x:c>
      <x:c r="Q10" s="17" t="n">
        <x:v>150.47</x:v>
      </x:c>
      <x:c r="R10" s="17" t="n">
        <x:v>155.24</x:v>
      </x:c>
      <x:c r="S10" s="17"/>
      <x:c r="T10" s="17"/>
      <x:c r="U10" s="17"/>
      <x:c r="V10" s="17"/>
      <x:c r="W10" s="17"/>
      <x:c r="X10" s="17"/>
      <x:c r="Y10" s="17"/>
      <x:c r="Z10" s="17"/>
    </x:row>
    <x:row r="11">
      <x:c r="A11" s="17" t="str">
        <x:v>Claude Opus 4.8</x:v>
      </x:c>
      <x:c r="B11" s="17" t="str">
        <x:v>claude-opus-4-8_max</x:v>
      </x:c>
      <x:c r="C11" s="17" t="str">
        <x:v>Claude Opus 4.8</x:v>
      </x:c>
      <x:c r="D11" s="17" t="str">
        <x:v>Anthropic</x:v>
      </x:c>
      <x:c r="E11" s="17" t="str">
        <x:v>United States of America</x:v>
      </x:c>
      <x:c r="F11" s="17" t="n">
        <x:v>46170</x:v>
      </x:c>
      <x:c r="G11" s="17" t="str">
        <x:v>API access</x:v>
      </x:c>
      <x:c r="H11" s="17" t="n">
        <x:v>46170</x:v>
      </x:c>
      <x:c r="I11" s="17"/>
      <x:c r="J11" s="17" t="str">
        <x:v>Unverified</x:v>
      </x:c>
      <x:c r="K11" s="17"/>
      <x:c r="L11" s="17" t="str">
        <x:v>Claude Opus 4.8 (max)</x:v>
      </x:c>
      <x:c r="M11" s="17"/>
      <x:c r="N11" s="17" t="str">
        <x:v>Claude Opus 4.8</x:v>
      </x:c>
      <x:c r="O11" s="17" t="str">
        <x:v>claude-opus-4-8</x:v>
      </x:c>
      <x:c r="P11" s="17" t="n">
        <x:v>157.85</x:v>
      </x:c>
      <x:c r="Q11" s="17" t="n">
        <x:v>155.12</x:v>
      </x:c>
      <x:c r="R11" s="17" t="n">
        <x:v>160.58</x:v>
      </x:c>
      <x:c r="S11" s="17"/>
      <x:c r="T11" s="17"/>
      <x:c r="U11" s="17"/>
      <x:c r="V11" s="17"/>
      <x:c r="W11" s="17"/>
      <x:c r="X11" s="17"/>
      <x:c r="Y11" s="17"/>
      <x:c r="Z11" s="17"/>
    </x:row>
    <x:row r="12">
      <x:c r="A12" s="17" t="str">
        <x:v>Claude Opus 4.7</x:v>
      </x:c>
      <x:c r="B12" s="17" t="str">
        <x:v>claude-opus-4-7_max</x:v>
      </x:c>
      <x:c r="C12" s="17" t="str">
        <x:v>Claude Opus 4.7 (max)</x:v>
      </x:c>
      <x:c r="D12" s="17" t="str">
        <x:v>Anthropic</x:v>
      </x:c>
      <x:c r="E12" s="17" t="str">
        <x:v>United States of America</x:v>
      </x:c>
      <x:c r="F12" s="17" t="n">
        <x:v>46128</x:v>
      </x:c>
      <x:c r="G12" s="17" t="str">
        <x:v>API access</x:v>
      </x:c>
      <x:c r="H12" s="17" t="n">
        <x:v>46128</x:v>
      </x:c>
      <x:c r="I12" s="17"/>
      <x:c r="J12" s="17" t="str">
        <x:v>Likely</x:v>
      </x:c>
      <x:c r="K12" s="17"/>
      <x:c r="L12" s="17" t="str">
        <x:v>Claude Opus 4.7 (max)</x:v>
      </x:c>
      <x:c r="M12" s="17"/>
      <x:c r="N12" s="17" t="str">
        <x:v>Claude Opus 4.7</x:v>
      </x:c>
      <x:c r="O12" s="17" t="str">
        <x:v>claude-opus-4-7</x:v>
      </x:c>
      <x:c r="P12" s="17" t="n">
        <x:v>156.01</x:v>
      </x:c>
      <x:c r="Q12" s="17" t="n">
        <x:v>154.07</x:v>
      </x:c>
      <x:c r="R12" s="17" t="n">
        <x:v>158.4</x:v>
      </x:c>
      <x:c r="S12" s="17"/>
      <x:c r="T12" s="17"/>
      <x:c r="U12" s="17"/>
      <x:c r="V12" s="17"/>
      <x:c r="W12" s="17"/>
      <x:c r="X12" s="17"/>
      <x:c r="Y12" s="17"/>
      <x:c r="Z12" s="17"/>
    </x:row>
    <x:row r="13">
      <x:c r="A13" s="17" t="str">
        <x:v>GPT-5.5</x:v>
      </x:c>
      <x:c r="B13" s="17" t="str">
        <x:v>gpt-5.5_xhigh</x:v>
      </x:c>
      <x:c r="C13" s="17" t="str">
        <x:v>GPT-5.5 (xhigh)</x:v>
      </x:c>
      <x:c r="D13" s="17" t="str">
        <x:v>OpenAI</x:v>
      </x:c>
      <x:c r="E13" s="17" t="str">
        <x:v>United States of America</x:v>
      </x:c>
      <x:c r="F13" s="17" t="n">
        <x:v>46135</x:v>
      </x:c>
      <x:c r="G13" s="17" t="str">
        <x:v>API access</x:v>
      </x:c>
      <x:c r="H13" s="17" t="n">
        <x:v>46135</x:v>
      </x:c>
      <x:c r="I13" s="17"/>
      <x:c r="J13" s="17" t="str">
        <x:v>Likely</x:v>
      </x:c>
      <x:c r="K13" s="17"/>
      <x:c r="L13" s="17"/>
      <x:c r="M13" s="17"/>
      <x:c r="N13" s="17" t="str">
        <x:v>GPT-5.5</x:v>
      </x:c>
      <x:c r="O13" s="17" t="str">
        <x:v>gpt-5-5</x:v>
      </x:c>
      <x:c r="P13" s="17" t="n">
        <x:v>158.33</x:v>
      </x:c>
      <x:c r="Q13" s="17" t="n">
        <x:v>156.44</x:v>
      </x:c>
      <x:c r="R13" s="17" t="n">
        <x:v>161.43</x:v>
      </x:c>
      <x:c r="S13" s="17"/>
      <x:c r="T13" s="17"/>
      <x:c r="U13" s="17"/>
      <x:c r="V13" s="17"/>
      <x:c r="W13" s="17"/>
      <x:c r="X13" s="17"/>
      <x:c r="Y13" s="17"/>
      <x:c r="Z13" s="17"/>
    </x:row>
    <x:row r="14">
      <x:c r="A14" s="17" t="str">
        <x:v>Claude Opus 4.6</x:v>
      </x:c>
      <x:c r="B14" s="17" t="str">
        <x:v>claude-opus-4-6_max</x:v>
      </x:c>
      <x:c r="C14" s="17" t="str">
        <x:v>Claude Opus 4.6 (max)</x:v>
      </x:c>
      <x:c r="D14" s="17" t="str">
        <x:v>Anthropic</x:v>
      </x:c>
      <x:c r="E14" s="17" t="str">
        <x:v>United States of America</x:v>
      </x:c>
      <x:c r="F14" s="17" t="n">
        <x:v>46058</x:v>
      </x:c>
      <x:c r="G14" s="17" t="str">
        <x:v>API access</x:v>
      </x:c>
      <x:c r="H14" s="17" t="n">
        <x:v>46058</x:v>
      </x:c>
      <x:c r="I14" s="17"/>
      <x:c r="J14" s="17" t="str">
        <x:v>Likely</x:v>
      </x:c>
      <x:c r="K14" s="17"/>
      <x:c r="L14" s="17" t="str">
        <x:v>Claude Opus 4.6 (max)</x:v>
      </x:c>
      <x:c r="M14" s="17"/>
      <x:c r="N14" s="17" t="str">
        <x:v>Claude Opus 4.6</x:v>
      </x:c>
      <x:c r="O14" s="17" t="str">
        <x:v>claude-opus-4-6</x:v>
      </x:c>
      <x:c r="P14" s="17" t="n">
        <x:v>155.31</x:v>
      </x:c>
      <x:c r="Q14" s="17" t="n">
        <x:v>153.34</x:v>
      </x:c>
      <x:c r="R14" s="17" t="n">
        <x:v>157.92</x:v>
      </x:c>
      <x:c r="S14" s="17"/>
      <x:c r="T14" s="17"/>
      <x:c r="U14" s="17"/>
      <x:c r="V14" s="17"/>
      <x:c r="W14" s="17"/>
      <x:c r="X14" s="17"/>
      <x:c r="Y14" s="17"/>
      <x:c r="Z14" s="17"/>
    </x:row>
    <x:row r="15">
      <x:c r="A15" s="17" t="str">
        <x:v>GPT-5</x:v>
      </x:c>
      <x:c r="B15" s="17" t="str">
        <x:v>gpt-5-2025-08-07_high</x:v>
      </x:c>
      <x:c r="C15" s="17" t="str">
        <x:v>GPT-5 (high)</x:v>
      </x:c>
      <x:c r="D15" s="17" t="str">
        <x:v>OpenAI</x:v>
      </x:c>
      <x:c r="E15" s="17" t="str">
        <x:v>United States of America</x:v>
      </x:c>
      <x:c r="F15" s="17" t="n">
        <x:v>45876</x:v>
      </x:c>
      <x:c r="G15" s="17" t="str">
        <x:v>API access</x:v>
      </x:c>
      <x:c r="H15" s="17" t="n">
        <x:v>45876</x:v>
      </x:c>
      <x:c r="I15" s="17" t="n">
        <x:v>6.6e+25</x:v>
      </x:c>
      <x:c r="J15" s="17" t="str">
        <x:v>Speculative</x:v>
      </x:c>
      <x:c r="K15" s="17" t="str">
        <x:v>OpenAI's latest flagship frontier model, benchmarked using high reasoning effort.</x:v>
      </x:c>
      <x:c r="L15" s="17" t="str">
        <x:v>GPT-5 (high)</x:v>
      </x:c>
      <x:c r="M15" s="17"/>
      <x:c r="N15" s="17" t="str">
        <x:v>GPT-5</x:v>
      </x:c>
      <x:c r="O15" s="17" t="str">
        <x:v>gpt-5</x:v>
      </x:c>
      <x:c r="P15" s="17" t="n">
        <x:v>150</x:v>
      </x:c>
      <x:c r="Q15" s="17"/>
      <x:c r="R15" s="17"/>
      <x:c r="S15" s="17"/>
      <x:c r="T15" s="17"/>
      <x:c r="U15" s="17"/>
      <x:c r="V15" s="17"/>
      <x:c r="W15" s="17"/>
      <x:c r="X15" s="17"/>
      <x:c r="Y15" s="17"/>
      <x:c r="Z15" s="17"/>
    </x:row>
    <x:row r="16">
      <x:c r="A16" s="17" t="str">
        <x:v>GLM-5.2</x:v>
      </x:c>
      <x:c r="B16" s="17" t="str">
        <x:v>glm-5.2_max</x:v>
      </x:c>
      <x:c r="C16" s="17" t="str">
        <x:v>GLM-5.2</x:v>
      </x:c>
      <x:c r="D16" s="17" t="str">
        <x:v>Z.ai (Zhipu AI)</x:v>
      </x:c>
      <x:c r="E16" s="17" t="str">
        <x:v>China</x:v>
      </x:c>
      <x:c r="F16" s="17" t="n">
        <x:v>46189</x:v>
      </x:c>
      <x:c r="G16" s="17" t="str">
        <x:v>Open weights (unrestricted)</x:v>
      </x:c>
      <x:c r="H16" s="17" t="n">
        <x:v>46189</x:v>
      </x:c>
      <x:c r="I16" s="17"/>
      <x:c r="J16" s="17" t="str">
        <x:v>Confident</x:v>
      </x:c>
      <x:c r="K16" s="17"/>
      <x:c r="L16" s="17" t="str">
        <x:v>GLM-5.2 (max)</x:v>
      </x:c>
      <x:c r="M16" s="17"/>
      <x:c r="N16" s="17" t="str">
        <x:v>GLM-5.2</x:v>
      </x:c>
      <x:c r="O16" s="17" t="str">
        <x:v>glm-5-2</x:v>
      </x:c>
      <x:c r="P16" s="17" t="n">
        <x:v>151.6</x:v>
      </x:c>
      <x:c r="Q16" s="17" t="n">
        <x:v>149.97</x:v>
      </x:c>
      <x:c r="R16" s="17" t="n">
        <x:v>153.86</x:v>
      </x:c>
      <x:c r="S16" s="17"/>
      <x:c r="T16" s="17"/>
      <x:c r="U16" s="17"/>
      <x:c r="V16" s="17"/>
      <x:c r="W16" s="17"/>
      <x:c r="X16" s="17"/>
      <x:c r="Y16" s="17"/>
      <x:c r="Z16" s="17"/>
    </x:row>
    <x:row r="17">
      <x:c r="A17" s="17" t="str">
        <x:v>GPT-5.2</x:v>
      </x:c>
      <x:c r="B17" s="17" t="str">
        <x:v>gpt-5.2-2025-12-11_xhigh</x:v>
      </x:c>
      <x:c r="C17" s="17" t="str">
        <x:v>GPT-5.2 (xhigh)</x:v>
      </x:c>
      <x:c r="D17" s="17" t="str">
        <x:v>OpenAI</x:v>
      </x:c>
      <x:c r="E17" s="17" t="str">
        <x:v>United States of America</x:v>
      </x:c>
      <x:c r="F17" s="17" t="n">
        <x:v>46002</x:v>
      </x:c>
      <x:c r="G17" s="17" t="str">
        <x:v>API access</x:v>
      </x:c>
      <x:c r="H17" s="17" t="n">
        <x:v>46002</x:v>
      </x:c>
      <x:c r="I17" s="17"/>
      <x:c r="J17" s="17" t="str">
        <x:v>Unknown</x:v>
      </x:c>
      <x:c r="K17" s="17"/>
      <x:c r="L17" s="17" t="str">
        <x:v>GPT-5.2 (xhigh)</x:v>
      </x:c>
      <x:c r="M17" s="17"/>
      <x:c r="N17" s="17" t="str">
        <x:v>GPT-5.2</x:v>
      </x:c>
      <x:c r="O17" s="17" t="str">
        <x:v>gpt-5-2</x:v>
      </x:c>
      <x:c r="P17" s="17" t="n">
        <x:v>153.7</x:v>
      </x:c>
      <x:c r="Q17" s="17" t="n">
        <x:v>152.26</x:v>
      </x:c>
      <x:c r="R17" s="17" t="n">
        <x:v>155.46</x:v>
      </x:c>
      <x:c r="S17" s="17"/>
      <x:c r="T17" s="17"/>
      <x:c r="U17" s="17"/>
      <x:c r="V17" s="17"/>
      <x:c r="W17" s="17"/>
      <x:c r="X17" s="17"/>
      <x:c r="Y17" s="17"/>
      <x:c r="Z17" s="17"/>
    </x:row>
    <x:row r="18">
      <x:c r="A18" s="17" t="str">
        <x:v>Qwen3.7-Max</x:v>
      </x:c>
      <x:c r="B18" s="17" t="str">
        <x:v>qwen3.7-max</x:v>
      </x:c>
      <x:c r="C18" s="17"/>
      <x:c r="D18" s="17" t="str">
        <x:v>Alibaba</x:v>
      </x:c>
      <x:c r="E18" s="17" t="str">
        <x:v>China</x:v>
      </x:c>
      <x:c r="F18" s="17" t="n">
        <x:v>46161</x:v>
      </x:c>
      <x:c r="G18" s="17" t="str">
        <x:v>API access</x:v>
      </x:c>
      <x:c r="H18" s="17" t="n">
        <x:v>46161</x:v>
      </x:c>
      <x:c r="I18" s="17"/>
      <x:c r="J18" s="17" t="str">
        <x:v>Unverified</x:v>
      </x:c>
      <x:c r="K18" s="17"/>
      <x:c r="L18" s="17"/>
      <x:c r="M18" s="17"/>
      <x:c r="N18" s="17" t="str">
        <x:v>Qwen3.7-Max</x:v>
      </x:c>
      <x:c r="O18" s="17" t="str">
        <x:v>qwen3-7-max</x:v>
      </x:c>
      <x:c r="P18" s="17" t="n">
        <x:v>153.05</x:v>
      </x:c>
      <x:c r="Q18" s="17" t="n">
        <x:v>151.09</x:v>
      </x:c>
      <x:c r="R18" s="17" t="n">
        <x:v>155.37</x:v>
      </x:c>
      <x:c r="S18" s="17"/>
      <x:c r="T18" s="17"/>
      <x:c r="U18" s="17"/>
      <x:c r="V18" s="17"/>
      <x:c r="W18" s="17"/>
      <x:c r="X18" s="17"/>
      <x:c r="Y18" s="17"/>
      <x:c r="Z18" s="17"/>
    </x:row>
    <x:row r="19">
      <x:c r="A19" s="17" t="str">
        <x:v>GPT-5.4</x:v>
      </x:c>
      <x:c r="B19" s="17" t="str">
        <x:v>gpt-5.4-2026-03-05_xhigh</x:v>
      </x:c>
      <x:c r="C19" s="17" t="str">
        <x:v>GPT-5.4 (xhigh)</x:v>
      </x:c>
      <x:c r="D19" s="17" t="str">
        <x:v>OpenAI</x:v>
      </x:c>
      <x:c r="E19" s="17" t="str">
        <x:v>United States of America</x:v>
      </x:c>
      <x:c r="F19" s="17" t="n">
        <x:v>46086</x:v>
      </x:c>
      <x:c r="G19" s="17" t="str">
        <x:v>API access</x:v>
      </x:c>
      <x:c r="H19" s="17" t="n">
        <x:v>46086</x:v>
      </x:c>
      <x:c r="I19" s="17"/>
      <x:c r="J19" s="17" t="str">
        <x:v>Likely</x:v>
      </x:c>
      <x:c r="K19" s="17"/>
      <x:c r="L19" s="17" t="str">
        <x:v>GPT-5.4 (xhigh)</x:v>
      </x:c>
      <x:c r="M19" s="17"/>
      <x:c r="N19" s="17" t="str">
        <x:v>GPT-5.4</x:v>
      </x:c>
      <x:c r="O19" s="17" t="str">
        <x:v>gpt-5-4</x:v>
      </x:c>
      <x:c r="P19" s="17" t="n">
        <x:v>156.03</x:v>
      </x:c>
      <x:c r="Q19" s="17" t="n">
        <x:v>154.45</x:v>
      </x:c>
      <x:c r="R19" s="17" t="n">
        <x:v>158.37</x:v>
      </x:c>
      <x:c r="S19" s="17"/>
      <x:c r="T19" s="17"/>
      <x:c r="U19" s="17"/>
      <x:c r="V19" s="17"/>
      <x:c r="W19" s="17"/>
      <x:c r="X19" s="17"/>
      <x:c r="Y19" s="17"/>
      <x:c r="Z19" s="17"/>
    </x:row>
    <x:row r="20">
      <x:c r="A20" s="17" t="str">
        <x:v>Gemini 3.5 Flash</x:v>
      </x:c>
      <x:c r="B20" s="17" t="str">
        <x:v>gemini-3.5-flash_high</x:v>
      </x:c>
      <x:c r="C20" s="17" t="str">
        <x:v>Gemini 3.5 Flash (high)</x:v>
      </x:c>
      <x:c r="D20" s="17" t="str">
        <x:v>Google</x:v>
      </x:c>
      <x:c r="E20" s="17" t="str">
        <x:v>United States of America</x:v>
      </x:c>
      <x:c r="F20" s="17" t="n">
        <x:v>46161</x:v>
      </x:c>
      <x:c r="G20" s="17" t="str">
        <x:v>API access</x:v>
      </x:c>
      <x:c r="H20" s="17"/>
      <x:c r="I20" s="17"/>
      <x:c r="J20" s="17" t="str">
        <x:v>Confident</x:v>
      </x:c>
      <x:c r="K20" s="17"/>
      <x:c r="L20" s="17"/>
      <x:c r="M20" s="17"/>
      <x:c r="N20" s="17" t="str">
        <x:v>Gemini 3.5 Flash</x:v>
      </x:c>
      <x:c r="O20" s="17" t="str">
        <x:v>gemini-3-5-flash</x:v>
      </x:c>
      <x:c r="P20" s="17" t="n">
        <x:v>154.58</x:v>
      </x:c>
      <x:c r="Q20" s="17" t="n">
        <x:v>152.84</x:v>
      </x:c>
      <x:c r="R20" s="17" t="n">
        <x:v>157.2</x:v>
      </x:c>
      <x:c r="S20" s="17"/>
      <x:c r="T20" s="17"/>
      <x:c r="U20" s="17"/>
      <x:c r="V20" s="17"/>
      <x:c r="W20" s="17"/>
      <x:c r="X20" s="17"/>
      <x:c r="Y20" s="17"/>
      <x:c r="Z20" s="17"/>
    </x:row>
    <x:row r="21">
      <x:c r="A21" s="17" t="str">
        <x:v>Claude Opus 4.5</x:v>
      </x:c>
      <x:c r="B21" s="17" t="str">
        <x:v>claude-opus-4-5-20251101_128K</x:v>
      </x:c>
      <x:c r="C21" s="17" t="str">
        <x:v>Claude Opus 4.5 (128k thinking)</x:v>
      </x:c>
      <x:c r="D21" s="17" t="str">
        <x:v>Anthropic</x:v>
      </x:c>
      <x:c r="E21" s="17" t="str">
        <x:v>United States of America</x:v>
      </x:c>
      <x:c r="F21" s="17" t="n">
        <x:v>45985</x:v>
      </x:c>
      <x:c r="G21" s="17" t="str">
        <x:v>API access</x:v>
      </x:c>
      <x:c r="H21" s="17" t="n">
        <x:v>45985</x:v>
      </x:c>
      <x:c r="I21" s="17"/>
      <x:c r="J21" s="17" t="str">
        <x:v>Unknown</x:v>
      </x:c>
      <x:c r="K21" s="17"/>
      <x:c r="L21" s="17" t="str">
        <x:v>Claude Opus 4.5 (128k thinking)</x:v>
      </x:c>
      <x:c r="M21" s="17"/>
      <x:c r="N21" s="17" t="str">
        <x:v>Claude Opus 4.5</x:v>
      </x:c>
      <x:c r="O21" s="17" t="str">
        <x:v>claude-opus-4-5</x:v>
      </x:c>
      <x:c r="P21" s="17" t="n">
        <x:v>149.53</x:v>
      </x:c>
      <x:c r="Q21" s="17" t="n">
        <x:v>147.66</x:v>
      </x:c>
      <x:c r="R21" s="17" t="n">
        <x:v>151.99</x:v>
      </x:c>
      <x:c r="S21" s="17"/>
      <x:c r="T21" s="17"/>
      <x:c r="U21" s="17"/>
      <x:c r="V21" s="17"/>
      <x:c r="W21" s="17"/>
      <x:c r="X21" s="17"/>
      <x:c r="Y21" s="17"/>
      <x:c r="Z21" s="17"/>
    </x:row>
    <x:row r="22">
      <x:c r="A22" s="17" t="str">
        <x:v>Kimi K2.6</x:v>
      </x:c>
      <x:c r="B22" s="17" t="str">
        <x:v>kimi-k2.6</x:v>
      </x:c>
      <x:c r="C22" s="17" t="str">
        <x:v>Kimi K2.6</x:v>
      </x:c>
      <x:c r="D22" s="17" t="str">
        <x:v>Moonshot</x:v>
      </x:c>
      <x:c r="E22" s="17" t="str">
        <x:v>China</x:v>
      </x:c>
      <x:c r="F22" s="17" t="n">
        <x:v>46132</x:v>
      </x:c>
      <x:c r="G22" s="17" t="str">
        <x:v>Open weights (unrestricted)</x:v>
      </x:c>
      <x:c r="H22" s="17" t="n">
        <x:v>46132</x:v>
      </x:c>
      <x:c r="I22" s="17"/>
      <x:c r="J22" s="17" t="str">
        <x:v>Confident</x:v>
      </x:c>
      <x:c r="K22" s="17"/>
      <x:c r="L22" s="17"/>
      <x:c r="M22" s="17"/>
      <x:c r="N22" s="17" t="str">
        <x:v>Kimi K2.6</x:v>
      </x:c>
      <x:c r="O22" s="17" t="str">
        <x:v>kimi-k2-6</x:v>
      </x:c>
      <x:c r="P22" s="17" t="n">
        <x:v>151.02</x:v>
      </x:c>
      <x:c r="Q22" s="17" t="n">
        <x:v>149.18</x:v>
      </x:c>
      <x:c r="R22" s="17" t="n">
        <x:v>152.53</x:v>
      </x:c>
      <x:c r="S22" s="17"/>
      <x:c r="T22" s="17"/>
      <x:c r="U22" s="17"/>
      <x:c r="V22" s="17"/>
      <x:c r="W22" s="17"/>
      <x:c r="X22" s="17"/>
      <x:c r="Y22" s="17"/>
      <x:c r="Z22" s="17"/>
    </x:row>
    <x:row r="23">
      <x:c r="A23" s="17" t="str">
        <x:v>Claude Sonnet 4.5</x:v>
      </x:c>
      <x:c r="B23" s="17" t="str">
        <x:v>claude-sonnet-4-5-20250929</x:v>
      </x:c>
      <x:c r="C23" s="17" t="str">
        <x:v>Claude Sonnet 4.5 (no thinking)</x:v>
      </x:c>
      <x:c r="D23" s="17" t="str">
        <x:v>Anthropic</x:v>
      </x:c>
      <x:c r="E23" s="17" t="str">
        <x:v>United States of America</x:v>
      </x:c>
      <x:c r="F23" s="17" t="n">
        <x:v>45929</x:v>
      </x:c>
      <x:c r="G23" s="17" t="str">
        <x:v>API access</x:v>
      </x:c>
      <x:c r="H23" s="17" t="n">
        <x:v>45929</x:v>
      </x:c>
      <x:c r="I23" s="17"/>
      <x:c r="J23" s="17" t="str">
        <x:v>Unknown</x:v>
      </x:c>
      <x:c r="K23" s="17" t="str">
        <x:v>Anthropic's latest mid-size model, part of the Claude 4.5 series.</x:v>
      </x:c>
      <x:c r="L23" s="17" t="str">
        <x:v>Claude Sonnet 4.5 (no thinking)</x:v>
      </x:c>
      <x:c r="M23" s="17"/>
      <x:c r="N23" s="17" t="str">
        <x:v>Claude Sonnet 4.5</x:v>
      </x:c>
      <x:c r="O23" s="17" t="str">
        <x:v>claude-sonnet-4-5</x:v>
      </x:c>
      <x:c r="P23" s="17" t="n">
        <x:v>146.75</x:v>
      </x:c>
      <x:c r="Q23" s="17" t="n">
        <x:v>144.71</x:v>
      </x:c>
      <x:c r="R23" s="17" t="n">
        <x:v>148.07</x:v>
      </x:c>
      <x:c r="S23" s="17"/>
      <x:c r="T23" s="17"/>
      <x:c r="U23" s="17"/>
      <x:c r="V23" s="17"/>
      <x:c r="W23" s="17"/>
      <x:c r="X23" s="17"/>
      <x:c r="Y23" s="17"/>
      <x:c r="Z23" s="17"/>
    </x:row>
    <x:row r="24">
      <x:c r="A24" s="17" t="str">
        <x:v>Claude Opus 4.1</x:v>
      </x:c>
      <x:c r="B24" s="17" t="str">
        <x:v>claude-opus-4-1-20250805</x:v>
      </x:c>
      <x:c r="C24" s="17"/>
      <x:c r="D24" s="17" t="str">
        <x:v>Anthropic</x:v>
      </x:c>
      <x:c r="E24" s="17" t="str">
        <x:v>United States of America</x:v>
      </x:c>
      <x:c r="F24" s="17" t="n">
        <x:v>45874</x:v>
      </x:c>
      <x:c r="G24" s="17" t="str">
        <x:v>API access</x:v>
      </x:c>
      <x:c r="H24" s="17" t="n">
        <x:v>45874</x:v>
      </x:c>
      <x:c r="I24" s="17"/>
      <x:c r="J24" s="17" t="str">
        <x:v>Unknown</x:v>
      </x:c>
      <x:c r="K24" s="17" t="str">
        <x:v>Anthropic’s largest flagship model.</x:v>
      </x:c>
      <x:c r="L24" s="17" t="str">
        <x:v>Claude Opus 4.1</x:v>
      </x:c>
      <x:c r="M24" s="17"/>
      <x:c r="N24" s="17" t="str">
        <x:v>Claude Opus 4.1</x:v>
      </x:c>
      <x:c r="O24" s="17" t="str">
        <x:v>claude-opus-4-1</x:v>
      </x:c>
      <x:c r="P24" s="17" t="n">
        <x:v>144.21</x:v>
      </x:c>
      <x:c r="Q24" s="17" t="n">
        <x:v>141.74</x:v>
      </x:c>
      <x:c r="R24" s="17" t="n">
        <x:v>146.36</x:v>
      </x:c>
      <x:c r="S24" s="17"/>
      <x:c r="T24" s="17"/>
      <x:c r="U24" s="17"/>
      <x:c r="V24" s="17"/>
      <x:c r="W24" s="17"/>
      <x:c r="X24" s="17"/>
      <x:c r="Y24" s="17"/>
      <x:c r="Z24" s="17"/>
    </x:row>
    <x:row r="25">
      <x:c r="A25" s="17" t="str">
        <x:v>Gemini 3.1 Pro</x:v>
      </x:c>
      <x:c r="B25" s="17" t="str">
        <x:v>gemini-3.1-pro-preview</x:v>
      </x:c>
      <x:c r="C25" s="17" t="str">
        <x:v>Gemini 3.1 Pro Preview</x:v>
      </x:c>
      <x:c r="D25" s="17" t="str">
        <x:v>Google DeepMind</x:v>
      </x:c>
      <x:c r="E25" s="17" t="str">
        <x:v>United States of America</x:v>
      </x:c>
      <x:c r="F25" s="17" t="n">
        <x:v>46072</x:v>
      </x:c>
      <x:c r="G25" s="17" t="str">
        <x:v>API access</x:v>
      </x:c>
      <x:c r="H25" s="17" t="n">
        <x:v>46072</x:v>
      </x:c>
      <x:c r="I25" s="17"/>
      <x:c r="J25" s="17" t="str">
        <x:v>Likely</x:v>
      </x:c>
      <x:c r="K25" s="17"/>
      <x:c r="L25" s="17"/>
      <x:c r="M25" s="17"/>
      <x:c r="N25" s="17" t="str">
        <x:v>Gemini 3.1 Pro</x:v>
      </x:c>
      <x:c r="O25" s="17" t="str">
        <x:v>gemini-3-1-pro</x:v>
      </x:c>
      <x:c r="P25" s="17" t="n">
        <x:v>154.84</x:v>
      </x:c>
      <x:c r="Q25" s="17" t="n">
        <x:v>152.95</x:v>
      </x:c>
      <x:c r="R25" s="17" t="n">
        <x:v>157.9</x:v>
      </x:c>
      <x:c r="S25" s="17"/>
      <x:c r="T25" s="17"/>
      <x:c r="U25" s="17"/>
      <x:c r="V25" s="17"/>
      <x:c r="W25" s="17"/>
      <x:c r="X25" s="17"/>
      <x:c r="Y25" s="17"/>
      <x:c r="Z25" s="17"/>
    </x:row>
    <x:row r="26">
      <x:c r="A26" s="17" t="str">
        <x:v>DeepSeek-V4-Pro</x:v>
      </x:c>
      <x:c r="B26" s="17" t="str">
        <x:v>deepseek-v4-pro_max</x:v>
      </x:c>
      <x:c r="C26" s="17" t="str">
        <x:v>DeepSeek v4 Pro (max)</x:v>
      </x:c>
      <x:c r="D26" s="17" t="str">
        <x:v>DeepSeek</x:v>
      </x:c>
      <x:c r="E26" s="17" t="str">
        <x:v>China</x:v>
      </x:c>
      <x:c r="F26" s="17" t="n">
        <x:v>46136</x:v>
      </x:c>
      <x:c r="G26" s="17" t="str">
        <x:v>Open weights (unrestricted)</x:v>
      </x:c>
      <x:c r="H26" s="17" t="n">
        <x:v>46136</x:v>
      </x:c>
      <x:c r="I26" s="17" t="n">
        <x:v>9.702e+24</x:v>
      </x:c>
      <x:c r="J26" s="17" t="str">
        <x:v>Likely</x:v>
      </x:c>
      <x:c r="K26" s="17"/>
      <x:c r="L26" s="17" t="str">
        <x:v>DeepSeek v4 (max)</x:v>
      </x:c>
      <x:c r="M26" s="17"/>
      <x:c r="N26" s="17" t="str">
        <x:v>DeepSeek-V4-Pro</x:v>
      </x:c>
      <x:c r="O26" s="17" t="str">
        <x:v>deepseek-v4-pro</x:v>
      </x:c>
      <x:c r="P26" s="17" t="n">
        <x:v>149.74</x:v>
      </x:c>
      <x:c r="Q26" s="17" t="n">
        <x:v>147.87</x:v>
      </x:c>
      <x:c r="R26" s="17" t="n">
        <x:v>152.06</x:v>
      </x:c>
      <x:c r="S26" s="17"/>
      <x:c r="T26" s="17"/>
      <x:c r="U26" s="17"/>
      <x:c r="V26" s="17"/>
      <x:c r="W26" s="17"/>
      <x:c r="X26" s="17"/>
      <x:c r="Y26" s="17"/>
      <x:c r="Z26" s="17"/>
    </x:row>
    <x:row r="27">
      <x:c r="A27" s="17" t="str">
        <x:v>Grok 4.3 Beta</x:v>
      </x:c>
      <x:c r="B27" s="17" t="str">
        <x:v>grok-4.3_high</x:v>
      </x:c>
      <x:c r="C27" s="17"/>
      <x:c r="D27" s="17" t="str">
        <x:v>xAI</x:v>
      </x:c>
      <x:c r="E27" s="17" t="str">
        <x:v>United States of America</x:v>
      </x:c>
      <x:c r="F27" s="17" t="n">
        <x:v>46129</x:v>
      </x:c>
      <x:c r="G27" s="17" t="str">
        <x:v>Hosted access (no API)</x:v>
      </x:c>
      <x:c r="H27" s="17" t="n">
        <x:v>46129</x:v>
      </x:c>
      <x:c r="I27" s="17"/>
      <x:c r="J27" s="17" t="str">
        <x:v>Likely</x:v>
      </x:c>
      <x:c r="K27" s="17"/>
      <x:c r="L27" s="17"/>
      <x:c r="M27" s="17"/>
      <x:c r="N27" s="17" t="str">
        <x:v>Grok 4.3 Beta</x:v>
      </x:c>
      <x:c r="O27" s="17" t="str">
        <x:v>grok-4-3-beta</x:v>
      </x:c>
      <x:c r="P27" s="17" t="n">
        <x:v>148.98</x:v>
      </x:c>
      <x:c r="Q27" s="17" t="n">
        <x:v>147.37</x:v>
      </x:c>
      <x:c r="R27" s="17" t="n">
        <x:v>150.53</x:v>
      </x:c>
      <x:c r="S27" s="17"/>
      <x:c r="T27" s="17"/>
      <x:c r="U27" s="17"/>
      <x:c r="V27" s="17"/>
      <x:c r="W27" s="17"/>
      <x:c r="X27" s="17"/>
      <x:c r="Y27" s="17"/>
      <x:c r="Z27" s="17"/>
    </x:row>
    <x:row r="28">
      <x:c r="A28" s="17" t="str">
        <x:v>GPT-5.4 Pro</x:v>
      </x:c>
      <x:c r="B28" s="17" t="str">
        <x:v>gpt-5.4-pro-2026-03-05_xhigh</x:v>
      </x:c>
      <x:c r="C28" s="17" t="str">
        <x:v>GPT-5.4 Pro (xhigh)</x:v>
      </x:c>
      <x:c r="D28" s="17" t="str">
        <x:v>OpenAI</x:v>
      </x:c>
      <x:c r="E28" s="17" t="str">
        <x:v>United States of America</x:v>
      </x:c>
      <x:c r="F28" s="17" t="n">
        <x:v>46086</x:v>
      </x:c>
      <x:c r="G28" s="17" t="str">
        <x:v>API access</x:v>
      </x:c>
      <x:c r="H28" s="17" t="n">
        <x:v>46086</x:v>
      </x:c>
      <x:c r="I28" s="17"/>
      <x:c r="J28" s="17" t="str">
        <x:v>Likely</x:v>
      </x:c>
      <x:c r="K28" s="17"/>
      <x:c r="L28" s="17" t="str">
        <x:v>GPT-5.4 Pro (xhigh)</x:v>
      </x:c>
      <x:c r="M28" s="17"/>
      <x:c r="N28" s="17" t="str">
        <x:v>GPT-5.4 Pro</x:v>
      </x:c>
      <x:c r="O28" s="17" t="str">
        <x:v>gpt-5-4-pro</x:v>
      </x:c>
      <x:c r="P28" s="17" t="n">
        <x:v>157.83</x:v>
      </x:c>
      <x:c r="Q28" s="17" t="n">
        <x:v>155.96</x:v>
      </x:c>
      <x:c r="R28" s="17" t="n">
        <x:v>160.88</x:v>
      </x:c>
      <x:c r="S28" s="17"/>
      <x:c r="T28" s="17"/>
      <x:c r="U28" s="17"/>
      <x:c r="V28" s="17"/>
      <x:c r="W28" s="17"/>
      <x:c r="X28" s="17"/>
      <x:c r="Y28" s="17"/>
      <x:c r="Z28" s="17"/>
    </x:row>
    <x:row r="29">
      <x:c r="A29" s="17" t="str">
        <x:v>GPT-5.2 Pro</x:v>
      </x:c>
      <x:c r="B29" s="17" t="str">
        <x:v>gpt-5.2-pro-2025-12-11_xhigh</x:v>
      </x:c>
      <x:c r="C29" s="17" t="str">
        <x:v>GPT-5.2 Pro</x:v>
      </x:c>
      <x:c r="D29" s="17" t="str">
        <x:v>OpenAI</x:v>
      </x:c>
      <x:c r="E29" s="17" t="str">
        <x:v>United States of America</x:v>
      </x:c>
      <x:c r="F29" s="17" t="n">
        <x:v>46002</x:v>
      </x:c>
      <x:c r="G29" s="17" t="str">
        <x:v>API access</x:v>
      </x:c>
      <x:c r="H29" s="17" t="n">
        <x:v>46002</x:v>
      </x:c>
      <x:c r="I29" s="17"/>
      <x:c r="J29" s="17" t="str">
        <x:v>Likely</x:v>
      </x:c>
      <x:c r="K29" s="17"/>
      <x:c r="L29" s="17" t="str">
        <x:v>GPT-5.2 Pro (xhigh)</x:v>
      </x:c>
      <x:c r="M29" s="17"/>
      <x:c r="N29" s="17" t="str">
        <x:v>GPT-5.2 Pro</x:v>
      </x:c>
      <x:c r="O29" s="17" t="str">
        <x:v>gpt-5-2-pro</x:v>
      </x:c>
      <x:c r="P29" s="17" t="n">
        <x:v>154.65</x:v>
      </x:c>
      <x:c r="Q29" s="17" t="n">
        <x:v>152.88</x:v>
      </x:c>
      <x:c r="R29" s="17" t="n">
        <x:v>157.03</x:v>
      </x:c>
      <x:c r="S29" s="17"/>
      <x:c r="T29" s="17"/>
      <x:c r="U29" s="17"/>
      <x:c r="V29" s="17"/>
      <x:c r="W29" s="17"/>
      <x:c r="X29" s="17"/>
      <x:c r="Y29" s="17"/>
      <x:c r="Z29" s="17"/>
    </x:row>
    <x:row r="30">
      <x:c r="A30" s="17" t="str">
        <x:v>Kimi K2.7 Code</x:v>
      </x:c>
      <x:c r="B30" s="17" t="str">
        <x:v>kimi-k2.7-code</x:v>
      </x:c>
      <x:c r="C30" s="17" t="str">
        <x:v>Kimi K2.7 Code</x:v>
      </x:c>
      <x:c r="D30" s="17" t="str">
        <x:v>Moonshot</x:v>
      </x:c>
      <x:c r="E30" s="17" t="str">
        <x:v>China</x:v>
      </x:c>
      <x:c r="F30" s="17" t="n">
        <x:v>46185</x:v>
      </x:c>
      <x:c r="G30" s="17" t="str">
        <x:v>Open weights (unrestricted)</x:v>
      </x:c>
      <x:c r="H30" s="17" t="n">
        <x:v>46185</x:v>
      </x:c>
      <x:c r="I30" s="17"/>
      <x:c r="J30" s="17" t="str">
        <x:v>Confident</x:v>
      </x:c>
      <x:c r="K30" s="17"/>
      <x:c r="L30" s="17"/>
      <x:c r="M30" s="17"/>
      <x:c r="N30" s="17" t="str">
        <x:v>Kimi K2.7 Code</x:v>
      </x:c>
      <x:c r="O30" s="17" t="str">
        <x:v>kimi-k2-7-code</x:v>
      </x:c>
      <x:c r="P30" s="17" t="n">
        <x:v>150.07</x:v>
      </x:c>
      <x:c r="Q30" s="17" t="n">
        <x:v>148.48</x:v>
      </x:c>
      <x:c r="R30" s="17" t="n">
        <x:v>151.25</x:v>
      </x:c>
      <x:c r="S30" s="17"/>
      <x:c r="T30" s="17"/>
      <x:c r="U30" s="17"/>
      <x:c r="V30" s="17"/>
      <x:c r="W30" s="17"/>
      <x:c r="X30" s="17"/>
      <x:c r="Y30" s="17"/>
      <x:c r="Z30" s="17"/>
    </x:row>
    <x:row r="31">
      <x:c r="A31" s="17" t="str">
        <x:v>GPT-5.5 Pro</x:v>
      </x:c>
      <x:c r="B31" s="17" t="str">
        <x:v>gpt-5.5-pro_xhigh</x:v>
      </x:c>
      <x:c r="C31" s="17" t="str">
        <x:v>GPT-5.5 Pro (xhigh)</x:v>
      </x:c>
      <x:c r="D31" s="17" t="str">
        <x:v>OpenAI</x:v>
      </x:c>
      <x:c r="E31" s="17" t="str">
        <x:v>United States of America</x:v>
      </x:c>
      <x:c r="F31" s="17" t="n">
        <x:v>46135</x:v>
      </x:c>
      <x:c r="G31" s="17" t="str">
        <x:v>API access</x:v>
      </x:c>
      <x:c r="H31" s="17" t="n">
        <x:v>46135</x:v>
      </x:c>
      <x:c r="I31" s="17"/>
      <x:c r="J31" s="17" t="str">
        <x:v>Likely</x:v>
      </x:c>
      <x:c r="K31" s="17"/>
      <x:c r="L31" s="17"/>
      <x:c r="M31" s="17"/>
      <x:c r="N31" s="17" t="str">
        <x:v>GPT-5.5 Pro</x:v>
      </x:c>
      <x:c r="O31" s="17" t="str">
        <x:v>gpt-5-5-pro</x:v>
      </x:c>
      <x:c r="P31" s="17" t="n">
        <x:v>160.73</x:v>
      </x:c>
      <x:c r="Q31" s="17" t="n">
        <x:v>158.24</x:v>
      </x:c>
      <x:c r="R31" s="17" t="n">
        <x:v>164.36</x:v>
      </x:c>
      <x:c r="S31" s="17"/>
      <x:c r="T31" s="17"/>
      <x:c r="U31" s="17"/>
      <x:c r="V31" s="17"/>
      <x:c r="W31" s="17"/>
      <x:c r="X31" s="17"/>
      <x:c r="Y31" s="17"/>
      <x:c r="Z31" s="17"/>
    </x:row>
    <x:row r="32">
      <x:c r="A32" s="17" t="str">
        <x:v>GPT-5 Pro</x:v>
      </x:c>
      <x:c r="B32" s="17" t="str">
        <x:v>gpt-5-pro-2025-10-06_high</x:v>
      </x:c>
      <x:c r="C32" s="17" t="str">
        <x:v>GPT-5 Pro</x:v>
      </x:c>
      <x:c r="D32" s="17" t="str">
        <x:v>OpenAI</x:v>
      </x:c>
      <x:c r="E32" s="17" t="str">
        <x:v>United States of America</x:v>
      </x:c>
      <x:c r="F32" s="17" t="n">
        <x:v>45937</x:v>
      </x:c>
      <x:c r="G32" s="17" t="str">
        <x:v>API access</x:v>
      </x:c>
      <x:c r="H32" s="17" t="n">
        <x:v>45937</x:v>
      </x:c>
      <x:c r="I32" s="17"/>
      <x:c r="J32" s="17" t="str">
        <x:v>Unknown</x:v>
      </x:c>
      <x:c r="K32" s="17"/>
      <x:c r="L32" s="17" t="str">
        <x:v>GPT-5 Pro (high)</x:v>
      </x:c>
      <x:c r="M32" s="17"/>
      <x:c r="N32" s="17" t="str">
        <x:v>GPT-5 Pro</x:v>
      </x:c>
      <x:c r="O32" s="17" t="str">
        <x:v>gpt-5-pro</x:v>
      </x:c>
      <x:c r="P32" s="17" t="n">
        <x:v>150.43</x:v>
      </x:c>
      <x:c r="Q32" s="17" t="n">
        <x:v>148.94</x:v>
      </x:c>
      <x:c r="R32" s="17" t="n">
        <x:v>152.05</x:v>
      </x:c>
      <x:c r="S32" s="17"/>
      <x:c r="T32" s="17"/>
      <x:c r="U32" s="17"/>
      <x:c r="V32" s="17"/>
      <x:c r="W32" s="17"/>
      <x:c r="X32" s="17"/>
      <x:c r="Y32" s="17"/>
      <x:c r="Z32" s="17"/>
    </x:row>
    <x:row r="33">
      <x:c r="A33" s="17" t="str">
        <x:v>GPT-5 mini</x:v>
      </x:c>
      <x:c r="B33" s="17" t="str">
        <x:v>gpt-5-mini-2025-08-07_high</x:v>
      </x:c>
      <x:c r="C33" s="17" t="str">
        <x:v>GPT-5 mini (high)</x:v>
      </x:c>
      <x:c r="D33" s="17" t="str">
        <x:v>OpenAI</x:v>
      </x:c>
      <x:c r="E33" s="17" t="str">
        <x:v>United States of America</x:v>
      </x:c>
      <x:c r="F33" s="17" t="n">
        <x:v>45876</x:v>
      </x:c>
      <x:c r="G33" s="17" t="str">
        <x:v>API access</x:v>
      </x:c>
      <x:c r="H33" s="17" t="n">
        <x:v>45876</x:v>
      </x:c>
      <x:c r="I33" s="17"/>
      <x:c r="J33" s="17" t="str">
        <x:v>Unknown</x:v>
      </x:c>
      <x:c r="K33" s="17" t="str">
        <x:v>A smaller version of OpenAI's latest flagship frontier model, benchmarked using high reasoning effort.</x:v>
      </x:c>
      <x:c r="L33" s="17" t="str">
        <x:v>GPT-5 mini (high)</x:v>
      </x:c>
      <x:c r="M33" s="17"/>
      <x:c r="N33" s="17" t="str">
        <x:v>GPT-5 mini</x:v>
      </x:c>
      <x:c r="O33" s="17" t="str">
        <x:v>gpt-5-mini</x:v>
      </x:c>
      <x:c r="P33" s="17" t="n">
        <x:v>145.79</x:v>
      </x:c>
      <x:c r="Q33" s="17" t="n">
        <x:v>143.69</x:v>
      </x:c>
      <x:c r="R33" s="17" t="n">
        <x:v>147.21</x:v>
      </x:c>
      <x:c r="S33" s="17"/>
      <x:c r="T33" s="17"/>
      <x:c r="U33" s="17"/>
      <x:c r="V33" s="17"/>
      <x:c r="W33" s="17"/>
      <x:c r="X33" s="17"/>
      <x:c r="Y33" s="17"/>
      <x:c r="Z33" s="17"/>
    </x:row>
    <x:row r="34">
      <x:c r="A34" s="17" t="str">
        <x:v>GPT-5.4 Nano</x:v>
      </x:c>
      <x:c r="B34" s="17" t="str">
        <x:v>gpt-5.4-nano-2026-03-17_high</x:v>
      </x:c>
      <x:c r="C34" s="17" t="str">
        <x:v>GPT-5.4 nano (high)</x:v>
      </x:c>
      <x:c r="D34" s="17" t="str">
        <x:v>OpenAI</x:v>
      </x:c>
      <x:c r="E34" s="17" t="str">
        <x:v>United States of America</x:v>
      </x:c>
      <x:c r="F34" s="17" t="n">
        <x:v>46098</x:v>
      </x:c>
      <x:c r="G34" s="17" t="str">
        <x:v>API access</x:v>
      </x:c>
      <x:c r="H34" s="17" t="n">
        <x:v>46098</x:v>
      </x:c>
      <x:c r="I34" s="17"/>
      <x:c r="J34" s="17" t="str">
        <x:v>Likely</x:v>
      </x:c>
      <x:c r="K34" s="17"/>
      <x:c r="L34" s="17" t="str">
        <x:v>GPT-5.4 nano (high)</x:v>
      </x:c>
      <x:c r="M34" s="17"/>
      <x:c r="N34" s="17" t="str">
        <x:v>GPT-5.4 Nano</x:v>
      </x:c>
      <x:c r="O34" s="17" t="str">
        <x:v>gpt-5-4-nano</x:v>
      </x:c>
      <x:c r="P34" s="17" t="n">
        <x:v>146.64</x:v>
      </x:c>
      <x:c r="Q34" s="17" t="n">
        <x:v>144.07</x:v>
      </x:c>
      <x:c r="R34" s="17" t="n">
        <x:v>148.4</x:v>
      </x:c>
      <x:c r="S34" s="17"/>
      <x:c r="T34" s="17"/>
      <x:c r="U34" s="17"/>
      <x:c r="V34" s="17"/>
      <x:c r="W34" s="17"/>
      <x:c r="X34" s="17"/>
      <x:c r="Y34" s="17"/>
      <x:c r="Z34" s="17"/>
    </x:row>
    <x:row r="35">
      <x:c r="A35" s="17" t="str">
        <x:v>GPT-5 nano</x:v>
      </x:c>
      <x:c r="B35" s="17" t="str">
        <x:v>gpt-5-nano-2025-08-07_high</x:v>
      </x:c>
      <x:c r="C35" s="17" t="str">
        <x:v>GPT-5 nano (high)</x:v>
      </x:c>
      <x:c r="D35" s="17" t="str">
        <x:v>OpenAI</x:v>
      </x:c>
      <x:c r="E35" s="17" t="str">
        <x:v>United States of America</x:v>
      </x:c>
      <x:c r="F35" s="17" t="n">
        <x:v>45876</x:v>
      </x:c>
      <x:c r="G35" s="17" t="str">
        <x:v>API access</x:v>
      </x:c>
      <x:c r="H35" s="17" t="n">
        <x:v>45876</x:v>
      </x:c>
      <x:c r="I35" s="17"/>
      <x:c r="J35" s="17" t="str">
        <x:v>Unknown</x:v>
      </x:c>
      <x:c r="K35" s="17" t="str">
        <x:v>The smallest version of OpenAI's latest flagship frontier model, benchmarked using high reasoning effort.</x:v>
      </x:c>
      <x:c r="L35" s="17" t="str">
        <x:v>GPT-5 nano (high)</x:v>
      </x:c>
      <x:c r="M35" s="17"/>
      <x:c r="N35" s="17" t="str">
        <x:v>GPT-5 nano</x:v>
      </x:c>
      <x:c r="O35" s="17" t="str">
        <x:v>gpt-5-nano</x:v>
      </x:c>
      <x:c r="P35" s="17" t="n">
        <x:v>140.85</x:v>
      </x:c>
      <x:c r="Q35" s="17" t="n">
        <x:v>136.43</x:v>
      </x:c>
      <x:c r="R35" s="17" t="n">
        <x:v>142.54</x:v>
      </x:c>
      <x:c r="S35" s="17"/>
      <x:c r="T35" s="17"/>
      <x:c r="U35" s="17"/>
      <x:c r="V35" s="17"/>
      <x:c r="W35" s="17"/>
      <x:c r="X35" s="17"/>
      <x:c r="Y35" s="17"/>
      <x:c r="Z35" s="17"/>
    </x:row>
    <x:row r="36">
      <x:c r="A36" s="17" t="str">
        <x:v>GPT-5.4 Mini</x:v>
      </x:c>
      <x:c r="B36" s="17" t="str">
        <x:v>gpt-5.4-mini-2026-03-17_xhigh</x:v>
      </x:c>
      <x:c r="C36" s="17" t="str">
        <x:v>GPT-5.4 mini (xhigh)</x:v>
      </x:c>
      <x:c r="D36" s="17" t="str">
        <x:v>OpenAI</x:v>
      </x:c>
      <x:c r="E36" s="17" t="str">
        <x:v>United States of America</x:v>
      </x:c>
      <x:c r="F36" s="17" t="n">
        <x:v>46098</x:v>
      </x:c>
      <x:c r="G36" s="17" t="str">
        <x:v>API access</x:v>
      </x:c>
      <x:c r="H36" s="17" t="n">
        <x:v>46098</x:v>
      </x:c>
      <x:c r="I36" s="17"/>
      <x:c r="J36" s="17" t="str">
        <x:v>Likely</x:v>
      </x:c>
      <x:c r="K36" s="17"/>
      <x:c r="L36" s="17" t="str">
        <x:v>GPT-5.4 mini (xhigh)</x:v>
      </x:c>
      <x:c r="M36" s="17"/>
      <x:c r="N36" s="17" t="str">
        <x:v>GPT-5.4 Mini</x:v>
      </x:c>
      <x:c r="O36" s="17" t="str">
        <x:v>gpt-5-4-mini</x:v>
      </x:c>
      <x:c r="P36" s="17" t="n">
        <x:v>148.9</x:v>
      </x:c>
      <x:c r="Q36" s="17" t="n">
        <x:v>147.11</x:v>
      </x:c>
      <x:c r="R36" s="17" t="n">
        <x:v>150.06</x:v>
      </x:c>
      <x:c r="S36" s="17"/>
      <x:c r="T36" s="17"/>
      <x:c r="U36" s="17"/>
      <x:c r="V36" s="17"/>
      <x:c r="W36" s="17"/>
      <x:c r="X36" s="17"/>
      <x:c r="Y36" s="17"/>
      <x:c r="Z36" s="17"/>
    </x:row>
    <x:row r="37">
      <x:c r="A37" s="17" t="str">
        <x:v>AI Co-Mathematician</x:v>
      </x:c>
      <x:c r="B37" s="17" t="str">
        <x:v>gdm-ai-co-mathematician</x:v>
      </x:c>
      <x:c r="C37" s="17" t="str">
        <x:v>AI co-mathematician</x:v>
      </x:c>
      <x:c r="D37" s="17" t="str">
        <x:v>Google DeepMind</x:v>
      </x:c>
      <x:c r="E37" s="17" t="str">
        <x:v>United States of America</x:v>
      </x:c>
      <x:c r="F37" s="17" t="n">
        <x:v>46150</x:v>
      </x:c>
      <x:c r="G37" s="17" t="str">
        <x:v>Unreleased</x:v>
      </x:c>
      <x:c r="H37" s="17" t="n">
        <x:v>46150</x:v>
      </x:c>
      <x:c r="I37" s="17"/>
      <x:c r="J37" s="17" t="str">
        <x:v>Unverified</x:v>
      </x:c>
      <x:c r="K37" s="17"/>
      <x:c r="L37" s="17"/>
      <x:c r="M37" s="17"/>
      <x:c r="N37" s="17" t="str">
        <x:v>AI Co-Mathematician</x:v>
      </x:c>
      <x:c r="O37" s="17" t="str">
        <x:v>ai-co-mathematician</x:v>
      </x:c>
      <x:c r="P37" s="17"/>
      <x:c r="Q37" s="17"/>
      <x:c r="R37" s="17"/>
      <x:c r="S37" s="17"/>
      <x:c r="T37" s="17"/>
      <x:c r="U37" s="17"/>
      <x:c r="V37" s="17"/>
      <x:c r="W37" s="17"/>
      <x:c r="X37" s="17"/>
      <x:c r="Y37" s="17"/>
      <x:c r="Z37" s="17"/>
    </x:row>
    <x:row r="38">
      <x:c r="A38" s="17" t="str">
        <x:v>Gemini 2.5 Pro (Jun 2025)</x:v>
      </x:c>
      <x:c r="B38" s="17" t="str">
        <x:v>gemini-2.5-pro</x:v>
      </x:c>
      <x:c r="C38" s="17"/>
      <x:c r="D38" s="17" t="str">
        <x:v>Google DeepMind</x:v>
      </x:c>
      <x:c r="E38" s="17" t="str">
        <x:v>United States of America</x:v>
      </x:c>
      <x:c r="F38" s="17" t="n">
        <x:v>45825</x:v>
      </x:c>
      <x:c r="G38" s="17" t="str">
        <x:v>API access</x:v>
      </x:c>
      <x:c r="H38" s="17" t="n">
        <x:v>45813</x:v>
      </x:c>
      <x:c r="I38" s="17"/>
      <x:c r="J38" s="17" t="str">
        <x:v>Unknown</x:v>
      </x:c>
      <x:c r="K38" s="17" t="str">
        <x:v>Google’s general-purpose frontier reasoning model.</x:v>
      </x:c>
      <x:c r="L38" s="17" t="str">
        <x:v>Gemini 2.5 Pro</x:v>
      </x:c>
      <x:c r="M38" s="17" t="str">
        <x:v>Gemini 2.5 Pro (Jun 2025)</x:v>
      </x:c>
      <x:c r="N38" s="17" t="str">
        <x:v>Gemini 2.5 Pro (Jun 2025)</x:v>
      </x:c>
      <x:c r="O38" s="17" t="str">
        <x:v>gemini-2-5-pro-jun-2025</x:v>
      </x:c>
      <x:c r="P38" s="17" t="n">
        <x:v>146.08</x:v>
      </x:c>
      <x:c r="Q38" s="17" t="n">
        <x:v>144.33</x:v>
      </x:c>
      <x:c r="R38" s="17" t="n">
        <x:v>147.72</x:v>
      </x:c>
      <x:c r="S38" s="17"/>
      <x:c r="T38" s="17"/>
      <x:c r="U38" s="17"/>
      <x:c r="V38" s="17"/>
      <x:c r="W38" s="17"/>
      <x:c r="X38" s="17"/>
      <x:c r="Y38" s="17"/>
      <x:c r="Z38" s="17"/>
    </x:row>
    <x:row r="39">
      <x:c r="A39" s="17" t="str">
        <x:v>Gemini 3 Flash</x:v>
      </x:c>
      <x:c r="B39" s="17" t="str">
        <x:v>gemini-3-flash-preview</x:v>
      </x:c>
      <x:c r="C39" s="17"/>
      <x:c r="D39" s="17" t="str">
        <x:v>Google DeepMind</x:v>
      </x:c>
      <x:c r="E39" s="17" t="str">
        <x:v>United States of America</x:v>
      </x:c>
      <x:c r="F39" s="17" t="n">
        <x:v>46008</x:v>
      </x:c>
      <x:c r="G39" s="17" t="str">
        <x:v>API access</x:v>
      </x:c>
      <x:c r="H39" s="17" t="n">
        <x:v>46008</x:v>
      </x:c>
      <x:c r="I39" s="17"/>
      <x:c r="J39" s="17" t="str">
        <x:v>Unknown</x:v>
      </x:c>
      <x:c r="K39" s="17"/>
      <x:c r="L39" s="17"/>
      <x:c r="M39" s="17"/>
      <x:c r="N39" s="17" t="str">
        <x:v>Gemini 3 Flash</x:v>
      </x:c>
      <x:c r="O39" s="17" t="str">
        <x:v>gemini-3-flash</x:v>
      </x:c>
      <x:c r="P39" s="17" t="n">
        <x:v>150.62</x:v>
      </x:c>
      <x:c r="Q39" s="17" t="n">
        <x:v>146.15</x:v>
      </x:c>
      <x:c r="R39" s="17" t="n">
        <x:v>152.88</x:v>
      </x:c>
      <x:c r="S39" s="17"/>
      <x:c r="T39" s="17"/>
      <x:c r="U39" s="17"/>
      <x:c r="V39" s="17"/>
      <x:c r="W39" s="17"/>
      <x:c r="X39" s="17"/>
      <x:c r="Y39" s="17"/>
      <x:c r="Z39" s="17"/>
    </x:row>
    <x:row r="40">
      <x:c r="A40" s="17" t="str">
        <x:v>Claude Opus 4.1</x:v>
      </x:c>
      <x:c r="B40" s="17" t="str">
        <x:v>claude-opus-4-1-20250805_32K</x:v>
      </x:c>
      <x:c r="C40" s="17"/>
      <x:c r="D40" s="17" t="str">
        <x:v>Anthropic</x:v>
      </x:c>
      <x:c r="E40" s="17" t="str">
        <x:v>United States of America</x:v>
      </x:c>
      <x:c r="F40" s="17" t="n">
        <x:v>45874</x:v>
      </x:c>
      <x:c r="G40" s="17" t="str">
        <x:v>API access</x:v>
      </x:c>
      <x:c r="H40" s="17" t="n">
        <x:v>45874</x:v>
      </x:c>
      <x:c r="I40" s="17"/>
      <x:c r="J40" s="17" t="str">
        <x:v>Unknown</x:v>
      </x:c>
      <x:c r="K40" s="17" t="str">
        <x:v>Anthropic’s largest flagship model, benchmarked with up to 32,000 reasoning tokens.</x:v>
      </x:c>
      <x:c r="L40" s="17" t="str">
        <x:v>Claude Opus 4.1 (32k thinking)</x:v>
      </x:c>
      <x:c r="M40" s="17"/>
      <x:c r="N40" s="17" t="str">
        <x:v>Claude Opus 4.1</x:v>
      </x:c>
      <x:c r="O40" s="17" t="str">
        <x:v>claude-opus-4-1</x:v>
      </x:c>
      <x:c r="P40" s="17" t="n">
        <x:v>144.21</x:v>
      </x:c>
      <x:c r="Q40" s="17" t="n">
        <x:v>141.74</x:v>
      </x:c>
      <x:c r="R40" s="17" t="n">
        <x:v>146.36</x:v>
      </x:c>
      <x:c r="S40" s="17"/>
      <x:c r="T40" s="17"/>
      <x:c r="U40" s="17"/>
      <x:c r="V40" s="17"/>
      <x:c r="W40" s="17"/>
      <x:c r="X40" s="17"/>
      <x:c r="Y40" s="17"/>
      <x:c r="Z40" s="17"/>
    </x:row>
    <x:row r="41">
      <x:c r="A41" s="17" t="str">
        <x:v>Claude Sonnet 4.5</x:v>
      </x:c>
      <x:c r="B41" s="17" t="str">
        <x:v>claude-sonnet-4-5-20250929_32K</x:v>
      </x:c>
      <x:c r="C41" s="17" t="str">
        <x:v>Claude Sonnet 4.5 (32k thinking)</x:v>
      </x:c>
      <x:c r="D41" s="17" t="str">
        <x:v>Anthropic</x:v>
      </x:c>
      <x:c r="E41" s="17" t="str">
        <x:v>United States of America</x:v>
      </x:c>
      <x:c r="F41" s="17" t="n">
        <x:v>45929</x:v>
      </x:c>
      <x:c r="G41" s="17" t="str">
        <x:v>API access</x:v>
      </x:c>
      <x:c r="H41" s="17" t="n">
        <x:v>45929</x:v>
      </x:c>
      <x:c r="I41" s="17"/>
      <x:c r="J41" s="17" t="str">
        <x:v>Unknown</x:v>
      </x:c>
      <x:c r="K41" s="17" t="str">
        <x:v>Anthropic's latest mid-size model, part of the Claude 4.5 series, evaluated with up to 32,000 reasoning tokens.</x:v>
      </x:c>
      <x:c r="L41" s="17" t="str">
        <x:v>Claude Sonnet 4.5 (32k thinking)</x:v>
      </x:c>
      <x:c r="M41" s="17"/>
      <x:c r="N41" s="17" t="str">
        <x:v>Claude Sonnet 4.5</x:v>
      </x:c>
      <x:c r="O41" s="17" t="str">
        <x:v>claude-sonnet-4-5</x:v>
      </x:c>
      <x:c r="P41" s="17" t="n">
        <x:v>146.75</x:v>
      </x:c>
      <x:c r="Q41" s="17" t="n">
        <x:v>144.71</x:v>
      </x:c>
      <x:c r="R41" s="17" t="n">
        <x:v>148.07</x:v>
      </x:c>
      <x:c r="S41" s="17"/>
      <x:c r="T41" s="17"/>
      <x:c r="U41" s="17"/>
      <x:c r="V41" s="17"/>
      <x:c r="W41" s="17"/>
      <x:c r="X41" s="17"/>
      <x:c r="Y41" s="17"/>
      <x:c r="Z41" s="17"/>
    </x:row>
    <x:row r="42">
      <x:c r="A42" s="17" t="str">
        <x:v>o4-mini</x:v>
      </x:c>
      <x:c r="B42" s="17" t="str">
        <x:v>o4-mini-2025-04-16_high</x:v>
      </x:c>
      <x:c r="C42" s="17" t="str">
        <x:v>o4-mini (high)</x:v>
      </x:c>
      <x:c r="D42" s="17" t="str">
        <x:v>OpenAI</x:v>
      </x:c>
      <x:c r="E42" s="17" t="str">
        <x:v>United States of America</x:v>
      </x:c>
      <x:c r="F42" s="17" t="n">
        <x:v>45763</x:v>
      </x:c>
      <x:c r="G42" s="17" t="str">
        <x:v>API access</x:v>
      </x:c>
      <x:c r="H42" s="17" t="n">
        <x:v>45763</x:v>
      </x:c>
      <x:c r="I42" s="17"/>
      <x:c r="J42" s="17" t="str">
        <x:v>Unknown</x:v>
      </x:c>
      <x:c r="K42" s="17" t="str">
        <x:v>The latest smaller size o-series reasoning model from OpenAI, evaluated with high reasoning effort.</x:v>
      </x:c>
      <x:c r="L42" s="17"/>
      <x:c r="M42" s="17"/>
      <x:c r="N42" s="17" t="str">
        <x:v>o4-mini</x:v>
      </x:c>
      <x:c r="O42" s="17" t="str">
        <x:v>o4-mini</x:v>
      </x:c>
      <x:c r="P42" s="17" t="n">
        <x:v>146.54</x:v>
      </x:c>
      <x:c r="Q42" s="17" t="n">
        <x:v>144.05</x:v>
      </x:c>
      <x:c r="R42" s="17" t="n">
        <x:v>147.85</x:v>
      </x:c>
      <x:c r="S42" s="17"/>
      <x:c r="T42" s="17"/>
      <x:c r="U42" s="17"/>
      <x:c r="V42" s="17"/>
      <x:c r="W42" s="17"/>
      <x:c r="X42" s="17"/>
      <x:c r="Y42" s="17"/>
      <x:c r="Z42" s="17"/>
    </x:row>
    <x:row r="43">
      <x:c r="A43" s="17" t="str">
        <x:v>o3-mini</x:v>
      </x:c>
      <x:c r="B43" s="17" t="str">
        <x:v>o3-mini-2025-01-31_high</x:v>
      </x:c>
      <x:c r="C43" s="17" t="str">
        <x:v>o3-mini (high)</x:v>
      </x:c>
      <x:c r="D43" s="17" t="str">
        <x:v>OpenAI</x:v>
      </x:c>
      <x:c r="E43" s="17" t="str">
        <x:v>United States of America</x:v>
      </x:c>
      <x:c r="F43" s="17" t="n">
        <x:v>45688</x:v>
      </x:c>
      <x:c r="G43" s="17" t="str">
        <x:v>API access</x:v>
      </x:c>
      <x:c r="H43" s="17" t="n">
        <x:v>45688</x:v>
      </x:c>
      <x:c r="I43" s="17"/>
      <x:c r="J43" s="17" t="str">
        <x:v>Unknown</x:v>
      </x:c>
      <x:c r="K43" s="17" t="str">
        <x:v>A smaller version of OpenAI's o3 reasoning model, evaluated with high reasoning effort.</x:v>
      </x:c>
      <x:c r="L43" s="17"/>
      <x:c r="M43" s="17"/>
      <x:c r="N43" s="17" t="str">
        <x:v>o3-mini</x:v>
      </x:c>
      <x:c r="O43" s="17" t="str">
        <x:v>o3-mini</x:v>
      </x:c>
      <x:c r="P43" s="17" t="n">
        <x:v>141.41</x:v>
      </x:c>
      <x:c r="Q43" s="17" t="n">
        <x:v>137.82</x:v>
      </x:c>
      <x:c r="R43" s="17" t="n">
        <x:v>142.81</x:v>
      </x:c>
      <x:c r="S43" s="17"/>
      <x:c r="T43" s="17"/>
      <x:c r="U43" s="17"/>
      <x:c r="V43" s="17"/>
      <x:c r="W43" s="17"/>
      <x:c r="X43" s="17"/>
      <x:c r="Y43" s="17"/>
      <x:c r="Z43" s="17"/>
    </x:row>
    <x:row r="44">
      <x:c r="A44" s="17" t="str">
        <x:v>Claude Opus 4.5</x:v>
      </x:c>
      <x:c r="B44" s="17" t="str">
        <x:v>claude-opus-4-5-20251101_32K</x:v>
      </x:c>
      <x:c r="C44" s="17" t="str">
        <x:v>Claude Opus 4.5 (32k thinking)</x:v>
      </x:c>
      <x:c r="D44" s="17" t="str">
        <x:v>Anthropic</x:v>
      </x:c>
      <x:c r="E44" s="17" t="str">
        <x:v>United States of America</x:v>
      </x:c>
      <x:c r="F44" s="17" t="n">
        <x:v>45985</x:v>
      </x:c>
      <x:c r="G44" s="17" t="str">
        <x:v>API access</x:v>
      </x:c>
      <x:c r="H44" s="17" t="n">
        <x:v>45985</x:v>
      </x:c>
      <x:c r="I44" s="17"/>
      <x:c r="J44" s="17" t="str">
        <x:v>Unknown</x:v>
      </x:c>
      <x:c r="K44" s="17"/>
      <x:c r="L44" s="17" t="str">
        <x:v>Claude Opus 4.5 (32k thinking)</x:v>
      </x:c>
      <x:c r="M44" s="17"/>
      <x:c r="N44" s="17" t="str">
        <x:v>Claude Opus 4.5</x:v>
      </x:c>
      <x:c r="O44" s="17" t="str">
        <x:v>claude-opus-4-5</x:v>
      </x:c>
      <x:c r="P44" s="17" t="n">
        <x:v>149.53</x:v>
      </x:c>
      <x:c r="Q44" s="17" t="n">
        <x:v>147.66</x:v>
      </x:c>
      <x:c r="R44" s="17" t="n">
        <x:v>151.99</x:v>
      </x:c>
      <x:c r="S44" s="17"/>
      <x:c r="T44" s="17"/>
      <x:c r="U44" s="17"/>
      <x:c r="V44" s="17"/>
      <x:c r="W44" s="17"/>
      <x:c r="X44" s="17"/>
      <x:c r="Y44" s="17"/>
      <x:c r="Z44" s="17"/>
    </x:row>
    <x:row r="45">
      <x:c r="A45" s="17" t="str">
        <x:v>Claude Fable 5</x:v>
      </x:c>
      <x:c r="B45" s="17" t="str">
        <x:v>claude-fable-5_xhigh</x:v>
      </x:c>
      <x:c r="C45" s="17" t="str">
        <x:v>Claude Fable 5 (xhigh)</x:v>
      </x:c>
      <x:c r="D45" s="17" t="str">
        <x:v>Anthropic</x:v>
      </x:c>
      <x:c r="E45" s="17" t="str">
        <x:v>United States of America</x:v>
      </x:c>
      <x:c r="F45" s="17" t="n">
        <x:v>46182</x:v>
      </x:c>
      <x:c r="G45" s="17" t="str">
        <x:v>API access</x:v>
      </x:c>
      <x:c r="H45" s="17" t="n">
        <x:v>46182</x:v>
      </x:c>
      <x:c r="I45" s="17"/>
      <x:c r="J45" s="17" t="str">
        <x:v>Confident</x:v>
      </x:c>
      <x:c r="K45" s="17"/>
      <x:c r="L45" s="17" t="str">
        <x:v>Claude Fable 5 (xhigh)</x:v>
      </x:c>
      <x:c r="M45" s="17"/>
      <x:c r="N45" s="17" t="str">
        <x:v>Claude Fable 5</x:v>
      </x:c>
      <x:c r="O45" s="17" t="str">
        <x:v>claude-fable-5</x:v>
      </x:c>
      <x:c r="P45" s="17" t="n">
        <x:v>160.44</x:v>
      </x:c>
      <x:c r="Q45" s="17" t="n">
        <x:v>158.05</x:v>
      </x:c>
      <x:c r="R45" s="17" t="n">
        <x:v>164.61</x:v>
      </x:c>
      <x:c r="S45" s="17"/>
      <x:c r="T45" s="17"/>
      <x:c r="U45" s="17"/>
      <x:c r="V45" s="17"/>
      <x:c r="W45" s="17"/>
      <x:c r="X45" s="17"/>
      <x:c r="Y45" s="17"/>
      <x:c r="Z45" s="17"/>
    </x:row>
    <x:row r="46">
      <x:c r="A46" s="17" t="str">
        <x:v>Qwen 3.6 Max (Preview)</x:v>
      </x:c>
      <x:c r="B46" s="17" t="str">
        <x:v>qwen3.6-max-preview</x:v>
      </x:c>
      <x:c r="C46" s="17" t="str">
        <x:v>Qwen 3.6 Max (Preview)</x:v>
      </x:c>
      <x:c r="D46" s="17" t="str">
        <x:v>Alibaba</x:v>
      </x:c>
      <x:c r="E46" s="17" t="str">
        <x:v>China</x:v>
      </x:c>
      <x:c r="F46" s="17" t="n">
        <x:v>46132</x:v>
      </x:c>
      <x:c r="G46" s="17"/>
      <x:c r="H46" s="17"/>
      <x:c r="I46" s="17"/>
      <x:c r="J46" s="17" t="str">
        <x:v>Unverified</x:v>
      </x:c>
      <x:c r="K46" s="17"/>
      <x:c r="L46" s="17"/>
      <x:c r="M46" s="17"/>
      <x:c r="N46" s="17" t="str">
        <x:v>Qwen 3.6 Max (Preview)</x:v>
      </x:c>
      <x:c r="O46" s="17" t="str">
        <x:v>qwen-3-6-max-preview</x:v>
      </x:c>
      <x:c r="P46" s="17" t="n">
        <x:v>149.61</x:v>
      </x:c>
      <x:c r="Q46" s="17" t="n">
        <x:v>147.62</x:v>
      </x:c>
      <x:c r="R46" s="17" t="n">
        <x:v>153.07</x:v>
      </x:c>
      <x:c r="S46" s="17"/>
      <x:c r="T46" s="17"/>
      <x:c r="U46" s="17"/>
      <x:c r="V46" s="17"/>
      <x:c r="W46" s="17"/>
      <x:c r="X46" s="17"/>
      <x:c r="Y46" s="17"/>
      <x:c r="Z46" s="17"/>
    </x:row>
    <x:row r="47">
      <x:c r="A47" s="17" t="str">
        <x:v>GLM-5.1</x:v>
      </x:c>
      <x:c r="B47" s="17" t="str">
        <x:v>glm-5.1</x:v>
      </x:c>
      <x:c r="C47" s="17" t="str">
        <x:v>GLM-5.1</x:v>
      </x:c>
      <x:c r="D47" s="17" t="str">
        <x:v>Z.ai (Zhipu AI)</x:v>
      </x:c>
      <x:c r="E47" s="17" t="str">
        <x:v>China</x:v>
      </x:c>
      <x:c r="F47" s="17" t="n">
        <x:v>46119</x:v>
      </x:c>
      <x:c r="G47" s="17"/>
      <x:c r="H47" s="17" t="n">
        <x:v>46119</x:v>
      </x:c>
      <x:c r="I47" s="17"/>
      <x:c r="J47" s="17" t="str">
        <x:v>Confident</x:v>
      </x:c>
      <x:c r="K47" s="17"/>
      <x:c r="L47" s="17"/>
      <x:c r="M47" s="17"/>
      <x:c r="N47" s="17" t="str">
        <x:v>GLM-5.1</x:v>
      </x:c>
      <x:c r="O47" s="17" t="str">
        <x:v>glm-5-1</x:v>
      </x:c>
      <x:c r="P47" s="17" t="n">
        <x:v>150.39</x:v>
      </x:c>
      <x:c r="Q47" s="17" t="n">
        <x:v>148.1</x:v>
      </x:c>
      <x:c r="R47" s="17" t="n">
        <x:v>151.89</x:v>
      </x:c>
      <x:c r="S47" s="17"/>
      <x:c r="T47" s="17"/>
      <x:c r="U47" s="17"/>
      <x:c r="V47" s="17"/>
      <x:c r="W47" s="17"/>
      <x:c r="X47" s="17"/>
      <x:c r="Y47" s="17"/>
      <x:c r="Z47" s="17"/>
    </x:row>
    <x:row r="48">
      <x:c r="A48" s="17" t="str">
        <x:v>Qwen 3.5 Plus (hosted 397B-A17B)</x:v>
      </x:c>
      <x:c r="B48" s="17" t="str">
        <x:v>qwen3.5-plus</x:v>
      </x:c>
      <x:c r="C48" s="17"/>
      <x:c r="D48" s="17" t="str">
        <x:v>Alibaba</x:v>
      </x:c>
      <x:c r="E48" s="17" t="str">
        <x:v>China</x:v>
      </x:c>
      <x:c r="F48" s="17" t="n">
        <x:v>46069</x:v>
      </x:c>
      <x:c r="G48" s="17"/>
      <x:c r="H48" s="17" t="n">
        <x:v>46069</x:v>
      </x:c>
      <x:c r="I48" s="17"/>
      <x:c r="J48" s="17" t="str">
        <x:v>Likely</x:v>
      </x:c>
      <x:c r="K48" s="17"/>
      <x:c r="L48" s="17"/>
      <x:c r="M48" s="17"/>
      <x:c r="N48" s="17" t="str">
        <x:v>Qwen 3.5 Plus (hosted 397B-A17B)</x:v>
      </x:c>
      <x:c r="O48" s="17" t="str">
        <x:v>qwen-3-5-plus-hosted-397b-a17b</x:v>
      </x:c>
      <x:c r="P48" s="17" t="n">
        <x:v>146.95</x:v>
      </x:c>
      <x:c r="Q48" s="17" t="n">
        <x:v>144.65</x:v>
      </x:c>
      <x:c r="R48" s="17" t="n">
        <x:v>148.03</x:v>
      </x:c>
      <x:c r="S48" s="17"/>
      <x:c r="T48" s="17"/>
      <x:c r="U48" s="17"/>
      <x:c r="V48" s="17"/>
      <x:c r="W48" s="17"/>
      <x:c r="X48" s="17"/>
      <x:c r="Y48" s="17"/>
      <x:c r="Z48" s="17"/>
    </x:row>
    <x:row r="49">
      <x:c r="A49" s="17" t="str">
        <x:v>Qwen 3.6 Plus</x:v>
      </x:c>
      <x:c r="B49" s="17" t="str">
        <x:v>qwen3.6-plus</x:v>
      </x:c>
      <x:c r="C49" s="17" t="str">
        <x:v>Qwen 3.6 Plus (2026-04-02)</x:v>
      </x:c>
      <x:c r="D49" s="17" t="str">
        <x:v>Alibaba</x:v>
      </x:c>
      <x:c r="E49" s="17" t="str">
        <x:v>China</x:v>
      </x:c>
      <x:c r="F49" s="17" t="n">
        <x:v>46112</x:v>
      </x:c>
      <x:c r="G49" s="17" t="str">
        <x:v>API access</x:v>
      </x:c>
      <x:c r="H49" s="17" t="n">
        <x:v>46113</x:v>
      </x:c>
      <x:c r="I49" s="17"/>
      <x:c r="J49" s="17" t="str">
        <x:v>Confident</x:v>
      </x:c>
      <x:c r="K49" s="17"/>
      <x:c r="L49" s="17"/>
      <x:c r="M49" s="17"/>
      <x:c r="N49" s="17" t="str">
        <x:v>Qwen 3.6 Plus</x:v>
      </x:c>
      <x:c r="O49" s="17" t="str">
        <x:v>qwen-3-6-plus</x:v>
      </x:c>
      <x:c r="P49" s="17" t="n">
        <x:v>149.13</x:v>
      </x:c>
      <x:c r="Q49" s="17" t="n">
        <x:v>146.49</x:v>
      </x:c>
      <x:c r="R49" s="17" t="n">
        <x:v>150.98</x:v>
      </x:c>
      <x:c r="S49" s="17"/>
      <x:c r="T49" s="17"/>
      <x:c r="U49" s="17"/>
      <x:c r="V49" s="17"/>
      <x:c r="W49" s="17"/>
      <x:c r="X49" s="17"/>
      <x:c r="Y49" s="17"/>
      <x:c r="Z49" s="17"/>
    </x:row>
    <x:row r="50">
      <x:c r="A50" s="17" t="str">
        <x:v>Qwen 3.6 Flash</x:v>
      </x:c>
      <x:c r="B50" s="17" t="str">
        <x:v>qwen3.6-flash</x:v>
      </x:c>
      <x:c r="C50" s="17" t="str">
        <x:v>Qwen 3.6 Flash (2026-04-16)</x:v>
      </x:c>
      <x:c r="D50" s="17" t="str">
        <x:v>Alibaba</x:v>
      </x:c>
      <x:c r="E50" s="17" t="str">
        <x:v>China</x:v>
      </x:c>
      <x:c r="F50" s="17" t="n">
        <x:v>46139</x:v>
      </x:c>
      <x:c r="G50" s="17"/>
      <x:c r="H50" s="17" t="n">
        <x:v>46138</x:v>
      </x:c>
      <x:c r="I50" s="17"/>
      <x:c r="J50" s="17" t="str">
        <x:v>Unverified</x:v>
      </x:c>
      <x:c r="K50" s="17"/>
      <x:c r="L50" s="17"/>
      <x:c r="M50" s="17"/>
      <x:c r="N50" s="17" t="str">
        <x:v>Qwen 3.6 Flash</x:v>
      </x:c>
      <x:c r="O50" s="17" t="str">
        <x:v>qwen-3-6-flash</x:v>
      </x:c>
      <x:c r="P50" s="17" t="n">
        <x:v>144.17</x:v>
      </x:c>
      <x:c r="Q50" s="17" t="n">
        <x:v>141.12</x:v>
      </x:c>
      <x:c r="R50" s="17" t="n">
        <x:v>145.65</x:v>
      </x:c>
      <x:c r="S50" s="17"/>
      <x:c r="T50" s="17"/>
      <x:c r="U50" s="17"/>
      <x:c r="V50" s="17"/>
      <x:c r="W50" s="17"/>
      <x:c r="X50" s="17"/>
      <x:c r="Y50" s="17"/>
      <x:c r="Z50" s="17"/>
    </x:row>
    <x:row r="51">
      <x:c r="A51" s="17" t="str">
        <x:v>Qwen 3.5 Flash (hosted 35B-A3B)</x:v>
      </x:c>
      <x:c r="B51" s="17" t="str">
        <x:v>qwen3.5-flash</x:v>
      </x:c>
      <x:c r="C51" s="17"/>
      <x:c r="D51" s="17" t="str">
        <x:v>Alibaba</x:v>
      </x:c>
      <x:c r="E51" s="17" t="str">
        <x:v>China</x:v>
      </x:c>
      <x:c r="F51" s="17" t="n">
        <x:v>46078</x:v>
      </x:c>
      <x:c r="G51" s="17"/>
      <x:c r="H51" s="17" t="n">
        <x:v>46078</x:v>
      </x:c>
      <x:c r="I51" s="17"/>
      <x:c r="J51" s="17" t="str">
        <x:v>Likely</x:v>
      </x:c>
      <x:c r="K51" s="17"/>
      <x:c r="L51" s="17"/>
      <x:c r="M51" s="17"/>
      <x:c r="N51" s="17" t="str">
        <x:v>Qwen 3.5 Flash (hosted 35B-A3B)</x:v>
      </x:c>
      <x:c r="O51" s="17" t="str">
        <x:v>qwen-3-5-flash-hosted-35b-a3b</x:v>
      </x:c>
      <x:c r="P51" s="17" t="n">
        <x:v>144.07</x:v>
      </x:c>
      <x:c r="Q51" s="17" t="n">
        <x:v>140.99</x:v>
      </x:c>
      <x:c r="R51" s="17" t="n">
        <x:v>146.42</x:v>
      </x:c>
      <x:c r="S51" s="17"/>
      <x:c r="T51" s="17"/>
      <x:c r="U51" s="17"/>
      <x:c r="V51" s="17"/>
      <x:c r="W51" s="17"/>
      <x:c r="X51" s="17"/>
      <x:c r="Y51" s="17"/>
      <x:c r="Z51" s="17"/>
    </x:row>
    <x:row r="52">
      <x:c r="A52" s="17" t="str">
        <x:v>GPT-5.5</x:v>
      </x:c>
      <x:c r="B52" s="17" t="str">
        <x:v>gpt-5.5_low</x:v>
      </x:c>
      <x:c r="C52" s="17" t="str">
        <x:v>GPT-5.5 (low)</x:v>
      </x:c>
      <x:c r="D52" s="17" t="str">
        <x:v>OpenAI</x:v>
      </x:c>
      <x:c r="E52" s="17" t="str">
        <x:v>United States of America</x:v>
      </x:c>
      <x:c r="F52" s="17" t="n">
        <x:v>46135</x:v>
      </x:c>
      <x:c r="G52" s="17" t="str">
        <x:v>API access</x:v>
      </x:c>
      <x:c r="H52" s="17" t="n">
        <x:v>46135</x:v>
      </x:c>
      <x:c r="I52" s="17"/>
      <x:c r="J52" s="17" t="str">
        <x:v>Likely</x:v>
      </x:c>
      <x:c r="K52" s="17"/>
      <x:c r="L52" s="17"/>
      <x:c r="M52" s="17"/>
      <x:c r="N52" s="17" t="str">
        <x:v>GPT-5.5</x:v>
      </x:c>
      <x:c r="O52" s="17" t="str">
        <x:v>gpt-5-5</x:v>
      </x:c>
      <x:c r="P52" s="17" t="n">
        <x:v>158.33</x:v>
      </x:c>
      <x:c r="Q52" s="17" t="n">
        <x:v>156.44</x:v>
      </x:c>
      <x:c r="R52" s="17" t="n">
        <x:v>161.43</x:v>
      </x:c>
      <x:c r="S52" s="17"/>
      <x:c r="T52" s="17"/>
      <x:c r="U52" s="17"/>
      <x:c r="V52" s="17"/>
      <x:c r="W52" s="17"/>
      <x:c r="X52" s="17"/>
      <x:c r="Y52" s="17"/>
      <x:c r="Z52" s="17"/>
    </x:row>
    <x:row r="53">
      <x:c r="A53" s="17" t="str">
        <x:v>GPT-5.5 Pro</x:v>
      </x:c>
      <x:c r="B53" s="17" t="str">
        <x:v>gpt-5.5-pro-pre-release_xhigh</x:v>
      </x:c>
      <x:c r="C53" s="17" t="str">
        <x:v>GPT-5.5 Pro (xhigh)</x:v>
      </x:c>
      <x:c r="D53" s="17" t="str">
        <x:v>OpenAI</x:v>
      </x:c>
      <x:c r="E53" s="17" t="str">
        <x:v>United States of America</x:v>
      </x:c>
      <x:c r="F53" s="17" t="n">
        <x:v>46135</x:v>
      </x:c>
      <x:c r="G53" s="17" t="str">
        <x:v>API access</x:v>
      </x:c>
      <x:c r="H53" s="17" t="n">
        <x:v>46135</x:v>
      </x:c>
      <x:c r="I53" s="17"/>
      <x:c r="J53" s="17" t="str">
        <x:v>Likely</x:v>
      </x:c>
      <x:c r="K53" s="17"/>
      <x:c r="L53" s="17"/>
      <x:c r="M53" s="17"/>
      <x:c r="N53" s="17" t="str">
        <x:v>GPT-5.5 Pro</x:v>
      </x:c>
      <x:c r="O53" s="17" t="str">
        <x:v>gpt-5-5-pro</x:v>
      </x:c>
      <x:c r="P53" s="17" t="n">
        <x:v>160.73</x:v>
      </x:c>
      <x:c r="Q53" s="17" t="n">
        <x:v>158.24</x:v>
      </x:c>
      <x:c r="R53" s="17" t="n">
        <x:v>164.36</x:v>
      </x:c>
      <x:c r="S53" s="17"/>
      <x:c r="T53" s="17"/>
      <x:c r="U53" s="17"/>
      <x:c r="V53" s="17"/>
      <x:c r="W53" s="17"/>
      <x:c r="X53" s="17"/>
      <x:c r="Y53" s="17"/>
      <x:c r="Z53" s="17"/>
    </x:row>
    <x:row r="54">
      <x:c r="A54" s="17" t="str">
        <x:v>GPT-5.5</x:v>
      </x:c>
      <x:c r="B54" s="17" t="str">
        <x:v>gpt-5.5-pre-release_xhigh</x:v>
      </x:c>
      <x:c r="C54" s="17" t="str">
        <x:v>GPT-5.5 (xhigh)</x:v>
      </x:c>
      <x:c r="D54" s="17" t="str">
        <x:v>OpenAI</x:v>
      </x:c>
      <x:c r="E54" s="17" t="str">
        <x:v>United States of America</x:v>
      </x:c>
      <x:c r="F54" s="17" t="n">
        <x:v>46135</x:v>
      </x:c>
      <x:c r="G54" s="17" t="str">
        <x:v>API access</x:v>
      </x:c>
      <x:c r="H54" s="17" t="n">
        <x:v>46135</x:v>
      </x:c>
      <x:c r="I54" s="17"/>
      <x:c r="J54" s="17" t="str">
        <x:v>Likely</x:v>
      </x:c>
      <x:c r="K54" s="17"/>
      <x:c r="L54" s="17"/>
      <x:c r="M54" s="17"/>
      <x:c r="N54" s="17" t="str">
        <x:v>GPT-5.5</x:v>
      </x:c>
      <x:c r="O54" s="17" t="str">
        <x:v>gpt-5-5</x:v>
      </x:c>
      <x:c r="P54" s="17" t="n">
        <x:v>158.33</x:v>
      </x:c>
      <x:c r="Q54" s="17" t="n">
        <x:v>156.44</x:v>
      </x:c>
      <x:c r="R54" s="17" t="n">
        <x:v>161.43</x:v>
      </x:c>
      <x:c r="S54" s="17"/>
      <x:c r="T54" s="17"/>
      <x:c r="U54" s="17"/>
      <x:c r="V54" s="17"/>
      <x:c r="W54" s="17"/>
      <x:c r="X54" s="17"/>
      <x:c r="Y54" s="17"/>
      <x:c r="Z54" s="17"/>
    </x:row>
    <x:row r="55">
      <x:c r="A55" s="17" t="str">
        <x:v>GPT-5.5 Pro</x:v>
      </x:c>
      <x:c r="B55" s="17" t="str">
        <x:v>gpt-5.5-pro-pre-release_high</x:v>
      </x:c>
      <x:c r="C55" s="17" t="str">
        <x:v>GPT-5.5 Pro (high)</x:v>
      </x:c>
      <x:c r="D55" s="17" t="str">
        <x:v>OpenAI</x:v>
      </x:c>
      <x:c r="E55" s="17" t="str">
        <x:v>United States of America</x:v>
      </x:c>
      <x:c r="F55" s="17" t="n">
        <x:v>46135</x:v>
      </x:c>
      <x:c r="G55" s="17" t="str">
        <x:v>API access</x:v>
      </x:c>
      <x:c r="H55" s="17" t="n">
        <x:v>46135</x:v>
      </x:c>
      <x:c r="I55" s="17"/>
      <x:c r="J55" s="17" t="str">
        <x:v>Likely</x:v>
      </x:c>
      <x:c r="K55" s="17"/>
      <x:c r="L55" s="17"/>
      <x:c r="M55" s="17"/>
      <x:c r="N55" s="17" t="str">
        <x:v>GPT-5.5 Pro</x:v>
      </x:c>
      <x:c r="O55" s="17" t="str">
        <x:v>gpt-5-5-pro</x:v>
      </x:c>
      <x:c r="P55" s="17" t="n">
        <x:v>160.73</x:v>
      </x:c>
      <x:c r="Q55" s="17" t="n">
        <x:v>158.24</x:v>
      </x:c>
      <x:c r="R55" s="17" t="n">
        <x:v>164.36</x:v>
      </x:c>
      <x:c r="S55" s="17"/>
      <x:c r="T55" s="17"/>
      <x:c r="U55" s="17"/>
      <x:c r="V55" s="17"/>
      <x:c r="W55" s="17"/>
      <x:c r="X55" s="17"/>
      <x:c r="Y55" s="17"/>
      <x:c r="Z55" s="17"/>
    </x:row>
    <x:row r="56">
      <x:c r="A56" s="17" t="str">
        <x:v>Claude Opus 4.7</x:v>
      </x:c>
      <x:c r="B56" s="17" t="str">
        <x:v>claude-opus-4-7_xhigh</x:v>
      </x:c>
      <x:c r="C56" s="17" t="str">
        <x:v>Claude Opus 4.7 (xhigh)</x:v>
      </x:c>
      <x:c r="D56" s="17" t="str">
        <x:v>Anthropic</x:v>
      </x:c>
      <x:c r="E56" s="17" t="str">
        <x:v>United States of America</x:v>
      </x:c>
      <x:c r="F56" s="17" t="n">
        <x:v>46128</x:v>
      </x:c>
      <x:c r="G56" s="17" t="str">
        <x:v>API access</x:v>
      </x:c>
      <x:c r="H56" s="17" t="n">
        <x:v>46128</x:v>
      </x:c>
      <x:c r="I56" s="17"/>
      <x:c r="J56" s="17" t="str">
        <x:v>Likely</x:v>
      </x:c>
      <x:c r="K56" s="17"/>
      <x:c r="L56" s="17" t="str">
        <x:v>Claude Opus 4.7 (xhigh)</x:v>
      </x:c>
      <x:c r="M56" s="17"/>
      <x:c r="N56" s="17" t="str">
        <x:v>Claude Opus 4.7</x:v>
      </x:c>
      <x:c r="O56" s="17" t="str">
        <x:v>claude-opus-4-7</x:v>
      </x:c>
      <x:c r="P56" s="17" t="n">
        <x:v>156.01</x:v>
      </x:c>
      <x:c r="Q56" s="17" t="n">
        <x:v>154.07</x:v>
      </x:c>
      <x:c r="R56" s="17" t="n">
        <x:v>158.4</x:v>
      </x:c>
      <x:c r="S56" s="17"/>
      <x:c r="T56" s="17"/>
      <x:c r="U56" s="17"/>
      <x:c r="V56" s="17"/>
      <x:c r="W56" s="17"/>
      <x:c r="X56" s="17"/>
      <x:c r="Y56" s="17"/>
      <x:c r="Z56" s="17"/>
    </x:row>
    <x:row r="57">
      <x:c r="A57" s="17" t="str">
        <x:v>GPT-5.4 Mini</x:v>
      </x:c>
      <x:c r="B57" s="17" t="str">
        <x:v>gpt-5.4-mini-2026-03-17_high</x:v>
      </x:c>
      <x:c r="C57" s="17" t="str">
        <x:v>GPT-5.4 mini (high)</x:v>
      </x:c>
      <x:c r="D57" s="17" t="str">
        <x:v>OpenAI</x:v>
      </x:c>
      <x:c r="E57" s="17" t="str">
        <x:v>United States of America</x:v>
      </x:c>
      <x:c r="F57" s="17" t="n">
        <x:v>46098</x:v>
      </x:c>
      <x:c r="G57" s="17" t="str">
        <x:v>API access</x:v>
      </x:c>
      <x:c r="H57" s="17" t="n">
        <x:v>46098</x:v>
      </x:c>
      <x:c r="I57" s="17"/>
      <x:c r="J57" s="17" t="str">
        <x:v>Likely</x:v>
      </x:c>
      <x:c r="K57" s="17"/>
      <x:c r="L57" s="17" t="str">
        <x:v>GPT-5.4 mini (high)</x:v>
      </x:c>
      <x:c r="M57" s="17"/>
      <x:c r="N57" s="17" t="str">
        <x:v>GPT-5.4 Mini</x:v>
      </x:c>
      <x:c r="O57" s="17" t="str">
        <x:v>gpt-5-4-mini</x:v>
      </x:c>
      <x:c r="P57" s="17" t="n">
        <x:v>148.9</x:v>
      </x:c>
      <x:c r="Q57" s="17" t="n">
        <x:v>147.11</x:v>
      </x:c>
      <x:c r="R57" s="17" t="n">
        <x:v>150.06</x:v>
      </x:c>
      <x:c r="S57" s="17"/>
      <x:c r="T57" s="17"/>
      <x:c r="U57" s="17"/>
      <x:c r="V57" s="17"/>
      <x:c r="W57" s="17"/>
      <x:c r="X57" s="17"/>
      <x:c r="Y57" s="17"/>
      <x:c r="Z57" s="17"/>
    </x:row>
    <x:row r="58">
      <x:c r="A58" s="17" t="str">
        <x:v>Muse Spark</x:v>
      </x:c>
      <x:c r="B58" s="17" t="str">
        <x:v>muse-spark</x:v>
      </x:c>
      <x:c r="C58" s="17" t="str">
        <x:v>Muse Spark</x:v>
      </x:c>
      <x:c r="D58" s="17" t="str">
        <x:v>Meta AI</x:v>
      </x:c>
      <x:c r="E58" s="17" t="str">
        <x:v>United States of America</x:v>
      </x:c>
      <x:c r="F58" s="17" t="n">
        <x:v>46120</x:v>
      </x:c>
      <x:c r="G58" s="17" t="str">
        <x:v>API access</x:v>
      </x:c>
      <x:c r="H58" s="17" t="n">
        <x:v>46120</x:v>
      </x:c>
      <x:c r="I58" s="17"/>
      <x:c r="J58" s="17" t="str">
        <x:v>Confident</x:v>
      </x:c>
      <x:c r="K58" s="17"/>
      <x:c r="L58" s="17" t="str">
        <x:v>Muse Spark</x:v>
      </x:c>
      <x:c r="M58" s="17"/>
      <x:c r="N58" s="17" t="str">
        <x:v>Muse Spark</x:v>
      </x:c>
      <x:c r="O58" s="17" t="str">
        <x:v>muse-spark</x:v>
      </x:c>
      <x:c r="P58" s="17" t="n">
        <x:v>154.27</x:v>
      </x:c>
      <x:c r="Q58" s="17" t="n">
        <x:v>151.76</x:v>
      </x:c>
      <x:c r="R58" s="17" t="n">
        <x:v>158.17</x:v>
      </x:c>
      <x:c r="S58" s="17"/>
      <x:c r="T58" s="17"/>
      <x:c r="U58" s="17"/>
      <x:c r="V58" s="17"/>
      <x:c r="W58" s="17"/>
      <x:c r="X58" s="17"/>
      <x:c r="Y58" s="17"/>
      <x:c r="Z58" s="17"/>
    </x:row>
    <x:row r="59">
      <x:c r="A59" s="17" t="str">
        <x:v>Gemma 4 31B IT</x:v>
      </x:c>
      <x:c r="B59" s="17" t="str">
        <x:v>gemma-4-31b-it</x:v>
      </x:c>
      <x:c r="C59" s="17" t="str">
        <x:v>Gemma 4 31B IT</x:v>
      </x:c>
      <x:c r="D59" s="17" t="str">
        <x:v>Google DeepMind</x:v>
      </x:c>
      <x:c r="E59" s="17" t="str">
        <x:v>United States of America</x:v>
      </x:c>
      <x:c r="F59" s="17" t="n">
        <x:v>46114</x:v>
      </x:c>
      <x:c r="G59" s="17" t="str">
        <x:v>Open weights (restricted use)</x:v>
      </x:c>
      <x:c r="H59" s="17" t="n">
        <x:v>46114</x:v>
      </x:c>
      <x:c r="I59" s="17"/>
      <x:c r="J59" s="17" t="str">
        <x:v>Likely</x:v>
      </x:c>
      <x:c r="K59" s="17"/>
      <x:c r="L59" s="17" t="str">
        <x:v>Gemma 4 31B IT</x:v>
      </x:c>
      <x:c r="M59" s="17"/>
      <x:c r="N59" s="17" t="str">
        <x:v>Gemma 4 31B IT</x:v>
      </x:c>
      <x:c r="O59" s="17" t="str">
        <x:v>gemma-4-31b-it</x:v>
      </x:c>
      <x:c r="P59" s="17"/>
      <x:c r="Q59" s="17"/>
      <x:c r="R59" s="17"/>
      <x:c r="S59" s="17"/>
      <x:c r="T59" s="17"/>
      <x:c r="U59" s="17"/>
      <x:c r="V59" s="17"/>
      <x:c r="W59" s="17"/>
      <x:c r="X59" s="17"/>
      <x:c r="Y59" s="17"/>
      <x:c r="Z59" s="17"/>
    </x:row>
    <x:row r="60">
      <x:c r="A60" s="17" t="str">
        <x:v>GPT-5.4</x:v>
      </x:c>
      <x:c r="B60" s="17" t="str">
        <x:v>gpt-5.4-2026-03-05_high</x:v>
      </x:c>
      <x:c r="C60" s="17" t="str">
        <x:v>GPT-5.4 (high)</x:v>
      </x:c>
      <x:c r="D60" s="17" t="str">
        <x:v>OpenAI</x:v>
      </x:c>
      <x:c r="E60" s="17" t="str">
        <x:v>United States of America</x:v>
      </x:c>
      <x:c r="F60" s="17" t="n">
        <x:v>46086</x:v>
      </x:c>
      <x:c r="G60" s="17" t="str">
        <x:v>API access</x:v>
      </x:c>
      <x:c r="H60" s="17" t="n">
        <x:v>46086</x:v>
      </x:c>
      <x:c r="I60" s="17"/>
      <x:c r="J60" s="17" t="str">
        <x:v>Likely</x:v>
      </x:c>
      <x:c r="K60" s="17"/>
      <x:c r="L60" s="17" t="str">
        <x:v>GPT-5.4 (high)</x:v>
      </x:c>
      <x:c r="M60" s="17"/>
      <x:c r="N60" s="17" t="str">
        <x:v>GPT-5.4</x:v>
      </x:c>
      <x:c r="O60" s="17" t="str">
        <x:v>gpt-5-4</x:v>
      </x:c>
      <x:c r="P60" s="17" t="n">
        <x:v>156.03</x:v>
      </x:c>
      <x:c r="Q60" s="17" t="n">
        <x:v>154.45</x:v>
      </x:c>
      <x:c r="R60" s="17" t="n">
        <x:v>158.37</x:v>
      </x:c>
      <x:c r="S60" s="17"/>
      <x:c r="T60" s="17"/>
      <x:c r="U60" s="17"/>
      <x:c r="V60" s="17"/>
      <x:c r="W60" s="17"/>
      <x:c r="X60" s="17"/>
      <x:c r="Y60" s="17"/>
      <x:c r="Z60" s="17"/>
    </x:row>
    <x:row r="61">
      <x:c r="A61" s="17" t="str">
        <x:v>GPT-5.4 Pro</x:v>
      </x:c>
      <x:c r="B61" s="17" t="str">
        <x:v>gpt-5.4-pro-2026-03-05-web-app</x:v>
      </x:c>
      <x:c r="C61" s="17" t="str">
        <x:v>GPT-5.4 Pro (web)</x:v>
      </x:c>
      <x:c r="D61" s="17" t="str">
        <x:v>OpenAI</x:v>
      </x:c>
      <x:c r="E61" s="17" t="str">
        <x:v>United States of America</x:v>
      </x:c>
      <x:c r="F61" s="17" t="n">
        <x:v>46086</x:v>
      </x:c>
      <x:c r="G61" s="17" t="str">
        <x:v>API access</x:v>
      </x:c>
      <x:c r="H61" s="17" t="n">
        <x:v>46086</x:v>
      </x:c>
      <x:c r="I61" s="17"/>
      <x:c r="J61" s="17" t="str">
        <x:v>Likely</x:v>
      </x:c>
      <x:c r="K61" s="17"/>
      <x:c r="L61" s="17" t="str">
        <x:v>GPT-5.4 Pro (Web App)</x:v>
      </x:c>
      <x:c r="M61" s="17"/>
      <x:c r="N61" s="17" t="str">
        <x:v>GPT-5.4 Pro</x:v>
      </x:c>
      <x:c r="O61" s="17" t="str">
        <x:v>gpt-5-4-pro</x:v>
      </x:c>
      <x:c r="P61" s="17" t="n">
        <x:v>157.83</x:v>
      </x:c>
      <x:c r="Q61" s="17" t="n">
        <x:v>155.96</x:v>
      </x:c>
      <x:c r="R61" s="17" t="n">
        <x:v>160.88</x:v>
      </x:c>
      <x:c r="S61" s="17"/>
      <x:c r="T61" s="17"/>
      <x:c r="U61" s="17"/>
      <x:c r="V61" s="17"/>
      <x:c r="W61" s="17"/>
      <x:c r="X61" s="17"/>
      <x:c r="Y61" s="17"/>
      <x:c r="Z61" s="17"/>
    </x:row>
    <x:row r="62">
      <x:c r="A62" s="17" t="str">
        <x:v>GPT-5.3 Codex</x:v>
      </x:c>
      <x:c r="B62" s="17" t="str">
        <x:v>gpt-5.3-codex_high</x:v>
      </x:c>
      <x:c r="C62" s="17" t="str">
        <x:v>GPT-5.3 Codex (high)</x:v>
      </x:c>
      <x:c r="D62" s="17" t="str">
        <x:v>OpenAI</x:v>
      </x:c>
      <x:c r="E62" s="17" t="str">
        <x:v>United States of America</x:v>
      </x:c>
      <x:c r="F62" s="17" t="n">
        <x:v>46058</x:v>
      </x:c>
      <x:c r="G62" s="17" t="str">
        <x:v>API access</x:v>
      </x:c>
      <x:c r="H62" s="17" t="n">
        <x:v>46058</x:v>
      </x:c>
      <x:c r="I62" s="17"/>
      <x:c r="J62" s="17" t="str">
        <x:v>Likely</x:v>
      </x:c>
      <x:c r="K62" s="17"/>
      <x:c r="L62" s="17"/>
      <x:c r="M62" s="17"/>
      <x:c r="N62" s="17" t="str">
        <x:v>GPT-5.3 Codex</x:v>
      </x:c>
      <x:c r="O62" s="17" t="str">
        <x:v>gpt-5-3-codex</x:v>
      </x:c>
      <x:c r="P62" s="17" t="n">
        <x:v>155.49</x:v>
      </x:c>
      <x:c r="Q62" s="17" t="n">
        <x:v>153.29</x:v>
      </x:c>
      <x:c r="R62" s="17" t="n">
        <x:v>158.84</x:v>
      </x:c>
      <x:c r="S62" s="17"/>
      <x:c r="T62" s="17"/>
      <x:c r="U62" s="17"/>
      <x:c r="V62" s="17"/>
      <x:c r="W62" s="17"/>
      <x:c r="X62" s="17"/>
      <x:c r="Y62" s="17"/>
      <x:c r="Z62" s="17"/>
    </x:row>
    <x:row r="63">
      <x:c r="A63" s="17" t="str">
        <x:v>Gemini 3.1 Pro</x:v>
      </x:c>
      <x:c r="B63" s="17" t="str">
        <x:v>gemini-3.1-pro-preview-customtools</x:v>
      </x:c>
      <x:c r="C63" s="17" t="str">
        <x:v>Gemini 3.1 Pro Preview</x:v>
      </x:c>
      <x:c r="D63" s="17" t="str">
        <x:v>Google DeepMind</x:v>
      </x:c>
      <x:c r="E63" s="17" t="str">
        <x:v>United States of America</x:v>
      </x:c>
      <x:c r="F63" s="17" t="n">
        <x:v>46072</x:v>
      </x:c>
      <x:c r="G63" s="17" t="str">
        <x:v>API access</x:v>
      </x:c>
      <x:c r="H63" s="17" t="n">
        <x:v>46072</x:v>
      </x:c>
      <x:c r="I63" s="17"/>
      <x:c r="J63" s="17" t="str">
        <x:v>Likely</x:v>
      </x:c>
      <x:c r="K63" s="17"/>
      <x:c r="L63" s="17"/>
      <x:c r="M63" s="17"/>
      <x:c r="N63" s="17" t="str">
        <x:v>Gemini 3.1 Pro</x:v>
      </x:c>
      <x:c r="O63" s="17" t="str">
        <x:v>gemini-3-1-pro</x:v>
      </x:c>
      <x:c r="P63" s="17" t="n">
        <x:v>154.84</x:v>
      </x:c>
      <x:c r="Q63" s="17" t="n">
        <x:v>152.95</x:v>
      </x:c>
      <x:c r="R63" s="17" t="n">
        <x:v>157.9</x:v>
      </x:c>
      <x:c r="S63" s="17"/>
      <x:c r="T63" s="17"/>
      <x:c r="U63" s="17"/>
      <x:c r="V63" s="17"/>
      <x:c r="W63" s="17"/>
      <x:c r="X63" s="17"/>
      <x:c r="Y63" s="17"/>
      <x:c r="Z63" s="17"/>
    </x:row>
    <x:row r="64">
      <x:c r="A64" s="17" t="str">
        <x:v>Claude Sonnet 4.6</x:v>
      </x:c>
      <x:c r="B64" s="17" t="str">
        <x:v>claude-sonnet-4-6_16K</x:v>
      </x:c>
      <x:c r="C64" s="17" t="str">
        <x:v>Claude Sonnet 4.6 (16k thinking)</x:v>
      </x:c>
      <x:c r="D64" s="17" t="str">
        <x:v>Anthropic</x:v>
      </x:c>
      <x:c r="E64" s="17" t="str">
        <x:v>United States of America</x:v>
      </x:c>
      <x:c r="F64" s="17" t="n">
        <x:v>46070</x:v>
      </x:c>
      <x:c r="G64" s="17" t="str">
        <x:v>API access</x:v>
      </x:c>
      <x:c r="H64" s="17" t="n">
        <x:v>46070</x:v>
      </x:c>
      <x:c r="I64" s="17"/>
      <x:c r="J64" s="17" t="str">
        <x:v>Likely</x:v>
      </x:c>
      <x:c r="K64" s="17"/>
      <x:c r="L64" s="17"/>
      <x:c r="M64" s="17"/>
      <x:c r="N64" s="17" t="str">
        <x:v>Claude Sonnet 4.6</x:v>
      </x:c>
      <x:c r="O64" s="17" t="str">
        <x:v>claude-sonnet-4-6</x:v>
      </x:c>
      <x:c r="P64" s="17" t="n">
        <x:v>153.18</x:v>
      </x:c>
      <x:c r="Q64" s="17" t="n">
        <x:v>149.67</x:v>
      </x:c>
      <x:c r="R64" s="17" t="n">
        <x:v>156.08</x:v>
      </x:c>
      <x:c r="S64" s="17"/>
      <x:c r="T64" s="17"/>
      <x:c r="U64" s="17"/>
      <x:c r="V64" s="17"/>
      <x:c r="W64" s="17"/>
      <x:c r="X64" s="17"/>
      <x:c r="Y64" s="17"/>
      <x:c r="Z64" s="17"/>
    </x:row>
    <x:row r="65">
      <x:c r="A65" s="17" t="str">
        <x:v>Claude Sonnet 4.6</x:v>
      </x:c>
      <x:c r="B65" s="17" t="str">
        <x:v>claude-sonnet-4-6</x:v>
      </x:c>
      <x:c r="C65" s="17" t="str">
        <x:v>Claude Sonnet 4.6</x:v>
      </x:c>
      <x:c r="D65" s="17" t="str">
        <x:v>Anthropic</x:v>
      </x:c>
      <x:c r="E65" s="17" t="str">
        <x:v>United States of America</x:v>
      </x:c>
      <x:c r="F65" s="17" t="n">
        <x:v>46070</x:v>
      </x:c>
      <x:c r="G65" s="17" t="str">
        <x:v>API access</x:v>
      </x:c>
      <x:c r="H65" s="17" t="n">
        <x:v>46070</x:v>
      </x:c>
      <x:c r="I65" s="17"/>
      <x:c r="J65" s="17" t="str">
        <x:v>Likely</x:v>
      </x:c>
      <x:c r="K65" s="17"/>
      <x:c r="L65" s="17"/>
      <x:c r="M65" s="17"/>
      <x:c r="N65" s="17" t="str">
        <x:v>Claude Sonnet 4.6</x:v>
      </x:c>
      <x:c r="O65" s="17" t="str">
        <x:v>claude-sonnet-4-6</x:v>
      </x:c>
      <x:c r="P65" s="17" t="n">
        <x:v>153.18</x:v>
      </x:c>
      <x:c r="Q65" s="17" t="n">
        <x:v>149.67</x:v>
      </x:c>
      <x:c r="R65" s="17" t="n">
        <x:v>156.08</x:v>
      </x:c>
      <x:c r="S65" s="17"/>
      <x:c r="T65" s="17"/>
      <x:c r="U65" s="17"/>
      <x:c r="V65" s="17"/>
      <x:c r="W65" s="17"/>
      <x:c r="X65" s="17"/>
      <x:c r="Y65" s="17"/>
      <x:c r="Z65" s="17"/>
    </x:row>
    <x:row r="66">
      <x:c r="A66" s="17" t="str">
        <x:v>Claude Sonnet 4.6</x:v>
      </x:c>
      <x:c r="B66" s="17" t="str">
        <x:v>claude-sonnet-4-6_32K</x:v>
      </x:c>
      <x:c r="C66" s="17" t="str">
        <x:v>Claude Sonnet 4.6 (32k thinking)</x:v>
      </x:c>
      <x:c r="D66" s="17" t="str">
        <x:v>Anthropic</x:v>
      </x:c>
      <x:c r="E66" s="17" t="str">
        <x:v>United States of America</x:v>
      </x:c>
      <x:c r="F66" s="17" t="n">
        <x:v>46070</x:v>
      </x:c>
      <x:c r="G66" s="17" t="str">
        <x:v>API access</x:v>
      </x:c>
      <x:c r="H66" s="17" t="n">
        <x:v>46070</x:v>
      </x:c>
      <x:c r="I66" s="17"/>
      <x:c r="J66" s="17" t="str">
        <x:v>Likely</x:v>
      </x:c>
      <x:c r="K66" s="17"/>
      <x:c r="L66" s="17"/>
      <x:c r="M66" s="17"/>
      <x:c r="N66" s="17" t="str">
        <x:v>Claude Sonnet 4.6</x:v>
      </x:c>
      <x:c r="O66" s="17" t="str">
        <x:v>claude-sonnet-4-6</x:v>
      </x:c>
      <x:c r="P66" s="17" t="n">
        <x:v>153.18</x:v>
      </x:c>
      <x:c r="Q66" s="17" t="n">
        <x:v>149.67</x:v>
      </x:c>
      <x:c r="R66" s="17" t="n">
        <x:v>156.08</x:v>
      </x:c>
      <x:c r="S66" s="17"/>
      <x:c r="T66" s="17"/>
      <x:c r="U66" s="17"/>
      <x:c r="V66" s="17"/>
      <x:c r="W66" s="17"/>
      <x:c r="X66" s="17"/>
      <x:c r="Y66" s="17"/>
      <x:c r="Z66" s="17"/>
    </x:row>
    <x:row r="67">
      <x:c r="A67" s="17" t="str">
        <x:v>Claude Opus 4.6</x:v>
      </x:c>
      <x:c r="B67" s="17" t="str">
        <x:v>claude-opus-4-6_120K</x:v>
      </x:c>
      <x:c r="C67" s="17" t="str">
        <x:v>Claude Opus 4.6 (120k thinking)</x:v>
      </x:c>
      <x:c r="D67" s="17" t="str">
        <x:v>Anthropic</x:v>
      </x:c>
      <x:c r="E67" s="17" t="str">
        <x:v>United States of America</x:v>
      </x:c>
      <x:c r="F67" s="17" t="n">
        <x:v>46058</x:v>
      </x:c>
      <x:c r="G67" s="17" t="str">
        <x:v>API access</x:v>
      </x:c>
      <x:c r="H67" s="17" t="n">
        <x:v>46058</x:v>
      </x:c>
      <x:c r="I67" s="17"/>
      <x:c r="J67" s="17" t="str">
        <x:v>Likely</x:v>
      </x:c>
      <x:c r="K67" s="17"/>
      <x:c r="L67" s="17" t="str">
        <x:v>Claude Opus 4.6 (120k thinking)</x:v>
      </x:c>
      <x:c r="M67" s="17"/>
      <x:c r="N67" s="17" t="str">
        <x:v>Claude Opus 4.6</x:v>
      </x:c>
      <x:c r="O67" s="17" t="str">
        <x:v>claude-opus-4-6</x:v>
      </x:c>
      <x:c r="P67" s="17" t="n">
        <x:v>155.31</x:v>
      </x:c>
      <x:c r="Q67" s="17" t="n">
        <x:v>153.34</x:v>
      </x:c>
      <x:c r="R67" s="17" t="n">
        <x:v>157.92</x:v>
      </x:c>
      <x:c r="S67" s="17"/>
      <x:c r="T67" s="17"/>
      <x:c r="U67" s="17"/>
      <x:c r="V67" s="17"/>
      <x:c r="W67" s="17"/>
      <x:c r="X67" s="17"/>
      <x:c r="Y67" s="17"/>
      <x:c r="Z67" s="17"/>
    </x:row>
    <x:row r="68">
      <x:c r="A68" s="17" t="str">
        <x:v>GLM-5</x:v>
      </x:c>
      <x:c r="B68" s="17" t="str">
        <x:v>glm-5</x:v>
      </x:c>
      <x:c r="C68" s="17" t="str">
        <x:v>GLM-5</x:v>
      </x:c>
      <x:c r="D68" s="17" t="str">
        <x:v>Z.ai (Zhipu AI)</x:v>
      </x:c>
      <x:c r="E68" s="17" t="str">
        <x:v>China</x:v>
      </x:c>
      <x:c r="F68" s="17" t="n">
        <x:v>46064</x:v>
      </x:c>
      <x:c r="G68" s="17" t="str">
        <x:v>Open weights (unrestricted)</x:v>
      </x:c>
      <x:c r="H68" s="17" t="n">
        <x:v>46064</x:v>
      </x:c>
      <x:c r="I68" s="17"/>
      <x:c r="J68" s="17" t="str">
        <x:v>Likely</x:v>
      </x:c>
      <x:c r="K68" s="17"/>
      <x:c r="L68" s="17"/>
      <x:c r="M68" s="17"/>
      <x:c r="N68" s="17" t="str">
        <x:v>GLM-5</x:v>
      </x:c>
      <x:c r="O68" s="17" t="str">
        <x:v>glm-5</x:v>
      </x:c>
      <x:c r="P68" s="17" t="n">
        <x:v>146.39</x:v>
      </x:c>
      <x:c r="Q68" s="17" t="n">
        <x:v>144.52</x:v>
      </x:c>
      <x:c r="R68" s="17" t="n">
        <x:v>147.86</x:v>
      </x:c>
      <x:c r="S68" s="17"/>
      <x:c r="T68" s="17"/>
      <x:c r="U68" s="17"/>
      <x:c r="V68" s="17"/>
      <x:c r="W68" s="17"/>
      <x:c r="X68" s="17"/>
      <x:c r="Y68" s="17"/>
      <x:c r="Z68" s="17"/>
    </x:row>
    <x:row r="69">
      <x:c r="A69" s="17" t="str">
        <x:v>Claude Opus 4.6</x:v>
      </x:c>
      <x:c r="B69" s="17" t="str">
        <x:v>claude-opus-4-6</x:v>
      </x:c>
      <x:c r="C69" s="17" t="str">
        <x:v>Claude Opus 4.6 (no thinking)</x:v>
      </x:c>
      <x:c r="D69" s="17" t="str">
        <x:v>Anthropic</x:v>
      </x:c>
      <x:c r="E69" s="17" t="str">
        <x:v>United States of America</x:v>
      </x:c>
      <x:c r="F69" s="17" t="n">
        <x:v>46058</x:v>
      </x:c>
      <x:c r="G69" s="17" t="str">
        <x:v>API access</x:v>
      </x:c>
      <x:c r="H69" s="17" t="n">
        <x:v>46058</x:v>
      </x:c>
      <x:c r="I69" s="17"/>
      <x:c r="J69" s="17" t="str">
        <x:v>Likely</x:v>
      </x:c>
      <x:c r="K69" s="17"/>
      <x:c r="L69" s="17" t="str">
        <x:v>Claude Opus 4.6 (no thinking)</x:v>
      </x:c>
      <x:c r="M69" s="17"/>
      <x:c r="N69" s="17" t="str">
        <x:v>Claude Opus 4.6</x:v>
      </x:c>
      <x:c r="O69" s="17" t="str">
        <x:v>claude-opus-4-6</x:v>
      </x:c>
      <x:c r="P69" s="17" t="n">
        <x:v>155.31</x:v>
      </x:c>
      <x:c r="Q69" s="17" t="n">
        <x:v>153.34</x:v>
      </x:c>
      <x:c r="R69" s="17" t="n">
        <x:v>157.92</x:v>
      </x:c>
      <x:c r="S69" s="17"/>
      <x:c r="T69" s="17"/>
      <x:c r="U69" s="17"/>
      <x:c r="V69" s="17"/>
      <x:c r="W69" s="17"/>
      <x:c r="X69" s="17"/>
      <x:c r="Y69" s="17"/>
      <x:c r="Z69" s="17"/>
    </x:row>
    <x:row r="70">
      <x:c r="A70" s="17" t="str">
        <x:v>GPT-5.1</x:v>
      </x:c>
      <x:c r="B70" s="17" t="str">
        <x:v>gpt-5.1-2025-11-13_high</x:v>
      </x:c>
      <x:c r="C70" s="17" t="str">
        <x:v>GPT-5.1 (high)</x:v>
      </x:c>
      <x:c r="D70" s="17" t="str">
        <x:v>OpenAI</x:v>
      </x:c>
      <x:c r="E70" s="17" t="str">
        <x:v>United States of America</x:v>
      </x:c>
      <x:c r="F70" s="17" t="n">
        <x:v>45974</x:v>
      </x:c>
      <x:c r="G70" s="17" t="str">
        <x:v>API access</x:v>
      </x:c>
      <x:c r="H70" s="17" t="n">
        <x:v>45974</x:v>
      </x:c>
      <x:c r="I70" s="17"/>
      <x:c r="J70" s="17" t="str">
        <x:v>Unknown</x:v>
      </x:c>
      <x:c r="K70" s="17"/>
      <x:c r="L70" s="17" t="str">
        <x:v>GPT-5.1 (high)</x:v>
      </x:c>
      <x:c r="M70" s="17"/>
      <x:c r="N70" s="17" t="str">
        <x:v>GPT-5.1</x:v>
      </x:c>
      <x:c r="O70" s="17" t="str">
        <x:v>gpt-5-1</x:v>
      </x:c>
      <x:c r="P70" s="17" t="n">
        <x:v>149.72</x:v>
      </x:c>
      <x:c r="Q70" s="17" t="n">
        <x:v>148.31</x:v>
      </x:c>
      <x:c r="R70" s="17" t="n">
        <x:v>151.01</x:v>
      </x:c>
      <x:c r="S70" s="17"/>
      <x:c r="T70" s="17"/>
      <x:c r="U70" s="17"/>
      <x:c r="V70" s="17"/>
      <x:c r="W70" s="17"/>
      <x:c r="X70" s="17"/>
      <x:c r="Y70" s="17"/>
      <x:c r="Z70" s="17"/>
    </x:row>
    <x:row r="71">
      <x:c r="A71" s="17" t="str">
        <x:v>Kimi K2.5</x:v>
      </x:c>
      <x:c r="B71" s="17" t="str">
        <x:v>kimi-k2.5</x:v>
      </x:c>
      <x:c r="C71" s="17" t="str">
        <x:v>Kimi K2.5</x:v>
      </x:c>
      <x:c r="D71" s="17" t="str">
        <x:v>Moonshot</x:v>
      </x:c>
      <x:c r="E71" s="17" t="str">
        <x:v>China</x:v>
      </x:c>
      <x:c r="F71" s="17" t="n">
        <x:v>46049</x:v>
      </x:c>
      <x:c r="G71" s="17" t="str">
        <x:v>Open weights (unrestricted)</x:v>
      </x:c>
      <x:c r="H71" s="17" t="n">
        <x:v>46055</x:v>
      </x:c>
      <x:c r="I71" s="17" t="n">
        <x:v>5.8e+24</x:v>
      </x:c>
      <x:c r="J71" s="17" t="str">
        <x:v>Likely</x:v>
      </x:c>
      <x:c r="K71" s="17"/>
      <x:c r="L71" s="17"/>
      <x:c r="M71" s="17"/>
      <x:c r="N71" s="17" t="str">
        <x:v>Kimi K2.5</x:v>
      </x:c>
      <x:c r="O71" s="17" t="str">
        <x:v>kimi-k2-5</x:v>
      </x:c>
      <x:c r="P71" s="17" t="n">
        <x:v>148.24</x:v>
      </x:c>
      <x:c r="Q71" s="17" t="n">
        <x:v>146.58</x:v>
      </x:c>
      <x:c r="R71" s="17" t="n">
        <x:v>149.36</x:v>
      </x:c>
      <x:c r="S71" s="17"/>
      <x:c r="T71" s="17"/>
      <x:c r="U71" s="17"/>
      <x:c r="V71" s="17"/>
      <x:c r="W71" s="17"/>
      <x:c r="X71" s="17"/>
      <x:c r="Y71" s="17"/>
      <x:c r="Z71" s="17"/>
    </x:row>
    <x:row r="72">
      <x:c r="A72" s="17" t="str">
        <x:v>Gemini 3 Pro</x:v>
      </x:c>
      <x:c r="B72" s="17" t="str">
        <x:v>gemini-3-pro-preview</x:v>
      </x:c>
      <x:c r="C72" s="17" t="str">
        <x:v>Gemini 3 Pro Preview</x:v>
      </x:c>
      <x:c r="D72" s="17" t="str">
        <x:v>Google DeepMind</x:v>
      </x:c>
      <x:c r="E72" s="17" t="str">
        <x:v>United States of America</x:v>
      </x:c>
      <x:c r="F72" s="17" t="n">
        <x:v>45979</x:v>
      </x:c>
      <x:c r="G72" s="17" t="str">
        <x:v>API access</x:v>
      </x:c>
      <x:c r="H72" s="17" t="n">
        <x:v>45979</x:v>
      </x:c>
      <x:c r="I72" s="17"/>
      <x:c r="J72" s="17" t="str">
        <x:v>Unknown</x:v>
      </x:c>
      <x:c r="K72" s="17"/>
      <x:c r="L72" s="17" t="str">
        <x:v>Gemini 3 Pro Preview</x:v>
      </x:c>
      <x:c r="M72" s="17"/>
      <x:c r="N72" s="17" t="str">
        <x:v>Gemini 3 Pro</x:v>
      </x:c>
      <x:c r="O72" s="17" t="str">
        <x:v>gemini-3-pro</x:v>
      </x:c>
      <x:c r="P72" s="17" t="n">
        <x:v>153.24</x:v>
      </x:c>
      <x:c r="Q72" s="17" t="n">
        <x:v>151.34</x:v>
      </x:c>
      <x:c r="R72" s="17" t="n">
        <x:v>155.77</x:v>
      </x:c>
      <x:c r="S72" s="17"/>
      <x:c r="T72" s="17"/>
      <x:c r="U72" s="17"/>
      <x:c r="V72" s="17"/>
      <x:c r="W72" s="17"/>
      <x:c r="X72" s="17"/>
      <x:c r="Y72" s="17"/>
      <x:c r="Z72" s="17"/>
    </x:row>
    <x:row r="73">
      <x:c r="A73" s="17" t="str">
        <x:v>GPT-5.2</x:v>
      </x:c>
      <x:c r="B73" s="17" t="str">
        <x:v>gpt-5.2-2025-12-11_high</x:v>
      </x:c>
      <x:c r="C73" s="17" t="str">
        <x:v>GPT-5.2 (high)</x:v>
      </x:c>
      <x:c r="D73" s="17" t="str">
        <x:v>OpenAI</x:v>
      </x:c>
      <x:c r="E73" s="17" t="str">
        <x:v>United States of America</x:v>
      </x:c>
      <x:c r="F73" s="17" t="n">
        <x:v>46002</x:v>
      </x:c>
      <x:c r="G73" s="17" t="str">
        <x:v>API access</x:v>
      </x:c>
      <x:c r="H73" s="17" t="n">
        <x:v>46002</x:v>
      </x:c>
      <x:c r="I73" s="17"/>
      <x:c r="J73" s="17" t="str">
        <x:v>Unknown</x:v>
      </x:c>
      <x:c r="K73" s="17"/>
      <x:c r="L73" s="17" t="str">
        <x:v>GPT-5.2 (high)</x:v>
      </x:c>
      <x:c r="M73" s="17"/>
      <x:c r="N73" s="17" t="str">
        <x:v>GPT-5.2</x:v>
      </x:c>
      <x:c r="O73" s="17" t="str">
        <x:v>gpt-5-2</x:v>
      </x:c>
      <x:c r="P73" s="17" t="n">
        <x:v>153.7</x:v>
      </x:c>
      <x:c r="Q73" s="17" t="n">
        <x:v>152.26</x:v>
      </x:c>
      <x:c r="R73" s="17" t="n">
        <x:v>155.46</x:v>
      </x:c>
      <x:c r="S73" s="17"/>
      <x:c r="T73" s="17"/>
      <x:c r="U73" s="17"/>
      <x:c r="V73" s="17"/>
      <x:c r="W73" s="17"/>
      <x:c r="X73" s="17"/>
      <x:c r="Y73" s="17"/>
      <x:c r="Z73" s="17"/>
    </x:row>
    <x:row r="74">
      <x:c r="A74" s="17" t="str">
        <x:v>o3</x:v>
      </x:c>
      <x:c r="B74" s="17" t="str">
        <x:v>o3-2025-04-16_medium</x:v>
      </x:c>
      <x:c r="C74" s="17" t="str">
        <x:v>o3 (medium)</x:v>
      </x:c>
      <x:c r="D74" s="17" t="str">
        <x:v>OpenAI</x:v>
      </x:c>
      <x:c r="E74" s="17" t="str">
        <x:v>United States of America</x:v>
      </x:c>
      <x:c r="F74" s="17" t="n">
        <x:v>45763</x:v>
      </x:c>
      <x:c r="G74" s="17" t="str">
        <x:v>API access</x:v>
      </x:c>
      <x:c r="H74" s="17" t="n">
        <x:v>45646</x:v>
      </x:c>
      <x:c r="I74" s="17"/>
      <x:c r="J74" s="17" t="str">
        <x:v>Unknown</x:v>
      </x:c>
      <x:c r="K74" s="17" t="str">
        <x:v>OpenAI's second generation o-series reasoning model, evaluated with medium reasoning effort.</x:v>
      </x:c>
      <x:c r="L74" s="17"/>
      <x:c r="M74" s="17"/>
      <x:c r="N74" s="17" t="str">
        <x:v>o3</x:v>
      </x:c>
      <x:c r="O74" s="17" t="str">
        <x:v>o3</x:v>
      </x:c>
      <x:c r="P74" s="17" t="n">
        <x:v>147.05</x:v>
      </x:c>
      <x:c r="Q74" s="17" t="n">
        <x:v>145.11</x:v>
      </x:c>
      <x:c r="R74" s="17" t="n">
        <x:v>148.38</x:v>
      </x:c>
      <x:c r="S74" s="17"/>
      <x:c r="T74" s="17"/>
      <x:c r="U74" s="17"/>
      <x:c r="V74" s="17"/>
      <x:c r="W74" s="17"/>
      <x:c r="X74" s="17"/>
      <x:c r="Y74" s="17"/>
      <x:c r="Z74" s="17"/>
    </x:row>
    <x:row r="75">
      <x:c r="A75" s="17" t="str">
        <x:v>GPT-4o</x:v>
      </x:c>
      <x:c r="B75" s="17" t="str">
        <x:v>gpt-4o-2024-11-20</x:v>
      </x:c>
      <x:c r="C75" s="17" t="str">
        <x:v>GPT-4o (Nov 2024)</x:v>
      </x:c>
      <x:c r="D75" s="17" t="str">
        <x:v>OpenAI</x:v>
      </x:c>
      <x:c r="E75" s="17" t="str">
        <x:v>United States of America</x:v>
      </x:c>
      <x:c r="F75" s="17" t="n">
        <x:v>45616</x:v>
      </x:c>
      <x:c r="G75" s="17" t="str">
        <x:v>API access</x:v>
      </x:c>
      <x:c r="H75" s="17" t="n">
        <x:v>45425</x:v>
      </x:c>
      <x:c r="I75" s="17"/>
      <x:c r="J75" s="17" t="str">
        <x:v>Speculative</x:v>
      </x:c>
      <x:c r="K75" s="17" t="str">
        <x:v>The November 2024 version of GPT-4o, OpenAI's then-flagship multimodal language model.</x:v>
      </x:c>
      <x:c r="L75" s="17"/>
      <x:c r="M75" s="17" t="str">
        <x:v>GPT-4o (Nov 2024)</x:v>
      </x:c>
      <x:c r="N75" s="17" t="str">
        <x:v>GPT-4o (Nov 2024)</x:v>
      </x:c>
      <x:c r="O75" s="17" t="str">
        <x:v>gpt-4o-nov-2024</x:v>
      </x:c>
      <x:c r="P75" s="17" t="n">
        <x:v>129.31</x:v>
      </x:c>
      <x:c r="Q75" s="17" t="n">
        <x:v>124.23</x:v>
      </x:c>
      <x:c r="R75" s="17" t="n">
        <x:v>131.64</x:v>
      </x:c>
      <x:c r="S75" s="17"/>
      <x:c r="T75" s="17"/>
      <x:c r="U75" s="17"/>
      <x:c r="V75" s="17"/>
      <x:c r="W75" s="17"/>
      <x:c r="X75" s="17"/>
      <x:c r="Y75" s="17"/>
      <x:c r="Z75" s="17"/>
    </x:row>
    <x:row r="76">
      <x:c r="A76" s="17" t="str">
        <x:v>GPT-4.1</x:v>
      </x:c>
      <x:c r="B76" s="17" t="str">
        <x:v>gpt-4.1-2025-04-14</x:v>
      </x:c>
      <x:c r="C76" s="17" t="str">
        <x:v>GPT-4.1</x:v>
      </x:c>
      <x:c r="D76" s="17" t="str">
        <x:v>OpenAI</x:v>
      </x:c>
      <x:c r="E76" s="17" t="str">
        <x:v>United States of America</x:v>
      </x:c>
      <x:c r="F76" s="17" t="n">
        <x:v>45761</x:v>
      </x:c>
      <x:c r="G76" s="17" t="str">
        <x:v>API access</x:v>
      </x:c>
      <x:c r="H76" s="17" t="n">
        <x:v>45761</x:v>
      </x:c>
      <x:c r="I76" s="17"/>
      <x:c r="J76" s="17" t="str">
        <x:v>Unknown</x:v>
      </x:c>
      <x:c r="K76" s="17" t="str">
        <x:v>A coding-optimized GPT-4 series model from OpenAI.</x:v>
      </x:c>
      <x:c r="L76" s="17"/>
      <x:c r="M76" s="17"/>
      <x:c r="N76" s="17" t="str">
        <x:v>GPT-4.1</x:v>
      </x:c>
      <x:c r="O76" s="17" t="str">
        <x:v>gpt-4-1</x:v>
      </x:c>
      <x:c r="P76" s="17" t="n">
        <x:v>137.46</x:v>
      </x:c>
      <x:c r="Q76" s="17" t="n">
        <x:v>134.54</x:v>
      </x:c>
      <x:c r="R76" s="17" t="n">
        <x:v>139.14</x:v>
      </x:c>
      <x:c r="S76" s="17"/>
      <x:c r="T76" s="17"/>
      <x:c r="U76" s="17"/>
      <x:c r="V76" s="17"/>
      <x:c r="W76" s="17"/>
      <x:c r="X76" s="17"/>
      <x:c r="Y76" s="17"/>
      <x:c r="Z76" s="17"/>
    </x:row>
    <x:row r="77">
      <x:c r="A77" s="17" t="str">
        <x:v>Claude Opus 4.6</x:v>
      </x:c>
      <x:c r="B77" s="17" t="str">
        <x:v>claude-opus-4-6_64K</x:v>
      </x:c>
      <x:c r="C77" s="17" t="str">
        <x:v>Claude Opus 4.6 (64k thinking)</x:v>
      </x:c>
      <x:c r="D77" s="17" t="str">
        <x:v>Anthropic</x:v>
      </x:c>
      <x:c r="E77" s="17" t="str">
        <x:v>United States of America</x:v>
      </x:c>
      <x:c r="F77" s="17" t="n">
        <x:v>46058</x:v>
      </x:c>
      <x:c r="G77" s="17" t="str">
        <x:v>API access</x:v>
      </x:c>
      <x:c r="H77" s="17" t="n">
        <x:v>46058</x:v>
      </x:c>
      <x:c r="I77" s="17"/>
      <x:c r="J77" s="17" t="str">
        <x:v>Likely</x:v>
      </x:c>
      <x:c r="K77" s="17"/>
      <x:c r="L77" s="17" t="str">
        <x:v>Claude Opus 4.6 (64k thinking)</x:v>
      </x:c>
      <x:c r="M77" s="17"/>
      <x:c r="N77" s="17" t="str">
        <x:v>Claude Opus 4.6</x:v>
      </x:c>
      <x:c r="O77" s="17" t="str">
        <x:v>claude-opus-4-6</x:v>
      </x:c>
      <x:c r="P77" s="17" t="n">
        <x:v>155.31</x:v>
      </x:c>
      <x:c r="Q77" s="17" t="n">
        <x:v>153.34</x:v>
      </x:c>
      <x:c r="R77" s="17" t="n">
        <x:v>157.92</x:v>
      </x:c>
      <x:c r="S77" s="17"/>
      <x:c r="T77" s="17"/>
      <x:c r="U77" s="17"/>
      <x:c r="V77" s="17"/>
      <x:c r="W77" s="17"/>
      <x:c r="X77" s="17"/>
      <x:c r="Y77" s="17"/>
      <x:c r="Z77" s="17"/>
    </x:row>
    <x:row r="78">
      <x:c r="A78" s="17" t="str">
        <x:v>Claude Opus 4.6</x:v>
      </x:c>
      <x:c r="B78" s="17" t="str">
        <x:v>claude-opus-4-6_32K</x:v>
      </x:c>
      <x:c r="C78" s="17" t="str">
        <x:v>Claude Opus 4.6 (32k thinking)</x:v>
      </x:c>
      <x:c r="D78" s="17" t="str">
        <x:v>Anthropic</x:v>
      </x:c>
      <x:c r="E78" s="17" t="str">
        <x:v>United States of America</x:v>
      </x:c>
      <x:c r="F78" s="17" t="n">
        <x:v>46058</x:v>
      </x:c>
      <x:c r="G78" s="17" t="str">
        <x:v>API access</x:v>
      </x:c>
      <x:c r="H78" s="17" t="n">
        <x:v>46058</x:v>
      </x:c>
      <x:c r="I78" s="17"/>
      <x:c r="J78" s="17" t="str">
        <x:v>Likely</x:v>
      </x:c>
      <x:c r="K78" s="17"/>
      <x:c r="L78" s="17" t="str">
        <x:v>Claude Opus 4.6 (32k thinking)</x:v>
      </x:c>
      <x:c r="M78" s="17"/>
      <x:c r="N78" s="17" t="str">
        <x:v>Claude Opus 4.6</x:v>
      </x:c>
      <x:c r="O78" s="17" t="str">
        <x:v>claude-opus-4-6</x:v>
      </x:c>
      <x:c r="P78" s="17" t="n">
        <x:v>155.31</x:v>
      </x:c>
      <x:c r="Q78" s="17" t="n">
        <x:v>153.34</x:v>
      </x:c>
      <x:c r="R78" s="17" t="n">
        <x:v>157.92</x:v>
      </x:c>
      <x:c r="S78" s="17"/>
      <x:c r="T78" s="17"/>
      <x:c r="U78" s="17"/>
      <x:c r="V78" s="17"/>
      <x:c r="W78" s="17"/>
      <x:c r="X78" s="17"/>
      <x:c r="Y78" s="17"/>
      <x:c r="Z78" s="17"/>
    </x:row>
    <x:row r="79">
      <x:c r="A79" s="17" t="str">
        <x:v>Claude Opus 4</x:v>
      </x:c>
      <x:c r="B79" s="17" t="str">
        <x:v>claude-opus-4-20250514</x:v>
      </x:c>
      <x:c r="C79" s="17" t="str">
        <x:v>Claude Opus 4</x:v>
      </x:c>
      <x:c r="D79" s="17" t="str">
        <x:v>Anthropic</x:v>
      </x:c>
      <x:c r="E79" s="17" t="str">
        <x:v>United States of America</x:v>
      </x:c>
      <x:c r="F79" s="17" t="n">
        <x:v>45799</x:v>
      </x:c>
      <x:c r="G79" s="17" t="str">
        <x:v>API access</x:v>
      </x:c>
      <x:c r="H79" s="17" t="n">
        <x:v>45799</x:v>
      </x:c>
      <x:c r="I79" s="17"/>
      <x:c r="J79" s="17" t="str">
        <x:v>Unknown</x:v>
      </x:c>
      <x:c r="K79" s="17" t="str">
        <x:v>Anthropic's largest model in the Claude 4 series (superseded by Claude Opus 4.1).</x:v>
      </x:c>
      <x:c r="L79" s="17" t="str">
        <x:v>Claude Opus 4</x:v>
      </x:c>
      <x:c r="M79" s="17"/>
      <x:c r="N79" s="17" t="str">
        <x:v>Claude Opus 4</x:v>
      </x:c>
      <x:c r="O79" s="17" t="str">
        <x:v>claude-opus-4</x:v>
      </x:c>
      <x:c r="P79" s="17" t="n">
        <x:v>142.89</x:v>
      </x:c>
      <x:c r="Q79" s="17" t="n">
        <x:v>140.36</x:v>
      </x:c>
      <x:c r="R79" s="17" t="n">
        <x:v>144.3</x:v>
      </x:c>
      <x:c r="S79" s="17"/>
      <x:c r="T79" s="17"/>
      <x:c r="U79" s="17"/>
      <x:c r="V79" s="17"/>
      <x:c r="W79" s="17"/>
      <x:c r="X79" s="17"/>
      <x:c r="Y79" s="17"/>
      <x:c r="Z79" s="17"/>
    </x:row>
    <x:row r="80">
      <x:c r="A80" s="17" t="str">
        <x:v>Claude Opus 4.5</x:v>
      </x:c>
      <x:c r="B80" s="17" t="str">
        <x:v>claude-opus-4-5-20251101</x:v>
      </x:c>
      <x:c r="C80" s="17" t="str">
        <x:v>Claude Opus 4.5 (no thinking)</x:v>
      </x:c>
      <x:c r="D80" s="17" t="str">
        <x:v>Anthropic</x:v>
      </x:c>
      <x:c r="E80" s="17" t="str">
        <x:v>United States of America</x:v>
      </x:c>
      <x:c r="F80" s="17" t="n">
        <x:v>45985</x:v>
      </x:c>
      <x:c r="G80" s="17" t="str">
        <x:v>API access</x:v>
      </x:c>
      <x:c r="H80" s="17" t="n">
        <x:v>45985</x:v>
      </x:c>
      <x:c r="I80" s="17"/>
      <x:c r="J80" s="17" t="str">
        <x:v>Unknown</x:v>
      </x:c>
      <x:c r="K80" s="17"/>
      <x:c r="L80" s="17" t="str">
        <x:v>Claude Opus 4.5 (no thinking)</x:v>
      </x:c>
      <x:c r="M80" s="17"/>
      <x:c r="N80" s="17" t="str">
        <x:v>Claude Opus 4.5</x:v>
      </x:c>
      <x:c r="O80" s="17" t="str">
        <x:v>claude-opus-4-5</x:v>
      </x:c>
      <x:c r="P80" s="17" t="n">
        <x:v>149.53</x:v>
      </x:c>
      <x:c r="Q80" s="17" t="n">
        <x:v>147.66</x:v>
      </x:c>
      <x:c r="R80" s="17" t="n">
        <x:v>151.99</x:v>
      </x:c>
      <x:c r="S80" s="17"/>
      <x:c r="T80" s="17"/>
      <x:c r="U80" s="17"/>
      <x:c r="V80" s="17"/>
      <x:c r="W80" s="17"/>
      <x:c r="X80" s="17"/>
      <x:c r="Y80" s="17"/>
      <x:c r="Z80" s="17"/>
    </x:row>
    <x:row r="81">
      <x:c r="A81" s="17" t="str">
        <x:v>GPT-5</x:v>
      </x:c>
      <x:c r="B81" s="17" t="str">
        <x:v>gpt-5-2025-08-07_medium</x:v>
      </x:c>
      <x:c r="C81" s="17" t="str">
        <x:v>GPT-5 (medium)</x:v>
      </x:c>
      <x:c r="D81" s="17" t="str">
        <x:v>OpenAI</x:v>
      </x:c>
      <x:c r="E81" s="17" t="str">
        <x:v>United States of America</x:v>
      </x:c>
      <x:c r="F81" s="17" t="n">
        <x:v>45876</x:v>
      </x:c>
      <x:c r="G81" s="17" t="str">
        <x:v>API access</x:v>
      </x:c>
      <x:c r="H81" s="17" t="n">
        <x:v>45876</x:v>
      </x:c>
      <x:c r="I81" s="17" t="n">
        <x:v>6.6e+25</x:v>
      </x:c>
      <x:c r="J81" s="17" t="str">
        <x:v>Speculative</x:v>
      </x:c>
      <x:c r="K81" s="17" t="str">
        <x:v>OpenAI's latest flagship frontier model, benchmarked using medium reasoning effort.</x:v>
      </x:c>
      <x:c r="L81" s="17" t="str">
        <x:v>GPT-5 (medium)</x:v>
      </x:c>
      <x:c r="M81" s="17"/>
      <x:c r="N81" s="17" t="str">
        <x:v>GPT-5</x:v>
      </x:c>
      <x:c r="O81" s="17" t="str">
        <x:v>gpt-5</x:v>
      </x:c>
      <x:c r="P81" s="17" t="n">
        <x:v>150</x:v>
      </x:c>
      <x:c r="Q81" s="17"/>
      <x:c r="R81" s="17"/>
      <x:c r="S81" s="17"/>
      <x:c r="T81" s="17"/>
      <x:c r="U81" s="17"/>
      <x:c r="V81" s="17"/>
      <x:c r="W81" s="17"/>
      <x:c r="X81" s="17"/>
      <x:c r="Y81" s="17"/>
      <x:c r="Z81" s="17"/>
    </x:row>
    <x:row r="82">
      <x:c r="A82" s="17" t="str">
        <x:v>Claude 3.7 Sonnet</x:v>
      </x:c>
      <x:c r="B82" s="17" t="str">
        <x:v>claude-3-7-sonnet-20250219</x:v>
      </x:c>
      <x:c r="C82" s="17"/>
      <x:c r="D82" s="17" t="str">
        <x:v>Anthropic</x:v>
      </x:c>
      <x:c r="E82" s="17" t="str">
        <x:v>United States of America</x:v>
      </x:c>
      <x:c r="F82" s="17" t="n">
        <x:v>45712</x:v>
      </x:c>
      <x:c r="G82" s="17" t="str">
        <x:v>API access</x:v>
      </x:c>
      <x:c r="H82" s="17" t="n">
        <x:v>45712</x:v>
      </x:c>
      <x:c r="I82" s="17" t="n">
        <x:v>3.3499999999999998e+25</x:v>
      </x:c>
      <x:c r="J82" s="17" t="str">
        <x:v>Likely</x:v>
      </x:c>
      <x:c r="K82" s="17" t="str">
        <x:v>A previous flagship reasoning model from Anthropic.</x:v>
      </x:c>
      <x:c r="L82" s="17" t="str">
        <x:v>Claude 3.7 Sonnet</x:v>
      </x:c>
      <x:c r="M82" s="17"/>
      <x:c r="N82" s="17" t="str">
        <x:v>Claude 3.7 Sonnet</x:v>
      </x:c>
      <x:c r="O82" s="17" t="str">
        <x:v>claude-3-7-sonnet</x:v>
      </x:c>
      <x:c r="P82" s="17" t="n">
        <x:v>141.7</x:v>
      </x:c>
      <x:c r="Q82" s="17" t="n">
        <x:v>139.28</x:v>
      </x:c>
      <x:c r="R82" s="17" t="n">
        <x:v>143.27</x:v>
      </x:c>
      <x:c r="S82" s="17"/>
      <x:c r="T82" s="17"/>
      <x:c r="U82" s="17"/>
      <x:c r="V82" s="17"/>
      <x:c r="W82" s="17"/>
      <x:c r="X82" s="17"/>
      <x:c r="Y82" s="17"/>
      <x:c r="Z82" s="17"/>
    </x:row>
    <x:row r="83">
      <x:c r="A83" s="17" t="str">
        <x:v>Kimi K2.5</x:v>
      </x:c>
      <x:c r="B83" s="17" t="str">
        <x:v>fireworks/kimi-k2p5</x:v>
      </x:c>
      <x:c r="C83" s="17" t="str">
        <x:v>Kimi K2.5 (Fireworks)</x:v>
      </x:c>
      <x:c r="D83" s="17" t="str">
        <x:v>Moonshot</x:v>
      </x:c>
      <x:c r="E83" s="17" t="str">
        <x:v>China</x:v>
      </x:c>
      <x:c r="F83" s="17" t="n">
        <x:v>46049</x:v>
      </x:c>
      <x:c r="G83" s="17" t="str">
        <x:v>Open weights (unrestricted)</x:v>
      </x:c>
      <x:c r="H83" s="17" t="n">
        <x:v>46055</x:v>
      </x:c>
      <x:c r="I83" s="17" t="n">
        <x:v>5.8e+24</x:v>
      </x:c>
      <x:c r="J83" s="17" t="str">
        <x:v>Likely</x:v>
      </x:c>
      <x:c r="K83" s="17"/>
      <x:c r="L83" s="17"/>
      <x:c r="M83" s="17"/>
      <x:c r="N83" s="17" t="str">
        <x:v>Kimi K2.5</x:v>
      </x:c>
      <x:c r="O83" s="17" t="str">
        <x:v>kimi-k2-5</x:v>
      </x:c>
      <x:c r="P83" s="17" t="n">
        <x:v>148.24</x:v>
      </x:c>
      <x:c r="Q83" s="17" t="n">
        <x:v>146.58</x:v>
      </x:c>
      <x:c r="R83" s="17" t="n">
        <x:v>149.36</x:v>
      </x:c>
      <x:c r="S83" s="17"/>
      <x:c r="T83" s="17"/>
      <x:c r="U83" s="17"/>
      <x:c r="V83" s="17"/>
      <x:c r="W83" s="17"/>
      <x:c r="X83" s="17"/>
      <x:c r="Y83" s="17"/>
      <x:c r="Z83" s="17"/>
    </x:row>
    <x:row r="84">
      <x:c r="A84" s="17" t="str">
        <x:v>GPT-5 mini</x:v>
      </x:c>
      <x:c r="B84" s="17" t="str">
        <x:v>gpt-5-mini-2025-08-07_medium</x:v>
      </x:c>
      <x:c r="C84" s="17" t="str">
        <x:v>GPT-5 mini (medium)</x:v>
      </x:c>
      <x:c r="D84" s="17" t="str">
        <x:v>OpenAI</x:v>
      </x:c>
      <x:c r="E84" s="17" t="str">
        <x:v>United States of America</x:v>
      </x:c>
      <x:c r="F84" s="17" t="n">
        <x:v>45876</x:v>
      </x:c>
      <x:c r="G84" s="17" t="str">
        <x:v>API access</x:v>
      </x:c>
      <x:c r="H84" s="17" t="n">
        <x:v>45876</x:v>
      </x:c>
      <x:c r="I84" s="17"/>
      <x:c r="J84" s="17" t="str">
        <x:v>Unknown</x:v>
      </x:c>
      <x:c r="K84" s="17" t="str">
        <x:v>A smaller version of OpenAI's latest flagship frontier model, benchmarked using medium reasoning effort.</x:v>
      </x:c>
      <x:c r="L84" s="17" t="str">
        <x:v>GPT-5 mini (medium)</x:v>
      </x:c>
      <x:c r="M84" s="17"/>
      <x:c r="N84" s="17" t="str">
        <x:v>GPT-5 mini</x:v>
      </x:c>
      <x:c r="O84" s="17" t="str">
        <x:v>gpt-5-mini</x:v>
      </x:c>
      <x:c r="P84" s="17" t="n">
        <x:v>145.79</x:v>
      </x:c>
      <x:c r="Q84" s="17" t="n">
        <x:v>143.69</x:v>
      </x:c>
      <x:c r="R84" s="17" t="n">
        <x:v>147.21</x:v>
      </x:c>
      <x:c r="S84" s="17"/>
      <x:c r="T84" s="17"/>
      <x:c r="U84" s="17"/>
      <x:c r="V84" s="17"/>
      <x:c r="W84" s="17"/>
      <x:c r="X84" s="17"/>
      <x:c r="Y84" s="17"/>
      <x:c r="Z84" s="17"/>
    </x:row>
    <x:row r="85">
      <x:c r="A85" s="17" t="str">
        <x:v>Grok 4</x:v>
      </x:c>
      <x:c r="B85" s="17" t="str">
        <x:v>grok-4-0709</x:v>
      </x:c>
      <x:c r="C85" s="17"/>
      <x:c r="D85" s="17" t="str">
        <x:v>xAI</x:v>
      </x:c>
      <x:c r="E85" s="17" t="str">
        <x:v>United States of America</x:v>
      </x:c>
      <x:c r="F85" s="17" t="n">
        <x:v>45847</x:v>
      </x:c>
      <x:c r="G85" s="17" t="str">
        <x:v>API access</x:v>
      </x:c>
      <x:c r="H85" s="17" t="n">
        <x:v>45847</x:v>
      </x:c>
      <x:c r="I85" s="17" t="n">
        <x:v>5.0000000000001e+26</x:v>
      </x:c>
      <x:c r="J85" s="17" t="str">
        <x:v>Speculative</x:v>
      </x:c>
      <x:c r="K85" s="17"/>
      <x:c r="L85" s="17" t="str">
        <x:v>Grok 4</x:v>
      </x:c>
      <x:c r="M85" s="17"/>
      <x:c r="N85" s="17" t="str">
        <x:v>Grok 4</x:v>
      </x:c>
      <x:c r="O85" s="17" t="str">
        <x:v>grok-4</x:v>
      </x:c>
      <x:c r="P85" s="17" t="n">
        <x:v>147.04</x:v>
      </x:c>
      <x:c r="Q85" s="17" t="n">
        <x:v>144.92</x:v>
      </x:c>
      <x:c r="R85" s="17" t="n">
        <x:v>148.75</x:v>
      </x:c>
      <x:c r="S85" s="17"/>
      <x:c r="T85" s="17"/>
      <x:c r="U85" s="17"/>
      <x:c r="V85" s="17"/>
      <x:c r="W85" s="17"/>
      <x:c r="X85" s="17"/>
      <x:c r="Y85" s="17"/>
      <x:c r="Z85" s="17"/>
    </x:row>
    <x:row r="86">
      <x:c r="A86" s="17" t="str">
        <x:v>GLM-4.7</x:v>
      </x:c>
      <x:c r="B86" s="17" t="str">
        <x:v>zai-org/GLM-4.7</x:v>
      </x:c>
      <x:c r="C86" s="17" t="str">
        <x:v>GLM-4.7 (Together)</x:v>
      </x:c>
      <x:c r="D86" s="17" t="str">
        <x:v>Z.ai (Zhipu AI)</x:v>
      </x:c>
      <x:c r="E86" s="17" t="str">
        <x:v>China</x:v>
      </x:c>
      <x:c r="F86" s="17" t="n">
        <x:v>46013</x:v>
      </x:c>
      <x:c r="G86" s="17" t="str">
        <x:v>Open weights (unrestricted)</x:v>
      </x:c>
      <x:c r="H86" s="17" t="n">
        <x:v>46013</x:v>
      </x:c>
      <x:c r="I86" s="17" t="n">
        <x:v>4.42e+24</x:v>
      </x:c>
      <x:c r="J86" s="17" t="str">
        <x:v>Likely</x:v>
      </x:c>
      <x:c r="K86" s="17"/>
      <x:c r="L86" s="17"/>
      <x:c r="M86" s="17"/>
      <x:c r="N86" s="17" t="str">
        <x:v>GLM-4.7</x:v>
      </x:c>
      <x:c r="O86" s="17" t="str">
        <x:v>glm-4-7</x:v>
      </x:c>
      <x:c r="P86" s="17" t="n">
        <x:v>143.73</x:v>
      </x:c>
      <x:c r="Q86" s="17" t="n">
        <x:v>141.11</x:v>
      </x:c>
      <x:c r="R86" s="17" t="n">
        <x:v>145.38</x:v>
      </x:c>
      <x:c r="S86" s="17"/>
      <x:c r="T86" s="17"/>
      <x:c r="U86" s="17"/>
      <x:c r="V86" s="17"/>
      <x:c r="W86" s="17"/>
      <x:c r="X86" s="17"/>
      <x:c r="Y86" s="17"/>
      <x:c r="Z86" s="17"/>
    </x:row>
    <x:row r="87">
      <x:c r="A87" s="17" t="str">
        <x:v>GLM-4.7</x:v>
      </x:c>
      <x:c r="B87" s="17" t="str">
        <x:v>glm-4.7</x:v>
      </x:c>
      <x:c r="C87" s="17" t="str">
        <x:v>GLM-4.7</x:v>
      </x:c>
      <x:c r="D87" s="17" t="str">
        <x:v>Z.ai (Zhipu AI)</x:v>
      </x:c>
      <x:c r="E87" s="17" t="str">
        <x:v>China</x:v>
      </x:c>
      <x:c r="F87" s="17" t="n">
        <x:v>46013</x:v>
      </x:c>
      <x:c r="G87" s="17" t="str">
        <x:v>Open weights (unrestricted)</x:v>
      </x:c>
      <x:c r="H87" s="17" t="n">
        <x:v>46013</x:v>
      </x:c>
      <x:c r="I87" s="17" t="n">
        <x:v>4.42e+24</x:v>
      </x:c>
      <x:c r="J87" s="17" t="str">
        <x:v>Likely</x:v>
      </x:c>
      <x:c r="K87" s="17"/>
      <x:c r="L87" s="17" t="str">
        <x:v>GLM-4.7</x:v>
      </x:c>
      <x:c r="M87" s="17"/>
      <x:c r="N87" s="17" t="str">
        <x:v>GLM-4.7</x:v>
      </x:c>
      <x:c r="O87" s="17" t="str">
        <x:v>glm-4-7</x:v>
      </x:c>
      <x:c r="P87" s="17" t="n">
        <x:v>143.73</x:v>
      </x:c>
      <x:c r="Q87" s="17" t="n">
        <x:v>141.11</x:v>
      </x:c>
      <x:c r="R87" s="17" t="n">
        <x:v>145.38</x:v>
      </x:c>
      <x:c r="S87" s="17"/>
      <x:c r="T87" s="17"/>
      <x:c r="U87" s="17"/>
      <x:c r="V87" s="17"/>
      <x:c r="W87" s="17"/>
      <x:c r="X87" s="17"/>
      <x:c r="Y87" s="17"/>
      <x:c r="Z87" s="17"/>
    </x:row>
    <x:row r="88">
      <x:c r="A88" s="17" t="str">
        <x:v>GPT-5.2 Pro</x:v>
      </x:c>
      <x:c r="B88" s="17" t="str">
        <x:v>gpt-5.2-pro-2025-12-11-webapp</x:v>
      </x:c>
      <x:c r="C88" s="17" t="str">
        <x:v>GPT-5.2 Pro (web)</x:v>
      </x:c>
      <x:c r="D88" s="17" t="str">
        <x:v>OpenAI</x:v>
      </x:c>
      <x:c r="E88" s="17" t="str">
        <x:v>United States of America</x:v>
      </x:c>
      <x:c r="F88" s="17" t="n">
        <x:v>46002</x:v>
      </x:c>
      <x:c r="G88" s="17" t="str">
        <x:v>API access</x:v>
      </x:c>
      <x:c r="H88" s="17" t="n">
        <x:v>46002</x:v>
      </x:c>
      <x:c r="I88" s="17"/>
      <x:c r="J88" s="17" t="str">
        <x:v>Likely</x:v>
      </x:c>
      <x:c r="K88" s="17"/>
      <x:c r="L88" s="17" t="str">
        <x:v>GPT-5.2 Pro (Web App)</x:v>
      </x:c>
      <x:c r="M88" s="17"/>
      <x:c r="N88" s="17" t="str">
        <x:v>GPT-5.2 Pro</x:v>
      </x:c>
      <x:c r="O88" s="17" t="str">
        <x:v>gpt-5-2-pro</x:v>
      </x:c>
      <x:c r="P88" s="17" t="n">
        <x:v>154.65</x:v>
      </x:c>
      <x:c r="Q88" s="17" t="n">
        <x:v>152.88</x:v>
      </x:c>
      <x:c r="R88" s="17" t="n">
        <x:v>157.03</x:v>
      </x:c>
      <x:c r="S88" s="17"/>
      <x:c r="T88" s="17"/>
      <x:c r="U88" s="17"/>
      <x:c r="V88" s="17"/>
      <x:c r="W88" s="17"/>
      <x:c r="X88" s="17"/>
      <x:c r="Y88" s="17"/>
      <x:c r="Z88" s="17"/>
    </x:row>
    <x:row r="89">
      <x:c r="A89" s="17" t="str">
        <x:v>DeepSeek-V3.2</x:v>
      </x:c>
      <x:c r="B89" s="17" t="str">
        <x:v>fireworks/deepseek-v3p2</x:v>
      </x:c>
      <x:c r="C89" s="17" t="str">
        <x:v>DeepSeek-V3.2 (Thinking; Fireworks)</x:v>
      </x:c>
      <x:c r="D89" s="17" t="str">
        <x:v>DeepSeek</x:v>
      </x:c>
      <x:c r="E89" s="17" t="str">
        <x:v>China</x:v>
      </x:c>
      <x:c r="F89" s="17" t="n">
        <x:v>45992</x:v>
      </x:c>
      <x:c r="G89" s="17" t="str">
        <x:v>Open weights (unrestricted)</x:v>
      </x:c>
      <x:c r="H89" s="17" t="n">
        <x:v>45992</x:v>
      </x:c>
      <x:c r="I89" s="17" t="n">
        <x:v>4.1999999999999997e+24</x:v>
      </x:c>
      <x:c r="J89" s="17" t="str">
        <x:v>Likely</x:v>
      </x:c>
      <x:c r="K89" s="17"/>
      <x:c r="L89" s="17"/>
      <x:c r="M89" s="17"/>
      <x:c r="N89" s="17" t="str">
        <x:v>DeepSeek-V3.2</x:v>
      </x:c>
      <x:c r="O89" s="17" t="str">
        <x:v>deepseek-v3-2</x:v>
      </x:c>
      <x:c r="P89" s="17" t="n">
        <x:v>146.56</x:v>
      </x:c>
      <x:c r="Q89" s="17" t="n">
        <x:v>144.63</x:v>
      </x:c>
      <x:c r="R89" s="17" t="n">
        <x:v>147.62</x:v>
      </x:c>
      <x:c r="S89" s="17"/>
      <x:c r="T89" s="17"/>
      <x:c r="U89" s="17"/>
      <x:c r="V89" s="17"/>
      <x:c r="W89" s="17"/>
      <x:c r="X89" s="17"/>
      <x:c r="Y89" s="17"/>
      <x:c r="Z89" s="17"/>
    </x:row>
    <x:row r="90">
      <x:c r="A90" s="17" t="str">
        <x:v>Gemini 2.5 Flash</x:v>
      </x:c>
      <x:c r="B90" s="17" t="str">
        <x:v>gemini-2.5-flash</x:v>
      </x:c>
      <x:c r="C90" s="17"/>
      <x:c r="D90" s="17" t="str">
        <x:v>Google DeepMind</x:v>
      </x:c>
      <x:c r="E90" s="17" t="str">
        <x:v>United States of America</x:v>
      </x:c>
      <x:c r="F90" s="17" t="n">
        <x:v>45825</x:v>
      </x:c>
      <x:c r="G90" s="17" t="str">
        <x:v>API access</x:v>
      </x:c>
      <x:c r="H90" s="17" t="n">
        <x:v>45764</x:v>
      </x:c>
      <x:c r="I90" s="17"/>
      <x:c r="J90" s="17" t="str">
        <x:v>Unknown</x:v>
      </x:c>
      <x:c r="K90" s="17" t="str">
        <x:v>A small model from Google DeepMind's Gemini 2.5 series.</x:v>
      </x:c>
      <x:c r="L90" s="17" t="str">
        <x:v>Gemini 2.5 Flash (Jun 2025)</x:v>
      </x:c>
      <x:c r="M90" s="17" t="str">
        <x:v>Gemini 2.5 Flash (Jun 2025)</x:v>
      </x:c>
      <x:c r="N90" s="17" t="str">
        <x:v>Gemini 2.5 Flash (Jun 2025)</x:v>
      </x:c>
      <x:c r="O90" s="17" t="str">
        <x:v>gemini-2-5-flash-jun-2025</x:v>
      </x:c>
      <x:c r="P90" s="17" t="n">
        <x:v>140.26</x:v>
      </x:c>
      <x:c r="Q90" s="17" t="n">
        <x:v>136.94</x:v>
      </x:c>
      <x:c r="R90" s="17" t="n">
        <x:v>142</x:v>
      </x:c>
      <x:c r="S90" s="17"/>
      <x:c r="T90" s="17"/>
      <x:c r="U90" s="17"/>
      <x:c r="V90" s="17"/>
      <x:c r="W90" s="17"/>
      <x:c r="X90" s="17"/>
      <x:c r="Y90" s="17"/>
      <x:c r="Z90" s="17"/>
    </x:row>
    <x:row r="91">
      <x:c r="A91" s="17" t="str">
        <x:v>DeepSeek-V3.2</x:v>
      </x:c>
      <x:c r="B91" s="17" t="str">
        <x:v>deepseek-reasoner</x:v>
      </x:c>
      <x:c r="C91" s="17" t="str">
        <x:v>DeepSeek-V3.2 (Thinking)</x:v>
      </x:c>
      <x:c r="D91" s="17" t="str">
        <x:v>DeepSeek</x:v>
      </x:c>
      <x:c r="E91" s="17" t="str">
        <x:v>China</x:v>
      </x:c>
      <x:c r="F91" s="17" t="n">
        <x:v>45992</x:v>
      </x:c>
      <x:c r="G91" s="17" t="str">
        <x:v>Open weights (unrestricted)</x:v>
      </x:c>
      <x:c r="H91" s="17" t="n">
        <x:v>45992</x:v>
      </x:c>
      <x:c r="I91" s="17" t="n">
        <x:v>4.1999999999999997e+24</x:v>
      </x:c>
      <x:c r="J91" s="17" t="str">
        <x:v>Likely</x:v>
      </x:c>
      <x:c r="K91" s="17"/>
      <x:c r="L91" s="17"/>
      <x:c r="M91" s="17"/>
      <x:c r="N91" s="17" t="str">
        <x:v>DeepSeek-V3.2</x:v>
      </x:c>
      <x:c r="O91" s="17" t="str">
        <x:v>deepseek-v3-2</x:v>
      </x:c>
      <x:c r="P91" s="17" t="n">
        <x:v>146.56</x:v>
      </x:c>
      <x:c r="Q91" s="17" t="n">
        <x:v>144.63</x:v>
      </x:c>
      <x:c r="R91" s="17" t="n">
        <x:v>147.62</x:v>
      </x:c>
      <x:c r="S91" s="17"/>
      <x:c r="T91" s="17"/>
      <x:c r="U91" s="17"/>
      <x:c r="V91" s="17"/>
      <x:c r="W91" s="17"/>
      <x:c r="X91" s="17"/>
      <x:c r="Y91" s="17"/>
      <x:c r="Z91" s="17"/>
    </x:row>
    <x:row r="92">
      <x:c r="A92" s="17" t="str">
        <x:v>gpt-oss-120b</x:v>
      </x:c>
      <x:c r="B92" s="17" t="str">
        <x:v>openai/gpt-oss-120b_high</x:v>
      </x:c>
      <x:c r="C92" s="17"/>
      <x:c r="D92" s="17" t="str">
        <x:v>OpenAI</x:v>
      </x:c>
      <x:c r="E92" s="17" t="str">
        <x:v>United States of America</x:v>
      </x:c>
      <x:c r="F92" s="17" t="n">
        <x:v>45874</x:v>
      </x:c>
      <x:c r="G92" s="17" t="str">
        <x:v>Open weights (unrestricted)</x:v>
      </x:c>
      <x:c r="H92" s="17" t="n">
        <x:v>45874</x:v>
      </x:c>
      <x:c r="I92" s="17" t="n">
        <x:v>4.94e+24</x:v>
      </x:c>
      <x:c r="J92" s="17" t="str">
        <x:v>Confident</x:v>
      </x:c>
      <x:c r="K92" s="17"/>
      <x:c r="L92" s="17" t="str">
        <x:v>gpt-oss-120b (high)</x:v>
      </x:c>
      <x:c r="M92" s="17"/>
      <x:c r="N92" s="17" t="str">
        <x:v>gpt-oss-120b</x:v>
      </x:c>
      <x:c r="O92" s="17" t="str">
        <x:v>gpt-oss-120b</x:v>
      </x:c>
      <x:c r="P92" s="17" t="n">
        <x:v>140.57</x:v>
      </x:c>
      <x:c r="Q92" s="17" t="n">
        <x:v>136.18</x:v>
      </x:c>
      <x:c r="R92" s="17" t="n">
        <x:v>143.08</x:v>
      </x:c>
      <x:c r="S92" s="17"/>
      <x:c r="T92" s="17"/>
      <x:c r="U92" s="17"/>
      <x:c r="V92" s="17"/>
      <x:c r="W92" s="17"/>
      <x:c r="X92" s="17"/>
      <x:c r="Y92" s="17"/>
      <x:c r="Z92" s="17"/>
    </x:row>
    <x:row r="93">
      <x:c r="A93" s="17" t="str">
        <x:v>Qwen3-235B-A22B (Jul 2025)</x:v>
      </x:c>
      <x:c r="B93" s="17" t="str">
        <x:v>Qwen3-235B-A22B-Thinking-2507</x:v>
      </x:c>
      <x:c r="C93" s="17"/>
      <x:c r="D93" s="17" t="str">
        <x:v>Alibaba</x:v>
      </x:c>
      <x:c r="E93" s="17" t="str">
        <x:v>China</x:v>
      </x:c>
      <x:c r="F93" s="17" t="n">
        <x:v>45863</x:v>
      </x:c>
      <x:c r="G93" s="17" t="str">
        <x:v>Open weights (unrestricted)</x:v>
      </x:c>
      <x:c r="H93" s="17" t="n">
        <x:v>45863</x:v>
      </x:c>
      <x:c r="I93" s="17" t="n">
        <x:v>4.752e+24</x:v>
      </x:c>
      <x:c r="J93" s="17" t="str">
        <x:v>Likely</x:v>
      </x:c>
      <x:c r="K93" s="17" t="str">
        <x:v>A 22 billion active (235 billion total)-parameter mixture-of-experts reasoning model in the Qwen 3 series.</x:v>
      </x:c>
      <x:c r="L93" s="17"/>
      <x:c r="M93" s="17" t="str">
        <x:v>Qwen3-235B-A22B-Thinking (Jul 2025)</x:v>
      </x:c>
      <x:c r="N93" s="17" t="str">
        <x:v>Qwen3-235B-A22B-Thinking (Jul 2025)</x:v>
      </x:c>
      <x:c r="O93" s="17" t="str">
        <x:v>qwen3-235b-a22b-thinking-jul-2025</x:v>
      </x:c>
      <x:c r="P93" s="17" t="n">
        <x:v>144.78</x:v>
      </x:c>
      <x:c r="Q93" s="17" t="n">
        <x:v>142.35</x:v>
      </x:c>
      <x:c r="R93" s="17" t="n">
        <x:v>147.4</x:v>
      </x:c>
      <x:c r="S93" s="17"/>
      <x:c r="T93" s="17"/>
      <x:c r="U93" s="17"/>
      <x:c r="V93" s="17"/>
      <x:c r="W93" s="17"/>
      <x:c r="X93" s="17"/>
      <x:c r="Y93" s="17"/>
      <x:c r="Z93" s="17"/>
    </x:row>
    <x:row r="94">
      <x:c r="A94" s="17" t="str">
        <x:v>GPT-5.2</x:v>
      </x:c>
      <x:c r="B94" s="17" t="str">
        <x:v>gpt-5.2-2025-12-11_medium</x:v>
      </x:c>
      <x:c r="C94" s="17" t="str">
        <x:v>GPT-5.2 (medium)</x:v>
      </x:c>
      <x:c r="D94" s="17" t="str">
        <x:v>OpenAI</x:v>
      </x:c>
      <x:c r="E94" s="17" t="str">
        <x:v>United States of America</x:v>
      </x:c>
      <x:c r="F94" s="17" t="n">
        <x:v>46002</x:v>
      </x:c>
      <x:c r="G94" s="17" t="str">
        <x:v>API access</x:v>
      </x:c>
      <x:c r="H94" s="17" t="n">
        <x:v>46002</x:v>
      </x:c>
      <x:c r="I94" s="17"/>
      <x:c r="J94" s="17" t="str">
        <x:v>Unknown</x:v>
      </x:c>
      <x:c r="K94" s="17"/>
      <x:c r="L94" s="17" t="str">
        <x:v>GPT-5.2 (medium)</x:v>
      </x:c>
      <x:c r="M94" s="17"/>
      <x:c r="N94" s="17" t="str">
        <x:v>GPT-5.2</x:v>
      </x:c>
      <x:c r="O94" s="17" t="str">
        <x:v>gpt-5-2</x:v>
      </x:c>
      <x:c r="P94" s="17" t="n">
        <x:v>153.7</x:v>
      </x:c>
      <x:c r="Q94" s="17" t="n">
        <x:v>152.26</x:v>
      </x:c>
      <x:c r="R94" s="17" t="n">
        <x:v>155.46</x:v>
      </x:c>
      <x:c r="S94" s="17"/>
      <x:c r="T94" s="17"/>
      <x:c r="U94" s="17"/>
      <x:c r="V94" s="17"/>
      <x:c r="W94" s="17"/>
      <x:c r="X94" s="17"/>
      <x:c r="Y94" s="17"/>
      <x:c r="Z94" s="17"/>
    </x:row>
    <x:row r="95">
      <x:c r="A95" s="17" t="str">
        <x:v>GPT-5.2</x:v>
      </x:c>
      <x:c r="B95" s="17" t="str">
        <x:v>gpt-5.2-2025-12-11_low</x:v>
      </x:c>
      <x:c r="C95" s="17" t="str">
        <x:v>GPT-5.2 (low)</x:v>
      </x:c>
      <x:c r="D95" s="17" t="str">
        <x:v>OpenAI</x:v>
      </x:c>
      <x:c r="E95" s="17" t="str">
        <x:v>United States of America</x:v>
      </x:c>
      <x:c r="F95" s="17" t="n">
        <x:v>46002</x:v>
      </x:c>
      <x:c r="G95" s="17" t="str">
        <x:v>API access</x:v>
      </x:c>
      <x:c r="H95" s="17" t="n">
        <x:v>46002</x:v>
      </x:c>
      <x:c r="I95" s="17"/>
      <x:c r="J95" s="17" t="str">
        <x:v>Unknown</x:v>
      </x:c>
      <x:c r="K95" s="17"/>
      <x:c r="L95" s="17" t="str">
        <x:v>GPT-5.2 (low)</x:v>
      </x:c>
      <x:c r="M95" s="17"/>
      <x:c r="N95" s="17" t="str">
        <x:v>GPT-5.2</x:v>
      </x:c>
      <x:c r="O95" s="17" t="str">
        <x:v>gpt-5-2</x:v>
      </x:c>
      <x:c r="P95" s="17" t="n">
        <x:v>153.7</x:v>
      </x:c>
      <x:c r="Q95" s="17" t="n">
        <x:v>152.26</x:v>
      </x:c>
      <x:c r="R95" s="17" t="n">
        <x:v>155.46</x:v>
      </x:c>
      <x:c r="S95" s="17"/>
      <x:c r="T95" s="17"/>
      <x:c r="U95" s="17"/>
      <x:c r="V95" s="17"/>
      <x:c r="W95" s="17"/>
      <x:c r="X95" s="17"/>
      <x:c r="Y95" s="17"/>
      <x:c r="Z95" s="17"/>
    </x:row>
    <x:row r="96">
      <x:c r="A96" s="17" t="str">
        <x:v>Qwen3-235B-A22B (Jul 2025)</x:v>
      </x:c>
      <x:c r="B96" s="17" t="str">
        <x:v>Qwen/Qwen3-235B-A22B-Thinking-2507</x:v>
      </x:c>
      <x:c r="C96" s="17" t="str">
        <x:v>Qwen3-235B-A22B-Thinking-2507</x:v>
      </x:c>
      <x:c r="D96" s="17" t="str">
        <x:v>Alibaba</x:v>
      </x:c>
      <x:c r="E96" s="17" t="str">
        <x:v>China</x:v>
      </x:c>
      <x:c r="F96" s="17" t="n">
        <x:v>45863</x:v>
      </x:c>
      <x:c r="G96" s="17" t="str">
        <x:v>Open weights (unrestricted)</x:v>
      </x:c>
      <x:c r="H96" s="17" t="n">
        <x:v>45863</x:v>
      </x:c>
      <x:c r="I96" s="17" t="n">
        <x:v>4.752e+24</x:v>
      </x:c>
      <x:c r="J96" s="17" t="str">
        <x:v>Likely</x:v>
      </x:c>
      <x:c r="K96" s="17"/>
      <x:c r="L96" s="17"/>
      <x:c r="M96" s="17" t="str">
        <x:v>Qwen3-235B-A22B-Thinking (Jul 2025)</x:v>
      </x:c>
      <x:c r="N96" s="17" t="str">
        <x:v>Qwen3-235B-A22B-Thinking (Jul 2025)</x:v>
      </x:c>
      <x:c r="O96" s="17" t="str">
        <x:v>qwen3-235b-a22b-thinking-jul-2025</x:v>
      </x:c>
      <x:c r="P96" s="17" t="n">
        <x:v>144.78</x:v>
      </x:c>
      <x:c r="Q96" s="17" t="n">
        <x:v>142.35</x:v>
      </x:c>
      <x:c r="R96" s="17" t="n">
        <x:v>147.4</x:v>
      </x:c>
      <x:c r="S96" s="17"/>
      <x:c r="T96" s="17"/>
      <x:c r="U96" s="17"/>
      <x:c r="V96" s="17"/>
      <x:c r="W96" s="17"/>
      <x:c r="X96" s="17"/>
      <x:c r="Y96" s="17"/>
      <x:c r="Z96" s="17"/>
    </x:row>
    <x:row r="97">
      <x:c r="A97" s="17" t="str">
        <x:v>Qwen3-Max</x:v>
      </x:c>
      <x:c r="B97" s="17" t="str">
        <x:v>qwen3-max-2025-09-23</x:v>
      </x:c>
      <x:c r="C97" s="17" t="str">
        <x:v>Qwen3-Max-Instruct</x:v>
      </x:c>
      <x:c r="D97" s="17" t="str">
        <x:v>Alibaba</x:v>
      </x:c>
      <x:c r="E97" s="17" t="str">
        <x:v>China</x:v>
      </x:c>
      <x:c r="F97" s="17" t="n">
        <x:v>45924</x:v>
      </x:c>
      <x:c r="G97" s="17" t="str">
        <x:v>API access</x:v>
      </x:c>
      <x:c r="H97" s="17" t="n">
        <x:v>45905</x:v>
      </x:c>
      <x:c r="I97" s="17" t="n">
        <x:v>1.512e+25</x:v>
      </x:c>
      <x:c r="J97" s="17" t="str">
        <x:v>Speculative</x:v>
      </x:c>
      <x:c r="K97" s="17" t="str">
        <x:v>A 1-trillion total parameter scale model in the Qwen 3 series. </x:v>
      </x:c>
      <x:c r="L97" s="17" t="str">
        <x:v>Qwen3 Max</x:v>
      </x:c>
      <x:c r="M97" s="17"/>
      <x:c r="N97" s="17" t="str">
        <x:v>Qwen3-Max</x:v>
      </x:c>
      <x:c r="O97" s="17" t="str">
        <x:v>qwen3-max</x:v>
      </x:c>
      <x:c r="P97" s="17" t="n">
        <x:v>143.95</x:v>
      </x:c>
      <x:c r="Q97" s="17" t="n">
        <x:v>140.4</x:v>
      </x:c>
      <x:c r="R97" s="17" t="n">
        <x:v>155.83</x:v>
      </x:c>
      <x:c r="S97" s="17"/>
      <x:c r="T97" s="17"/>
      <x:c r="U97" s="17"/>
      <x:c r="V97" s="17"/>
      <x:c r="W97" s="17"/>
      <x:c r="X97" s="17"/>
      <x:c r="Y97" s="17"/>
      <x:c r="Z97" s="17"/>
    </x:row>
    <x:row r="98">
      <x:c r="A98" s="17" t="str">
        <x:v>Kimi K2 Thinking</x:v>
      </x:c>
      <x:c r="B98" s="17" t="str">
        <x:v>kimi-k2-thinking-turbo</x:v>
      </x:c>
      <x:c r="C98" s="17" t="str">
        <x:v>Kimi K2 Thinking Turbo</x:v>
      </x:c>
      <x:c r="D98" s="17" t="str">
        <x:v>Moonshot</x:v>
      </x:c>
      <x:c r="E98" s="17" t="str">
        <x:v>China</x:v>
      </x:c>
      <x:c r="F98" s="17" t="n">
        <x:v>45967</x:v>
      </x:c>
      <x:c r="G98" s="17" t="str">
        <x:v>Open weights (restricted use)</x:v>
      </x:c>
      <x:c r="H98" s="17" t="n">
        <x:v>45967</x:v>
      </x:c>
      <x:c r="I98" s="17" t="n">
        <x:v>4.1999999999999997e+24</x:v>
      </x:c>
      <x:c r="J98" s="17" t="str">
        <x:v>Likely</x:v>
      </x:c>
      <x:c r="K98" s="17"/>
      <x:c r="L98" s="17"/>
      <x:c r="M98" s="17"/>
      <x:c r="N98" s="17" t="str">
        <x:v>Kimi K2 Thinking</x:v>
      </x:c>
      <x:c r="O98" s="17" t="str">
        <x:v>kimi-k2-thinking</x:v>
      </x:c>
      <x:c r="P98" s="17" t="n">
        <x:v>146.01</x:v>
      </x:c>
      <x:c r="Q98" s="17" t="n">
        <x:v>143.68</x:v>
      </x:c>
      <x:c r="R98" s="17" t="n">
        <x:v>147.44</x:v>
      </x:c>
      <x:c r="S98" s="17"/>
      <x:c r="T98" s="17"/>
      <x:c r="U98" s="17"/>
      <x:c r="V98" s="17"/>
      <x:c r="W98" s="17"/>
      <x:c r="X98" s="17"/>
      <x:c r="Y98" s="17"/>
      <x:c r="Z98" s="17"/>
    </x:row>
    <x:row r="99">
      <x:c r="A99" s="17" t="str">
        <x:v>Claude Sonnet 4.5</x:v>
      </x:c>
      <x:c r="B99" s="17" t="str">
        <x:v>claude-sonnet-4-5-20250929_59K</x:v>
      </x:c>
      <x:c r="C99" s="17" t="str">
        <x:v>Claude Sonnet 4.5 (59k thinking)</x:v>
      </x:c>
      <x:c r="D99" s="17" t="str">
        <x:v>Anthropic</x:v>
      </x:c>
      <x:c r="E99" s="17" t="str">
        <x:v>United States of America</x:v>
      </x:c>
      <x:c r="F99" s="17" t="n">
        <x:v>45929</x:v>
      </x:c>
      <x:c r="G99" s="17" t="str">
        <x:v>API access</x:v>
      </x:c>
      <x:c r="H99" s="17" t="n">
        <x:v>45929</x:v>
      </x:c>
      <x:c r="I99" s="17"/>
      <x:c r="J99" s="17" t="str">
        <x:v>Unknown</x:v>
      </x:c>
      <x:c r="K99" s="17"/>
      <x:c r="L99" s="17" t="str">
        <x:v>Claude Sonnet 4.5 (59k thinking)</x:v>
      </x:c>
      <x:c r="M99" s="17"/>
      <x:c r="N99" s="17" t="str">
        <x:v>Claude Sonnet 4.5</x:v>
      </x:c>
      <x:c r="O99" s="17" t="str">
        <x:v>claude-sonnet-4-5</x:v>
      </x:c>
      <x:c r="P99" s="17" t="n">
        <x:v>146.75</x:v>
      </x:c>
      <x:c r="Q99" s="17" t="n">
        <x:v>144.71</x:v>
      </x:c>
      <x:c r="R99" s="17" t="n">
        <x:v>148.07</x:v>
      </x:c>
      <x:c r="S99" s="17"/>
      <x:c r="T99" s="17"/>
      <x:c r="U99" s="17"/>
      <x:c r="V99" s="17"/>
      <x:c r="W99" s="17"/>
      <x:c r="X99" s="17"/>
      <x:c r="Y99" s="17"/>
      <x:c r="Z99" s="17"/>
    </x:row>
    <x:row r="100">
      <x:c r="A100" s="17" t="str">
        <x:v>Claude Opus 4.1</x:v>
      </x:c>
      <x:c r="B100" s="17" t="str">
        <x:v>claude-opus-4-1-20250805_27K</x:v>
      </x:c>
      <x:c r="C100" s="17"/>
      <x:c r="D100" s="17" t="str">
        <x:v>Anthropic</x:v>
      </x:c>
      <x:c r="E100" s="17" t="str">
        <x:v>United States of America</x:v>
      </x:c>
      <x:c r="F100" s="17" t="n">
        <x:v>45874</x:v>
      </x:c>
      <x:c r="G100" s="17" t="str">
        <x:v>API access</x:v>
      </x:c>
      <x:c r="H100" s="17" t="n">
        <x:v>45874</x:v>
      </x:c>
      <x:c r="I100" s="17"/>
      <x:c r="J100" s="17" t="str">
        <x:v>Unknown</x:v>
      </x:c>
      <x:c r="K100" s="17" t="str">
        <x:v>Anthropic’s largest flagship model, benchmarked with up to 27,000 reasoning tokens.</x:v>
      </x:c>
      <x:c r="L100" s="17" t="str">
        <x:v>Claude Opus 4.1 (27k thinking)</x:v>
      </x:c>
      <x:c r="M100" s="17"/>
      <x:c r="N100" s="17" t="str">
        <x:v>Claude Opus 4.1</x:v>
      </x:c>
      <x:c r="O100" s="17" t="str">
        <x:v>claude-opus-4-1</x:v>
      </x:c>
      <x:c r="P100" s="17" t="n">
        <x:v>144.21</x:v>
      </x:c>
      <x:c r="Q100" s="17" t="n">
        <x:v>141.74</x:v>
      </x:c>
      <x:c r="R100" s="17" t="n">
        <x:v>146.36</x:v>
      </x:c>
      <x:c r="S100" s="17"/>
      <x:c r="T100" s="17"/>
      <x:c r="U100" s="17"/>
      <x:c r="V100" s="17"/>
      <x:c r="W100" s="17"/>
      <x:c r="X100" s="17"/>
      <x:c r="Y100" s="17"/>
      <x:c r="Z100" s="17"/>
    </x:row>
    <x:row r="101">
      <x:c r="A101" s="17" t="str">
        <x:v>Claude Haiku 4.5</x:v>
      </x:c>
      <x:c r="B101" s="17" t="str">
        <x:v>claude-haiku-4-5-20251001_32K</x:v>
      </x:c>
      <x:c r="C101" s="17"/>
      <x:c r="D101" s="17" t="str">
        <x:v>Anthropic</x:v>
      </x:c>
      <x:c r="E101" s="17" t="str">
        <x:v>United States of America</x:v>
      </x:c>
      <x:c r="F101" s="17" t="n">
        <x:v>45945</x:v>
      </x:c>
      <x:c r="G101" s="17" t="str">
        <x:v>API access</x:v>
      </x:c>
      <x:c r="H101" s="17" t="n">
        <x:v>45945</x:v>
      </x:c>
      <x:c r="I101" s="17"/>
      <x:c r="J101" s="17" t="str">
        <x:v>Unknown</x:v>
      </x:c>
      <x:c r="K101" s="17"/>
      <x:c r="L101" s="17" t="str">
        <x:v>Claude Haiku 4.5 (32k thinking)</x:v>
      </x:c>
      <x:c r="M101" s="17"/>
      <x:c r="N101" s="17" t="str">
        <x:v>Claude Haiku 4.5</x:v>
      </x:c>
      <x:c r="O101" s="17" t="str">
        <x:v>claude-haiku-4-5</x:v>
      </x:c>
      <x:c r="P101" s="17" t="n">
        <x:v>142.86</x:v>
      </x:c>
      <x:c r="Q101" s="17" t="n">
        <x:v>139.6</x:v>
      </x:c>
      <x:c r="R101" s="17" t="n">
        <x:v>144.62</x:v>
      </x:c>
      <x:c r="S101" s="17"/>
      <x:c r="T101" s="17"/>
      <x:c r="U101" s="17"/>
      <x:c r="V101" s="17"/>
      <x:c r="W101" s="17"/>
      <x:c r="X101" s="17"/>
      <x:c r="Y101" s="17"/>
      <x:c r="Z101" s="17"/>
    </x:row>
    <x:row r="102">
      <x:c r="A102" s="17" t="str">
        <x:v>o3</x:v>
      </x:c>
      <x:c r="B102" s="17" t="str">
        <x:v>o3-2025-04-16_high</x:v>
      </x:c>
      <x:c r="C102" s="17" t="str">
        <x:v>o3 (high)</x:v>
      </x:c>
      <x:c r="D102" s="17" t="str">
        <x:v>OpenAI</x:v>
      </x:c>
      <x:c r="E102" s="17" t="str">
        <x:v>United States of America</x:v>
      </x:c>
      <x:c r="F102" s="17" t="n">
        <x:v>45763</x:v>
      </x:c>
      <x:c r="G102" s="17" t="str">
        <x:v>API access</x:v>
      </x:c>
      <x:c r="H102" s="17" t="n">
        <x:v>45646</x:v>
      </x:c>
      <x:c r="I102" s="17"/>
      <x:c r="J102" s="17" t="str">
        <x:v>Unknown</x:v>
      </x:c>
      <x:c r="K102" s="17" t="str">
        <x:v>OpenAI's second generation o-series reasoning model, evaluated with high reasoning effort.</x:v>
      </x:c>
      <x:c r="L102" s="17"/>
      <x:c r="M102" s="17"/>
      <x:c r="N102" s="17" t="str">
        <x:v>o3</x:v>
      </x:c>
      <x:c r="O102" s="17" t="str">
        <x:v>o3</x:v>
      </x:c>
      <x:c r="P102" s="17" t="n">
        <x:v>147.05</x:v>
      </x:c>
      <x:c r="Q102" s="17" t="n">
        <x:v>145.11</x:v>
      </x:c>
      <x:c r="R102" s="17" t="n">
        <x:v>148.38</x:v>
      </x:c>
      <x:c r="S102" s="17"/>
      <x:c r="T102" s="17"/>
      <x:c r="U102" s="17"/>
      <x:c r="V102" s="17"/>
      <x:c r="W102" s="17"/>
      <x:c r="X102" s="17"/>
      <x:c r="Y102" s="17"/>
      <x:c r="Z102" s="17"/>
    </x:row>
    <x:row r="103">
      <x:c r="A103" s="17" t="str">
        <x:v>Grok-3 mini</x:v>
      </x:c>
      <x:c r="B103" s="17" t="str">
        <x:v>grok-3-mini-beta_high</x:v>
      </x:c>
      <x:c r="C103" s="17"/>
      <x:c r="D103" s="17" t="str">
        <x:v>xAI</x:v>
      </x:c>
      <x:c r="E103" s="17" t="str">
        <x:v>United States of America</x:v>
      </x:c>
      <x:c r="F103" s="17" t="n">
        <x:v>45756</x:v>
      </x:c>
      <x:c r="G103" s="17" t="str">
        <x:v>API access</x:v>
      </x:c>
      <x:c r="H103" s="17" t="n">
        <x:v>45707</x:v>
      </x:c>
      <x:c r="I103" s="17"/>
      <x:c r="J103" s="17" t="str">
        <x:v>Unknown</x:v>
      </x:c>
      <x:c r="K103" s="17" t="str">
        <x:v>A beta release of a smaller version of XAI's third generation Grok model, evaluated with high reasoning effort.</x:v>
      </x:c>
      <x:c r="L103" s="17"/>
      <x:c r="M103" s="17"/>
      <x:c r="N103" s="17" t="str">
        <x:v>Grok-3 mini</x:v>
      </x:c>
      <x:c r="O103" s="17" t="str">
        <x:v>grok-3-mini</x:v>
      </x:c>
      <x:c r="P103" s="17" t="n">
        <x:v>141.01</x:v>
      </x:c>
      <x:c r="Q103" s="17" t="n">
        <x:v>137.89</x:v>
      </x:c>
      <x:c r="R103" s="17" t="n">
        <x:v>142.63</x:v>
      </x:c>
      <x:c r="S103" s="17"/>
      <x:c r="T103" s="17"/>
      <x:c r="U103" s="17"/>
      <x:c r="V103" s="17"/>
      <x:c r="W103" s="17"/>
      <x:c r="X103" s="17"/>
      <x:c r="Y103" s="17"/>
      <x:c r="Z103" s="17"/>
    </x:row>
    <x:row r="104">
      <x:c r="A104" s="17" t="str">
        <x:v>Kimi K2 Thinking</x:v>
      </x:c>
      <x:c r="B104" s="17" t="str">
        <x:v>moonshotai/Kimi-K2-Thinking</x:v>
      </x:c>
      <x:c r="C104" s="17" t="str">
        <x:v>Kimi K2 Thinking (Together)</x:v>
      </x:c>
      <x:c r="D104" s="17" t="str">
        <x:v>Moonshot</x:v>
      </x:c>
      <x:c r="E104" s="17" t="str">
        <x:v>China</x:v>
      </x:c>
      <x:c r="F104" s="17" t="n">
        <x:v>45967</x:v>
      </x:c>
      <x:c r="G104" s="17" t="str">
        <x:v>Open weights (restricted use)</x:v>
      </x:c>
      <x:c r="H104" s="17" t="n">
        <x:v>45967</x:v>
      </x:c>
      <x:c r="I104" s="17" t="n">
        <x:v>4.1999999999999997e+24</x:v>
      </x:c>
      <x:c r="J104" s="17" t="str">
        <x:v>Likely</x:v>
      </x:c>
      <x:c r="K104" s="17"/>
      <x:c r="L104" s="17"/>
      <x:c r="M104" s="17"/>
      <x:c r="N104" s="17" t="str">
        <x:v>Kimi K2 Thinking</x:v>
      </x:c>
      <x:c r="O104" s="17" t="str">
        <x:v>kimi-k2-thinking</x:v>
      </x:c>
      <x:c r="P104" s="17" t="n">
        <x:v>146.01</x:v>
      </x:c>
      <x:c r="Q104" s="17" t="n">
        <x:v>143.68</x:v>
      </x:c>
      <x:c r="R104" s="17" t="n">
        <x:v>147.44</x:v>
      </x:c>
      <x:c r="S104" s="17"/>
      <x:c r="T104" s="17"/>
      <x:c r="U104" s="17"/>
      <x:c r="V104" s="17"/>
      <x:c r="W104" s="17"/>
      <x:c r="X104" s="17"/>
      <x:c r="Y104" s="17"/>
      <x:c r="Z104" s="17"/>
    </x:row>
    <x:row r="105">
      <x:c r="A105" s="17" t="str">
        <x:v>GLM-4.6</x:v>
      </x:c>
      <x:c r="B105" s="17" t="str">
        <x:v>zai-org/GLM-4.6</x:v>
      </x:c>
      <x:c r="C105" s="17" t="str">
        <x:v>GLM-4.6 (Together)</x:v>
      </x:c>
      <x:c r="D105" s="17" t="str">
        <x:v>Z.ai (Zhipu AI),Tsinghua University</x:v>
      </x:c>
      <x:c r="E105" s="17" t="str">
        <x:v>China</x:v>
      </x:c>
      <x:c r="F105" s="17" t="n">
        <x:v>45930</x:v>
      </x:c>
      <x:c r="G105" s="17" t="str">
        <x:v>Open weights (unrestricted)</x:v>
      </x:c>
      <x:c r="H105" s="17" t="n">
        <x:v>45930</x:v>
      </x:c>
      <x:c r="I105" s="17" t="n">
        <x:v>4.42e+24</x:v>
      </x:c>
      <x:c r="J105" s="17" t="str">
        <x:v>Likely</x:v>
      </x:c>
      <x:c r="K105" s="17"/>
      <x:c r="L105" s="17"/>
      <x:c r="M105" s="17"/>
      <x:c r="N105" s="17" t="str">
        <x:v>GLM-4.6</x:v>
      </x:c>
      <x:c r="O105" s="17" t="str">
        <x:v>glm-4-6</x:v>
      </x:c>
      <x:c r="P105" s="17" t="n">
        <x:v>140.95</x:v>
      </x:c>
      <x:c r="Q105" s="17" t="n">
        <x:v>136.28</x:v>
      </x:c>
      <x:c r="R105" s="17" t="n">
        <x:v>142.51</x:v>
      </x:c>
      <x:c r="S105" s="17"/>
      <x:c r="T105" s="17"/>
      <x:c r="U105" s="17"/>
      <x:c r="V105" s="17"/>
      <x:c r="W105" s="17"/>
      <x:c r="X105" s="17"/>
      <x:c r="Y105" s="17"/>
      <x:c r="Z105" s="17"/>
    </x:row>
    <x:row r="106">
      <x:c r="A106" s="17" t="str">
        <x:v>DeepSeek-R1 (May 2025)</x:v>
      </x:c>
      <x:c r="B106" s="17" t="str">
        <x:v>DeepSeek-R1-0528</x:v>
      </x:c>
      <x:c r="C106" s="17" t="str">
        <x:v>DeepSeek-R1 (May 2025)</x:v>
      </x:c>
      <x:c r="D106" s="17" t="str">
        <x:v>DeepSeek</x:v>
      </x:c>
      <x:c r="E106" s="17" t="str">
        <x:v>China</x:v>
      </x:c>
      <x:c r="F106" s="17" t="n">
        <x:v>45805</x:v>
      </x:c>
      <x:c r="G106" s="17" t="str">
        <x:v>Open weights (unrestricted)</x:v>
      </x:c>
      <x:c r="H106" s="17" t="n">
        <x:v>45805</x:v>
      </x:c>
      <x:c r="I106" s="17" t="n">
        <x:v>4.020010000000001e+24</x:v>
      </x:c>
      <x:c r="J106" s="17" t="str">
        <x:v>Confident</x:v>
      </x:c>
      <x:c r="K106" s="17" t="str">
        <x:v>An updated May 2025 version of DeepSeek's reasoning model, R1.</x:v>
      </x:c>
      <x:c r="L106" s="17" t="str">
        <x:v>DeepSeek-R1 (May 2025)</x:v>
      </x:c>
      <x:c r="M106" s="17"/>
      <x:c r="N106" s="17" t="str">
        <x:v>DeepSeek-R1 (May 2025)</x:v>
      </x:c>
      <x:c r="O106" s="17" t="str">
        <x:v>deepseek-r1-may-2025</x:v>
      </x:c>
      <x:c r="P106" s="17" t="n">
        <x:v>142</x:v>
      </x:c>
      <x:c r="Q106" s="17" t="n">
        <x:v>139.66</x:v>
      </x:c>
      <x:c r="R106" s="17" t="n">
        <x:v>143.43</x:v>
      </x:c>
      <x:c r="S106" s="17"/>
      <x:c r="T106" s="17"/>
      <x:c r="U106" s="17"/>
      <x:c r="V106" s="17"/>
      <x:c r="W106" s="17"/>
      <x:c r="X106" s="17"/>
      <x:c r="Y106" s="17"/>
      <x:c r="Z106" s="17"/>
    </x:row>
    <x:row r="107">
      <x:c r="A107" s="17" t="str">
        <x:v>Claude 3.5 Haiku</x:v>
      </x:c>
      <x:c r="B107" s="17" t="str">
        <x:v>claude-3-5-haiku-20241022</x:v>
      </x:c>
      <x:c r="C107" s="17" t="str">
        <x:v>Claude 3.5 Haiku (Oct 2024)</x:v>
      </x:c>
      <x:c r="D107" s="17" t="str">
        <x:v>Anthropic</x:v>
      </x:c>
      <x:c r="E107" s="17" t="str">
        <x:v>United States of America</x:v>
      </x:c>
      <x:c r="F107" s="17" t="n">
        <x:v>45587</x:v>
      </x:c>
      <x:c r="G107" s="17" t="str">
        <x:v>API access</x:v>
      </x:c>
      <x:c r="H107" s="17" t="n">
        <x:v>45587</x:v>
      </x:c>
      <x:c r="I107" s="17"/>
      <x:c r="J107" s="17" t="str">
        <x:v>Unknown</x:v>
      </x:c>
      <x:c r="K107" s="17" t="str">
        <x:v>The smallest model in Anthropic’s Claude 3.5 Series. </x:v>
      </x:c>
      <x:c r="L107" s="17" t="str">
        <x:v>Claude 3.5 Haiku (Oct 2024)</x:v>
      </x:c>
      <x:c r="M107" s="17"/>
      <x:c r="N107" s="17" t="str">
        <x:v>Claude 3.5 Haiku</x:v>
      </x:c>
      <x:c r="O107" s="17" t="str">
        <x:v>claude-3-5-haiku</x:v>
      </x:c>
      <x:c r="P107" s="17" t="n">
        <x:v>127.5</x:v>
      </x:c>
      <x:c r="Q107" s="17" t="n">
        <x:v>119.27</x:v>
      </x:c>
      <x:c r="R107" s="17" t="n">
        <x:v>130.1</x:v>
      </x:c>
      <x:c r="S107" s="17"/>
      <x:c r="T107" s="17"/>
      <x:c r="U107" s="17"/>
      <x:c r="V107" s="17"/>
      <x:c r="W107" s="17"/>
      <x:c r="X107" s="17"/>
      <x:c r="Y107" s="17"/>
      <x:c r="Z107" s="17"/>
    </x:row>
    <x:row r="108">
      <x:c r="A108" s="17" t="str">
        <x:v>GPT-5.1</x:v>
      </x:c>
      <x:c r="B108" s="17" t="str">
        <x:v>gpt-5.1-2025-11-13_none</x:v>
      </x:c>
      <x:c r="C108" s="17" t="str">
        <x:v>GPT-5.1 (no thinking)</x:v>
      </x:c>
      <x:c r="D108" s="17" t="str">
        <x:v>OpenAI</x:v>
      </x:c>
      <x:c r="E108" s="17" t="str">
        <x:v>United States of America</x:v>
      </x:c>
      <x:c r="F108" s="17" t="n">
        <x:v>45974</x:v>
      </x:c>
      <x:c r="G108" s="17" t="str">
        <x:v>API access</x:v>
      </x:c>
      <x:c r="H108" s="17" t="n">
        <x:v>45974</x:v>
      </x:c>
      <x:c r="I108" s="17"/>
      <x:c r="J108" s="17" t="str">
        <x:v>Unknown</x:v>
      </x:c>
      <x:c r="K108" s="17"/>
      <x:c r="L108" s="17" t="str">
        <x:v>GPT-5.1 (no thinking)</x:v>
      </x:c>
      <x:c r="M108" s="17"/>
      <x:c r="N108" s="17" t="str">
        <x:v>GPT-5.1</x:v>
      </x:c>
      <x:c r="O108" s="17" t="str">
        <x:v>gpt-5-1</x:v>
      </x:c>
      <x:c r="P108" s="17" t="n">
        <x:v>149.72</x:v>
      </x:c>
      <x:c r="Q108" s="17" t="n">
        <x:v>148.31</x:v>
      </x:c>
      <x:c r="R108" s="17" t="n">
        <x:v>151.01</x:v>
      </x:c>
      <x:c r="S108" s="17"/>
      <x:c r="T108" s="17"/>
      <x:c r="U108" s="17"/>
      <x:c r="V108" s="17"/>
      <x:c r="W108" s="17"/>
      <x:c r="X108" s="17"/>
      <x:c r="Y108" s="17"/>
      <x:c r="Z108" s="17"/>
    </x:row>
    <x:row r="109">
      <x:c r="A109" s="17" t="str">
        <x:v>GPT-5.1</x:v>
      </x:c>
      <x:c r="B109" s="17" t="str">
        <x:v>gpt-5.1-2025-11-13_low</x:v>
      </x:c>
      <x:c r="C109" s="17" t="str">
        <x:v>GPT-5.1 (low)</x:v>
      </x:c>
      <x:c r="D109" s="17" t="str">
        <x:v>OpenAI</x:v>
      </x:c>
      <x:c r="E109" s="17" t="str">
        <x:v>United States of America</x:v>
      </x:c>
      <x:c r="F109" s="17" t="n">
        <x:v>45974</x:v>
      </x:c>
      <x:c r="G109" s="17" t="str">
        <x:v>API access</x:v>
      </x:c>
      <x:c r="H109" s="17" t="n">
        <x:v>45974</x:v>
      </x:c>
      <x:c r="I109" s="17"/>
      <x:c r="J109" s="17" t="str">
        <x:v>Unknown</x:v>
      </x:c>
      <x:c r="K109" s="17"/>
      <x:c r="L109" s="17" t="str">
        <x:v>GPT-5.1 (low)</x:v>
      </x:c>
      <x:c r="M109" s="17"/>
      <x:c r="N109" s="17" t="str">
        <x:v>GPT-5.1</x:v>
      </x:c>
      <x:c r="O109" s="17" t="str">
        <x:v>gpt-5-1</x:v>
      </x:c>
      <x:c r="P109" s="17" t="n">
        <x:v>149.72</x:v>
      </x:c>
      <x:c r="Q109" s="17" t="n">
        <x:v>148.31</x:v>
      </x:c>
      <x:c r="R109" s="17" t="n">
        <x:v>151.01</x:v>
      </x:c>
      <x:c r="S109" s="17"/>
      <x:c r="T109" s="17"/>
      <x:c r="U109" s="17"/>
      <x:c r="V109" s="17"/>
      <x:c r="W109" s="17"/>
      <x:c r="X109" s="17"/>
      <x:c r="Y109" s="17"/>
      <x:c r="Z109" s="17"/>
    </x:row>
    <x:row r="110">
      <x:c r="A110" s="17" t="str">
        <x:v>Claude Opus 4.5</x:v>
      </x:c>
      <x:c r="B110" s="17" t="str">
        <x:v>claude-opus-4-5-20251101_16K</x:v>
      </x:c>
      <x:c r="C110" s="17" t="str">
        <x:v>Claude Opus 4.5 (16k thinking)</x:v>
      </x:c>
      <x:c r="D110" s="17" t="str">
        <x:v>Anthropic</x:v>
      </x:c>
      <x:c r="E110" s="17" t="str">
        <x:v>United States of America</x:v>
      </x:c>
      <x:c r="F110" s="17" t="n">
        <x:v>45985</x:v>
      </x:c>
      <x:c r="G110" s="17" t="str">
        <x:v>API access</x:v>
      </x:c>
      <x:c r="H110" s="17" t="n">
        <x:v>45985</x:v>
      </x:c>
      <x:c r="I110" s="17"/>
      <x:c r="J110" s="17" t="str">
        <x:v>Unknown</x:v>
      </x:c>
      <x:c r="K110" s="17"/>
      <x:c r="L110" s="17" t="str">
        <x:v>Claude Opus 4.5 (16k thinking)</x:v>
      </x:c>
      <x:c r="M110" s="17"/>
      <x:c r="N110" s="17" t="str">
        <x:v>Claude Opus 4.5</x:v>
      </x:c>
      <x:c r="O110" s="17" t="str">
        <x:v>claude-opus-4-5</x:v>
      </x:c>
      <x:c r="P110" s="17" t="n">
        <x:v>149.53</x:v>
      </x:c>
      <x:c r="Q110" s="17" t="n">
        <x:v>147.66</x:v>
      </x:c>
      <x:c r="R110" s="17" t="n">
        <x:v>151.99</x:v>
      </x:c>
      <x:c r="S110" s="17"/>
      <x:c r="T110" s="17"/>
      <x:c r="U110" s="17"/>
      <x:c r="V110" s="17"/>
      <x:c r="W110" s="17"/>
      <x:c r="X110" s="17"/>
      <x:c r="Y110" s="17"/>
      <x:c r="Z110" s="17"/>
    </x:row>
    <x:row r="111">
      <x:c r="A111" s="17" t="str">
        <x:v>GPT-5.1</x:v>
      </x:c>
      <x:c r="B111" s="17" t="str">
        <x:v>gpt-5.1-2025-11-13_medium</x:v>
      </x:c>
      <x:c r="C111" s="17" t="str">
        <x:v>GPT-5.1 (medium)</x:v>
      </x:c>
      <x:c r="D111" s="17" t="str">
        <x:v>OpenAI</x:v>
      </x:c>
      <x:c r="E111" s="17" t="str">
        <x:v>United States of America</x:v>
      </x:c>
      <x:c r="F111" s="17" t="n">
        <x:v>45974</x:v>
      </x:c>
      <x:c r="G111" s="17" t="str">
        <x:v>API access</x:v>
      </x:c>
      <x:c r="H111" s="17" t="n">
        <x:v>45974</x:v>
      </x:c>
      <x:c r="I111" s="17"/>
      <x:c r="J111" s="17" t="str">
        <x:v>Unknown</x:v>
      </x:c>
      <x:c r="K111" s="17"/>
      <x:c r="L111" s="17" t="str">
        <x:v>GPT-5.1 (medium)</x:v>
      </x:c>
      <x:c r="M111" s="17"/>
      <x:c r="N111" s="17" t="str">
        <x:v>GPT-5.1</x:v>
      </x:c>
      <x:c r="O111" s="17" t="str">
        <x:v>gpt-5-1</x:v>
      </x:c>
      <x:c r="P111" s="17" t="n">
        <x:v>149.72</x:v>
      </x:c>
      <x:c r="Q111" s="17" t="n">
        <x:v>148.31</x:v>
      </x:c>
      <x:c r="R111" s="17" t="n">
        <x:v>151.01</x:v>
      </x:c>
      <x:c r="S111" s="17"/>
      <x:c r="T111" s="17"/>
      <x:c r="U111" s="17"/>
      <x:c r="V111" s="17"/>
      <x:c r="W111" s="17"/>
      <x:c r="X111" s="17"/>
      <x:c r="Y111" s="17"/>
      <x:c r="Z111" s="17"/>
    </x:row>
    <x:row r="112">
      <x:c r="A112" s="17" t="str">
        <x:v>o3</x:v>
      </x:c>
      <x:c r="B112" s="17" t="str">
        <x:v>o3-2025-04-16_low</x:v>
      </x:c>
      <x:c r="C112" s="17" t="str">
        <x:v>o3 (low)</x:v>
      </x:c>
      <x:c r="D112" s="17" t="str">
        <x:v>OpenAI</x:v>
      </x:c>
      <x:c r="E112" s="17" t="str">
        <x:v>United States of America</x:v>
      </x:c>
      <x:c r="F112" s="17" t="n">
        <x:v>45763</x:v>
      </x:c>
      <x:c r="G112" s="17" t="str">
        <x:v>API access</x:v>
      </x:c>
      <x:c r="H112" s="17" t="n">
        <x:v>45646</x:v>
      </x:c>
      <x:c r="I112" s="17"/>
      <x:c r="J112" s="17" t="str">
        <x:v>Unknown</x:v>
      </x:c>
      <x:c r="K112" s="17" t="str">
        <x:v>OpenAI's latest full-size o-series reasoning model release, evaluated on low reasoning effort.</x:v>
      </x:c>
      <x:c r="L112" s="17"/>
      <x:c r="M112" s="17"/>
      <x:c r="N112" s="17" t="str">
        <x:v>o3</x:v>
      </x:c>
      <x:c r="O112" s="17" t="str">
        <x:v>o3</x:v>
      </x:c>
      <x:c r="P112" s="17" t="n">
        <x:v>147.05</x:v>
      </x:c>
      <x:c r="Q112" s="17" t="n">
        <x:v>145.11</x:v>
      </x:c>
      <x:c r="R112" s="17" t="n">
        <x:v>148.38</x:v>
      </x:c>
      <x:c r="S112" s="17"/>
      <x:c r="T112" s="17"/>
      <x:c r="U112" s="17"/>
      <x:c r="V112" s="17"/>
      <x:c r="W112" s="17"/>
      <x:c r="X112" s="17"/>
      <x:c r="Y112" s="17"/>
      <x:c r="Z112" s="17"/>
    </x:row>
    <x:row r="113">
      <x:c r="A113" s="17" t="str">
        <x:v>o4-mini</x:v>
      </x:c>
      <x:c r="B113" s="17" t="str">
        <x:v>o4-mini-2025-04-16_low</x:v>
      </x:c>
      <x:c r="C113" s="17" t="str">
        <x:v>o4-mini (low)</x:v>
      </x:c>
      <x:c r="D113" s="17" t="str">
        <x:v>OpenAI</x:v>
      </x:c>
      <x:c r="E113" s="17" t="str">
        <x:v>United States of America</x:v>
      </x:c>
      <x:c r="F113" s="17" t="n">
        <x:v>45763</x:v>
      </x:c>
      <x:c r="G113" s="17" t="str">
        <x:v>API access</x:v>
      </x:c>
      <x:c r="H113" s="17" t="n">
        <x:v>45763</x:v>
      </x:c>
      <x:c r="I113" s="17"/>
      <x:c r="J113" s="17" t="str">
        <x:v>Unknown</x:v>
      </x:c>
      <x:c r="K113" s="17" t="str">
        <x:v>The latest smaller size o-series reasoning model from OpenAI, evaluated with low reasoning effort.</x:v>
      </x:c>
      <x:c r="L113" s="17"/>
      <x:c r="M113" s="17"/>
      <x:c r="N113" s="17" t="str">
        <x:v>o4-mini</x:v>
      </x:c>
      <x:c r="O113" s="17" t="str">
        <x:v>o4-mini</x:v>
      </x:c>
      <x:c r="P113" s="17" t="n">
        <x:v>146.54</x:v>
      </x:c>
      <x:c r="Q113" s="17" t="n">
        <x:v>144.05</x:v>
      </x:c>
      <x:c r="R113" s="17" t="n">
        <x:v>147.85</x:v>
      </x:c>
      <x:c r="S113" s="17"/>
      <x:c r="T113" s="17"/>
      <x:c r="U113" s="17"/>
      <x:c r="V113" s="17"/>
      <x:c r="W113" s="17"/>
      <x:c r="X113" s="17"/>
      <x:c r="Y113" s="17"/>
      <x:c r="Z113" s="17"/>
    </x:row>
    <x:row r="114">
      <x:c r="A114" s="17" t="str">
        <x:v>o4-mini</x:v>
      </x:c>
      <x:c r="B114" s="17" t="str">
        <x:v>o4-mini-2025-04-16_medium</x:v>
      </x:c>
      <x:c r="C114" s="17" t="str">
        <x:v>o4-mini (medium)</x:v>
      </x:c>
      <x:c r="D114" s="17" t="str">
        <x:v>OpenAI</x:v>
      </x:c>
      <x:c r="E114" s="17" t="str">
        <x:v>United States of America</x:v>
      </x:c>
      <x:c r="F114" s="17" t="n">
        <x:v>45763</x:v>
      </x:c>
      <x:c r="G114" s="17" t="str">
        <x:v>API access</x:v>
      </x:c>
      <x:c r="H114" s="17" t="n">
        <x:v>45763</x:v>
      </x:c>
      <x:c r="I114" s="17"/>
      <x:c r="J114" s="17" t="str">
        <x:v>Unknown</x:v>
      </x:c>
      <x:c r="K114" s="17" t="str">
        <x:v>The latest smaller size o-series reasoning model from OpenAI, evaluated with medium reasoning effort.</x:v>
      </x:c>
      <x:c r="L114" s="17"/>
      <x:c r="M114" s="17"/>
      <x:c r="N114" s="17" t="str">
        <x:v>o4-mini</x:v>
      </x:c>
      <x:c r="O114" s="17" t="str">
        <x:v>o4-mini</x:v>
      </x:c>
      <x:c r="P114" s="17" t="n">
        <x:v>146.54</x:v>
      </x:c>
      <x:c r="Q114" s="17" t="n">
        <x:v>144.05</x:v>
      </x:c>
      <x:c r="R114" s="17" t="n">
        <x:v>147.85</x:v>
      </x:c>
      <x:c r="S114" s="17"/>
      <x:c r="T114" s="17"/>
      <x:c r="U114" s="17"/>
      <x:c r="V114" s="17"/>
      <x:c r="W114" s="17"/>
      <x:c r="X114" s="17"/>
      <x:c r="Y114" s="17"/>
      <x:c r="Z114" s="17"/>
    </x:row>
    <x:row r="115">
      <x:c r="A115" s="17" t="str">
        <x:v>Claude Sonnet 4.5</x:v>
      </x:c>
      <x:c r="B115" s="17" t="str">
        <x:v>claude-sonnet-4-5-20250929_16K</x:v>
      </x:c>
      <x:c r="C115" s="17" t="str">
        <x:v>Claude Sonnet 4.5 (16k thinking)</x:v>
      </x:c>
      <x:c r="D115" s="17" t="str">
        <x:v>Anthropic</x:v>
      </x:c>
      <x:c r="E115" s="17" t="str">
        <x:v>United States of America</x:v>
      </x:c>
      <x:c r="F115" s="17" t="n">
        <x:v>45929</x:v>
      </x:c>
      <x:c r="G115" s="17" t="str">
        <x:v>API access</x:v>
      </x:c>
      <x:c r="H115" s="17" t="n">
        <x:v>45929</x:v>
      </x:c>
      <x:c r="I115" s="17"/>
      <x:c r="J115" s="17" t="str">
        <x:v>Unknown</x:v>
      </x:c>
      <x:c r="K115" s="17" t="str">
        <x:v>Anthropic's latest mid-size model, part of the Claude 4.5 series, evaluated with up to 16,000 reasoning tokens.</x:v>
      </x:c>
      <x:c r="L115" s="17" t="str">
        <x:v>Claude Sonnet 4.5 (16k thinking)</x:v>
      </x:c>
      <x:c r="M115" s="17"/>
      <x:c r="N115" s="17" t="str">
        <x:v>Claude Sonnet 4.5</x:v>
      </x:c>
      <x:c r="O115" s="17" t="str">
        <x:v>claude-sonnet-4-5</x:v>
      </x:c>
      <x:c r="P115" s="17" t="n">
        <x:v>146.75</x:v>
      </x:c>
      <x:c r="Q115" s="17" t="n">
        <x:v>144.71</x:v>
      </x:c>
      <x:c r="R115" s="17" t="n">
        <x:v>148.07</x:v>
      </x:c>
      <x:c r="S115" s="17"/>
      <x:c r="T115" s="17"/>
      <x:c r="U115" s="17"/>
      <x:c r="V115" s="17"/>
      <x:c r="W115" s="17"/>
      <x:c r="X115" s="17"/>
      <x:c r="Y115" s="17"/>
      <x:c r="Z115" s="17"/>
    </x:row>
    <x:row r="116">
      <x:c r="A116" s="17" t="str">
        <x:v>GPT-4 (Jun 2023)</x:v>
      </x:c>
      <x:c r="B116" s="17" t="str">
        <x:v>gpt-4-0613</x:v>
      </x:c>
      <x:c r="C116" s="17" t="str">
        <x:v>GPT-4 (Jun 2023)</x:v>
      </x:c>
      <x:c r="D116" s="17" t="str">
        <x:v>OpenAI</x:v>
      </x:c>
      <x:c r="E116" s="17" t="str">
        <x:v>United States of America</x:v>
      </x:c>
      <x:c r="F116" s="17" t="n">
        <x:v>45090</x:v>
      </x:c>
      <x:c r="G116" s="17" t="str">
        <x:v>API access</x:v>
      </x:c>
      <x:c r="H116" s="17" t="n">
        <x:v>45090</x:v>
      </x:c>
      <x:c r="I116" s="17" t="n">
        <x:v>2.1e+25</x:v>
      </x:c>
      <x:c r="J116" s="17" t="str">
        <x:v>Likely</x:v>
      </x:c>
      <x:c r="K116" s="17" t="str">
        <x:v>The June 2023 version of GPT-4, OpenAI's 2023 multimodal flagship model.</x:v>
      </x:c>
      <x:c r="L116" s="17"/>
      <x:c r="M116" s="17"/>
      <x:c r="N116" s="17" t="str">
        <x:v>GPT-4 (Jun 2023)</x:v>
      </x:c>
      <x:c r="O116" s="17" t="str">
        <x:v>gpt-4-jun-2023</x:v>
      </x:c>
      <x:c r="P116" s="17" t="n">
        <x:v>121.91</x:v>
      </x:c>
      <x:c r="Q116" s="17" t="n">
        <x:v>114.46</x:v>
      </x:c>
      <x:c r="R116" s="17" t="n">
        <x:v>124.8</x:v>
      </x:c>
      <x:c r="S116" s="17"/>
      <x:c r="T116" s="17"/>
      <x:c r="U116" s="17"/>
      <x:c r="V116" s="17"/>
      <x:c r="W116" s="17"/>
      <x:c r="X116" s="17"/>
      <x:c r="Y116" s="17"/>
      <x:c r="Z116" s="17"/>
    </x:row>
    <x:row r="117">
      <x:c r="A117" s="17" t="str">
        <x:v>GPT-4 (Mar 2023)</x:v>
      </x:c>
      <x:c r="B117" s="17" t="str">
        <x:v>gpt-4-0314</x:v>
      </x:c>
      <x:c r="C117" s="17" t="str">
        <x:v>GPT-4 (Mar 2023)</x:v>
      </x:c>
      <x:c r="D117" s="17" t="str">
        <x:v>OpenAI</x:v>
      </x:c>
      <x:c r="E117" s="17" t="str">
        <x:v>United States of America</x:v>
      </x:c>
      <x:c r="F117" s="17" t="n">
        <x:v>44999</x:v>
      </x:c>
      <x:c r="G117" s="17" t="str">
        <x:v>API access</x:v>
      </x:c>
      <x:c r="H117" s="17" t="n">
        <x:v>45000</x:v>
      </x:c>
      <x:c r="I117" s="17" t="n">
        <x:v>2.1e+25</x:v>
      </x:c>
      <x:c r="J117" s="17" t="str">
        <x:v>Likely</x:v>
      </x:c>
      <x:c r="K117" s="17" t="str">
        <x:v>The March 2023 version of GPT-4, OpenAI's 2023 multimodal flagship model.</x:v>
      </x:c>
      <x:c r="L117" s="17"/>
      <x:c r="M117" s="17"/>
      <x:c r="N117" s="17" t="str">
        <x:v>GPT-4 (Mar 2023)</x:v>
      </x:c>
      <x:c r="O117" s="17" t="str">
        <x:v>gpt-4-mar-2023</x:v>
      </x:c>
      <x:c r="P117" s="17" t="n">
        <x:v>125.93</x:v>
      </x:c>
      <x:c r="Q117" s="17" t="n">
        <x:v>119.58</x:v>
      </x:c>
      <x:c r="R117" s="17" t="n">
        <x:v>132.2</x:v>
      </x:c>
      <x:c r="S117" s="17"/>
      <x:c r="T117" s="17"/>
      <x:c r="U117" s="17"/>
      <x:c r="V117" s="17"/>
      <x:c r="W117" s="17"/>
      <x:c r="X117" s="17"/>
      <x:c r="Y117" s="17"/>
      <x:c r="Z117" s="17"/>
    </x:row>
    <x:row r="118">
      <x:c r="A118" s="17" t="str">
        <x:v>Claude Haiku 4.5</x:v>
      </x:c>
      <x:c r="B118" s="17" t="str">
        <x:v>claude-haiku-4-5-20251001</x:v>
      </x:c>
      <x:c r="C118" s="17"/>
      <x:c r="D118" s="17" t="str">
        <x:v>Anthropic</x:v>
      </x:c>
      <x:c r="E118" s="17" t="str">
        <x:v>United States of America</x:v>
      </x:c>
      <x:c r="F118" s="17" t="n">
        <x:v>45945</x:v>
      </x:c>
      <x:c r="G118" s="17" t="str">
        <x:v>API access</x:v>
      </x:c>
      <x:c r="H118" s="17" t="n">
        <x:v>45945</x:v>
      </x:c>
      <x:c r="I118" s="17"/>
      <x:c r="J118" s="17" t="str">
        <x:v>Unknown</x:v>
      </x:c>
      <x:c r="K118" s="17"/>
      <x:c r="L118" s="17"/>
      <x:c r="M118" s="17"/>
      <x:c r="N118" s="17" t="str">
        <x:v>Claude Haiku 4.5</x:v>
      </x:c>
      <x:c r="O118" s="17" t="str">
        <x:v>claude-haiku-4-5</x:v>
      </x:c>
      <x:c r="P118" s="17" t="n">
        <x:v>142.86</x:v>
      </x:c>
      <x:c r="Q118" s="17" t="n">
        <x:v>139.6</x:v>
      </x:c>
      <x:c r="R118" s="17" t="n">
        <x:v>144.62</x:v>
      </x:c>
      <x:c r="S118" s="17"/>
      <x:c r="T118" s="17"/>
      <x:c r="U118" s="17"/>
      <x:c r="V118" s="17"/>
      <x:c r="W118" s="17"/>
      <x:c r="X118" s="17"/>
      <x:c r="Y118" s="17"/>
      <x:c r="Z118" s="17"/>
    </x:row>
    <x:row r="119">
      <x:c r="A119" s="17" t="str">
        <x:v>Grok 4 Heavy</x:v>
      </x:c>
      <x:c r="B119" s="17" t="str">
        <x:v>grok-4-heavy-web-app</x:v>
      </x:c>
      <x:c r="C119" s="17" t="str">
        <x:v>Grok 4 Heavy (web app)</x:v>
      </x:c>
      <x:c r="D119" s="17" t="str">
        <x:v>xAI</x:v>
      </x:c>
      <x:c r="E119" s="17" t="str">
        <x:v>United States of America</x:v>
      </x:c>
      <x:c r="F119" s="17" t="n">
        <x:v>45848</x:v>
      </x:c>
      <x:c r="G119" s="17" t="str">
        <x:v>Unreleased</x:v>
      </x:c>
      <x:c r="H119" s="17" t="n">
        <x:v>45848</x:v>
      </x:c>
      <x:c r="I119" s="17"/>
      <x:c r="J119" s="17" t="str">
        <x:v>Unknown</x:v>
      </x:c>
      <x:c r="K119" s="17"/>
      <x:c r="L119" s="17"/>
      <x:c r="M119" s="17"/>
      <x:c r="N119" s="17" t="str">
        <x:v>Grok 4 Heavy</x:v>
      </x:c>
      <x:c r="O119" s="17" t="str">
        <x:v>grok-4-heavy</x:v>
      </x:c>
      <x:c r="P119" s="17"/>
      <x:c r="Q119" s="17"/>
      <x:c r="R119" s="17"/>
      <x:c r="S119" s="17"/>
      <x:c r="T119" s="17"/>
      <x:c r="U119" s="17"/>
      <x:c r="V119" s="17"/>
      <x:c r="W119" s="17"/>
      <x:c r="X119" s="17"/>
      <x:c r="Y119" s="17"/>
      <x:c r="Z119" s="17"/>
    </x:row>
    <x:row r="120">
      <x:c r="A120" s="17" t="str">
        <x:v>GLM-4.5</x:v>
      </x:c>
      <x:c r="B120" s="17" t="str">
        <x:v>glm-4.5</x:v>
      </x:c>
      <x:c r="C120" s="17"/>
      <x:c r="D120" s="17" t="str">
        <x:v>Z.ai (Zhipu AI),Tsinghua University</x:v>
      </x:c>
      <x:c r="E120" s="17" t="str">
        <x:v>China</x:v>
      </x:c>
      <x:c r="F120" s="17" t="n">
        <x:v>45872</x:v>
      </x:c>
      <x:c r="G120" s="17" t="str">
        <x:v>Open weights (unrestricted)</x:v>
      </x:c>
      <x:c r="H120" s="17" t="n">
        <x:v>45874</x:v>
      </x:c>
      <x:c r="I120" s="17" t="n">
        <x:v>4.42e+24</x:v>
      </x:c>
      <x:c r="J120" s="17" t="str">
        <x:v>Confident</x:v>
      </x:c>
      <x:c r="K120" s="17" t="str">
        <x:v>Zhipu AI &amp; Tsinghua University’s large open source model.</x:v>
      </x:c>
      <x:c r="L120" s="17"/>
      <x:c r="M120" s="17"/>
      <x:c r="N120" s="17" t="str">
        <x:v>GLM-4.5</x:v>
      </x:c>
      <x:c r="O120" s="17" t="str">
        <x:v>glm-4-5</x:v>
      </x:c>
      <x:c r="P120" s="17"/>
      <x:c r="Q120" s="17"/>
      <x:c r="R120" s="17"/>
      <x:c r="S120" s="17"/>
      <x:c r="T120" s="17"/>
      <x:c r="U120" s="17"/>
      <x:c r="V120" s="17"/>
      <x:c r="W120" s="17"/>
      <x:c r="X120" s="17"/>
      <x:c r="Y120" s="17"/>
      <x:c r="Z120" s="17"/>
    </x:row>
    <x:row r="121">
      <x:c r="A121" s="17" t="str">
        <x:v>GPT-5 nano</x:v>
      </x:c>
      <x:c r="B121" s="17" t="str">
        <x:v>gpt-5-nano-2025-08-07_medium</x:v>
      </x:c>
      <x:c r="C121" s="17" t="str">
        <x:v>GPT-5 nano (medium)</x:v>
      </x:c>
      <x:c r="D121" s="17" t="str">
        <x:v>OpenAI</x:v>
      </x:c>
      <x:c r="E121" s="17" t="str">
        <x:v>United States of America</x:v>
      </x:c>
      <x:c r="F121" s="17" t="n">
        <x:v>45876</x:v>
      </x:c>
      <x:c r="G121" s="17" t="str">
        <x:v>API access</x:v>
      </x:c>
      <x:c r="H121" s="17" t="n">
        <x:v>45876</x:v>
      </x:c>
      <x:c r="I121" s="17"/>
      <x:c r="J121" s="17" t="str">
        <x:v>Unknown</x:v>
      </x:c>
      <x:c r="K121" s="17" t="str">
        <x:v>The smallest version of OpenAI's latest flagship frontier model, benchmarked using medium reasoning effort.</x:v>
      </x:c>
      <x:c r="L121" s="17" t="str">
        <x:v>GPT-5 nano (medium)</x:v>
      </x:c>
      <x:c r="M121" s="17"/>
      <x:c r="N121" s="17" t="str">
        <x:v>GPT-5 nano</x:v>
      </x:c>
      <x:c r="O121" s="17" t="str">
        <x:v>gpt-5-nano</x:v>
      </x:c>
      <x:c r="P121" s="17" t="n">
        <x:v>140.85</x:v>
      </x:c>
      <x:c r="Q121" s="17" t="n">
        <x:v>136.43</x:v>
      </x:c>
      <x:c r="R121" s="17" t="n">
        <x:v>142.54</x:v>
      </x:c>
      <x:c r="S121" s="17"/>
      <x:c r="T121" s="17"/>
      <x:c r="U121" s="17"/>
      <x:c r="V121" s="17"/>
      <x:c r="W121" s="17"/>
      <x:c r="X121" s="17"/>
      <x:c r="Y121" s="17"/>
      <x:c r="Z121" s="17"/>
    </x:row>
    <x:row r="122">
      <x:c r="A122" s="17" t="str">
        <x:v>Claude Opus 4</x:v>
      </x:c>
      <x:c r="B122" s="17" t="str">
        <x:v>claude-opus-4-20250514_27K</x:v>
      </x:c>
      <x:c r="C122" s="17" t="str">
        <x:v>Claude Opus 4</x:v>
      </x:c>
      <x:c r="D122" s="17" t="str">
        <x:v>Anthropic</x:v>
      </x:c>
      <x:c r="E122" s="17" t="str">
        <x:v>United States of America</x:v>
      </x:c>
      <x:c r="F122" s="17" t="n">
        <x:v>45799</x:v>
      </x:c>
      <x:c r="G122" s="17" t="str">
        <x:v>API access</x:v>
      </x:c>
      <x:c r="H122" s="17" t="n">
        <x:v>45799</x:v>
      </x:c>
      <x:c r="I122" s="17"/>
      <x:c r="J122" s="17" t="str">
        <x:v>Unknown</x:v>
      </x:c>
      <x:c r="K122" s="17" t="str">
        <x:v>Anthropic's largest model in the Claude 4 series (superseded by Claude Opus 4.1), benchmarked with up to 27,000 reasoning tokens.</x:v>
      </x:c>
      <x:c r="L122" s="17" t="str">
        <x:v>Claude Opus 4 (27k thinking)</x:v>
      </x:c>
      <x:c r="M122" s="17"/>
      <x:c r="N122" s="17" t="str">
        <x:v>Claude Opus 4</x:v>
      </x:c>
      <x:c r="O122" s="17" t="str">
        <x:v>claude-opus-4</x:v>
      </x:c>
      <x:c r="P122" s="17" t="n">
        <x:v>142.89</x:v>
      </x:c>
      <x:c r="Q122" s="17" t="n">
        <x:v>140.36</x:v>
      </x:c>
      <x:c r="R122" s="17" t="n">
        <x:v>144.3</x:v>
      </x:c>
      <x:c r="S122" s="17"/>
      <x:c r="T122" s="17"/>
      <x:c r="U122" s="17"/>
      <x:c r="V122" s="17"/>
      <x:c r="W122" s="17"/>
      <x:c r="X122" s="17"/>
      <x:c r="Y122" s="17"/>
      <x:c r="Z122" s="17"/>
    </x:row>
    <x:row r="123">
      <x:c r="A123" s="17" t="str">
        <x:v>Claude Opus 4.1</x:v>
      </x:c>
      <x:c r="B123" s="17" t="str">
        <x:v>claude-opus-4-1-20250805_16K</x:v>
      </x:c>
      <x:c r="C123" s="17"/>
      <x:c r="D123" s="17" t="str">
        <x:v>Anthropic</x:v>
      </x:c>
      <x:c r="E123" s="17" t="str">
        <x:v>United States of America</x:v>
      </x:c>
      <x:c r="F123" s="17" t="n">
        <x:v>45874</x:v>
      </x:c>
      <x:c r="G123" s="17" t="str">
        <x:v>API access</x:v>
      </x:c>
      <x:c r="H123" s="17" t="n">
        <x:v>45874</x:v>
      </x:c>
      <x:c r="I123" s="17"/>
      <x:c r="J123" s="17" t="str">
        <x:v>Unknown</x:v>
      </x:c>
      <x:c r="K123" s="17" t="str">
        <x:v>Anthropic’s largest flagship model, benchmarked with up to 16,000 reasoning tokens.</x:v>
      </x:c>
      <x:c r="L123" s="17" t="str">
        <x:v>Claude Opus 4.1 (16k thinking)</x:v>
      </x:c>
      <x:c r="M123" s="17"/>
      <x:c r="N123" s="17" t="str">
        <x:v>Claude Opus 4.1</x:v>
      </x:c>
      <x:c r="O123" s="17" t="str">
        <x:v>claude-opus-4-1</x:v>
      </x:c>
      <x:c r="P123" s="17" t="n">
        <x:v>144.21</x:v>
      </x:c>
      <x:c r="Q123" s="17" t="n">
        <x:v>141.74</x:v>
      </x:c>
      <x:c r="R123" s="17" t="n">
        <x:v>146.36</x:v>
      </x:c>
      <x:c r="S123" s="17"/>
      <x:c r="T123" s="17"/>
      <x:c r="U123" s="17"/>
      <x:c r="V123" s="17"/>
      <x:c r="W123" s="17"/>
      <x:c r="X123" s="17"/>
      <x:c r="Y123" s="17"/>
      <x:c r="Z123" s="17"/>
    </x:row>
    <x:row r="124">
      <x:c r="A124" s="17" t="str">
        <x:v>GPT-4o mini</x:v>
      </x:c>
      <x:c r="B124" s="17" t="str">
        <x:v>gpt-4o-mini-2024-07-18</x:v>
      </x:c>
      <x:c r="C124" s="17"/>
      <x:c r="D124" s="17" t="str">
        <x:v>OpenAI</x:v>
      </x:c>
      <x:c r="E124" s="17" t="str">
        <x:v>United States of America</x:v>
      </x:c>
      <x:c r="F124" s="17" t="n">
        <x:v>45491</x:v>
      </x:c>
      <x:c r="G124" s="17" t="str">
        <x:v>API access</x:v>
      </x:c>
      <x:c r="H124" s="17" t="n">
        <x:v>45491</x:v>
      </x:c>
      <x:c r="I124" s="17"/>
      <x:c r="J124" s="17" t="str">
        <x:v>Speculative</x:v>
      </x:c>
      <x:c r="K124" s="17" t="str">
        <x:v>A smaller version of OpenAI's GPT-4o.</x:v>
      </x:c>
      <x:c r="L124" s="17"/>
      <x:c r="M124" s="17"/>
      <x:c r="N124" s="17" t="str">
        <x:v>GPT-4o mini</x:v>
      </x:c>
      <x:c r="O124" s="17" t="str">
        <x:v>gpt-4o-mini</x:v>
      </x:c>
      <x:c r="P124" s="17" t="n">
        <x:v>126.94</x:v>
      </x:c>
      <x:c r="Q124" s="17" t="n">
        <x:v>120.2</x:v>
      </x:c>
      <x:c r="R124" s="17" t="n">
        <x:v>129.11</x:v>
      </x:c>
      <x:c r="S124" s="17"/>
      <x:c r="T124" s="17"/>
      <x:c r="U124" s="17"/>
      <x:c r="V124" s="17"/>
      <x:c r="W124" s="17"/>
      <x:c r="X124" s="17"/>
      <x:c r="Y124" s="17"/>
      <x:c r="Z124" s="17"/>
    </x:row>
    <x:row r="125">
      <x:c r="A125" s="17" t="str">
        <x:v>Claude Sonnet 4</x:v>
      </x:c>
      <x:c r="B125" s="17" t="str">
        <x:v>claude-sonnet-4-20250514</x:v>
      </x:c>
      <x:c r="C125" s="17"/>
      <x:c r="D125" s="17" t="str">
        <x:v>Anthropic</x:v>
      </x:c>
      <x:c r="E125" s="17" t="str">
        <x:v>United States of America</x:v>
      </x:c>
      <x:c r="F125" s="17" t="n">
        <x:v>45799</x:v>
      </x:c>
      <x:c r="G125" s="17" t="str">
        <x:v>API access</x:v>
      </x:c>
      <x:c r="H125" s="17" t="n">
        <x:v>45799</x:v>
      </x:c>
      <x:c r="I125" s="17"/>
      <x:c r="J125" s="17" t="str">
        <x:v>Unknown</x:v>
      </x:c>
      <x:c r="K125" s="17" t="str">
        <x:v>Anthropic's mid-sized version of Claude 4 series of reasoning models.</x:v>
      </x:c>
      <x:c r="L125" s="17" t="str">
        <x:v>Claude Sonnet 4</x:v>
      </x:c>
      <x:c r="M125" s="17"/>
      <x:c r="N125" s="17" t="str">
        <x:v>Claude Sonnet 4</x:v>
      </x:c>
      <x:c r="O125" s="17" t="str">
        <x:v>claude-sonnet-4</x:v>
      </x:c>
      <x:c r="P125" s="17" t="n">
        <x:v>142.15</x:v>
      </x:c>
      <x:c r="Q125" s="17" t="n">
        <x:v>139.04</x:v>
      </x:c>
      <x:c r="R125" s="17" t="n">
        <x:v>143.61</x:v>
      </x:c>
      <x:c r="S125" s="17"/>
      <x:c r="T125" s="17"/>
      <x:c r="U125" s="17"/>
      <x:c r="V125" s="17"/>
      <x:c r="W125" s="17"/>
      <x:c r="X125" s="17"/>
      <x:c r="Y125" s="17"/>
      <x:c r="Z125" s="17"/>
    </x:row>
    <x:row r="126">
      <x:c r="A126" s="17" t="str">
        <x:v>Gemini 2.5 Pro (Jun 2025)</x:v>
      </x:c>
      <x:c r="B126" s="17" t="str">
        <x:v>gemini-2.5-pro-preview-06-05</x:v>
      </x:c>
      <x:c r="C126" s="17" t="str">
        <x:v>Gemini 2.5 Pro Preview (Jun 2025)</x:v>
      </x:c>
      <x:c r="D126" s="17" t="str">
        <x:v>Google DeepMind</x:v>
      </x:c>
      <x:c r="E126" s="17" t="str">
        <x:v>United States of America</x:v>
      </x:c>
      <x:c r="F126" s="17" t="n">
        <x:v>45813</x:v>
      </x:c>
      <x:c r="G126" s="17" t="str">
        <x:v>API access</x:v>
      </x:c>
      <x:c r="H126" s="17" t="n">
        <x:v>45813</x:v>
      </x:c>
      <x:c r="I126" s="17"/>
      <x:c r="J126" s="17" t="str">
        <x:v>Unknown</x:v>
      </x:c>
      <x:c r="K126" s="17" t="str">
        <x:v>A June 2025 preview version of Gemini 2.5 Pro, Google DeepMind's flagship frontier model.</x:v>
      </x:c>
      <x:c r="L126" s="17" t="str">
        <x:v>Gemini 2.5 Pro Preview (Jun 2025)</x:v>
      </x:c>
      <x:c r="M126" s="17" t="str">
        <x:v>Gemini 2.5 Pro (Jun 2025)</x:v>
      </x:c>
      <x:c r="N126" s="17" t="str">
        <x:v>Gemini 2.5 Pro (Jun 2025)</x:v>
      </x:c>
      <x:c r="O126" s="17" t="str">
        <x:v>gemini-2-5-pro-jun-2025</x:v>
      </x:c>
      <x:c r="P126" s="17" t="n">
        <x:v>146.08</x:v>
      </x:c>
      <x:c r="Q126" s="17" t="n">
        <x:v>144.33</x:v>
      </x:c>
      <x:c r="R126" s="17" t="n">
        <x:v>147.72</x:v>
      </x:c>
      <x:c r="S126" s="17"/>
      <x:c r="T126" s="17"/>
      <x:c r="U126" s="17"/>
      <x:c r="V126" s="17"/>
      <x:c r="W126" s="17"/>
      <x:c r="X126" s="17"/>
      <x:c r="Y126" s="17"/>
      <x:c r="Z126" s="17"/>
    </x:row>
    <x:row r="127">
      <x:c r="A127" s="17" t="str">
        <x:v>Claude 3.5 Sonnet (October 2024)</x:v>
      </x:c>
      <x:c r="B127" s="17" t="str">
        <x:v>claude-3-5-sonnet-20241022</x:v>
      </x:c>
      <x:c r="C127" s="17" t="str">
        <x:v>Claude 3.5 Sonnet (Oct 2024)</x:v>
      </x:c>
      <x:c r="D127" s="17" t="str">
        <x:v>Anthropic</x:v>
      </x:c>
      <x:c r="E127" s="17" t="str">
        <x:v>United States of America</x:v>
      </x:c>
      <x:c r="F127" s="17" t="n">
        <x:v>45587</x:v>
      </x:c>
      <x:c r="G127" s="17" t="str">
        <x:v>API access</x:v>
      </x:c>
      <x:c r="H127" s="17" t="n">
        <x:v>45587</x:v>
      </x:c>
      <x:c r="I127" s="17"/>
      <x:c r="J127" s="17" t="str">
        <x:v>Unverified</x:v>
      </x:c>
      <x:c r="K127" s="17" t="str">
        <x:v>An updated version of the top model in the Claude 3.5 series, a previous flagship model series from Anthropic.</x:v>
      </x:c>
      <x:c r="L127" s="17" t="str">
        <x:v>Claude 3.5 Sonnet (Oct 2024)</x:v>
      </x:c>
      <x:c r="M127" s="17"/>
      <x:c r="N127" s="17" t="str">
        <x:v>Claude 3.5 Sonnet (October 2024)</x:v>
      </x:c>
      <x:c r="O127" s="17" t="str">
        <x:v>claude-3-5-sonnet-october-2024</x:v>
      </x:c>
      <x:c r="P127" s="17" t="n">
        <x:v>134.28</x:v>
      </x:c>
      <x:c r="Q127" s="17" t="n">
        <x:v>129.48</x:v>
      </x:c>
      <x:c r="R127" s="17" t="n">
        <x:v>138.92</x:v>
      </x:c>
      <x:c r="S127" s="17"/>
      <x:c r="T127" s="17"/>
      <x:c r="U127" s="17"/>
      <x:c r="V127" s="17"/>
      <x:c r="W127" s="17"/>
      <x:c r="X127" s="17"/>
      <x:c r="Y127" s="17"/>
      <x:c r="Z127" s="17"/>
    </x:row>
    <x:row r="128">
      <x:c r="A128" s="17" t="str">
        <x:v>Claude 3.5 Sonnet</x:v>
      </x:c>
      <x:c r="B128" s="17" t="str">
        <x:v>claude-3-5-sonnet-20240620</x:v>
      </x:c>
      <x:c r="C128" s="17" t="str">
        <x:v>Claude 3.5 Sonnet (Jun 2024)</x:v>
      </x:c>
      <x:c r="D128" s="17" t="str">
        <x:v>Anthropic</x:v>
      </x:c>
      <x:c r="E128" s="17" t="str">
        <x:v>United States of America</x:v>
      </x:c>
      <x:c r="F128" s="17" t="n">
        <x:v>45463</x:v>
      </x:c>
      <x:c r="G128" s="17" t="str">
        <x:v>API access</x:v>
      </x:c>
      <x:c r="H128" s="17" t="n">
        <x:v>45463</x:v>
      </x:c>
      <x:c r="I128" s="17" t="n">
        <x:v>2.700000000000001e+25</x:v>
      </x:c>
      <x:c r="J128" s="17" t="str">
        <x:v>Speculative</x:v>
      </x:c>
      <x:c r="K128" s="17" t="str">
        <x:v>The first version of the top model in the Claude 3.5 series, a previous flagship model series from Anthropic.</x:v>
      </x:c>
      <x:c r="L128" s="17" t="str">
        <x:v>Claude 3.5 Sonnet (Jun 2024)</x:v>
      </x:c>
      <x:c r="M128" s="17"/>
      <x:c r="N128" s="17" t="str">
        <x:v>Claude 3.5 Sonnet</x:v>
      </x:c>
      <x:c r="O128" s="17" t="str">
        <x:v>claude-3-5-sonnet</x:v>
      </x:c>
      <x:c r="P128" s="17" t="n">
        <x:v>130</x:v>
      </x:c>
      <x:c r="Q128" s="17"/>
      <x:c r="R128" s="17"/>
      <x:c r="S128" s="17"/>
      <x:c r="T128" s="17"/>
      <x:c r="U128" s="17"/>
      <x:c r="V128" s="17"/>
      <x:c r="W128" s="17"/>
      <x:c r="X128" s="17"/>
      <x:c r="Y128" s="17"/>
      <x:c r="Z128" s="17"/>
    </x:row>
    <x:row r="129">
      <x:c r="A129" s="17" t="str">
        <x:v>Claude Sonnet 4</x:v>
      </x:c>
      <x:c r="B129" s="17" t="str">
        <x:v>claude-sonnet-4-20250514_59K</x:v>
      </x:c>
      <x:c r="C129" s="17"/>
      <x:c r="D129" s="17" t="str">
        <x:v>Anthropic</x:v>
      </x:c>
      <x:c r="E129" s="17" t="str">
        <x:v>United States of America</x:v>
      </x:c>
      <x:c r="F129" s="17" t="n">
        <x:v>45799</x:v>
      </x:c>
      <x:c r="G129" s="17" t="str">
        <x:v>API access</x:v>
      </x:c>
      <x:c r="H129" s="17" t="n">
        <x:v>45799</x:v>
      </x:c>
      <x:c r="I129" s="17"/>
      <x:c r="J129" s="17" t="str">
        <x:v>Unknown</x:v>
      </x:c>
      <x:c r="K129" s="17" t="str">
        <x:v>Anthropic's mid-sized model in the Claude 4 series, benchmarked with up to 59,000 reasoning tokens.</x:v>
      </x:c>
      <x:c r="L129" s="17" t="str">
        <x:v>Claude Sonnet 4 (59k thinking)</x:v>
      </x:c>
      <x:c r="M129" s="17"/>
      <x:c r="N129" s="17" t="str">
        <x:v>Claude Sonnet 4</x:v>
      </x:c>
      <x:c r="O129" s="17" t="str">
        <x:v>claude-sonnet-4</x:v>
      </x:c>
      <x:c r="P129" s="17" t="n">
        <x:v>142.15</x:v>
      </x:c>
      <x:c r="Q129" s="17" t="n">
        <x:v>139.04</x:v>
      </x:c>
      <x:c r="R129" s="17" t="n">
        <x:v>143.61</x:v>
      </x:c>
      <x:c r="S129" s="17"/>
      <x:c r="T129" s="17"/>
      <x:c r="U129" s="17"/>
      <x:c r="V129" s="17"/>
      <x:c r="W129" s="17"/>
      <x:c r="X129" s="17"/>
      <x:c r="Y129" s="17"/>
      <x:c r="Z129" s="17"/>
    </x:row>
    <x:row r="130">
      <x:c r="A130" s="17" t="str">
        <x:v>Claude 3.7 Sonnet</x:v>
      </x:c>
      <x:c r="B130" s="17" t="str">
        <x:v>claude-3-7-sonnet-20250219_64K</x:v>
      </x:c>
      <x:c r="C130" s="17" t="str">
        <x:v>Claude 3.7 Sonnet (64k thinking)</x:v>
      </x:c>
      <x:c r="D130" s="17" t="str">
        <x:v>Anthropic</x:v>
      </x:c>
      <x:c r="E130" s="17" t="str">
        <x:v>United States of America</x:v>
      </x:c>
      <x:c r="F130" s="17" t="n">
        <x:v>45712</x:v>
      </x:c>
      <x:c r="G130" s="17" t="str">
        <x:v>API access</x:v>
      </x:c>
      <x:c r="H130" s="17" t="n">
        <x:v>45712</x:v>
      </x:c>
      <x:c r="I130" s="17" t="n">
        <x:v>3.3499999999999998e+25</x:v>
      </x:c>
      <x:c r="J130" s="17" t="str">
        <x:v>Likely</x:v>
      </x:c>
      <x:c r="K130" s="17" t="str">
        <x:v>A previous flagship reasoning model from Anthropic, benchmarked with up to 64,000 reasoning tokens allowed.</x:v>
      </x:c>
      <x:c r="L130" s="17" t="str">
        <x:v>Claude 3.7 Sonnet (64k thinking)</x:v>
      </x:c>
      <x:c r="M130" s="17"/>
      <x:c r="N130" s="17" t="str">
        <x:v>Claude 3.7 Sonnet</x:v>
      </x:c>
      <x:c r="O130" s="17" t="str">
        <x:v>claude-3-7-sonnet</x:v>
      </x:c>
      <x:c r="P130" s="17" t="n">
        <x:v>141.7</x:v>
      </x:c>
      <x:c r="Q130" s="17" t="n">
        <x:v>139.28</x:v>
      </x:c>
      <x:c r="R130" s="17" t="n">
        <x:v>143.27</x:v>
      </x:c>
      <x:c r="S130" s="17"/>
      <x:c r="T130" s="17"/>
      <x:c r="U130" s="17"/>
      <x:c r="V130" s="17"/>
      <x:c r="W130" s="17"/>
      <x:c r="X130" s="17"/>
      <x:c r="Y130" s="17"/>
      <x:c r="Z130" s="17"/>
    </x:row>
    <x:row r="131">
      <x:c r="A131" s="17" t="str">
        <x:v>Grok 3</x:v>
      </x:c>
      <x:c r="B131" s="17" t="str">
        <x:v>grok-3-beta</x:v>
      </x:c>
      <x:c r="C131" s="17"/>
      <x:c r="D131" s="17" t="str">
        <x:v>xAI</x:v>
      </x:c>
      <x:c r="E131" s="17" t="str">
        <x:v>United States of America</x:v>
      </x:c>
      <x:c r="F131" s="17" t="n">
        <x:v>45756</x:v>
      </x:c>
      <x:c r="G131" s="17" t="str">
        <x:v>API access</x:v>
      </x:c>
      <x:c r="H131" s="17" t="n">
        <x:v>45705</x:v>
      </x:c>
      <x:c r="I131" s="17" t="n">
        <x:v>3.5000000000000006e+26</x:v>
      </x:c>
      <x:c r="J131" s="17" t="str">
        <x:v>Likely</x:v>
      </x:c>
      <x:c r="K131" s="17" t="str">
        <x:v>A beta release of XAI's third generation Grok model.</x:v>
      </x:c>
      <x:c r="L131" s="17" t="str">
        <x:v>Grok 3 (beta)</x:v>
      </x:c>
      <x:c r="M131" s="17"/>
      <x:c r="N131" s="17" t="str">
        <x:v>Grok 3</x:v>
      </x:c>
      <x:c r="O131" s="17" t="str">
        <x:v>grok-3</x:v>
      </x:c>
      <x:c r="P131" s="17" t="n">
        <x:v>139.02</x:v>
      </x:c>
      <x:c r="Q131" s="17" t="n">
        <x:v>136.17</x:v>
      </x:c>
      <x:c r="R131" s="17" t="n">
        <x:v>140.24</x:v>
      </x:c>
      <x:c r="S131" s="17"/>
      <x:c r="T131" s="17"/>
      <x:c r="U131" s="17"/>
      <x:c r="V131" s="17"/>
      <x:c r="W131" s="17"/>
      <x:c r="X131" s="17"/>
      <x:c r="Y131" s="17"/>
      <x:c r="Z131" s="17"/>
    </x:row>
    <x:row r="132">
      <x:c r="A132" s="17" t="str">
        <x:v>Magistral Small 1.1</x:v>
      </x:c>
      <x:c r="B132" s="17" t="str">
        <x:v>magistral-small-2506</x:v>
      </x:c>
      <x:c r="C132" s="17"/>
      <x:c r="D132" s="17" t="str">
        <x:v>Mistral AI</x:v>
      </x:c>
      <x:c r="E132" s="17" t="str">
        <x:v>France</x:v>
      </x:c>
      <x:c r="F132" s="17" t="n">
        <x:v>45818</x:v>
      </x:c>
      <x:c r="G132" s="17" t="str">
        <x:v>Open weights (unrestricted)</x:v>
      </x:c>
      <x:c r="H132" s="17" t="n">
        <x:v>45818</x:v>
      </x:c>
      <x:c r="I132" s="17"/>
      <x:c r="J132" s="17" t="str">
        <x:v>Confident</x:v>
      </x:c>
      <x:c r="K132" s="17"/>
      <x:c r="L132" s="17"/>
      <x:c r="M132" s="17"/>
      <x:c r="N132" s="17" t="str">
        <x:v>Magistral Small 1.1</x:v>
      </x:c>
      <x:c r="O132" s="17" t="str">
        <x:v>magistral-small-1-1</x:v>
      </x:c>
      <x:c r="P132" s="17" t="n">
        <x:v>133.07</x:v>
      </x:c>
      <x:c r="Q132" s="17" t="n">
        <x:v>127.02</x:v>
      </x:c>
      <x:c r="R132" s="17" t="n">
        <x:v>135.4</x:v>
      </x:c>
      <x:c r="S132" s="17"/>
      <x:c r="T132" s="17"/>
      <x:c r="U132" s="17"/>
      <x:c r="V132" s="17"/>
      <x:c r="W132" s="17"/>
      <x:c r="X132" s="17"/>
      <x:c r="Y132" s="17"/>
      <x:c r="Z132" s="17"/>
    </x:row>
    <x:row r="133">
      <x:c r="A133" s="17" t="str">
        <x:v>Qwen3-235B-A22B</x:v>
      </x:c>
      <x:c r="B133" s="17" t="str">
        <x:v>qwen3-235b-a22b</x:v>
      </x:c>
      <x:c r="C133" s="17"/>
      <x:c r="D133" s="17" t="str">
        <x:v>Alibaba</x:v>
      </x:c>
      <x:c r="E133" s="17" t="str">
        <x:v>China</x:v>
      </x:c>
      <x:c r="F133" s="17" t="n">
        <x:v>45776</x:v>
      </x:c>
      <x:c r="G133" s="17" t="str">
        <x:v>Open weights (unrestricted)</x:v>
      </x:c>
      <x:c r="H133" s="17" t="n">
        <x:v>45776</x:v>
      </x:c>
      <x:c r="I133" s="17" t="n">
        <x:v>4.752e+24</x:v>
      </x:c>
      <x:c r="J133" s="17" t="str">
        <x:v>Likely</x:v>
      </x:c>
      <x:c r="K133" s="17"/>
      <x:c r="L133" s="17" t="str">
        <x:v>Qwen3 (Apr 2025)</x:v>
      </x:c>
      <x:c r="M133" s="17"/>
      <x:c r="N133" s="17" t="str">
        <x:v>Qwen3-235B-A22B</x:v>
      </x:c>
      <x:c r="O133" s="17" t="str">
        <x:v>qwen3-235b-a22b</x:v>
      </x:c>
      <x:c r="P133" s="17" t="n">
        <x:v>139.58</x:v>
      </x:c>
      <x:c r="Q133" s="17" t="n">
        <x:v>134.79</x:v>
      </x:c>
      <x:c r="R133" s="17" t="n">
        <x:v>141.08</x:v>
      </x:c>
      <x:c r="S133" s="17"/>
      <x:c r="T133" s="17"/>
      <x:c r="U133" s="17"/>
      <x:c r="V133" s="17"/>
      <x:c r="W133" s="17"/>
      <x:c r="X133" s="17"/>
      <x:c r="Y133" s="17"/>
      <x:c r="Z133" s="17"/>
    </x:row>
    <x:row r="134">
      <x:c r="A134" s="17" t="str">
        <x:v>Gemini 2.5 Pro (May 2025)</x:v>
      </x:c>
      <x:c r="B134" s="17" t="str">
        <x:v>gemini-2.5-pro-preview-05-06</x:v>
      </x:c>
      <x:c r="C134" s="17" t="str">
        <x:v>Gemini 2.5 Pro Preview (Jun 2025)</x:v>
      </x:c>
      <x:c r="D134" s="17" t="str">
        <x:v>Google DeepMind</x:v>
      </x:c>
      <x:c r="E134" s="17" t="str">
        <x:v>United States of America</x:v>
      </x:c>
      <x:c r="F134" s="17" t="n">
        <x:v>45783</x:v>
      </x:c>
      <x:c r="G134" s="17" t="str">
        <x:v>API access</x:v>
      </x:c>
      <x:c r="H134" s="17" t="n">
        <x:v>45783</x:v>
      </x:c>
      <x:c r="I134" s="17"/>
      <x:c r="J134" s="17" t="str">
        <x:v>Unknown</x:v>
      </x:c>
      <x:c r="K134" s="17" t="str">
        <x:v>A May 2025 preview version of Gemini 2.5 Pro, a flagship reasoning model from Google DeepMind.</x:v>
      </x:c>
      <x:c r="L134" s="17" t="str">
        <x:v>Gemini 2.5 Pro Preview (Jun 2025)</x:v>
      </x:c>
      <x:c r="M134" s="17" t="str">
        <x:v>Gemini 2.5 Pro (May 2025)</x:v>
      </x:c>
      <x:c r="N134" s="17" t="str">
        <x:v>Gemini 2.5 Pro (May 2025)</x:v>
      </x:c>
      <x:c r="O134" s="17" t="str">
        <x:v>gemini-2-5-pro-may-2025</x:v>
      </x:c>
      <x:c r="P134" s="17" t="n">
        <x:v>142.83</x:v>
      </x:c>
      <x:c r="Q134" s="17" t="n">
        <x:v>139.38</x:v>
      </x:c>
      <x:c r="R134" s="17" t="n">
        <x:v>145.35</x:v>
      </x:c>
      <x:c r="S134" s="17"/>
      <x:c r="T134" s="17"/>
      <x:c r="U134" s="17"/>
      <x:c r="V134" s="17"/>
      <x:c r="W134" s="17"/>
      <x:c r="X134" s="17"/>
      <x:c r="Y134" s="17"/>
      <x:c r="Z134" s="17"/>
    </x:row>
    <x:row r="135">
      <x:c r="A135" s="17" t="str">
        <x:v>DeepSeek-R1</x:v>
      </x:c>
      <x:c r="B135" s="17" t="str">
        <x:v>DeepSeek-R1</x:v>
      </x:c>
      <x:c r="C135" s="17"/>
      <x:c r="D135" s="17" t="str">
        <x:v>DeepSeek</x:v>
      </x:c>
      <x:c r="E135" s="17" t="str">
        <x:v>China</x:v>
      </x:c>
      <x:c r="F135" s="17" t="n">
        <x:v>45677</x:v>
      </x:c>
      <x:c r="G135" s="17" t="str">
        <x:v>Open weights (unrestricted)</x:v>
      </x:c>
      <x:c r="H135" s="17" t="n">
        <x:v>45677</x:v>
      </x:c>
      <x:c r="I135" s="17" t="n">
        <x:v>3.4999999999999997e+24</x:v>
      </x:c>
      <x:c r="J135" s="17" t="str">
        <x:v>Confident</x:v>
      </x:c>
      <x:c r="K135" s="17"/>
      <x:c r="L135" s="17" t="str">
        <x:v>DeepSeek-R1</x:v>
      </x:c>
      <x:c r="M135" s="17"/>
      <x:c r="N135" s="17" t="str">
        <x:v>DeepSeek-R1</x:v>
      </x:c>
      <x:c r="O135" s="17" t="str">
        <x:v>deepseek-r1</x:v>
      </x:c>
      <x:c r="P135" s="17" t="n">
        <x:v>139.67</x:v>
      </x:c>
      <x:c r="Q135" s="17" t="n">
        <x:v>136.9</x:v>
      </x:c>
      <x:c r="R135" s="17" t="n">
        <x:v>140.9</x:v>
      </x:c>
      <x:c r="S135" s="17"/>
      <x:c r="T135" s="17"/>
      <x:c r="U135" s="17"/>
      <x:c r="V135" s="17"/>
      <x:c r="W135" s="17"/>
      <x:c r="X135" s="17"/>
      <x:c r="Y135" s="17"/>
      <x:c r="Z135" s="17"/>
    </x:row>
    <x:row r="136">
      <x:c r="A136" s="17" t="str">
        <x:v>Claude Sonnet 4</x:v>
      </x:c>
      <x:c r="B136" s="17" t="str">
        <x:v>claude-sonnet-4-20250514_32K</x:v>
      </x:c>
      <x:c r="C136" s="17"/>
      <x:c r="D136" s="17" t="str">
        <x:v>Anthropic</x:v>
      </x:c>
      <x:c r="E136" s="17" t="str">
        <x:v>United States of America</x:v>
      </x:c>
      <x:c r="F136" s="17" t="n">
        <x:v>45799</x:v>
      </x:c>
      <x:c r="G136" s="17" t="str">
        <x:v>API access</x:v>
      </x:c>
      <x:c r="H136" s="17" t="n">
        <x:v>45799</x:v>
      </x:c>
      <x:c r="I136" s="17"/>
      <x:c r="J136" s="17" t="str">
        <x:v>Unknown</x:v>
      </x:c>
      <x:c r="K136" s="17" t="str">
        <x:v>Anthropic's mid-sized model in the Claude 4 series, benchmarked with up to 32,000 reasoning tokens.</x:v>
      </x:c>
      <x:c r="L136" s="17" t="str">
        <x:v>Claude Sonnet 4 (32k thinking)</x:v>
      </x:c>
      <x:c r="M136" s="17"/>
      <x:c r="N136" s="17" t="str">
        <x:v>Claude Sonnet 4</x:v>
      </x:c>
      <x:c r="O136" s="17" t="str">
        <x:v>claude-sonnet-4</x:v>
      </x:c>
      <x:c r="P136" s="17" t="n">
        <x:v>142.15</x:v>
      </x:c>
      <x:c r="Q136" s="17" t="n">
        <x:v>139.04</x:v>
      </x:c>
      <x:c r="R136" s="17" t="n">
        <x:v>143.61</x:v>
      </x:c>
      <x:c r="S136" s="17"/>
      <x:c r="T136" s="17"/>
      <x:c r="U136" s="17"/>
      <x:c r="V136" s="17"/>
      <x:c r="W136" s="17"/>
      <x:c r="X136" s="17"/>
      <x:c r="Y136" s="17"/>
      <x:c r="Z136" s="17"/>
    </x:row>
    <x:row r="137">
      <x:c r="A137" s="17" t="str">
        <x:v>Claude Opus 4</x:v>
      </x:c>
      <x:c r="B137" s="17" t="str">
        <x:v>claude-opus-4-20250514_16K</x:v>
      </x:c>
      <x:c r="C137" s="17" t="str">
        <x:v>Claude Opus 4</x:v>
      </x:c>
      <x:c r="D137" s="17" t="str">
        <x:v>Anthropic</x:v>
      </x:c>
      <x:c r="E137" s="17" t="str">
        <x:v>United States of America</x:v>
      </x:c>
      <x:c r="F137" s="17" t="n">
        <x:v>45799</x:v>
      </x:c>
      <x:c r="G137" s="17" t="str">
        <x:v>API access</x:v>
      </x:c>
      <x:c r="H137" s="17" t="n">
        <x:v>45799</x:v>
      </x:c>
      <x:c r="I137" s="17"/>
      <x:c r="J137" s="17" t="str">
        <x:v>Unknown</x:v>
      </x:c>
      <x:c r="K137" s="17" t="str">
        <x:v>Anthropic's largest model in the Claude 4 series (superseded by Claude Opus 4.1), benchmarked with up to 16,000 reasoning tokens.</x:v>
      </x:c>
      <x:c r="L137" s="17" t="str">
        <x:v>Claude Opus 4 (16k thinking)</x:v>
      </x:c>
      <x:c r="M137" s="17"/>
      <x:c r="N137" s="17" t="str">
        <x:v>Claude Opus 4</x:v>
      </x:c>
      <x:c r="O137" s="17" t="str">
        <x:v>claude-opus-4</x:v>
      </x:c>
      <x:c r="P137" s="17" t="n">
        <x:v>142.89</x:v>
      </x:c>
      <x:c r="Q137" s="17" t="n">
        <x:v>140.36</x:v>
      </x:c>
      <x:c r="R137" s="17" t="n">
        <x:v>144.3</x:v>
      </x:c>
      <x:c r="S137" s="17"/>
      <x:c r="T137" s="17"/>
      <x:c r="U137" s="17"/>
      <x:c r="V137" s="17"/>
      <x:c r="W137" s="17"/>
      <x:c r="X137" s="17"/>
      <x:c r="Y137" s="17"/>
      <x:c r="Z137" s="17"/>
    </x:row>
    <x:row r="138">
      <x:c r="A138" s="17" t="str">
        <x:v>Claude Sonnet 4</x:v>
      </x:c>
      <x:c r="B138" s="17" t="str">
        <x:v>claude-sonnet-4-20250514_16K</x:v>
      </x:c>
      <x:c r="C138" s="17"/>
      <x:c r="D138" s="17" t="str">
        <x:v>Anthropic</x:v>
      </x:c>
      <x:c r="E138" s="17" t="str">
        <x:v>United States of America</x:v>
      </x:c>
      <x:c r="F138" s="17" t="n">
        <x:v>45799</x:v>
      </x:c>
      <x:c r="G138" s="17" t="str">
        <x:v>API access</x:v>
      </x:c>
      <x:c r="H138" s="17" t="n">
        <x:v>45799</x:v>
      </x:c>
      <x:c r="I138" s="17"/>
      <x:c r="J138" s="17" t="str">
        <x:v>Unknown</x:v>
      </x:c>
      <x:c r="K138" s="17" t="str">
        <x:v>Anthropic's mid-sized model in the Claude 4 series, benchmarked with up to 16,000 reasoning tokens.</x:v>
      </x:c>
      <x:c r="L138" s="17" t="str">
        <x:v>Claude Sonnet 4 (16k thinking)</x:v>
      </x:c>
      <x:c r="M138" s="17"/>
      <x:c r="N138" s="17" t="str">
        <x:v>Claude Sonnet 4</x:v>
      </x:c>
      <x:c r="O138" s="17" t="str">
        <x:v>claude-sonnet-4</x:v>
      </x:c>
      <x:c r="P138" s="17" t="n">
        <x:v>142.15</x:v>
      </x:c>
      <x:c r="Q138" s="17" t="n">
        <x:v>139.04</x:v>
      </x:c>
      <x:c r="R138" s="17" t="n">
        <x:v>143.61</x:v>
      </x:c>
      <x:c r="S138" s="17"/>
      <x:c r="T138" s="17"/>
      <x:c r="U138" s="17"/>
      <x:c r="V138" s="17"/>
      <x:c r="W138" s="17"/>
      <x:c r="X138" s="17"/>
      <x:c r="Y138" s="17"/>
      <x:c r="Z138" s="17"/>
    </x:row>
    <x:row r="139">
      <x:c r="A139" s="17" t="str">
        <x:v>Gemini 2.5 Flash</x:v>
      </x:c>
      <x:c r="B139" s="17" t="str">
        <x:v>gemini-2.5-flash-preview-05-20</x:v>
      </x:c>
      <x:c r="C139" s="17"/>
      <x:c r="D139" s="17" t="str">
        <x:v>Google DeepMind</x:v>
      </x:c>
      <x:c r="E139" s="17" t="str">
        <x:v>United States of America</x:v>
      </x:c>
      <x:c r="F139" s="17" t="n">
        <x:v>45797</x:v>
      </x:c>
      <x:c r="G139" s="17" t="str">
        <x:v>API access</x:v>
      </x:c>
      <x:c r="H139" s="17" t="n">
        <x:v>45764</x:v>
      </x:c>
      <x:c r="I139" s="17"/>
      <x:c r="J139" s="17" t="str">
        <x:v>Unknown</x:v>
      </x:c>
      <x:c r="K139" s="17" t="str">
        <x:v>The May 2025 preview version of Gemini 2.5 Flash, a small reasoning model from Google DeepMind's Gemini 2.5 series.</x:v>
      </x:c>
      <x:c r="L139" s="17"/>
      <x:c r="M139" s="17" t="str">
        <x:v>Gemini 2.5 Flash (May 2025)</x:v>
      </x:c>
      <x:c r="N139" s="17" t="str">
        <x:v>Gemini 2.5 Flash (May 2025)</x:v>
      </x:c>
      <x:c r="O139" s="17" t="str">
        <x:v>gemini-2-5-flash-may-2025</x:v>
      </x:c>
      <x:c r="P139" s="17" t="n">
        <x:v>142.24</x:v>
      </x:c>
      <x:c r="Q139" s="17" t="n">
        <x:v>139.89</x:v>
      </x:c>
      <x:c r="R139" s="17" t="n">
        <x:v>143.54</x:v>
      </x:c>
      <x:c r="S139" s="17"/>
      <x:c r="T139" s="17"/>
      <x:c r="U139" s="17"/>
      <x:c r="V139" s="17"/>
      <x:c r="W139" s="17"/>
      <x:c r="X139" s="17"/>
      <x:c r="Y139" s="17"/>
      <x:c r="Z139" s="17"/>
    </x:row>
    <x:row r="140">
      <x:c r="A140" s="17" t="str">
        <x:v>Qwen Plus</x:v>
      </x:c>
      <x:c r="B140" s="17" t="str">
        <x:v>qwen-plus-2025-04-28</x:v>
      </x:c>
      <x:c r="C140" s="17"/>
      <x:c r="D140" s="17" t="str">
        <x:v>Alibaba</x:v>
      </x:c>
      <x:c r="E140" s="17" t="str">
        <x:v>China</x:v>
      </x:c>
      <x:c r="F140" s="17" t="n">
        <x:v>45775</x:v>
      </x:c>
      <x:c r="G140" s="17" t="str">
        <x:v>API access</x:v>
      </x:c>
      <x:c r="H140" s="17" t="n">
        <x:v>45328</x:v>
      </x:c>
      <x:c r="I140" s="17"/>
      <x:c r="J140" s="17" t="str">
        <x:v>Unknown</x:v>
      </x:c>
      <x:c r="K140" s="17"/>
      <x:c r="L140" s="17" t="str">
        <x:v>Qwen Plus (Apr 2025)</x:v>
      </x:c>
      <x:c r="M140" s="17" t="str">
        <x:v>Qwen Plus (Apr 2025)</x:v>
      </x:c>
      <x:c r="N140" s="17" t="str">
        <x:v>Qwen Plus (Apr 2025)</x:v>
      </x:c>
      <x:c r="O140" s="17" t="str">
        <x:v>qwen-plus-apr-2025</x:v>
      </x:c>
      <x:c r="P140" s="17"/>
      <x:c r="Q140" s="17"/>
      <x:c r="R140" s="17"/>
      <x:c r="S140" s="17"/>
      <x:c r="T140" s="17"/>
      <x:c r="U140" s="17"/>
      <x:c r="V140" s="17"/>
      <x:c r="W140" s="17"/>
      <x:c r="X140" s="17"/>
      <x:c r="Y140" s="17"/>
      <x:c r="Z140" s="17"/>
    </x:row>
    <x:row r="141">
      <x:c r="A141" s="17" t="str">
        <x:v>DeepSeek-V3 (Mar 2025)</x:v>
      </x:c>
      <x:c r="B141" s="17" t="str">
        <x:v>DeepSeek-V3-0324</x:v>
      </x:c>
      <x:c r="C141" s="17" t="str">
        <x:v>DeepSeek-V3 (Mar 2025)</x:v>
      </x:c>
      <x:c r="D141" s="17" t="str">
        <x:v>DeepSeek</x:v>
      </x:c>
      <x:c r="E141" s="17" t="str">
        <x:v>China</x:v>
      </x:c>
      <x:c r="F141" s="17" t="n">
        <x:v>45740</x:v>
      </x:c>
      <x:c r="G141" s="17" t="str">
        <x:v>Open weights (restricted use)</x:v>
      </x:c>
      <x:c r="H141" s="17" t="n">
        <x:v>45740</x:v>
      </x:c>
      <x:c r="I141" s="17" t="n">
        <x:v>3.3e+24</x:v>
      </x:c>
      <x:c r="J141" s="17" t="str">
        <x:v>Confident</x:v>
      </x:c>
      <x:c r="K141" s="17" t="str">
        <x:v>An updated version of the DeepSeek V3 model.</x:v>
      </x:c>
      <x:c r="L141" s="17" t="str">
        <x:v>DeepSeek-V3 (Mar 2025)</x:v>
      </x:c>
      <x:c r="M141" s="17"/>
      <x:c r="N141" s="17" t="str">
        <x:v>DeepSeek-V3 (Mar 2025)</x:v>
      </x:c>
      <x:c r="O141" s="17" t="str">
        <x:v>deepseek-v3-mar-2025</x:v>
      </x:c>
      <x:c r="P141" s="17" t="n">
        <x:v>137.04</x:v>
      </x:c>
      <x:c r="Q141" s="17" t="n">
        <x:v>133.64</x:v>
      </x:c>
      <x:c r="R141" s="17" t="n">
        <x:v>138.66</x:v>
      </x:c>
      <x:c r="S141" s="17"/>
      <x:c r="T141" s="17"/>
      <x:c r="U141" s="17"/>
      <x:c r="V141" s="17"/>
      <x:c r="W141" s="17"/>
      <x:c r="X141" s="17"/>
      <x:c r="Y141" s="17"/>
      <x:c r="Z141" s="17"/>
    </x:row>
    <x:row r="142">
      <x:c r="A142" s="17" t="str">
        <x:v>Gemini 2.5 Pro (Mar 2025)</x:v>
      </x:c>
      <x:c r="B142" s="17" t="str">
        <x:v>gemini-2.5-pro-preview-03-25</x:v>
      </x:c>
      <x:c r="C142" s="17" t="str">
        <x:v>Gemini 2.5 Pro Preview (Mar 2025)</x:v>
      </x:c>
      <x:c r="D142" s="17" t="str">
        <x:v>Google DeepMind</x:v>
      </x:c>
      <x:c r="E142" s="17" t="str">
        <x:v>United States of America</x:v>
      </x:c>
      <x:c r="F142" s="17" t="n">
        <x:v>45747</x:v>
      </x:c>
      <x:c r="G142" s="17" t="str">
        <x:v>API access</x:v>
      </x:c>
      <x:c r="H142" s="17" t="n">
        <x:v>45741</x:v>
      </x:c>
      <x:c r="I142" s="17"/>
      <x:c r="J142" s="17" t="str">
        <x:v>Unknown</x:v>
      </x:c>
      <x:c r="K142" s="17" t="str">
        <x:v>A March 2025 preview version of Gemini 2.5 Pro, Google DeepMind's flagship model.</x:v>
      </x:c>
      <x:c r="L142" s="17" t="str">
        <x:v>Gemini 2.5 Pro Preview (Mar 2025)</x:v>
      </x:c>
      <x:c r="M142" s="17" t="str">
        <x:v>Gemini 2.5 Pro (Mar 2025)</x:v>
      </x:c>
      <x:c r="N142" s="17" t="str">
        <x:v>Gemini 2.5 Pro (Mar 2025)</x:v>
      </x:c>
      <x:c r="O142" s="17" t="str">
        <x:v>gemini-2-5-pro-mar-2025</x:v>
      </x:c>
      <x:c r="P142" s="17" t="n">
        <x:v>144.84</x:v>
      </x:c>
      <x:c r="Q142" s="17" t="n">
        <x:v>142.71</x:v>
      </x:c>
      <x:c r="R142" s="17" t="n">
        <x:v>147.18</x:v>
      </x:c>
      <x:c r="S142" s="17"/>
      <x:c r="T142" s="17"/>
      <x:c r="U142" s="17"/>
      <x:c r="V142" s="17"/>
      <x:c r="W142" s="17"/>
      <x:c r="X142" s="17"/>
      <x:c r="Y142" s="17"/>
      <x:c r="Z142" s="17"/>
    </x:row>
    <x:row r="143">
      <x:c r="A143" s="17" t="str">
        <x:v>Mistral Medium 3</x:v>
      </x:c>
      <x:c r="B143" s="17" t="str">
        <x:v>mistral-medium-2505</x:v>
      </x:c>
      <x:c r="C143" s="17"/>
      <x:c r="D143" s="17" t="str">
        <x:v>Mistral AI</x:v>
      </x:c>
      <x:c r="E143" s="17" t="str">
        <x:v>France</x:v>
      </x:c>
      <x:c r="F143" s="17" t="n">
        <x:v>45784</x:v>
      </x:c>
      <x:c r="G143" s="17" t="str">
        <x:v>API access</x:v>
      </x:c>
      <x:c r="H143" s="17" t="n">
        <x:v>45784</x:v>
      </x:c>
      <x:c r="I143" s="17"/>
      <x:c r="J143" s="17" t="str">
        <x:v>Unknown</x:v>
      </x:c>
      <x:c r="K143" s="17" t="str">
        <x:v>A 2025 language model from Mistral.</x:v>
      </x:c>
      <x:c r="L143" s="17"/>
      <x:c r="M143" s="17"/>
      <x:c r="N143" s="17" t="str">
        <x:v>Mistral Medium 3</x:v>
      </x:c>
      <x:c r="O143" s="17" t="str">
        <x:v>mistral-medium-3</x:v>
      </x:c>
      <x:c r="P143" s="17" t="n">
        <x:v>135.28</x:v>
      </x:c>
      <x:c r="Q143" s="17" t="n">
        <x:v>131.52</x:v>
      </x:c>
      <x:c r="R143" s="17" t="n">
        <x:v>136.44</x:v>
      </x:c>
      <x:c r="S143" s="17"/>
      <x:c r="T143" s="17"/>
      <x:c r="U143" s="17"/>
      <x:c r="V143" s="17"/>
      <x:c r="W143" s="17"/>
      <x:c r="X143" s="17"/>
      <x:c r="Y143" s="17"/>
      <x:c r="Z143" s="17"/>
    </x:row>
    <x:row r="144">
      <x:c r="A144" s="17" t="str">
        <x:v>Gemini 2.5 Flash</x:v>
      </x:c>
      <x:c r="B144" s="17" t="str">
        <x:v>gemini-2.5-flash-preview-04-17</x:v>
      </x:c>
      <x:c r="C144" s="17" t="str">
        <x:v>Gemini 2.5 Flash Preview (Apr 2025)</x:v>
      </x:c>
      <x:c r="D144" s="17" t="str">
        <x:v>Google DeepMind</x:v>
      </x:c>
      <x:c r="E144" s="17" t="str">
        <x:v>United States of America</x:v>
      </x:c>
      <x:c r="F144" s="17" t="n">
        <x:v>45764</x:v>
      </x:c>
      <x:c r="G144" s="17" t="str">
        <x:v>API access</x:v>
      </x:c>
      <x:c r="H144" s="17" t="n">
        <x:v>45764</x:v>
      </x:c>
      <x:c r="I144" s="17"/>
      <x:c r="J144" s="17" t="str">
        <x:v>Unknown</x:v>
      </x:c>
      <x:c r="K144" s="17" t="str">
        <x:v>An April 2025 preview of Gemini 2.5 Flash, a small model in Google DeepMind's Gemini 2.5 series.</x:v>
      </x:c>
      <x:c r="L144" s="17"/>
      <x:c r="M144" s="17" t="str">
        <x:v>Gemini 2.5 Flash (Apr 2025)</x:v>
      </x:c>
      <x:c r="N144" s="17" t="str">
        <x:v>Gemini 2.5 Flash (Apr 2025)</x:v>
      </x:c>
      <x:c r="O144" s="17" t="str">
        <x:v>gemini-2-5-flash-apr-2025</x:v>
      </x:c>
      <x:c r="P144" s="17" t="n">
        <x:v>140.61</x:v>
      </x:c>
      <x:c r="Q144" s="17" t="n">
        <x:v>135.95</x:v>
      </x:c>
      <x:c r="R144" s="17" t="n">
        <x:v>142.64</x:v>
      </x:c>
      <x:c r="S144" s="17"/>
      <x:c r="T144" s="17"/>
      <x:c r="U144" s="17"/>
      <x:c r="V144" s="17"/>
      <x:c r="W144" s="17"/>
      <x:c r="X144" s="17"/>
      <x:c r="Y144" s="17"/>
      <x:c r="Z144" s="17"/>
    </x:row>
    <x:row r="145">
      <x:c r="A145" s="17" t="str">
        <x:v>GPT-4.1 nano</x:v>
      </x:c>
      <x:c r="B145" s="17" t="str">
        <x:v>gpt-4.1-nano-2025-04-14</x:v>
      </x:c>
      <x:c r="C145" s="17" t="str">
        <x:v>GPT-4.1 nano</x:v>
      </x:c>
      <x:c r="D145" s="17" t="str">
        <x:v>OpenAI</x:v>
      </x:c>
      <x:c r="E145" s="17" t="str">
        <x:v>United States of America</x:v>
      </x:c>
      <x:c r="F145" s="17" t="n">
        <x:v>45761</x:v>
      </x:c>
      <x:c r="G145" s="17" t="str">
        <x:v>API access</x:v>
      </x:c>
      <x:c r="H145" s="17" t="n">
        <x:v>45761</x:v>
      </x:c>
      <x:c r="I145" s="17"/>
      <x:c r="J145" s="17" t="str">
        <x:v>Unknown</x:v>
      </x:c>
      <x:c r="K145" s="17" t="str">
        <x:v>The smallest version of OpenAI's GPT-4.1.</x:v>
      </x:c>
      <x:c r="L145" s="17"/>
      <x:c r="M145" s="17"/>
      <x:c r="N145" s="17" t="str">
        <x:v>GPT-4.1 nano</x:v>
      </x:c>
      <x:c r="O145" s="17" t="str">
        <x:v>gpt-4-1-nano</x:v>
      </x:c>
      <x:c r="P145" s="17" t="n">
        <x:v>130.88</x:v>
      </x:c>
      <x:c r="Q145" s="17" t="n">
        <x:v>125.17</x:v>
      </x:c>
      <x:c r="R145" s="17" t="n">
        <x:v>133.34</x:v>
      </x:c>
      <x:c r="S145" s="17"/>
      <x:c r="T145" s="17"/>
      <x:c r="U145" s="17"/>
      <x:c r="V145" s="17"/>
      <x:c r="W145" s="17"/>
      <x:c r="X145" s="17"/>
      <x:c r="Y145" s="17"/>
      <x:c r="Z145" s="17"/>
    </x:row>
    <x:row r="146">
      <x:c r="A146" s="17" t="str">
        <x:v>GPT-4.1 mini</x:v>
      </x:c>
      <x:c r="B146" s="17" t="str">
        <x:v>gpt-4.1-mini-2025-04-14</x:v>
      </x:c>
      <x:c r="C146" s="17" t="str">
        <x:v>GPT-4.1 mini</x:v>
      </x:c>
      <x:c r="D146" s="17" t="str">
        <x:v>OpenAI</x:v>
      </x:c>
      <x:c r="E146" s="17" t="str">
        <x:v>United States of America</x:v>
      </x:c>
      <x:c r="F146" s="17" t="n">
        <x:v>45761</x:v>
      </x:c>
      <x:c r="G146" s="17" t="str">
        <x:v>API access</x:v>
      </x:c>
      <x:c r="H146" s="17" t="n">
        <x:v>45761</x:v>
      </x:c>
      <x:c r="I146" s="17"/>
      <x:c r="J146" s="17" t="str">
        <x:v>Unknown</x:v>
      </x:c>
      <x:c r="K146" s="17" t="str">
        <x:v>A smaller version of OpenAI's GPT-4.1.</x:v>
      </x:c>
      <x:c r="L146" s="17"/>
      <x:c r="M146" s="17"/>
      <x:c r="N146" s="17" t="str">
        <x:v>GPT-4.1 mini</x:v>
      </x:c>
      <x:c r="O146" s="17" t="str">
        <x:v>gpt-4-1-mini</x:v>
      </x:c>
      <x:c r="P146" s="17" t="n">
        <x:v>135.79</x:v>
      </x:c>
      <x:c r="Q146" s="17" t="n">
        <x:v>131.28</x:v>
      </x:c>
      <x:c r="R146" s="17" t="n">
        <x:v>137.58</x:v>
      </x:c>
      <x:c r="S146" s="17"/>
      <x:c r="T146" s="17"/>
      <x:c r="U146" s="17"/>
      <x:c r="V146" s="17"/>
      <x:c r="W146" s="17"/>
      <x:c r="X146" s="17"/>
      <x:c r="Y146" s="17"/>
      <x:c r="Z146" s="17"/>
    </x:row>
    <x:row r="147">
      <x:c r="A147" s="17" t="str">
        <x:v>QWQ-Plus</x:v>
      </x:c>
      <x:c r="B147" s="17" t="str">
        <x:v>qwq-plus</x:v>
      </x:c>
      <x:c r="C147" s="17"/>
      <x:c r="D147" s="17" t="str">
        <x:v>Alibaba</x:v>
      </x:c>
      <x:c r="E147" s="17" t="str">
        <x:v>China</x:v>
      </x:c>
      <x:c r="F147" s="17" t="n">
        <x:v>45755</x:v>
      </x:c>
      <x:c r="G147" s="17" t="str">
        <x:v>API access</x:v>
      </x:c>
      <x:c r="H147" s="17" t="n">
        <x:v>45755</x:v>
      </x:c>
      <x:c r="I147" s="17"/>
      <x:c r="J147" s="17" t="str">
        <x:v>Unknown</x:v>
      </x:c>
      <x:c r="K147" s="17"/>
      <x:c r="L147" s="17" t="str">
        <x:v>QwQ-Plus</x:v>
      </x:c>
      <x:c r="M147" s="17"/>
      <x:c r="N147" s="17" t="str">
        <x:v>QWQ-Plus</x:v>
      </x:c>
      <x:c r="O147" s="17" t="str">
        <x:v>qwq-plus</x:v>
      </x:c>
      <x:c r="P147" s="17"/>
      <x:c r="Q147" s="17"/>
      <x:c r="R147" s="17"/>
      <x:c r="S147" s="17"/>
      <x:c r="T147" s="17"/>
      <x:c r="U147" s="17"/>
      <x:c r="V147" s="17"/>
      <x:c r="W147" s="17"/>
      <x:c r="X147" s="17"/>
      <x:c r="Y147" s="17"/>
      <x:c r="Z147" s="17"/>
    </x:row>
    <x:row r="148">
      <x:c r="A148" s="17" t="str">
        <x:v>Grok-3 mini</x:v>
      </x:c>
      <x:c r="B148" s="17" t="str">
        <x:v>grok-3-mini-beta_low</x:v>
      </x:c>
      <x:c r="C148" s="17"/>
      <x:c r="D148" s="17" t="str">
        <x:v>xAI</x:v>
      </x:c>
      <x:c r="E148" s="17" t="str">
        <x:v>United States of America</x:v>
      </x:c>
      <x:c r="F148" s="17" t="n">
        <x:v>45756</x:v>
      </x:c>
      <x:c r="G148" s="17" t="str">
        <x:v>API access</x:v>
      </x:c>
      <x:c r="H148" s="17" t="n">
        <x:v>45707</x:v>
      </x:c>
      <x:c r="I148" s="17"/>
      <x:c r="J148" s="17" t="str">
        <x:v>Unknown</x:v>
      </x:c>
      <x:c r="K148" s="17" t="str">
        <x:v>A beta release of a smaller version of XAI's third generation Grok model, evaluated with low reasoning effort.</x:v>
      </x:c>
      <x:c r="L148" s="17"/>
      <x:c r="M148" s="17"/>
      <x:c r="N148" s="17" t="str">
        <x:v>Grok-3 mini</x:v>
      </x:c>
      <x:c r="O148" s="17" t="str">
        <x:v>grok-3-mini</x:v>
      </x:c>
      <x:c r="P148" s="17" t="n">
        <x:v>141.01</x:v>
      </x:c>
      <x:c r="Q148" s="17" t="n">
        <x:v>137.89</x:v>
      </x:c>
      <x:c r="R148" s="17" t="n">
        <x:v>142.63</x:v>
      </x:c>
      <x:c r="S148" s="17"/>
      <x:c r="T148" s="17"/>
      <x:c r="U148" s="17"/>
      <x:c r="V148" s="17"/>
      <x:c r="W148" s="17"/>
      <x:c r="X148" s="17"/>
      <x:c r="Y148" s="17"/>
      <x:c r="Z148" s="17"/>
    </x:row>
    <x:row r="149">
      <x:c r="A149" s="17" t="str">
        <x:v>Llama 4 Maverick</x:v>
      </x:c>
      <x:c r="B149" s="17" t="str">
        <x:v>Llama-4-Maverick-17B-128E-Instruct-FP8</x:v>
      </x:c>
      <x:c r="C149" s="17" t="str">
        <x:v>Llama 4 Maverick (FP8)</x:v>
      </x:c>
      <x:c r="D149" s="17" t="str">
        <x:v>Meta AI</x:v>
      </x:c>
      <x:c r="E149" s="17" t="str">
        <x:v>United States of America</x:v>
      </x:c>
      <x:c r="F149" s="17" t="n">
        <x:v>45752</x:v>
      </x:c>
      <x:c r="G149" s="17" t="str">
        <x:v>Open weights (restricted use)</x:v>
      </x:c>
      <x:c r="H149" s="17" t="n">
        <x:v>45752</x:v>
      </x:c>
      <x:c r="I149" s="17" t="n">
        <x:v>2.244000000001e+24</x:v>
      </x:c>
      <x:c r="J149" s="17" t="str">
        <x:v>Likely</x:v>
      </x:c>
      <x:c r="K149" s="17" t="str">
        <x:v>The 17 billion active (400 billion total)-parameter model in Meta's Llama 4 series, quantized to FP8.</x:v>
      </x:c>
      <x:c r="L149" s="17"/>
      <x:c r="M149" s="17"/>
      <x:c r="N149" s="17" t="str">
        <x:v>Llama 4 Maverick</x:v>
      </x:c>
      <x:c r="O149" s="17" t="str">
        <x:v>llama-4-maverick</x:v>
      </x:c>
      <x:c r="P149" s="17" t="n">
        <x:v>133.04</x:v>
      </x:c>
      <x:c r="Q149" s="17" t="n">
        <x:v>128.11</x:v>
      </x:c>
      <x:c r="R149" s="17" t="n">
        <x:v>135.12</x:v>
      </x:c>
      <x:c r="S149" s="17"/>
      <x:c r="T149" s="17"/>
      <x:c r="U149" s="17"/>
      <x:c r="V149" s="17"/>
      <x:c r="W149" s="17"/>
      <x:c r="X149" s="17"/>
      <x:c r="Y149" s="17"/>
      <x:c r="Z149" s="17"/>
    </x:row>
    <x:row r="150">
      <x:c r="A150" s="17" t="str">
        <x:v>Llama 4 Scout</x:v>
      </x:c>
      <x:c r="B150" s="17" t="str">
        <x:v>Llama-4-Scout-17B-16E-Instruct</x:v>
      </x:c>
      <x:c r="C150" s="17"/>
      <x:c r="D150" s="17" t="str">
        <x:v>Meta AI</x:v>
      </x:c>
      <x:c r="E150" s="17" t="str">
        <x:v>United States of America</x:v>
      </x:c>
      <x:c r="F150" s="17" t="n">
        <x:v>45752</x:v>
      </x:c>
      <x:c r="G150" s="17" t="str">
        <x:v>Open weights (restricted use)</x:v>
      </x:c>
      <x:c r="H150" s="17" t="n">
        <x:v>45752</x:v>
      </x:c>
      <x:c r="I150" s="17" t="n">
        <x:v>4.08e+24</x:v>
      </x:c>
      <x:c r="J150" s="17" t="str">
        <x:v>Likely</x:v>
      </x:c>
      <x:c r="K150" s="17" t="str">
        <x:v>The 17 billion active (109 billion total)-parameter model in Meta's Llama 4 series.</x:v>
      </x:c>
      <x:c r="L150" s="17"/>
      <x:c r="M150" s="17"/>
      <x:c r="N150" s="17" t="str">
        <x:v>Llama 4 Scout</x:v>
      </x:c>
      <x:c r="O150" s="17" t="str">
        <x:v>llama-4-scout</x:v>
      </x:c>
      <x:c r="P150" s="17" t="n">
        <x:v>130.56</x:v>
      </x:c>
      <x:c r="Q150" s="17" t="n">
        <x:v>125.67</x:v>
      </x:c>
      <x:c r="R150" s="17" t="n">
        <x:v>132.06</x:v>
      </x:c>
      <x:c r="S150" s="17"/>
      <x:c r="T150" s="17"/>
      <x:c r="U150" s="17"/>
      <x:c r="V150" s="17"/>
      <x:c r="W150" s="17"/>
      <x:c r="X150" s="17"/>
      <x:c r="Y150" s="17"/>
      <x:c r="Z150" s="17"/>
    </x:row>
    <x:row r="151">
      <x:c r="A151" s="17" t="str">
        <x:v>Qwen-Turbo</x:v>
      </x:c>
      <x:c r="B151" s="17" t="str">
        <x:v>qwen-turbo-2024-11-01</x:v>
      </x:c>
      <x:c r="C151" s="17"/>
      <x:c r="D151" s="17" t="str">
        <x:v>Alibaba</x:v>
      </x:c>
      <x:c r="E151" s="17" t="str">
        <x:v>China</x:v>
      </x:c>
      <x:c r="F151" s="17" t="n">
        <x:v>45597</x:v>
      </x:c>
      <x:c r="G151" s="17" t="str">
        <x:v>API access</x:v>
      </x:c>
      <x:c r="H151" s="17" t="n">
        <x:v>45328</x:v>
      </x:c>
      <x:c r="I151" s="17"/>
      <x:c r="J151" s="17" t="str">
        <x:v>Unknown</x:v>
      </x:c>
      <x:c r="K151" s="17"/>
      <x:c r="L151" s="17" t="str">
        <x:v>Qwen Turbo</x:v>
      </x:c>
      <x:c r="M151" s="17"/>
      <x:c r="N151" s="17" t="str">
        <x:v>Qwen-Turbo</x:v>
      </x:c>
      <x:c r="O151" s="17" t="str">
        <x:v>qwen-turbo</x:v>
      </x:c>
      <x:c r="P151" s="17"/>
      <x:c r="Q151" s="17"/>
      <x:c r="R151" s="17"/>
      <x:c r="S151" s="17"/>
      <x:c r="T151" s="17"/>
      <x:c r="U151" s="17"/>
      <x:c r="V151" s="17"/>
      <x:c r="W151" s="17"/>
      <x:c r="X151" s="17"/>
      <x:c r="Y151" s="17"/>
      <x:c r="Z151" s="17"/>
    </x:row>
    <x:row r="152">
      <x:c r="A152" s="17" t="str">
        <x:v>Qwen Plus</x:v>
      </x:c>
      <x:c r="B152" s="17" t="str">
        <x:v>qwen-plus-2025-01-25</x:v>
      </x:c>
      <x:c r="C152" s="17"/>
      <x:c r="D152" s="17" t="str">
        <x:v>Alibaba</x:v>
      </x:c>
      <x:c r="E152" s="17" t="str">
        <x:v>China</x:v>
      </x:c>
      <x:c r="F152" s="17" t="n">
        <x:v>45682</x:v>
      </x:c>
      <x:c r="G152" s="17" t="str">
        <x:v>API access</x:v>
      </x:c>
      <x:c r="H152" s="17" t="n">
        <x:v>45328</x:v>
      </x:c>
      <x:c r="I152" s="17"/>
      <x:c r="J152" s="17" t="str">
        <x:v>Unknown</x:v>
      </x:c>
      <x:c r="K152" s="17"/>
      <x:c r="L152" s="17" t="str">
        <x:v>Qwen Plus (Jan 2025)</x:v>
      </x:c>
      <x:c r="M152" s="17" t="str">
        <x:v>Qwen Plus (Jan 2025)</x:v>
      </x:c>
      <x:c r="N152" s="17" t="str">
        <x:v>Qwen Plus (Jan 2025)</x:v>
      </x:c>
      <x:c r="O152" s="17" t="str">
        <x:v>qwen-plus-jan-2025</x:v>
      </x:c>
      <x:c r="P152" s="17"/>
      <x:c r="Q152" s="17"/>
      <x:c r="R152" s="17"/>
      <x:c r="S152" s="17"/>
      <x:c r="T152" s="17"/>
      <x:c r="U152" s="17"/>
      <x:c r="V152" s="17"/>
      <x:c r="W152" s="17"/>
      <x:c r="X152" s="17"/>
      <x:c r="Y152" s="17"/>
      <x:c r="Z152" s="17"/>
    </x:row>
    <x:row r="153">
      <x:c r="A153" s="17" t="str">
        <x:v>Qwen2.5-Max</x:v>
      </x:c>
      <x:c r="B153" s="17" t="str">
        <x:v>qwen-max-2025-01-25</x:v>
      </x:c>
      <x:c r="C153" s="17"/>
      <x:c r="D153" s="17" t="str">
        <x:v>Alibaba</x:v>
      </x:c>
      <x:c r="E153" s="17" t="str">
        <x:v>China</x:v>
      </x:c>
      <x:c r="F153" s="17" t="n">
        <x:v>45682</x:v>
      </x:c>
      <x:c r="G153" s="17" t="str">
        <x:v>API access</x:v>
      </x:c>
      <x:c r="H153" s="17" t="n">
        <x:v>45685</x:v>
      </x:c>
      <x:c r="I153" s="17"/>
      <x:c r="J153" s="17" t="str">
        <x:v>Unknown</x:v>
      </x:c>
      <x:c r="K153" s="17"/>
      <x:c r="L153" s="17" t="str">
        <x:v>Qwen2.5-Max</x:v>
      </x:c>
      <x:c r="M153" s="17"/>
      <x:c r="N153" s="17" t="str">
        <x:v>Qwen2.5-Max</x:v>
      </x:c>
      <x:c r="O153" s="17" t="str">
        <x:v>qwen2-5-max</x:v>
      </x:c>
      <x:c r="P153" s="17" t="n">
        <x:v>133.41</x:v>
      </x:c>
      <x:c r="Q153" s="17" t="n">
        <x:v>129.19</x:v>
      </x:c>
      <x:c r="R153" s="17" t="n">
        <x:v>136.34</x:v>
      </x:c>
      <x:c r="S153" s="17"/>
      <x:c r="T153" s="17"/>
      <x:c r="U153" s="17"/>
      <x:c r="V153" s="17"/>
      <x:c r="W153" s="17"/>
      <x:c r="X153" s="17"/>
      <x:c r="Y153" s="17"/>
      <x:c r="Z153" s="17"/>
    </x:row>
    <x:row r="154">
      <x:c r="A154" s="17" t="str">
        <x:v>Hermes 2 Theta Llama-3 70B</x:v>
      </x:c>
      <x:c r="B154" s="17" t="str">
        <x:v>Hermes-2-Theta-Llama-3-70B</x:v>
      </x:c>
      <x:c r="C154" s="17"/>
      <x:c r="D154" s="17" t="str">
        <x:v>Nous Research,Arcee AI</x:v>
      </x:c>
      <x:c r="E154" s="17" t="str">
        <x:v>United States of America</x:v>
      </x:c>
      <x:c r="F154" s="17" t="n">
        <x:v>45463</x:v>
      </x:c>
      <x:c r="G154" s="17" t="str">
        <x:v>Open weights (restricted use)</x:v>
      </x:c>
      <x:c r="H154" s="17" t="n">
        <x:v>45463</x:v>
      </x:c>
      <x:c r="I154" s="17"/>
      <x:c r="J154" s="17" t="str">
        <x:v>Confident</x:v>
      </x:c>
      <x:c r="K154" s="17" t="str">
        <x:v>Nous Research’s fine-tuned Llama-3 70B optimized for instruction following and chat.</x:v>
      </x:c>
      <x:c r="L154" s="17"/>
      <x:c r="M154" s="17"/>
      <x:c r="N154" s="17" t="str">
        <x:v>Hermes 2 Theta Llama-3 70B</x:v>
      </x:c>
      <x:c r="O154" s="17" t="str">
        <x:v>hermes-2-theta-llama-3-70b</x:v>
      </x:c>
      <x:c r="P154" s="17"/>
      <x:c r="Q154" s="17"/>
      <x:c r="R154" s="17"/>
      <x:c r="S154" s="17"/>
      <x:c r="T154" s="17"/>
      <x:c r="U154" s="17"/>
      <x:c r="V154" s="17"/>
      <x:c r="W154" s="17"/>
      <x:c r="X154" s="17"/>
      <x:c r="Y154" s="17"/>
      <x:c r="Z154" s="17"/>
    </x:row>
    <x:row r="155">
      <x:c r="A155" s="17" t="str">
        <x:v>Gemini 2.5 Pro (Mar 2025)</x:v>
      </x:c>
      <x:c r="B155" s="17" t="str">
        <x:v>gemini-2.5-pro-exp-03-25</x:v>
      </x:c>
      <x:c r="C155" s="17" t="str">
        <x:v>Gemini 2.5 Pro Exp (Mar 2025)</x:v>
      </x:c>
      <x:c r="D155" s="17" t="str">
        <x:v>Google DeepMind</x:v>
      </x:c>
      <x:c r="E155" s="17" t="str">
        <x:v>United States of America</x:v>
      </x:c>
      <x:c r="F155" s="17" t="n">
        <x:v>45741</x:v>
      </x:c>
      <x:c r="G155" s="17" t="str">
        <x:v>API access</x:v>
      </x:c>
      <x:c r="H155" s="17" t="n">
        <x:v>45741</x:v>
      </x:c>
      <x:c r="I155" s="17"/>
      <x:c r="J155" s="17" t="str">
        <x:v>Unknown</x:v>
      </x:c>
      <x:c r="K155" s="17" t="str">
        <x:v>A March 2025 preview version of Gemini 2.5 Pro.</x:v>
      </x:c>
      <x:c r="L155" s="17" t="str">
        <x:v>Gemini 2.5 Pro Exp (Mar 2025)</x:v>
      </x:c>
      <x:c r="M155" s="17" t="str">
        <x:v>Gemini 2.5 Pro (Mar 2025)</x:v>
      </x:c>
      <x:c r="N155" s="17" t="str">
        <x:v>Gemini 2.5 Pro (Mar 2025)</x:v>
      </x:c>
      <x:c r="O155" s="17" t="str">
        <x:v>gemini-2-5-pro-mar-2025</x:v>
      </x:c>
      <x:c r="P155" s="17" t="n">
        <x:v>144.84</x:v>
      </x:c>
      <x:c r="Q155" s="17" t="n">
        <x:v>142.71</x:v>
      </x:c>
      <x:c r="R155" s="17" t="n">
        <x:v>147.18</x:v>
      </x:c>
      <x:c r="S155" s="17"/>
      <x:c r="T155" s="17"/>
      <x:c r="U155" s="17"/>
      <x:c r="V155" s="17"/>
      <x:c r="W155" s="17"/>
      <x:c r="X155" s="17"/>
      <x:c r="Y155" s="17"/>
      <x:c r="Z155" s="17"/>
    </x:row>
    <x:row r="156">
      <x:c r="A156" s="17" t="str">
        <x:v>Mistral Small 3</x:v>
      </x:c>
      <x:c r="B156" s="17" t="str">
        <x:v>mistral-small-2501</x:v>
      </x:c>
      <x:c r="C156" s="17"/>
      <x:c r="D156" s="17" t="str">
        <x:v>Mistral AI</x:v>
      </x:c>
      <x:c r="E156" s="17" t="str">
        <x:v>France</x:v>
      </x:c>
      <x:c r="F156" s="17" t="n">
        <x:v>45682</x:v>
      </x:c>
      <x:c r="G156" s="17" t="str">
        <x:v>Open weights (unrestricted)</x:v>
      </x:c>
      <x:c r="H156" s="17" t="n">
        <x:v>45687</x:v>
      </x:c>
      <x:c r="I156" s="17" t="n">
        <x:v>1.152e+24</x:v>
      </x:c>
      <x:c r="J156" s="17" t="str">
        <x:v>Confident</x:v>
      </x:c>
      <x:c r="K156" s="17"/>
      <x:c r="L156" s="17"/>
      <x:c r="M156" s="17"/>
      <x:c r="N156" s="17" t="str">
        <x:v>Mistral Small 3</x:v>
      </x:c>
      <x:c r="O156" s="17" t="str">
        <x:v>mistral-small-3</x:v>
      </x:c>
      <x:c r="P156" s="17"/>
      <x:c r="Q156" s="17"/>
      <x:c r="R156" s="17"/>
      <x:c r="S156" s="17"/>
      <x:c r="T156" s="17"/>
      <x:c r="U156" s="17"/>
      <x:c r="V156" s="17"/>
      <x:c r="W156" s="17"/>
      <x:c r="X156" s="17"/>
      <x:c r="Y156" s="17"/>
      <x:c r="Z156" s="17"/>
    </x:row>
    <x:row r="157">
      <x:c r="A157" s="17" t="str">
        <x:v>Mistral Small 3.1</x:v>
      </x:c>
      <x:c r="B157" s="17" t="str">
        <x:v>mistral-small-2503</x:v>
      </x:c>
      <x:c r="C157" s="17"/>
      <x:c r="D157" s="17" t="str">
        <x:v>Mistral AI</x:v>
      </x:c>
      <x:c r="E157" s="17" t="str">
        <x:v>France</x:v>
      </x:c>
      <x:c r="F157" s="17" t="n">
        <x:v>45733</x:v>
      </x:c>
      <x:c r="G157" s="17" t="str">
        <x:v>Open weights (unrestricted)</x:v>
      </x:c>
      <x:c r="H157" s="17" t="n">
        <x:v>45733</x:v>
      </x:c>
      <x:c r="I157" s="17"/>
      <x:c r="J157" s="17" t="str">
        <x:v>Confident</x:v>
      </x:c>
      <x:c r="K157" s="17" t="str">
        <x:v>An updated version of Mistral small, a 24 billion-parameter model from Mistral.</x:v>
      </x:c>
      <x:c r="L157" s="17"/>
      <x:c r="M157" s="17"/>
      <x:c r="N157" s="17" t="str">
        <x:v>Mistral Small 3.1</x:v>
      </x:c>
      <x:c r="O157" s="17" t="str">
        <x:v>mistral-small-3-1</x:v>
      </x:c>
      <x:c r="P157" s="17" t="n">
        <x:v>127.75</x:v>
      </x:c>
      <x:c r="Q157" s="17" t="n">
        <x:v>121.89</x:v>
      </x:c>
      <x:c r="R157" s="17" t="n">
        <x:v>129.38</x:v>
      </x:c>
      <x:c r="S157" s="17"/>
      <x:c r="T157" s="17"/>
      <x:c r="U157" s="17"/>
      <x:c r="V157" s="17"/>
      <x:c r="W157" s="17"/>
      <x:c r="X157" s="17"/>
      <x:c r="Y157" s="17"/>
      <x:c r="Z157" s="17"/>
    </x:row>
    <x:row r="158">
      <x:c r="A158" s="17" t="str">
        <x:v>Gemma 3 27B</x:v>
      </x:c>
      <x:c r="B158" s="17" t="str">
        <x:v>gemma-3-27b-it</x:v>
      </x:c>
      <x:c r="C158" s="17"/>
      <x:c r="D158" s="17" t="str">
        <x:v>Google DeepMind</x:v>
      </x:c>
      <x:c r="E158" s="17" t="str">
        <x:v>United States of America</x:v>
      </x:c>
      <x:c r="F158" s="17" t="n">
        <x:v>45728</x:v>
      </x:c>
      <x:c r="G158" s="17" t="str">
        <x:v>Open weights (restricted use)</x:v>
      </x:c>
      <x:c r="H158" s="17" t="n">
        <x:v>45728</x:v>
      </x:c>
      <x:c r="I158" s="17" t="n">
        <x:v>2.268e+24</x:v>
      </x:c>
      <x:c r="J158" s="17" t="str">
        <x:v>Confident</x:v>
      </x:c>
      <x:c r="K158" s="17" t="str">
        <x:v>An instruction-tuned version of the 27 billion-parameter model Google DeepMind's Gemma 3 series.</x:v>
      </x:c>
      <x:c r="L158" s="17"/>
      <x:c r="M158" s="17"/>
      <x:c r="N158" s="17" t="str">
        <x:v>Gemma 3 27B</x:v>
      </x:c>
      <x:c r="O158" s="17" t="str">
        <x:v>gemma-3-27b</x:v>
      </x:c>
      <x:c r="P158" s="17" t="n">
        <x:v>131.08</x:v>
      </x:c>
      <x:c r="Q158" s="17" t="n">
        <x:v>124.84</x:v>
      </x:c>
      <x:c r="R158" s="17" t="n">
        <x:v>133.28</x:v>
      </x:c>
      <x:c r="S158" s="17"/>
      <x:c r="T158" s="17"/>
      <x:c r="U158" s="17"/>
      <x:c r="V158" s="17"/>
      <x:c r="W158" s="17"/>
      <x:c r="X158" s="17"/>
      <x:c r="Y158" s="17"/>
      <x:c r="Z158" s="17"/>
    </x:row>
    <x:row r="159">
      <x:c r="A159" s="17" t="str">
        <x:v>Claude 3.7 Sonnet</x:v>
      </x:c>
      <x:c r="B159" s="17" t="str">
        <x:v>claude-3-7-sonnet-20250219_32K</x:v>
      </x:c>
      <x:c r="C159" s="17" t="str">
        <x:v>Claude 3.7 Sonnet (32k thinking)</x:v>
      </x:c>
      <x:c r="D159" s="17" t="str">
        <x:v>Anthropic</x:v>
      </x:c>
      <x:c r="E159" s="17" t="str">
        <x:v>United States of America</x:v>
      </x:c>
      <x:c r="F159" s="17" t="n">
        <x:v>45712</x:v>
      </x:c>
      <x:c r="G159" s="17" t="str">
        <x:v>API access</x:v>
      </x:c>
      <x:c r="H159" s="17" t="n">
        <x:v>45712</x:v>
      </x:c>
      <x:c r="I159" s="17" t="n">
        <x:v>3.3499999999999998e+25</x:v>
      </x:c>
      <x:c r="J159" s="17" t="str">
        <x:v>Likely</x:v>
      </x:c>
      <x:c r="K159" s="17" t="str">
        <x:v>A previous flagship reasoning model from Anthropic, benchmarked with up to 32,000 reasoning tokens allowed.</x:v>
      </x:c>
      <x:c r="L159" s="17" t="str">
        <x:v>Claude 3.7 Sonnet (32k thinking)</x:v>
      </x:c>
      <x:c r="M159" s="17"/>
      <x:c r="N159" s="17" t="str">
        <x:v>Claude 3.7 Sonnet</x:v>
      </x:c>
      <x:c r="O159" s="17" t="str">
        <x:v>claude-3-7-sonnet</x:v>
      </x:c>
      <x:c r="P159" s="17" t="n">
        <x:v>141.7</x:v>
      </x:c>
      <x:c r="Q159" s="17" t="n">
        <x:v>139.28</x:v>
      </x:c>
      <x:c r="R159" s="17" t="n">
        <x:v>143.27</x:v>
      </x:c>
      <x:c r="S159" s="17"/>
      <x:c r="T159" s="17"/>
      <x:c r="U159" s="17"/>
      <x:c r="V159" s="17"/>
      <x:c r="W159" s="17"/>
      <x:c r="X159" s="17"/>
      <x:c r="Y159" s="17"/>
      <x:c r="Z159" s="17"/>
    </x:row>
    <x:row r="160">
      <x:c r="A160" s="17" t="str">
        <x:v>Gemini 1.5 Flash 8B</x:v>
      </x:c>
      <x:c r="B160" s="17" t="str">
        <x:v>gemini-1.5-flash-8b-001</x:v>
      </x:c>
      <x:c r="C160" s="17"/>
      <x:c r="D160" s="17" t="str">
        <x:v>Google DeepMind</x:v>
      </x:c>
      <x:c r="E160" s="17" t="str">
        <x:v>United States of America</x:v>
      </x:c>
      <x:c r="F160" s="17" t="n">
        <x:v>45568</x:v>
      </x:c>
      <x:c r="G160" s="17" t="str">
        <x:v>API access</x:v>
      </x:c>
      <x:c r="H160" s="17" t="n">
        <x:v>45422</x:v>
      </x:c>
      <x:c r="I160" s="17"/>
      <x:c r="J160" s="17" t="str">
        <x:v>Confident</x:v>
      </x:c>
      <x:c r="K160" s="17"/>
      <x:c r="L160" s="17"/>
      <x:c r="M160" s="17"/>
      <x:c r="N160" s="17" t="str">
        <x:v>Gemini 1.5 Flash 8B</x:v>
      </x:c>
      <x:c r="O160" s="17" t="str">
        <x:v>gemini-1-5-flash-8b</x:v>
      </x:c>
      <x:c r="P160" s="17"/>
      <x:c r="Q160" s="17"/>
      <x:c r="R160" s="17"/>
      <x:c r="S160" s="17"/>
      <x:c r="T160" s="17"/>
      <x:c r="U160" s="17"/>
      <x:c r="V160" s="17"/>
      <x:c r="W160" s="17"/>
      <x:c r="X160" s="17"/>
      <x:c r="Y160" s="17"/>
      <x:c r="Z160" s="17"/>
    </x:row>
    <x:row r="161">
      <x:c r="A161" s="17" t="str">
        <x:v>DeepSeek-R1-Distill-Qwen-14B</x:v>
      </x:c>
      <x:c r="B161" s="17" t="str">
        <x:v>DeepSeek-R1-Distill-Qwen-14B</x:v>
      </x:c>
      <x:c r="C161" s="17"/>
      <x:c r="D161" s="17" t="str">
        <x:v>DeepSeek</x:v>
      </x:c>
      <x:c r="E161" s="17" t="str">
        <x:v>China</x:v>
      </x:c>
      <x:c r="F161" s="17" t="n">
        <x:v>45677</x:v>
      </x:c>
      <x:c r="G161" s="17" t="str">
        <x:v>Open weights (unrestricted)</x:v>
      </x:c>
      <x:c r="H161" s="17" t="n">
        <x:v>45679</x:v>
      </x:c>
      <x:c r="I161" s="17"/>
      <x:c r="J161" s="17" t="str">
        <x:v>Speculative</x:v>
      </x:c>
      <x:c r="K161" s="17" t="str">
        <x:v>A model based on Qwen 14B and additionally trained on outputs from DeepSeek’s R1 model, published as part of DeepSeek R1’s release. </x:v>
      </x:c>
      <x:c r="L161" s="17"/>
      <x:c r="M161" s="17"/>
      <x:c r="N161" s="17" t="str">
        <x:v>DeepSeek-R1-Distill-Qwen-14B</x:v>
      </x:c>
      <x:c r="O161" s="17" t="str">
        <x:v>deepseek-r1-distill-qwen-14b</x:v>
      </x:c>
      <x:c r="P161" s="17"/>
      <x:c r="Q161" s="17"/>
      <x:c r="R161" s="17"/>
      <x:c r="S161" s="17"/>
      <x:c r="T161" s="17"/>
      <x:c r="U161" s="17"/>
      <x:c r="V161" s="17"/>
      <x:c r="W161" s="17"/>
      <x:c r="X161" s="17"/>
      <x:c r="Y161" s="17"/>
      <x:c r="Z161" s="17"/>
    </x:row>
    <x:row r="162">
      <x:c r="A162" s="17" t="str">
        <x:v>DeepSeek-R1-Distill-Llama-70B</x:v>
      </x:c>
      <x:c r="B162" s="17" t="str">
        <x:v>DeepSeek-R1-Distill-Llama-70B</x:v>
      </x:c>
      <x:c r="C162" s="17"/>
      <x:c r="D162" s="17" t="str">
        <x:v>DeepSeek</x:v>
      </x:c>
      <x:c r="E162" s="17" t="str">
        <x:v>China</x:v>
      </x:c>
      <x:c r="F162" s="17" t="n">
        <x:v>45677</x:v>
      </x:c>
      <x:c r="G162" s="17" t="str">
        <x:v>Open weights (unrestricted)</x:v>
      </x:c>
      <x:c r="H162" s="17" t="n">
        <x:v>45679</x:v>
      </x:c>
      <x:c r="I162" s="17"/>
      <x:c r="J162" s="17" t="str">
        <x:v>Speculative</x:v>
      </x:c>
      <x:c r="K162" s="17" t="str">
        <x:v>A model based on LLaMA 70B and additionally trained on outputs from DeepSeek’s R1 model, published as part of DeepSeek R1’s release. </x:v>
      </x:c>
      <x:c r="L162" s="17"/>
      <x:c r="M162" s="17"/>
      <x:c r="N162" s="17" t="str">
        <x:v>DeepSeek-R1-Distill-Llama-70B</x:v>
      </x:c>
      <x:c r="O162" s="17" t="str">
        <x:v>deepseek-r1-distill-llama-70b</x:v>
      </x:c>
      <x:c r="P162" s="17"/>
      <x:c r="Q162" s="17"/>
      <x:c r="R162" s="17"/>
      <x:c r="S162" s="17"/>
      <x:c r="T162" s="17"/>
      <x:c r="U162" s="17"/>
      <x:c r="V162" s="17"/>
      <x:c r="W162" s="17"/>
      <x:c r="X162" s="17"/>
      <x:c r="Y162" s="17"/>
      <x:c r="Z162" s="17"/>
    </x:row>
    <x:row r="163">
      <x:c r="A163" s="17" t="str">
        <x:v>Gemini 2.0 Flash</x:v>
      </x:c>
      <x:c r="B163" s="17" t="str">
        <x:v>gemini-2.0-flash-001</x:v>
      </x:c>
      <x:c r="C163" s="17" t="str">
        <x:v>Gemini 2.0 Flash (Feb 2025)</x:v>
      </x:c>
      <x:c r="D163" s="17" t="str">
        <x:v>Google DeepMind,Google</x:v>
      </x:c>
      <x:c r="E163" s="17" t="str">
        <x:v>United States of America</x:v>
      </x:c>
      <x:c r="F163" s="17" t="n">
        <x:v>45693</x:v>
      </x:c>
      <x:c r="G163" s="17" t="str">
        <x:v>API access</x:v>
      </x:c>
      <x:c r="H163" s="17" t="n">
        <x:v>45637</x:v>
      </x:c>
      <x:c r="I163" s="17"/>
      <x:c r="J163" s="17" t="str">
        <x:v>Unknown</x:v>
      </x:c>
      <x:c r="K163" s="17" t="str">
        <x:v>The first version of Google DeepMind's Gemini 2.0 Flash model.</x:v>
      </x:c>
      <x:c r="L163" s="17"/>
      <x:c r="M163" s="17" t="str">
        <x:v>Gemini 2.0 Flash (Feb 2025)</x:v>
      </x:c>
      <x:c r="N163" s="17" t="str">
        <x:v>Gemini 2.0 Flash (Feb 2025)</x:v>
      </x:c>
      <x:c r="O163" s="17" t="str">
        <x:v>gemini-2-0-flash-feb-2025</x:v>
      </x:c>
      <x:c r="P163" s="17" t="n">
        <x:v>135.79</x:v>
      </x:c>
      <x:c r="Q163" s="17" t="n">
        <x:v>132.35</x:v>
      </x:c>
      <x:c r="R163" s="17" t="n">
        <x:v>137.51</x:v>
      </x:c>
      <x:c r="S163" s="17"/>
      <x:c r="T163" s="17"/>
      <x:c r="U163" s="17"/>
      <x:c r="V163" s="17"/>
      <x:c r="W163" s="17"/>
      <x:c r="X163" s="17"/>
      <x:c r="Y163" s="17"/>
      <x:c r="Z163" s="17"/>
    </x:row>
    <x:row r="164">
      <x:c r="A164" s="17" t="str">
        <x:v>DeepSeek-V3</x:v>
      </x:c>
      <x:c r="B164" s="17" t="str">
        <x:v>DeepSeek-V3</x:v>
      </x:c>
      <x:c r="C164" s="17"/>
      <x:c r="D164" s="17" t="str">
        <x:v>DeepSeek</x:v>
      </x:c>
      <x:c r="E164" s="17" t="str">
        <x:v>China</x:v>
      </x:c>
      <x:c r="F164" s="17" t="n">
        <x:v>45652</x:v>
      </x:c>
      <x:c r="G164" s="17" t="str">
        <x:v>Open weights (restricted use)</x:v>
      </x:c>
      <x:c r="H164" s="17" t="n">
        <x:v>45650</x:v>
      </x:c>
      <x:c r="I164" s="17" t="n">
        <x:v>3.3e+24</x:v>
      </x:c>
      <x:c r="J164" s="17" t="str">
        <x:v>Confident</x:v>
      </x:c>
      <x:c r="K164" s="17" t="str">
        <x:v>DeepSeek’s 2024 mixture-of-experts model.</x:v>
      </x:c>
      <x:c r="L164" s="17" t="str">
        <x:v>DeepSeek-V3</x:v>
      </x:c>
      <x:c r="M164" s="17"/>
      <x:c r="N164" s="17" t="str">
        <x:v>DeepSeek-V3</x:v>
      </x:c>
      <x:c r="O164" s="17" t="str">
        <x:v>deepseek-v3</x:v>
      </x:c>
      <x:c r="P164" s="17" t="n">
        <x:v>132.99</x:v>
      </x:c>
      <x:c r="Q164" s="17" t="n">
        <x:v>127.9</x:v>
      </x:c>
      <x:c r="R164" s="17" t="n">
        <x:v>135.76</x:v>
      </x:c>
      <x:c r="S164" s="17"/>
      <x:c r="T164" s="17"/>
      <x:c r="U164" s="17"/>
      <x:c r="V164" s="17"/>
      <x:c r="W164" s="17"/>
      <x:c r="X164" s="17"/>
      <x:c r="Y164" s="17"/>
      <x:c r="Z164" s="17"/>
    </x:row>
    <x:row r="165">
      <x:c r="A165" s="17" t="str">
        <x:v>Tulu 3 (Tülu 3) 70B</x:v>
      </x:c>
      <x:c r="B165" s="17" t="str">
        <x:v>Llama-3.1-Tulu-3-70B-DPO</x:v>
      </x:c>
      <x:c r="C165" s="17"/>
      <x:c r="D165" s="17" t="str">
        <x:v>Allen Institute for AI,University of Washington</x:v>
      </x:c>
      <x:c r="E165" s="17" t="str">
        <x:v>United States of America</x:v>
      </x:c>
      <x:c r="F165" s="17" t="n">
        <x:v>45617</x:v>
      </x:c>
      <x:c r="G165" s="17" t="str">
        <x:v>Open weights (restricted use)</x:v>
      </x:c>
      <x:c r="H165" s="17" t="n">
        <x:v>45617</x:v>
      </x:c>
      <x:c r="I165" s="17"/>
      <x:c r="J165" s="17" t="str">
        <x:v>Confident</x:v>
      </x:c>
      <x:c r="K165" s="17"/>
      <x:c r="L165" s="17" t="str">
        <x:v>Tülu 3 70B</x:v>
      </x:c>
      <x:c r="M165" s="17"/>
      <x:c r="N165" s="17" t="str">
        <x:v>Tulu 3 (Tülu 3) 70B</x:v>
      </x:c>
      <x:c r="O165" s="17" t="str">
        <x:v>tulu-3-tlu-3-70b</x:v>
      </x:c>
      <x:c r="P165" s="17"/>
      <x:c r="Q165" s="17"/>
      <x:c r="R165" s="17"/>
      <x:c r="S165" s="17"/>
      <x:c r="T165" s="17"/>
      <x:c r="U165" s="17"/>
      <x:c r="V165" s="17"/>
      <x:c r="W165" s="17"/>
      <x:c r="X165" s="17"/>
      <x:c r="Y165" s="17"/>
      <x:c r="Z165" s="17"/>
    </x:row>
    <x:row r="166">
      <x:c r="A166" s="17" t="str">
        <x:v>Gemma 2 27B</x:v>
      </x:c>
      <x:c r="B166" s="17" t="str">
        <x:v>gemma-2-27b-it</x:v>
      </x:c>
      <x:c r="C166" s="17"/>
      <x:c r="D166" s="17" t="str">
        <x:v>Google DeepMind</x:v>
      </x:c>
      <x:c r="E166" s="17" t="str">
        <x:v>United States of America</x:v>
      </x:c>
      <x:c r="F166" s="17" t="n">
        <x:v>45467</x:v>
      </x:c>
      <x:c r="G166" s="17" t="str">
        <x:v>Open weights (restricted use)</x:v>
      </x:c>
      <x:c r="H166" s="17" t="n">
        <x:v>45467</x:v>
      </x:c>
      <x:c r="I166" s="17" t="n">
        <x:v>2.106e+24</x:v>
      </x:c>
      <x:c r="J166" s="17" t="str">
        <x:v>Confident</x:v>
      </x:c>
      <x:c r="K166" s="17" t="str">
        <x:v>An instruction-optimized version of Google DeepMind's Gemma 2 27B.</x:v>
      </x:c>
      <x:c r="L166" s="17"/>
      <x:c r="M166" s="17"/>
      <x:c r="N166" s="17" t="str">
        <x:v>Gemma 2 27B</x:v>
      </x:c>
      <x:c r="O166" s="17" t="str">
        <x:v>gemma-2-27b</x:v>
      </x:c>
      <x:c r="P166" s="17" t="n">
        <x:v>122.47</x:v>
      </x:c>
      <x:c r="Q166" s="17" t="n">
        <x:v>115.04</x:v>
      </x:c>
      <x:c r="R166" s="17" t="n">
        <x:v>124.23</x:v>
      </x:c>
      <x:c r="S166" s="17"/>
      <x:c r="T166" s="17"/>
      <x:c r="U166" s="17"/>
      <x:c r="V166" s="17"/>
      <x:c r="W166" s="17"/>
      <x:c r="X166" s="17"/>
      <x:c r="Y166" s="17"/>
      <x:c r="Z166" s="17"/>
    </x:row>
    <x:row r="167">
      <x:c r="A167" s="17" t="str">
        <x:v>Gemma 2 9B</x:v>
      </x:c>
      <x:c r="B167" s="17" t="str">
        <x:v>gemma-2-9b-it</x:v>
      </x:c>
      <x:c r="C167" s="17"/>
      <x:c r="D167" s="17" t="str">
        <x:v>Google DeepMind</x:v>
      </x:c>
      <x:c r="E167" s="17" t="str">
        <x:v>United States of America</x:v>
      </x:c>
      <x:c r="F167" s="17" t="n">
        <x:v>45467</x:v>
      </x:c>
      <x:c r="G167" s="17" t="str">
        <x:v>Open weights (restricted use)</x:v>
      </x:c>
      <x:c r="H167" s="17" t="n">
        <x:v>45467</x:v>
      </x:c>
      <x:c r="I167" s="17" t="n">
        <x:v>4.32e+23</x:v>
      </x:c>
      <x:c r="J167" s="17" t="str">
        <x:v>Confident</x:v>
      </x:c>
      <x:c r="K167" s="17"/>
      <x:c r="L167" s="17"/>
      <x:c r="M167" s="17"/>
      <x:c r="N167" s="17" t="str">
        <x:v>Gemma 2 9B</x:v>
      </x:c>
      <x:c r="O167" s="17" t="str">
        <x:v>gemma-2-9b</x:v>
      </x:c>
      <x:c r="P167" s="17" t="n">
        <x:v>119.58</x:v>
      </x:c>
      <x:c r="Q167" s="17" t="n">
        <x:v>111.3</x:v>
      </x:c>
      <x:c r="R167" s="17" t="n">
        <x:v>122.38</x:v>
      </x:c>
      <x:c r="S167" s="17"/>
      <x:c r="T167" s="17"/>
      <x:c r="U167" s="17"/>
      <x:c r="V167" s="17"/>
      <x:c r="W167" s="17"/>
      <x:c r="X167" s="17"/>
      <x:c r="Y167" s="17"/>
      <x:c r="Z167" s="17"/>
    </x:row>
    <x:row r="168">
      <x:c r="A168" s="17" t="str">
        <x:v>Claude 2.1</x:v>
      </x:c>
      <x:c r="B168" s="17" t="str">
        <x:v>claude-2.1</x:v>
      </x:c>
      <x:c r="C168" s="17"/>
      <x:c r="D168" s="17" t="str">
        <x:v>Anthropic</x:v>
      </x:c>
      <x:c r="E168" s="17" t="str">
        <x:v>United States of America</x:v>
      </x:c>
      <x:c r="F168" s="17" t="n">
        <x:v>45251</x:v>
      </x:c>
      <x:c r="G168" s="17" t="str">
        <x:v>API access</x:v>
      </x:c>
      <x:c r="H168" s="17" t="n">
        <x:v>45251</x:v>
      </x:c>
      <x:c r="I168" s="17"/>
      <x:c r="J168" s="17" t="str">
        <x:v>Unknown</x:v>
      </x:c>
      <x:c r="K168" s="17" t="str">
        <x:v>An updated version in Anthropic's Claude 2 series.</x:v>
      </x:c>
      <x:c r="L168" s="17"/>
      <x:c r="M168" s="17"/>
      <x:c r="N168" s="17" t="str">
        <x:v>Claude 2.1</x:v>
      </x:c>
      <x:c r="O168" s="17" t="str">
        <x:v>claude-2-1</x:v>
      </x:c>
      <x:c r="P168" s="17" t="n">
        <x:v>118.37</x:v>
      </x:c>
      <x:c r="Q168" s="17" t="n">
        <x:v>109.82</x:v>
      </x:c>
      <x:c r="R168" s="17" t="n">
        <x:v>120.77</x:v>
      </x:c>
      <x:c r="S168" s="17"/>
      <x:c r="T168" s="17"/>
      <x:c r="U168" s="17"/>
      <x:c r="V168" s="17"/>
      <x:c r="W168" s="17"/>
      <x:c r="X168" s="17"/>
      <x:c r="Y168" s="17"/>
      <x:c r="Z168" s="17"/>
    </x:row>
    <x:row r="169">
      <x:c r="A169" s="17" t="str">
        <x:v>Claude 2</x:v>
      </x:c>
      <x:c r="B169" s="17" t="str">
        <x:v>claude-2.0</x:v>
      </x:c>
      <x:c r="C169" s="17"/>
      <x:c r="D169" s="17" t="str">
        <x:v>Anthropic</x:v>
      </x:c>
      <x:c r="E169" s="17" t="str">
        <x:v>United States of America</x:v>
      </x:c>
      <x:c r="F169" s="17" t="n">
        <x:v>45118</x:v>
      </x:c>
      <x:c r="G169" s="17" t="str">
        <x:v>API access</x:v>
      </x:c>
      <x:c r="H169" s="17" t="n">
        <x:v>45118</x:v>
      </x:c>
      <x:c r="I169" s="17" t="n">
        <x:v>3.866e+24</x:v>
      </x:c>
      <x:c r="J169" s="17" t="str">
        <x:v>Speculative</x:v>
      </x:c>
      <x:c r="K169" s="17" t="str">
        <x:v>Anthropic's second generation Claude model.</x:v>
      </x:c>
      <x:c r="L169" s="17"/>
      <x:c r="M169" s="17"/>
      <x:c r="N169" s="17" t="str">
        <x:v>Claude 2</x:v>
      </x:c>
      <x:c r="O169" s="17" t="str">
        <x:v>claude-2</x:v>
      </x:c>
      <x:c r="P169" s="17" t="n">
        <x:v>119.58</x:v>
      </x:c>
      <x:c r="Q169" s="17" t="n">
        <x:v>111.5</x:v>
      </x:c>
      <x:c r="R169" s="17" t="n">
        <x:v>124.06</x:v>
      </x:c>
      <x:c r="S169" s="17"/>
      <x:c r="T169" s="17"/>
      <x:c r="U169" s="17"/>
      <x:c r="V169" s="17"/>
      <x:c r="W169" s="17"/>
      <x:c r="X169" s="17"/>
      <x:c r="Y169" s="17"/>
      <x:c r="Z169" s="17"/>
    </x:row>
    <x:row r="170">
      <x:c r="A170" s="17" t="str">
        <x:v>Gemini 2.0 Flash Thinking</x:v>
      </x:c>
      <x:c r="B170" s="17" t="str">
        <x:v>gemini-2.0-flash-thinking-exp-01-21</x:v>
      </x:c>
      <x:c r="C170" s="17" t="str">
        <x:v>Gemini 2.0 Flash Thinking Exp</x:v>
      </x:c>
      <x:c r="D170" s="17" t="str">
        <x:v>Google DeepMind,Google</x:v>
      </x:c>
      <x:c r="E170" s="17" t="str">
        <x:v>United States of America</x:v>
      </x:c>
      <x:c r="F170" s="17" t="n">
        <x:v>45678</x:v>
      </x:c>
      <x:c r="G170" s="17" t="str">
        <x:v>API access</x:v>
      </x:c>
      <x:c r="H170" s="17" t="n">
        <x:v>45645</x:v>
      </x:c>
      <x:c r="I170" s="17"/>
      <x:c r="J170" s="17" t="str">
        <x:v>Unknown</x:v>
      </x:c>
      <x:c r="K170" s="17" t="str">
        <x:v>A January 2025 experimental version of Gemini 2.0 Flash Thinking, a small reasoning model from Google DeepMind.</x:v>
      </x:c>
      <x:c r="L170" s="17"/>
      <x:c r="M170" s="17" t="str">
        <x:v>Gemini 2.0 Flash Thinking (Jan 2025)</x:v>
      </x:c>
      <x:c r="N170" s="17" t="str">
        <x:v>Gemini 2.0 Flash Thinking (Jan 2025)</x:v>
      </x:c>
      <x:c r="O170" s="17" t="str">
        <x:v>gemini-2-0-flash-thinking-jan-2025</x:v>
      </x:c>
      <x:c r="P170" s="17" t="n">
        <x:v>136.23</x:v>
      </x:c>
      <x:c r="Q170" s="17" t="n">
        <x:v>130.57</x:v>
      </x:c>
      <x:c r="R170" s="17" t="n">
        <x:v>139</x:v>
      </x:c>
      <x:c r="S170" s="17"/>
      <x:c r="T170" s="17"/>
      <x:c r="U170" s="17"/>
      <x:c r="V170" s="17"/>
      <x:c r="W170" s="17"/>
      <x:c r="X170" s="17"/>
      <x:c r="Y170" s="17"/>
      <x:c r="Z170" s="17"/>
    </x:row>
    <x:row r="171">
      <x:c r="A171" s="17" t="str">
        <x:v>o1-preview</x:v>
      </x:c>
      <x:c r="B171" s="17" t="str">
        <x:v>o1-preview-2024-09-12</x:v>
      </x:c>
      <x:c r="C171" s="17" t="str">
        <x:v>o1-preview</x:v>
      </x:c>
      <x:c r="D171" s="17" t="str">
        <x:v>OpenAI</x:v>
      </x:c>
      <x:c r="E171" s="17" t="str">
        <x:v>United States of America</x:v>
      </x:c>
      <x:c r="F171" s="17" t="n">
        <x:v>45547</x:v>
      </x:c>
      <x:c r="G171" s="17" t="str">
        <x:v>API access</x:v>
      </x:c>
      <x:c r="H171" s="17" t="n">
        <x:v>45547</x:v>
      </x:c>
      <x:c r="I171" s="17"/>
      <x:c r="J171" s="17" t="str">
        <x:v>Unknown</x:v>
      </x:c>
      <x:c r="K171" s="17" t="str">
        <x:v>The September 2024 preview version of OpenAI’s first reasoning model, o1. </x:v>
      </x:c>
      <x:c r="L171" s="17"/>
      <x:c r="M171" s="17"/>
      <x:c r="N171" s="17" t="str">
        <x:v>o1-preview</x:v>
      </x:c>
      <x:c r="O171" s="17" t="str">
        <x:v>o1-preview</x:v>
      </x:c>
      <x:c r="P171" s="17" t="n">
        <x:v>135.81</x:v>
      </x:c>
      <x:c r="Q171" s="17" t="n">
        <x:v>132.17</x:v>
      </x:c>
      <x:c r="R171" s="17" t="n">
        <x:v>139.39</x:v>
      </x:c>
      <x:c r="S171" s="17"/>
      <x:c r="T171" s="17"/>
      <x:c r="U171" s="17"/>
      <x:c r="V171" s="17"/>
      <x:c r="W171" s="17"/>
      <x:c r="X171" s="17"/>
      <x:c r="Y171" s="17"/>
      <x:c r="Z171" s="17"/>
    </x:row>
    <x:row r="172">
      <x:c r="A172" s="17" t="str">
        <x:v>Gemini 2.0 Pro</x:v>
      </x:c>
      <x:c r="B172" s="17" t="str">
        <x:v>gemini-2.0-pro-exp-02-05</x:v>
      </x:c>
      <x:c r="C172" s="17" t="str">
        <x:v>Gemini 2.0 Pro Exp (Feb 2025)</x:v>
      </x:c>
      <x:c r="D172" s="17" t="str">
        <x:v>Google DeepMind</x:v>
      </x:c>
      <x:c r="E172" s="17" t="str">
        <x:v>United States of America</x:v>
      </x:c>
      <x:c r="F172" s="17" t="n">
        <x:v>45693</x:v>
      </x:c>
      <x:c r="G172" s="17" t="str">
        <x:v>Hosted access (no API)</x:v>
      </x:c>
      <x:c r="H172" s="17" t="n">
        <x:v>45637</x:v>
      </x:c>
      <x:c r="I172" s="17"/>
      <x:c r="J172" s="17" t="str">
        <x:v>Unknown</x:v>
      </x:c>
      <x:c r="K172" s="17" t="str">
        <x:v>A February 2025 experimental version of Google DeepMind's previous flagship model, Gemini 2.0 Pro.</x:v>
      </x:c>
      <x:c r="L172" s="17"/>
      <x:c r="M172" s="17"/>
      <x:c r="N172" s="17" t="str">
        <x:v>Gemini 2.0 Pro</x:v>
      </x:c>
      <x:c r="O172" s="17" t="str">
        <x:v>gemini-2-0-pro</x:v>
      </x:c>
      <x:c r="P172" s="17" t="n">
        <x:v>135.62</x:v>
      </x:c>
      <x:c r="Q172" s="17" t="n">
        <x:v>131.84</x:v>
      </x:c>
      <x:c r="R172" s="17" t="n">
        <x:v>137.18</x:v>
      </x:c>
      <x:c r="S172" s="17"/>
      <x:c r="T172" s="17"/>
      <x:c r="U172" s="17"/>
      <x:c r="V172" s="17"/>
      <x:c r="W172" s="17"/>
      <x:c r="X172" s="17"/>
      <x:c r="Y172" s="17"/>
      <x:c r="Z172" s="17"/>
    </x:row>
    <x:row r="173">
      <x:c r="A173" s="17" t="str">
        <x:v>o1</x:v>
      </x:c>
      <x:c r="B173" s="17" t="str">
        <x:v>o1-2024-12-17_high</x:v>
      </x:c>
      <x:c r="C173" s="17" t="str">
        <x:v>o1 (high)</x:v>
      </x:c>
      <x:c r="D173" s="17" t="str">
        <x:v>OpenAI</x:v>
      </x:c>
      <x:c r="E173" s="17" t="str">
        <x:v>United States of America</x:v>
      </x:c>
      <x:c r="F173" s="17" t="n">
        <x:v>45643</x:v>
      </x:c>
      <x:c r="G173" s="17" t="str">
        <x:v>API access</x:v>
      </x:c>
      <x:c r="H173" s="17" t="n">
        <x:v>45631</x:v>
      </x:c>
      <x:c r="I173" s="17"/>
      <x:c r="J173" s="17" t="str">
        <x:v>Unknown</x:v>
      </x:c>
      <x:c r="K173" s="17" t="str">
        <x:v>OpenAI's first reasoning model, evaluated with at the high reasoning effort level.</x:v>
      </x:c>
      <x:c r="L173" s="17"/>
      <x:c r="M173" s="17"/>
      <x:c r="N173" s="17" t="str">
        <x:v>o1</x:v>
      </x:c>
      <x:c r="O173" s="17" t="str">
        <x:v>o1</x:v>
      </x:c>
      <x:c r="P173" s="17" t="n">
        <x:v>142.69</x:v>
      </x:c>
      <x:c r="Q173" s="17" t="n">
        <x:v>140.88</x:v>
      </x:c>
      <x:c r="R173" s="17" t="n">
        <x:v>143.81</x:v>
      </x:c>
      <x:c r="S173" s="17"/>
      <x:c r="T173" s="17"/>
      <x:c r="U173" s="17"/>
      <x:c r="V173" s="17"/>
      <x:c r="W173" s="17"/>
      <x:c r="X173" s="17"/>
      <x:c r="Y173" s="17"/>
      <x:c r="Z173" s="17"/>
    </x:row>
    <x:row r="174">
      <x:c r="A174" s="17" t="str">
        <x:v>GPT-4o</x:v>
      </x:c>
      <x:c r="B174" s="17" t="str">
        <x:v>gpt-4o-2024-08-06</x:v>
      </x:c>
      <x:c r="C174" s="17" t="str">
        <x:v>GPT-4o (Aug 2024)</x:v>
      </x:c>
      <x:c r="D174" s="17" t="str">
        <x:v>OpenAI</x:v>
      </x:c>
      <x:c r="E174" s="17" t="str">
        <x:v>United States of America</x:v>
      </x:c>
      <x:c r="F174" s="17" t="n">
        <x:v>45510</x:v>
      </x:c>
      <x:c r="G174" s="17" t="str">
        <x:v>API access</x:v>
      </x:c>
      <x:c r="H174" s="17" t="n">
        <x:v>45425</x:v>
      </x:c>
      <x:c r="I174" s="17"/>
      <x:c r="J174" s="17" t="str">
        <x:v>Speculative</x:v>
      </x:c>
      <x:c r="K174" s="17" t="str">
        <x:v>An updated version of GPT-4o, OpenAI's model that powered ChatGPT from mid-2024 to -2025.</x:v>
      </x:c>
      <x:c r="L174" s="17"/>
      <x:c r="M174" s="17" t="str">
        <x:v>GPT-4o (Aug 2024)</x:v>
      </x:c>
      <x:c r="N174" s="17" t="str">
        <x:v>GPT-4o (Aug 2024)</x:v>
      </x:c>
      <x:c r="O174" s="17" t="str">
        <x:v>gpt-4o-aug-2024</x:v>
      </x:c>
      <x:c r="P174" s="17" t="n">
        <x:v>129.16</x:v>
      </x:c>
      <x:c r="Q174" s="17" t="n">
        <x:v>123.4</x:v>
      </x:c>
      <x:c r="R174" s="17" t="n">
        <x:v>130.88</x:v>
      </x:c>
      <x:c r="S174" s="17"/>
      <x:c r="T174" s="17"/>
      <x:c r="U174" s="17"/>
      <x:c r="V174" s="17"/>
      <x:c r="W174" s="17"/>
      <x:c r="X174" s="17"/>
      <x:c r="Y174" s="17"/>
      <x:c r="Z174" s="17"/>
    </x:row>
    <x:row r="175">
      <x:c r="A175" s="17" t="str">
        <x:v>Gemini 1.5 Flash</x:v>
      </x:c>
      <x:c r="B175" s="17" t="str">
        <x:v>gemini-1.5-flash-002</x:v>
      </x:c>
      <x:c r="C175" s="17"/>
      <x:c r="D175" s="17" t="str">
        <x:v>Google DeepMind</x:v>
      </x:c>
      <x:c r="E175" s="17" t="str">
        <x:v>United States of America</x:v>
      </x:c>
      <x:c r="F175" s="17" t="n">
        <x:v>45559</x:v>
      </x:c>
      <x:c r="G175" s="17" t="str">
        <x:v>API access</x:v>
      </x:c>
      <x:c r="H175" s="17" t="n">
        <x:v>45422</x:v>
      </x:c>
      <x:c r="I175" s="17"/>
      <x:c r="J175" s="17" t="str">
        <x:v>Unknown</x:v>
      </x:c>
      <x:c r="K175" s="17" t="str">
        <x:v>The second version of Google DeepMind's Gemini 1.5 Flash.</x:v>
      </x:c>
      <x:c r="L175" s="17"/>
      <x:c r="M175" s="17" t="str">
        <x:v>Gemini 1.5 Flash (Sep 2024)</x:v>
      </x:c>
      <x:c r="N175" s="17" t="str">
        <x:v>Gemini 1.5 Flash (Sep 2024)</x:v>
      </x:c>
      <x:c r="O175" s="17" t="str">
        <x:v>gemini-1-5-flash-sep-2024</x:v>
      </x:c>
      <x:c r="P175" s="17" t="n">
        <x:v>130.39</x:v>
      </x:c>
      <x:c r="Q175" s="17" t="n">
        <x:v>123.54</x:v>
      </x:c>
      <x:c r="R175" s="17" t="n">
        <x:v>132.06</x:v>
      </x:c>
      <x:c r="S175" s="17"/>
      <x:c r="T175" s="17"/>
      <x:c r="U175" s="17"/>
      <x:c r="V175" s="17"/>
      <x:c r="W175" s="17"/>
      <x:c r="X175" s="17"/>
      <x:c r="Y175" s="17"/>
      <x:c r="Z175" s="17"/>
    </x:row>
    <x:row r="176">
      <x:c r="A176" s="17" t="str">
        <x:v>o1-mini</x:v>
      </x:c>
      <x:c r="B176" s="17" t="str">
        <x:v>o1-mini-2024-09-12_high</x:v>
      </x:c>
      <x:c r="C176" s="17" t="str">
        <x:v>o1-mini (high)</x:v>
      </x:c>
      <x:c r="D176" s="17" t="str">
        <x:v>OpenAI</x:v>
      </x:c>
      <x:c r="E176" s="17" t="str">
        <x:v>United States of America</x:v>
      </x:c>
      <x:c r="F176" s="17" t="n">
        <x:v>45547</x:v>
      </x:c>
      <x:c r="G176" s="17" t="str">
        <x:v>API access</x:v>
      </x:c>
      <x:c r="H176" s="17" t="n">
        <x:v>45547</x:v>
      </x:c>
      <x:c r="I176" s="17"/>
      <x:c r="J176" s="17" t="str">
        <x:v>Unknown</x:v>
      </x:c>
      <x:c r="K176" s="17" t="str">
        <x:v>A smaller version of OpenAI’s first reasoning model, o1, evaluated with high reasoning effort.</x:v>
      </x:c>
      <x:c r="L176" s="17"/>
      <x:c r="M176" s="17"/>
      <x:c r="N176" s="17" t="str">
        <x:v>o1-mini</x:v>
      </x:c>
      <x:c r="O176" s="17" t="str">
        <x:v>o1-mini</x:v>
      </x:c>
      <x:c r="P176" s="17" t="n">
        <x:v>136.56</x:v>
      </x:c>
      <x:c r="Q176" s="17" t="n">
        <x:v>132.78</x:v>
      </x:c>
      <x:c r="R176" s="17" t="n">
        <x:v>138</x:v>
      </x:c>
      <x:c r="S176" s="17"/>
      <x:c r="T176" s="17"/>
      <x:c r="U176" s="17"/>
      <x:c r="V176" s="17"/>
      <x:c r="W176" s="17"/>
      <x:c r="X176" s="17"/>
      <x:c r="Y176" s="17"/>
      <x:c r="Z176" s="17"/>
    </x:row>
    <x:row r="177">
      <x:c r="A177" s="17" t="str">
        <x:v>o1-mini</x:v>
      </x:c>
      <x:c r="B177" s="17" t="str">
        <x:v>o1-mini-2024-09-12_medium</x:v>
      </x:c>
      <x:c r="C177" s="17" t="str">
        <x:v>o1-mini (medium)</x:v>
      </x:c>
      <x:c r="D177" s="17" t="str">
        <x:v>OpenAI</x:v>
      </x:c>
      <x:c r="E177" s="17" t="str">
        <x:v>United States of America</x:v>
      </x:c>
      <x:c r="F177" s="17" t="n">
        <x:v>45547</x:v>
      </x:c>
      <x:c r="G177" s="17" t="str">
        <x:v>API access</x:v>
      </x:c>
      <x:c r="H177" s="17" t="n">
        <x:v>45547</x:v>
      </x:c>
      <x:c r="I177" s="17"/>
      <x:c r="J177" s="17" t="str">
        <x:v>Unknown</x:v>
      </x:c>
      <x:c r="K177" s="17" t="str">
        <x:v>A smaller version of OpenAI’s first reasoning model, o1, evaluated with medium reasoning effort.</x:v>
      </x:c>
      <x:c r="L177" s="17"/>
      <x:c r="M177" s="17"/>
      <x:c r="N177" s="17" t="str">
        <x:v>o1-mini</x:v>
      </x:c>
      <x:c r="O177" s="17" t="str">
        <x:v>o1-mini</x:v>
      </x:c>
      <x:c r="P177" s="17" t="n">
        <x:v>136.56</x:v>
      </x:c>
      <x:c r="Q177" s="17" t="n">
        <x:v>132.78</x:v>
      </x:c>
      <x:c r="R177" s="17" t="n">
        <x:v>138</x:v>
      </x:c>
      <x:c r="S177" s="17"/>
      <x:c r="T177" s="17"/>
      <x:c r="U177" s="17"/>
      <x:c r="V177" s="17"/>
      <x:c r="W177" s="17"/>
      <x:c r="X177" s="17"/>
      <x:c r="Y177" s="17"/>
      <x:c r="Z177" s="17"/>
    </x:row>
    <x:row r="178">
      <x:c r="A178" s="17" t="str">
        <x:v>Claude 3.7 Sonnet</x:v>
      </x:c>
      <x:c r="B178" s="17" t="str">
        <x:v>claude-3-7-sonnet-20250219_16K</x:v>
      </x:c>
      <x:c r="C178" s="17" t="str">
        <x:v>Claude 3.7 Sonnet (16k thinking)</x:v>
      </x:c>
      <x:c r="D178" s="17" t="str">
        <x:v>Anthropic</x:v>
      </x:c>
      <x:c r="E178" s="17" t="str">
        <x:v>United States of America</x:v>
      </x:c>
      <x:c r="F178" s="17" t="n">
        <x:v>45712</x:v>
      </x:c>
      <x:c r="G178" s="17" t="str">
        <x:v>API access</x:v>
      </x:c>
      <x:c r="H178" s="17" t="n">
        <x:v>45712</x:v>
      </x:c>
      <x:c r="I178" s="17" t="n">
        <x:v>3.3499999999999998e+25</x:v>
      </x:c>
      <x:c r="J178" s="17" t="str">
        <x:v>Likely</x:v>
      </x:c>
      <x:c r="K178" s="17" t="str">
        <x:v>A previous flagship reasoning model from Anthropic, benchmarked with up to 16,000 reasoning tokens allowed.</x:v>
      </x:c>
      <x:c r="L178" s="17" t="str">
        <x:v>Claude 3.7 Sonnet (16k thinking)</x:v>
      </x:c>
      <x:c r="M178" s="17"/>
      <x:c r="N178" s="17" t="str">
        <x:v>Claude 3.7 Sonnet</x:v>
      </x:c>
      <x:c r="O178" s="17" t="str">
        <x:v>claude-3-7-sonnet</x:v>
      </x:c>
      <x:c r="P178" s="17" t="n">
        <x:v>141.7</x:v>
      </x:c>
      <x:c r="Q178" s="17" t="n">
        <x:v>139.28</x:v>
      </x:c>
      <x:c r="R178" s="17" t="n">
        <x:v>143.27</x:v>
      </x:c>
      <x:c r="S178" s="17"/>
      <x:c r="T178" s="17"/>
      <x:c r="U178" s="17"/>
      <x:c r="V178" s="17"/>
      <x:c r="W178" s="17"/>
      <x:c r="X178" s="17"/>
      <x:c r="Y178" s="17"/>
      <x:c r="Z178" s="17"/>
    </x:row>
    <x:row r="179">
      <x:c r="A179" s="17" t="str">
        <x:v>o3-mini</x:v>
      </x:c>
      <x:c r="B179" s="17" t="str">
        <x:v>o3-mini-2025-01-31_medium</x:v>
      </x:c>
      <x:c r="C179" s="17" t="str">
        <x:v>o3-mini (medium)</x:v>
      </x:c>
      <x:c r="D179" s="17" t="str">
        <x:v>OpenAI</x:v>
      </x:c>
      <x:c r="E179" s="17" t="str">
        <x:v>United States of America</x:v>
      </x:c>
      <x:c r="F179" s="17" t="n">
        <x:v>45688</x:v>
      </x:c>
      <x:c r="G179" s="17" t="str">
        <x:v>API access</x:v>
      </x:c>
      <x:c r="H179" s="17" t="n">
        <x:v>45688</x:v>
      </x:c>
      <x:c r="I179" s="17"/>
      <x:c r="J179" s="17" t="str">
        <x:v>Unknown</x:v>
      </x:c>
      <x:c r="K179" s="17" t="str">
        <x:v>A smaller version of OpenAI's o3 reasoning model, evaluated with medium reasoning effort.</x:v>
      </x:c>
      <x:c r="L179" s="17"/>
      <x:c r="M179" s="17"/>
      <x:c r="N179" s="17" t="str">
        <x:v>o3-mini</x:v>
      </x:c>
      <x:c r="O179" s="17" t="str">
        <x:v>o3-mini</x:v>
      </x:c>
      <x:c r="P179" s="17" t="n">
        <x:v>141.41</x:v>
      </x:c>
      <x:c r="Q179" s="17" t="n">
        <x:v>137.82</x:v>
      </x:c>
      <x:c r="R179" s="17" t="n">
        <x:v>142.81</x:v>
      </x:c>
      <x:c r="S179" s="17"/>
      <x:c r="T179" s="17"/>
      <x:c r="U179" s="17"/>
      <x:c r="V179" s="17"/>
      <x:c r="W179" s="17"/>
      <x:c r="X179" s="17"/>
      <x:c r="Y179" s="17"/>
      <x:c r="Z179" s="17"/>
    </x:row>
    <x:row r="180">
      <x:c r="A180" s="17" t="str">
        <x:v>Grok-2</x:v>
      </x:c>
      <x:c r="B180" s="17" t="str">
        <x:v>grok-2-1212</x:v>
      </x:c>
      <x:c r="C180" s="17"/>
      <x:c r="D180" s="17" t="str">
        <x:v>xAI</x:v>
      </x:c>
      <x:c r="E180" s="17" t="str">
        <x:v>United States of America</x:v>
      </x:c>
      <x:c r="F180" s="17" t="n">
        <x:v>45638</x:v>
      </x:c>
      <x:c r="G180" s="17" t="str">
        <x:v>API access</x:v>
      </x:c>
      <x:c r="H180" s="17" t="n">
        <x:v>45517</x:v>
      </x:c>
      <x:c r="I180" s="17" t="n">
        <x:v>2.9599999999999996e+25</x:v>
      </x:c>
      <x:c r="J180" s="17" t="str">
        <x:v>Confident</x:v>
      </x:c>
      <x:c r="K180" s="17" t="str">
        <x:v>XAI's second generation Grok model.</x:v>
      </x:c>
      <x:c r="L180" s="17"/>
      <x:c r="M180" s="17" t="str">
        <x:v>Grok-2 (Dec 2024)</x:v>
      </x:c>
      <x:c r="N180" s="17" t="str">
        <x:v>Grok-2 (Dec 2024)</x:v>
      </x:c>
      <x:c r="O180" s="17" t="str">
        <x:v>grok-2-dec-2024</x:v>
      </x:c>
      <x:c r="P180" s="17" t="n">
        <x:v>130.78</x:v>
      </x:c>
      <x:c r="Q180" s="17" t="n">
        <x:v>124.85</x:v>
      </x:c>
      <x:c r="R180" s="17" t="n">
        <x:v>131.99</x:v>
      </x:c>
      <x:c r="S180" s="17"/>
      <x:c r="T180" s="17"/>
      <x:c r="U180" s="17"/>
      <x:c r="V180" s="17"/>
      <x:c r="W180" s="17"/>
      <x:c r="X180" s="17"/>
      <x:c r="Y180" s="17"/>
      <x:c r="Z180" s="17"/>
    </x:row>
    <x:row r="181">
      <x:c r="A181" s="17" t="str">
        <x:v>Mistral Large 2</x:v>
      </x:c>
      <x:c r="B181" s="17" t="str">
        <x:v>mistral-large-2411</x:v>
      </x:c>
      <x:c r="C181" s="17"/>
      <x:c r="D181" s="17" t="str">
        <x:v>Mistral AI</x:v>
      </x:c>
      <x:c r="E181" s="17" t="str">
        <x:v>France</x:v>
      </x:c>
      <x:c r="F181" s="17" t="n">
        <x:v>45614</x:v>
      </x:c>
      <x:c r="G181" s="17" t="str">
        <x:v>Open weights (non-commercial)</x:v>
      </x:c>
      <x:c r="H181" s="17" t="n">
        <x:v>45497</x:v>
      </x:c>
      <x:c r="I181" s="17" t="n">
        <x:v>2.13e+25</x:v>
      </x:c>
      <x:c r="J181" s="17" t="str">
        <x:v>Likely</x:v>
      </x:c>
      <x:c r="K181" s="17"/>
      <x:c r="L181" s="17"/>
      <x:c r="M181" s="17" t="str">
        <x:v>Mistral Large 2 (Nov 2024)</x:v>
      </x:c>
      <x:c r="N181" s="17" t="str">
        <x:v>Mistral Large 2 (Nov 2024)</x:v>
      </x:c>
      <x:c r="O181" s="17" t="str">
        <x:v>mistral-large-2-nov-2024</x:v>
      </x:c>
      <x:c r="P181" s="17" t="n">
        <x:v>128.81</x:v>
      </x:c>
      <x:c r="Q181" s="17" t="n">
        <x:v>123.59</x:v>
      </x:c>
      <x:c r="R181" s="17" t="n">
        <x:v>130.68</x:v>
      </x:c>
      <x:c r="S181" s="17"/>
      <x:c r="T181" s="17"/>
      <x:c r="U181" s="17"/>
      <x:c r="V181" s="17"/>
      <x:c r="W181" s="17"/>
      <x:c r="X181" s="17"/>
      <x:c r="Y181" s="17"/>
      <x:c r="Z181" s="17"/>
    </x:row>
    <x:row r="182">
      <x:c r="A182" s="17" t="str">
        <x:v>GPT-4.5</x:v>
      </x:c>
      <x:c r="B182" s="17" t="str">
        <x:v>gpt-4.5-preview-2025-02-27</x:v>
      </x:c>
      <x:c r="C182" s="17" t="str">
        <x:v>GPT-4.5 Preview (Feb 2025)</x:v>
      </x:c>
      <x:c r="D182" s="17" t="str">
        <x:v>OpenAI</x:v>
      </x:c>
      <x:c r="E182" s="17" t="str">
        <x:v>United States of America</x:v>
      </x:c>
      <x:c r="F182" s="17" t="n">
        <x:v>45715</x:v>
      </x:c>
      <x:c r="G182" s="17" t="str">
        <x:v>API access</x:v>
      </x:c>
      <x:c r="H182" s="17" t="n">
        <x:v>45715</x:v>
      </x:c>
      <x:c r="I182" s="17" t="n">
        <x:v>3.8e+26</x:v>
      </x:c>
      <x:c r="J182" s="17" t="str">
        <x:v>Likely</x:v>
      </x:c>
      <x:c r="K182" s="17" t="str">
        <x:v>The largest model in OpenAI’s GPT series.</x:v>
      </x:c>
      <x:c r="L182" s="17"/>
      <x:c r="M182" s="17"/>
      <x:c r="N182" s="17" t="str">
        <x:v>GPT-4.5</x:v>
      </x:c>
      <x:c r="O182" s="17" t="str">
        <x:v>gpt-4-5</x:v>
      </x:c>
      <x:c r="P182" s="17" t="n">
        <x:v>137.54</x:v>
      </x:c>
      <x:c r="Q182" s="17" t="n">
        <x:v>134.46</x:v>
      </x:c>
      <x:c r="R182" s="17" t="n">
        <x:v>139.14</x:v>
      </x:c>
      <x:c r="S182" s="17"/>
      <x:c r="T182" s="17"/>
      <x:c r="U182" s="17"/>
      <x:c r="V182" s="17"/>
      <x:c r="W182" s="17"/>
      <x:c r="X182" s="17"/>
      <x:c r="Y182" s="17"/>
      <x:c r="Z182" s="17"/>
    </x:row>
    <x:row r="183">
      <x:c r="A183" s="17" t="str">
        <x:v>GPT-4 Turbo (Apr 2024)</x:v>
      </x:c>
      <x:c r="B183" s="17" t="str">
        <x:v>gpt-4-turbo-2024-04-09</x:v>
      </x:c>
      <x:c r="C183" s="17"/>
      <x:c r="D183" s="17" t="str">
        <x:v>OpenAI</x:v>
      </x:c>
      <x:c r="E183" s="17" t="str">
        <x:v>United States of America</x:v>
      </x:c>
      <x:c r="F183" s="17" t="n">
        <x:v>45391</x:v>
      </x:c>
      <x:c r="G183" s="17" t="str">
        <x:v>API access</x:v>
      </x:c>
      <x:c r="H183" s="17" t="n">
        <x:v>45391</x:v>
      </x:c>
      <x:c r="I183" s="17"/>
      <x:c r="J183" s="17" t="str">
        <x:v>Unknown</x:v>
      </x:c>
      <x:c r="K183" s="17" t="str">
        <x:v>The April 2024 version of GPT-4 Turbo, OpenAI's then-flagship language model.</x:v>
      </x:c>
      <x:c r="L183" s="17"/>
      <x:c r="M183" s="17"/>
      <x:c r="N183" s="17" t="str">
        <x:v>GPT-4 Turbo (Apr 2024)</x:v>
      </x:c>
      <x:c r="O183" s="17" t="str">
        <x:v>gpt-4-turbo-apr-2024</x:v>
      </x:c>
      <x:c r="P183" s="17" t="n">
        <x:v>127.59</x:v>
      </x:c>
      <x:c r="Q183" s="17" t="n">
        <x:v>121.74</x:v>
      </x:c>
      <x:c r="R183" s="17" t="n">
        <x:v>129</x:v>
      </x:c>
      <x:c r="S183" s="17"/>
      <x:c r="T183" s="17"/>
      <x:c r="U183" s="17"/>
      <x:c r="V183" s="17"/>
      <x:c r="W183" s="17"/>
      <x:c r="X183" s="17"/>
      <x:c r="Y183" s="17"/>
      <x:c r="Z183" s="17"/>
    </x:row>
    <x:row r="184">
      <x:c r="A184" s="17" t="str">
        <x:v>o1</x:v>
      </x:c>
      <x:c r="B184" s="17" t="str">
        <x:v>o1-2024-12-17_medium</x:v>
      </x:c>
      <x:c r="C184" s="17" t="str">
        <x:v>o1 (medium)</x:v>
      </x:c>
      <x:c r="D184" s="17" t="str">
        <x:v>OpenAI</x:v>
      </x:c>
      <x:c r="E184" s="17" t="str">
        <x:v>United States of America</x:v>
      </x:c>
      <x:c r="F184" s="17" t="n">
        <x:v>45643</x:v>
      </x:c>
      <x:c r="G184" s="17" t="str">
        <x:v>API access</x:v>
      </x:c>
      <x:c r="H184" s="17" t="n">
        <x:v>45631</x:v>
      </x:c>
      <x:c r="I184" s="17"/>
      <x:c r="J184" s="17" t="str">
        <x:v>Unknown</x:v>
      </x:c>
      <x:c r="K184" s="17" t="str">
        <x:v>OpenAI's first reasoning model, evaluated with at the medium reasoning effort level.</x:v>
      </x:c>
      <x:c r="L184" s="17"/>
      <x:c r="M184" s="17"/>
      <x:c r="N184" s="17" t="str">
        <x:v>o1</x:v>
      </x:c>
      <x:c r="O184" s="17" t="str">
        <x:v>o1</x:v>
      </x:c>
      <x:c r="P184" s="17" t="n">
        <x:v>142.69</x:v>
      </x:c>
      <x:c r="Q184" s="17" t="n">
        <x:v>140.88</x:v>
      </x:c>
      <x:c r="R184" s="17" t="n">
        <x:v>143.81</x:v>
      </x:c>
      <x:c r="S184" s="17"/>
      <x:c r="T184" s="17"/>
      <x:c r="U184" s="17"/>
      <x:c r="V184" s="17"/>
      <x:c r="W184" s="17"/>
      <x:c r="X184" s="17"/>
      <x:c r="Y184" s="17"/>
      <x:c r="Z184" s="17"/>
    </x:row>
    <x:row r="185">
      <x:c r="A185" s="17" t="str">
        <x:v>Llama 3-70B</x:v>
      </x:c>
      <x:c r="B185" s="17" t="str">
        <x:v>Meta-Llama-3-70B-Instruct</x:v>
      </x:c>
      <x:c r="C185" s="17"/>
      <x:c r="D185" s="17" t="str">
        <x:v>Meta AI</x:v>
      </x:c>
      <x:c r="E185" s="17" t="str">
        <x:v>United States of America</x:v>
      </x:c>
      <x:c r="F185" s="17" t="n">
        <x:v>45400</x:v>
      </x:c>
      <x:c r="G185" s="17" t="str">
        <x:v>Open weights (restricted use)</x:v>
      </x:c>
      <x:c r="H185" s="17" t="n">
        <x:v>45400</x:v>
      </x:c>
      <x:c r="I185" s="17" t="n">
        <x:v>7.861e+24</x:v>
      </x:c>
      <x:c r="J185" s="17" t="str">
        <x:v>Confident</x:v>
      </x:c>
      <x:c r="K185" s="17" t="str">
        <x:v>An instruction-tuned version of the 70 billion-parameter model in Meta’s LLaMA 3 series.</x:v>
      </x:c>
      <x:c r="L185" s="17"/>
      <x:c r="M185" s="17"/>
      <x:c r="N185" s="17" t="str">
        <x:v>Llama 3-70B</x:v>
      </x:c>
      <x:c r="O185" s="17" t="str">
        <x:v>llama-3-70b</x:v>
      </x:c>
      <x:c r="P185" s="17" t="n">
        <x:v>122.61</x:v>
      </x:c>
      <x:c r="Q185" s="17" t="n">
        <x:v>115.79</x:v>
      </x:c>
      <x:c r="R185" s="17" t="n">
        <x:v>125.52</x:v>
      </x:c>
      <x:c r="S185" s="17"/>
      <x:c r="T185" s="17"/>
      <x:c r="U185" s="17"/>
      <x:c r="V185" s="17"/>
      <x:c r="W185" s="17"/>
      <x:c r="X185" s="17"/>
      <x:c r="Y185" s="17"/>
      <x:c r="Z185" s="17"/>
    </x:row>
    <x:row r="186">
      <x:c r="A186" s="17" t="str">
        <x:v>Gemini 1.5 Pro</x:v>
      </x:c>
      <x:c r="B186" s="17" t="str">
        <x:v>gemini-1.5-pro-001</x:v>
      </x:c>
      <x:c r="C186" s="17"/>
      <x:c r="D186" s="17" t="str">
        <x:v>Google DeepMind</x:v>
      </x:c>
      <x:c r="E186" s="17" t="str">
        <x:v>United States of America</x:v>
      </x:c>
      <x:c r="F186" s="17" t="n">
        <x:v>45426</x:v>
      </x:c>
      <x:c r="G186" s="17" t="str">
        <x:v>API access</x:v>
      </x:c>
      <x:c r="H186" s="17" t="n">
        <x:v>45337</x:v>
      </x:c>
      <x:c r="I186" s="17"/>
      <x:c r="J186" s="17" t="str">
        <x:v>Speculative</x:v>
      </x:c>
      <x:c r="K186" s="17" t="str">
        <x:v>The first of two versions of a previous flagship model from Google DeepMind, Gemini 1.5 Pro.</x:v>
      </x:c>
      <x:c r="L186" s="17"/>
      <x:c r="M186" s="17" t="str">
        <x:v>Gemini 1.5 Pro (May 2024)</x:v>
      </x:c>
      <x:c r="N186" s="17" t="str">
        <x:v>Gemini 1.5 Pro (May 2024)</x:v>
      </x:c>
      <x:c r="O186" s="17" t="str">
        <x:v>gemini-1-5-pro-may-2024</x:v>
      </x:c>
      <x:c r="P186" s="17" t="n">
        <x:v>127.2</x:v>
      </x:c>
      <x:c r="Q186" s="17" t="n">
        <x:v>121.34</x:v>
      </x:c>
      <x:c r="R186" s="17" t="n">
        <x:v>129.39</x:v>
      </x:c>
      <x:c r="S186" s="17"/>
      <x:c r="T186" s="17"/>
      <x:c r="U186" s="17"/>
      <x:c r="V186" s="17"/>
      <x:c r="W186" s="17"/>
      <x:c r="X186" s="17"/>
      <x:c r="Y186" s="17"/>
      <x:c r="Z186" s="17"/>
    </x:row>
    <x:row r="187">
      <x:c r="A187" s="17" t="str">
        <x:v>Llama 3.3 70B</x:v>
      </x:c>
      <x:c r="B187" s="17" t="str">
        <x:v>Llama-3.3-70B-Instruct</x:v>
      </x:c>
      <x:c r="C187" s="17"/>
      <x:c r="D187" s="17" t="str">
        <x:v>Meta AI</x:v>
      </x:c>
      <x:c r="E187" s="17" t="str">
        <x:v>United States of America</x:v>
      </x:c>
      <x:c r="F187" s="17" t="n">
        <x:v>45632</x:v>
      </x:c>
      <x:c r="G187" s="17" t="str">
        <x:v>Open weights (restricted use)</x:v>
      </x:c>
      <x:c r="H187" s="17" t="n">
        <x:v>45632</x:v>
      </x:c>
      <x:c r="I187" s="17" t="n">
        <x:v>6.8649768e+24</x:v>
      </x:c>
      <x:c r="J187" s="17" t="str">
        <x:v>Confident</x:v>
      </x:c>
      <x:c r="K187" s="17" t="str">
        <x:v>An instruction-tuned version of the 70 billion-parameter model in Meta's Llama 3.3 series.</x:v>
      </x:c>
      <x:c r="L187" s="17"/>
      <x:c r="M187" s="17"/>
      <x:c r="N187" s="17" t="str">
        <x:v>Llama 3.3 70B</x:v>
      </x:c>
      <x:c r="O187" s="17" t="str">
        <x:v>llama-3-3-70b</x:v>
      </x:c>
      <x:c r="P187" s="17" t="n">
        <x:v>127.5</x:v>
      </x:c>
      <x:c r="Q187" s="17" t="n">
        <x:v>122.01</x:v>
      </x:c>
      <x:c r="R187" s="17" t="n">
        <x:v>129.87</x:v>
      </x:c>
      <x:c r="S187" s="17"/>
      <x:c r="T187" s="17"/>
      <x:c r="U187" s="17"/>
      <x:c r="V187" s="17"/>
      <x:c r="W187" s="17"/>
      <x:c r="X187" s="17"/>
      <x:c r="Y187" s="17"/>
      <x:c r="Z187" s="17"/>
    </x:row>
    <x:row r="188">
      <x:c r="A188" s="17" t="str">
        <x:v>Llama 3.2 90B</x:v>
      </x:c>
      <x:c r="B188" s="17" t="str">
        <x:v>Llama-3.2-90B-Vision-Instruct</x:v>
      </x:c>
      <x:c r="C188" s="17"/>
      <x:c r="D188" s="17" t="str">
        <x:v>Meta AI</x:v>
      </x:c>
      <x:c r="E188" s="17" t="str">
        <x:v>United States of America</x:v>
      </x:c>
      <x:c r="F188" s="17" t="n">
        <x:v>45559</x:v>
      </x:c>
      <x:c r="G188" s="17" t="str">
        <x:v>Open weights (restricted use)</x:v>
      </x:c>
      <x:c r="H188" s="17" t="n">
        <x:v>45559</x:v>
      </x:c>
      <x:c r="I188" s="17"/>
      <x:c r="J188" s="17" t="str">
        <x:v>Confident</x:v>
      </x:c>
      <x:c r="K188" s="17" t="str">
        <x:v>An instruction-tuned version of the 90 billion-parameter vision model in Meta's Llama 3.3 series.</x:v>
      </x:c>
      <x:c r="L188" s="17"/>
      <x:c r="M188" s="17"/>
      <x:c r="N188" s="17" t="str">
        <x:v>Llama 3.2 90B</x:v>
      </x:c>
      <x:c r="O188" s="17" t="str">
        <x:v>llama-3-2-90b</x:v>
      </x:c>
      <x:c r="P188" s="17" t="n">
        <x:v>125.71</x:v>
      </x:c>
      <x:c r="Q188" s="17" t="n">
        <x:v>119.36</x:v>
      </x:c>
      <x:c r="R188" s="17" t="n">
        <x:v>127.43</x:v>
      </x:c>
      <x:c r="S188" s="17"/>
      <x:c r="T188" s="17"/>
      <x:c r="U188" s="17"/>
      <x:c r="V188" s="17"/>
      <x:c r="W188" s="17"/>
      <x:c r="X188" s="17"/>
      <x:c r="Y188" s="17"/>
      <x:c r="Z188" s="17"/>
    </x:row>
    <x:row r="189">
      <x:c r="A189" s="17" t="str">
        <x:v>Llama 2-70B</x:v>
      </x:c>
      <x:c r="B189" s="17" t="str">
        <x:v>Llama-2-70b-chat-hf</x:v>
      </x:c>
      <x:c r="C189" s="17"/>
      <x:c r="D189" s="17" t="str">
        <x:v>Meta AI</x:v>
      </x:c>
      <x:c r="E189" s="17" t="str">
        <x:v>United States of America</x:v>
      </x:c>
      <x:c r="F189" s="17" t="n">
        <x:v>45125</x:v>
      </x:c>
      <x:c r="G189" s="17" t="str">
        <x:v>Open weights (restricted use)</x:v>
      </x:c>
      <x:c r="H189" s="17" t="n">
        <x:v>45125</x:v>
      </x:c>
      <x:c r="I189" s="17" t="n">
        <x:v>8.1e+23</x:v>
      </x:c>
      <x:c r="J189" s="17" t="str">
        <x:v>Confident</x:v>
      </x:c>
      <x:c r="K189" s="17" t="str">
        <x:v>A chat-optimized version of the 70-billion parameter model in Meta's Llama 2 series.</x:v>
      </x:c>
      <x:c r="L189" s="17"/>
      <x:c r="M189" s="17"/>
      <x:c r="N189" s="17" t="str">
        <x:v>Llama 2-70B</x:v>
      </x:c>
      <x:c r="O189" s="17" t="str">
        <x:v>llama-2-70b</x:v>
      </x:c>
      <x:c r="P189" s="17" t="n">
        <x:v>113.72</x:v>
      </x:c>
      <x:c r="Q189" s="17" t="n">
        <x:v>104.07</x:v>
      </x:c>
      <x:c r="R189" s="17" t="n">
        <x:v>117.82</x:v>
      </x:c>
      <x:c r="S189" s="17"/>
      <x:c r="T189" s="17"/>
      <x:c r="U189" s="17"/>
      <x:c r="V189" s="17"/>
      <x:c r="W189" s="17"/>
      <x:c r="X189" s="17"/>
      <x:c r="Y189" s="17"/>
      <x:c r="Z189" s="17"/>
    </x:row>
    <x:row r="190">
      <x:c r="A190" s="17" t="str">
        <x:v>Gemini 1.5 Pro</x:v>
      </x:c>
      <x:c r="B190" s="17" t="str">
        <x:v>gemini-1.5-pro-002</x:v>
      </x:c>
      <x:c r="C190" s="17"/>
      <x:c r="D190" s="17" t="str">
        <x:v>Google DeepMind</x:v>
      </x:c>
      <x:c r="E190" s="17" t="str">
        <x:v>United States of America</x:v>
      </x:c>
      <x:c r="F190" s="17" t="n">
        <x:v>45559</x:v>
      </x:c>
      <x:c r="G190" s="17" t="str">
        <x:v>API access</x:v>
      </x:c>
      <x:c r="H190" s="17" t="n">
        <x:v>45337</x:v>
      </x:c>
      <x:c r="I190" s="17"/>
      <x:c r="J190" s="17" t="str">
        <x:v>Speculative</x:v>
      </x:c>
      <x:c r="K190" s="17" t="str">
        <x:v>The first of two versions of a previous flagship model from Google DeepMind, Gemini 1.5 Pro.</x:v>
      </x:c>
      <x:c r="L190" s="17"/>
      <x:c r="M190" s="17" t="str">
        <x:v>Gemini 1.5 Pro (Sept 2024)</x:v>
      </x:c>
      <x:c r="N190" s="17" t="str">
        <x:v>Gemini 1.5 Pro (Sept 2024)</x:v>
      </x:c>
      <x:c r="O190" s="17" t="str">
        <x:v>gemini-1-5-pro-sept-2024</x:v>
      </x:c>
      <x:c r="P190" s="17" t="n">
        <x:v>132.7</x:v>
      </x:c>
      <x:c r="Q190" s="17" t="n">
        <x:v>127.97</x:v>
      </x:c>
      <x:c r="R190" s="17" t="n">
        <x:v>133.93</x:v>
      </x:c>
      <x:c r="S190" s="17"/>
      <x:c r="T190" s="17"/>
      <x:c r="U190" s="17"/>
      <x:c r="V190" s="17"/>
      <x:c r="W190" s="17"/>
      <x:c r="X190" s="17"/>
      <x:c r="Y190" s="17"/>
      <x:c r="Z190" s="17"/>
    </x:row>
    <x:row r="191">
      <x:c r="A191" s="17" t="str">
        <x:v>Qwen2.5-32B</x:v>
      </x:c>
      <x:c r="B191" s="17" t="str">
        <x:v>qwen2.5-32b-instruct</x:v>
      </x:c>
      <x:c r="C191" s="17"/>
      <x:c r="D191" s="17" t="str">
        <x:v>Alibaba</x:v>
      </x:c>
      <x:c r="E191" s="17" t="str">
        <x:v>China</x:v>
      </x:c>
      <x:c r="F191" s="17" t="n">
        <x:v>45552</x:v>
      </x:c>
      <x:c r="G191" s="17" t="str">
        <x:v>Open weights (unrestricted)</x:v>
      </x:c>
      <x:c r="H191" s="17" t="n">
        <x:v>45552</x:v>
      </x:c>
      <x:c r="I191" s="17" t="n">
        <x:v>3.51e+24</x:v>
      </x:c>
      <x:c r="J191" s="17" t="str">
        <x:v>Confident</x:v>
      </x:c>
      <x:c r="K191" s="17"/>
      <x:c r="L191" s="17" t="str">
        <x:v>Qwen2.5-32B (instruct)</x:v>
      </x:c>
      <x:c r="M191" s="17"/>
      <x:c r="N191" s="17" t="str">
        <x:v>Qwen2.5-32B</x:v>
      </x:c>
      <x:c r="O191" s="17" t="str">
        <x:v>qwen2-5-32b</x:v>
      </x:c>
      <x:c r="P191" s="17"/>
      <x:c r="Q191" s="17"/>
      <x:c r="R191" s="17"/>
      <x:c r="S191" s="17"/>
      <x:c r="T191" s="17"/>
      <x:c r="U191" s="17"/>
      <x:c r="V191" s="17"/>
      <x:c r="W191" s="17"/>
      <x:c r="X191" s="17"/>
      <x:c r="Y191" s="17"/>
      <x:c r="Z191" s="17"/>
    </x:row>
    <x:row r="192">
      <x:c r="A192" s="17" t="str">
        <x:v>Mistral Large</x:v>
      </x:c>
      <x:c r="B192" s="17" t="str">
        <x:v>mistral-large-2402</x:v>
      </x:c>
      <x:c r="C192" s="17"/>
      <x:c r="D192" s="17" t="str">
        <x:v>Mistral AI</x:v>
      </x:c>
      <x:c r="E192" s="17" t="str">
        <x:v>France</x:v>
      </x:c>
      <x:c r="F192" s="17" t="n">
        <x:v>45348</x:v>
      </x:c>
      <x:c r="G192" s="17" t="str">
        <x:v>API access</x:v>
      </x:c>
      <x:c r="H192" s="17" t="n">
        <x:v>45348</x:v>
      </x:c>
      <x:c r="I192" s="17" t="n">
        <x:v>1.1199999999999999e+25</x:v>
      </x:c>
      <x:c r="J192" s="17" t="str">
        <x:v>Likely</x:v>
      </x:c>
      <x:c r="K192" s="17"/>
      <x:c r="L192" s="17"/>
      <x:c r="M192" s="17"/>
      <x:c r="N192" s="17" t="str">
        <x:v>Mistral Large</x:v>
      </x:c>
      <x:c r="O192" s="17" t="str">
        <x:v>mistral-large</x:v>
      </x:c>
      <x:c r="P192" s="17" t="n">
        <x:v>121.01</x:v>
      </x:c>
      <x:c r="Q192" s="17" t="n">
        <x:v>112.49</x:v>
      </x:c>
      <x:c r="R192" s="17" t="n">
        <x:v>123.7</x:v>
      </x:c>
      <x:c r="S192" s="17"/>
      <x:c r="T192" s="17"/>
      <x:c r="U192" s="17"/>
      <x:c r="V192" s="17"/>
      <x:c r="W192" s="17"/>
      <x:c r="X192" s="17"/>
      <x:c r="Y192" s="17"/>
      <x:c r="Z192" s="17"/>
    </x:row>
    <x:row r="193">
      <x:c r="A193" s="17" t="str">
        <x:v>Claude 3 Sonnet</x:v>
      </x:c>
      <x:c r="B193" s="17" t="str">
        <x:v>claude-3-sonnet-20240229</x:v>
      </x:c>
      <x:c r="C193" s="17"/>
      <x:c r="D193" s="17" t="str">
        <x:v>Anthropic</x:v>
      </x:c>
      <x:c r="E193" s="17" t="str">
        <x:v>United States of America</x:v>
      </x:c>
      <x:c r="F193" s="17" t="n">
        <x:v>45351</x:v>
      </x:c>
      <x:c r="G193" s="17" t="str">
        <x:v>API access</x:v>
      </x:c>
      <x:c r="H193" s="17" t="n">
        <x:v>45355</x:v>
      </x:c>
      <x:c r="I193" s="17"/>
      <x:c r="J193" s="17" t="str">
        <x:v>Unknown</x:v>
      </x:c>
      <x:c r="K193" s="17" t="str">
        <x:v>The mid-sized model in Anthropic's Claude 3 model series.</x:v>
      </x:c>
      <x:c r="L193" s="17" t="str">
        <x:v>Claude 3 Sonnet</x:v>
      </x:c>
      <x:c r="M193" s="17"/>
      <x:c r="N193" s="17" t="str">
        <x:v>Claude 3 Sonnet</x:v>
      </x:c>
      <x:c r="O193" s="17" t="str">
        <x:v>claude-3-sonnet</x:v>
      </x:c>
      <x:c r="P193" s="17" t="n">
        <x:v>119.9</x:v>
      </x:c>
      <x:c r="Q193" s="17" t="n">
        <x:v>111.74</x:v>
      </x:c>
      <x:c r="R193" s="17" t="n">
        <x:v>122.91</x:v>
      </x:c>
      <x:c r="S193" s="17"/>
      <x:c r="T193" s="17"/>
      <x:c r="U193" s="17"/>
      <x:c r="V193" s="17"/>
      <x:c r="W193" s="17"/>
      <x:c r="X193" s="17"/>
      <x:c r="Y193" s="17"/>
      <x:c r="Z193" s="17"/>
    </x:row>
    <x:row r="194">
      <x:c r="A194" s="17" t="str">
        <x:v>Gemini 1.0 Pro</x:v>
      </x:c>
      <x:c r="B194" s="17" t="str">
        <x:v>gemini-1.0-pro-001</x:v>
      </x:c>
      <x:c r="C194" s="17"/>
      <x:c r="D194" s="17" t="str">
        <x:v>Google DeepMind</x:v>
      </x:c>
      <x:c r="E194" s="17" t="str">
        <x:v>United States of America</x:v>
      </x:c>
      <x:c r="F194" s="17" t="n">
        <x:v>45273</x:v>
      </x:c>
      <x:c r="G194" s="17" t="str">
        <x:v>API access</x:v>
      </x:c>
      <x:c r="H194" s="17" t="n">
        <x:v>45266</x:v>
      </x:c>
      <x:c r="I194" s="17"/>
      <x:c r="J194" s="17" t="str">
        <x:v>Speculative</x:v>
      </x:c>
      <x:c r="K194" s="17" t="str">
        <x:v>An earlier flagship model from Google DeepMind.</x:v>
      </x:c>
      <x:c r="L194" s="17"/>
      <x:c r="M194" s="17"/>
      <x:c r="N194" s="17" t="str">
        <x:v>Gemini 1.0 Pro</x:v>
      </x:c>
      <x:c r="O194" s="17" t="str">
        <x:v>gemini-1-0-pro</x:v>
      </x:c>
      <x:c r="P194" s="17" t="n">
        <x:v>117</x:v>
      </x:c>
      <x:c r="Q194" s="17" t="n">
        <x:v>108.79</x:v>
      </x:c>
      <x:c r="R194" s="17" t="n">
        <x:v>119.86</x:v>
      </x:c>
      <x:c r="S194" s="17"/>
      <x:c r="T194" s="17"/>
      <x:c r="U194" s="17"/>
      <x:c r="V194" s="17"/>
      <x:c r="W194" s="17"/>
      <x:c r="X194" s="17"/>
      <x:c r="Y194" s="17"/>
      <x:c r="Z194" s="17"/>
    </x:row>
    <x:row r="195">
      <x:c r="A195" s="17" t="str">
        <x:v>Llama 3.1-8B</x:v>
      </x:c>
      <x:c r="B195" s="17" t="str">
        <x:v>Llama-3.1-8B-Instruct</x:v>
      </x:c>
      <x:c r="C195" s="17"/>
      <x:c r="D195" s="17" t="str">
        <x:v>Meta AI</x:v>
      </x:c>
      <x:c r="E195" s="17" t="str">
        <x:v>United States of America</x:v>
      </x:c>
      <x:c r="F195" s="17" t="n">
        <x:v>45496</x:v>
      </x:c>
      <x:c r="G195" s="17" t="str">
        <x:v>Open weights (restricted use)</x:v>
      </x:c>
      <x:c r="H195" s="17" t="n">
        <x:v>45496</x:v>
      </x:c>
      <x:c r="I195" s="17" t="n">
        <x:v>1.224e+24</x:v>
      </x:c>
      <x:c r="J195" s="17" t="str">
        <x:v>Likely</x:v>
      </x:c>
      <x:c r="K195" s="17" t="str">
        <x:v>An instruction-tuned version of the 8 billion-parameter model in Meta’s LLaMA 3.1 series.</x:v>
      </x:c>
      <x:c r="L195" s="17"/>
      <x:c r="M195" s="17"/>
      <x:c r="N195" s="17" t="str">
        <x:v>Llama 3.1-8B</x:v>
      </x:c>
      <x:c r="O195" s="17" t="str">
        <x:v>llama-3-1-8b</x:v>
      </x:c>
      <x:c r="P195" s="17" t="n">
        <x:v>115.45</x:v>
      </x:c>
      <x:c r="Q195" s="17" t="n">
        <x:v>103.85</x:v>
      </x:c>
      <x:c r="R195" s="17" t="n">
        <x:v>121.29</x:v>
      </x:c>
      <x:c r="S195" s="17"/>
      <x:c r="T195" s="17"/>
      <x:c r="U195" s="17"/>
      <x:c r="V195" s="17"/>
      <x:c r="W195" s="17"/>
      <x:c r="X195" s="17"/>
      <x:c r="Y195" s="17"/>
      <x:c r="Z195" s="17"/>
    </x:row>
    <x:row r="196">
      <x:c r="A196" s="17" t="str">
        <x:v>Llama 3.1-405B</x:v>
      </x:c>
      <x:c r="B196" s="17" t="str">
        <x:v>Llama-3.1-405B-Instruct</x:v>
      </x:c>
      <x:c r="C196" s="17"/>
      <x:c r="D196" s="17" t="str">
        <x:v>Meta AI</x:v>
      </x:c>
      <x:c r="E196" s="17" t="str">
        <x:v>United States of America</x:v>
      </x:c>
      <x:c r="F196" s="17" t="n">
        <x:v>45496</x:v>
      </x:c>
      <x:c r="G196" s="17" t="str">
        <x:v>Open weights (restricted use)</x:v>
      </x:c>
      <x:c r="H196" s="17" t="n">
        <x:v>45496</x:v>
      </x:c>
      <x:c r="I196" s="17" t="n">
        <x:v>3.8e+25</x:v>
      </x:c>
      <x:c r="J196" s="17" t="str">
        <x:v>Confident</x:v>
      </x:c>
      <x:c r="K196" s="17" t="str">
        <x:v>An instruction-tuned version of the 405 billion-parameter model in Meta’s LLaMA 3.1 series.</x:v>
      </x:c>
      <x:c r="L196" s="17"/>
      <x:c r="M196" s="17"/>
      <x:c r="N196" s="17" t="str">
        <x:v>Llama 3.1-405B</x:v>
      </x:c>
      <x:c r="O196" s="17" t="str">
        <x:v>llama-3-1-405b</x:v>
      </x:c>
      <x:c r="P196" s="17" t="n">
        <x:v>128.99</x:v>
      </x:c>
      <x:c r="Q196" s="17" t="n">
        <x:v>123.59</x:v>
      </x:c>
      <x:c r="R196" s="17" t="n">
        <x:v>130.73</x:v>
      </x:c>
      <x:c r="S196" s="17"/>
      <x:c r="T196" s="17"/>
      <x:c r="U196" s="17"/>
      <x:c r="V196" s="17"/>
      <x:c r="W196" s="17"/>
      <x:c r="X196" s="17"/>
      <x:c r="Y196" s="17"/>
      <x:c r="Z196" s="17"/>
    </x:row>
    <x:row r="197">
      <x:c r="A197" s="17" t="str">
        <x:v>Qwen2.5-72B</x:v>
      </x:c>
      <x:c r="B197" s="17" t="str">
        <x:v>qwen2.5-72b-instruct</x:v>
      </x:c>
      <x:c r="C197" s="17"/>
      <x:c r="D197" s="17" t="str">
        <x:v>Alibaba</x:v>
      </x:c>
      <x:c r="E197" s="17" t="str">
        <x:v>China</x:v>
      </x:c>
      <x:c r="F197" s="17" t="n">
        <x:v>45554</x:v>
      </x:c>
      <x:c r="G197" s="17" t="str">
        <x:v>Open weights (unrestricted)</x:v>
      </x:c>
      <x:c r="H197" s="17" t="n">
        <x:v>45554</x:v>
      </x:c>
      <x:c r="I197" s="17" t="n">
        <x:v>7.8e+24</x:v>
      </x:c>
      <x:c r="J197" s="17" t="str">
        <x:v>Confident</x:v>
      </x:c>
      <x:c r="K197" s="17" t="str">
        <x:v>An instruction-tuned version of the 72 billion-parameter model in the Qwen 2.5 series.</x:v>
      </x:c>
      <x:c r="L197" s="17" t="str">
        <x:v>Qwen2.5-72B</x:v>
      </x:c>
      <x:c r="M197" s="17"/>
      <x:c r="N197" s="17" t="str">
        <x:v>Qwen2.5-72B</x:v>
      </x:c>
      <x:c r="O197" s="17" t="str">
        <x:v>qwen2-5-72b</x:v>
      </x:c>
      <x:c r="P197" s="17" t="n">
        <x:v>129.12</x:v>
      </x:c>
      <x:c r="Q197" s="17" t="n">
        <x:v>122.2</x:v>
      </x:c>
      <x:c r="R197" s="17" t="n">
        <x:v>130.91</x:v>
      </x:c>
      <x:c r="S197" s="17"/>
      <x:c r="T197" s="17"/>
      <x:c r="U197" s="17"/>
      <x:c r="V197" s="17"/>
      <x:c r="W197" s="17"/>
      <x:c r="X197" s="17"/>
      <x:c r="Y197" s="17"/>
      <x:c r="Z197" s="17"/>
    </x:row>
    <x:row r="198">
      <x:c r="A198" s="17" t="str">
        <x:v>GPT-4o</x:v>
      </x:c>
      <x:c r="B198" s="17" t="str">
        <x:v>gpt-4o-2024-05-13</x:v>
      </x:c>
      <x:c r="C198" s="17" t="str">
        <x:v>GPT-4o (May 2024)</x:v>
      </x:c>
      <x:c r="D198" s="17" t="str">
        <x:v>OpenAI</x:v>
      </x:c>
      <x:c r="E198" s="17" t="str">
        <x:v>United States of America</x:v>
      </x:c>
      <x:c r="F198" s="17" t="n">
        <x:v>45425</x:v>
      </x:c>
      <x:c r="G198" s="17" t="str">
        <x:v>API access</x:v>
      </x:c>
      <x:c r="H198" s="17" t="n">
        <x:v>45425</x:v>
      </x:c>
      <x:c r="I198" s="17"/>
      <x:c r="J198" s="17" t="str">
        <x:v>Speculative</x:v>
      </x:c>
      <x:c r="K198" s="17" t="str">
        <x:v>The first version of GPT-4o, OpenAI's last multimodal model in the GPT-4 series, which powered ChatGPT from mid-2024 to -2025.</x:v>
      </x:c>
      <x:c r="L198" s="17"/>
      <x:c r="M198" s="17" t="str">
        <x:v>GPT-4o (May 2024)</x:v>
      </x:c>
      <x:c r="N198" s="17" t="str">
        <x:v>GPT-4o (May 2024)</x:v>
      </x:c>
      <x:c r="O198" s="17" t="str">
        <x:v>gpt-4o-may-2024</x:v>
      </x:c>
      <x:c r="P198" s="17" t="n">
        <x:v>128.83</x:v>
      </x:c>
      <x:c r="Q198" s="17" t="n">
        <x:v>123.33</x:v>
      </x:c>
      <x:c r="R198" s="17" t="n">
        <x:v>130.68</x:v>
      </x:c>
      <x:c r="S198" s="17"/>
      <x:c r="T198" s="17"/>
      <x:c r="U198" s="17"/>
      <x:c r="V198" s="17"/>
      <x:c r="W198" s="17"/>
      <x:c r="X198" s="17"/>
      <x:c r="Y198" s="17"/>
      <x:c r="Z198" s="17"/>
    </x:row>
    <x:row r="199">
      <x:c r="A199" s="17" t="str">
        <x:v>Llama 3.1-70B</x:v>
      </x:c>
      <x:c r="B199" s="17" t="str">
        <x:v>Llama-3.1-70B-Instruct</x:v>
      </x:c>
      <x:c r="C199" s="17"/>
      <x:c r="D199" s="17" t="str">
        <x:v>Meta AI</x:v>
      </x:c>
      <x:c r="E199" s="17" t="str">
        <x:v>United States of America</x:v>
      </x:c>
      <x:c r="F199" s="17" t="n">
        <x:v>45496</x:v>
      </x:c>
      <x:c r="G199" s="17" t="str">
        <x:v>Open weights (restricted use)</x:v>
      </x:c>
      <x:c r="H199" s="17" t="n">
        <x:v>45496</x:v>
      </x:c>
      <x:c r="I199" s="17" t="n">
        <x:v>7.929e+24</x:v>
      </x:c>
      <x:c r="J199" s="17" t="str">
        <x:v>Confident</x:v>
      </x:c>
      <x:c r="K199" s="17" t="str">
        <x:v>An instruction-optimized version of Llama 3.1 70B, the 70 billion-parameter model in Meta's Llama 3.1 series.</x:v>
      </x:c>
      <x:c r="L199" s="17"/>
      <x:c r="M199" s="17"/>
      <x:c r="N199" s="17" t="str">
        <x:v>Llama 3.1-70B</x:v>
      </x:c>
      <x:c r="O199" s="17" t="str">
        <x:v>llama-3-1-70b</x:v>
      </x:c>
      <x:c r="P199" s="17" t="n">
        <x:v>125.53</x:v>
      </x:c>
      <x:c r="Q199" s="17" t="n">
        <x:v>118.91</x:v>
      </x:c>
      <x:c r="R199" s="17" t="n">
        <x:v>127.47</x:v>
      </x:c>
      <x:c r="S199" s="17"/>
      <x:c r="T199" s="17"/>
      <x:c r="U199" s="17"/>
      <x:c r="V199" s="17"/>
      <x:c r="W199" s="17"/>
      <x:c r="X199" s="17"/>
      <x:c r="Y199" s="17"/>
      <x:c r="Z199" s="17"/>
    </x:row>
    <x:row r="200">
      <x:c r="A200" s="17" t="str">
        <x:v>Gemini 1.5 Flash</x:v>
      </x:c>
      <x:c r="B200" s="17" t="str">
        <x:v>gemini-1.5-flash-001</x:v>
      </x:c>
      <x:c r="C200" s="17" t="str">
        <x:v>Gemini 1.5 Flash (May 2024)</x:v>
      </x:c>
      <x:c r="D200" s="17" t="str">
        <x:v>Google DeepMind</x:v>
      </x:c>
      <x:c r="E200" s="17" t="str">
        <x:v>United States of America</x:v>
      </x:c>
      <x:c r="F200" s="17" t="n">
        <x:v>45435</x:v>
      </x:c>
      <x:c r="G200" s="17" t="str">
        <x:v>API access</x:v>
      </x:c>
      <x:c r="H200" s="17" t="n">
        <x:v>45422</x:v>
      </x:c>
      <x:c r="I200" s="17"/>
      <x:c r="J200" s="17" t="str">
        <x:v>Unknown</x:v>
      </x:c>
      <x:c r="K200" s="17" t="str">
        <x:v>The first version of Google DeepMind's Gemini 1.5 Flash.</x:v>
      </x:c>
      <x:c r="L200" s="17"/>
      <x:c r="M200" s="17" t="str">
        <x:v>Gemini 1.5 Flash (May 2024)</x:v>
      </x:c>
      <x:c r="N200" s="17" t="str">
        <x:v>Gemini 1.5 Flash (May 2024)</x:v>
      </x:c>
      <x:c r="O200" s="17" t="str">
        <x:v>gemini-1-5-flash-may-2024</x:v>
      </x:c>
      <x:c r="P200" s="17" t="n">
        <x:v>122.54</x:v>
      </x:c>
      <x:c r="Q200" s="17" t="n">
        <x:v>115.28</x:v>
      </x:c>
      <x:c r="R200" s="17" t="n">
        <x:v>124.46</x:v>
      </x:c>
      <x:c r="S200" s="17"/>
      <x:c r="T200" s="17"/>
      <x:c r="U200" s="17"/>
      <x:c r="V200" s="17"/>
      <x:c r="W200" s="17"/>
      <x:c r="X200" s="17"/>
      <x:c r="Y200" s="17"/>
      <x:c r="Z200" s="17"/>
    </x:row>
    <x:row r="201">
      <x:c r="A201" s="17" t="str">
        <x:v>Claude 3 Haiku</x:v>
      </x:c>
      <x:c r="B201" s="17" t="str">
        <x:v>claude-3-haiku-20240307</x:v>
      </x:c>
      <x:c r="C201" s="17"/>
      <x:c r="D201" s="17" t="str">
        <x:v>Anthropic</x:v>
      </x:c>
      <x:c r="E201" s="17" t="str">
        <x:v>United States of America</x:v>
      </x:c>
      <x:c r="F201" s="17" t="n">
        <x:v>45358</x:v>
      </x:c>
      <x:c r="G201" s="17" t="str">
        <x:v>API access</x:v>
      </x:c>
      <x:c r="H201" s="17" t="n">
        <x:v>45355</x:v>
      </x:c>
      <x:c r="I201" s="17"/>
      <x:c r="J201" s="17" t="str">
        <x:v>Unknown</x:v>
      </x:c>
      <x:c r="K201" s="17" t="str">
        <x:v>The smallest model in Anthropic's Claude 3 series.</x:v>
      </x:c>
      <x:c r="L201" s="17" t="str">
        <x:v>Claude 3 Haiku</x:v>
      </x:c>
      <x:c r="M201" s="17"/>
      <x:c r="N201" s="17" t="str">
        <x:v>Claude 3 Haiku</x:v>
      </x:c>
      <x:c r="O201" s="17" t="str">
        <x:v>claude-3-haiku</x:v>
      </x:c>
      <x:c r="P201" s="17" t="n">
        <x:v>117.64</x:v>
      </x:c>
      <x:c r="Q201" s="17" t="n">
        <x:v>108.61</x:v>
      </x:c>
      <x:c r="R201" s="17" t="n">
        <x:v>121.01</x:v>
      </x:c>
      <x:c r="S201" s="17"/>
      <x:c r="T201" s="17"/>
      <x:c r="U201" s="17"/>
      <x:c r="V201" s="17"/>
      <x:c r="W201" s="17"/>
      <x:c r="X201" s="17"/>
      <x:c r="Y201" s="17"/>
      <x:c r="Z201" s="17"/>
    </x:row>
    <x:row r="202">
      <x:c r="A202" s="17" t="str">
        <x:v>Llama 3-8B</x:v>
      </x:c>
      <x:c r="B202" s="17" t="str">
        <x:v>Meta-Llama-3-8B-Instruct</x:v>
      </x:c>
      <x:c r="C202" s="17"/>
      <x:c r="D202" s="17" t="str">
        <x:v>Meta AI</x:v>
      </x:c>
      <x:c r="E202" s="17" t="str">
        <x:v>United States of America</x:v>
      </x:c>
      <x:c r="F202" s="17" t="n">
        <x:v>45400</x:v>
      </x:c>
      <x:c r="G202" s="17" t="str">
        <x:v>Open weights (restricted use)</x:v>
      </x:c>
      <x:c r="H202" s="17" t="n">
        <x:v>45400</x:v>
      </x:c>
      <x:c r="I202" s="17" t="n">
        <x:v>7.2e+23</x:v>
      </x:c>
      <x:c r="J202" s="17" t="str">
        <x:v>Confident</x:v>
      </x:c>
      <x:c r="K202" s="17" t="str">
        <x:v>An instruction-tuned version of the 8 billion-parameter model in Meta's Llama 3 series.</x:v>
      </x:c>
      <x:c r="L202" s="17"/>
      <x:c r="M202" s="17"/>
      <x:c r="N202" s="17" t="str">
        <x:v>Llama 3-8B</x:v>
      </x:c>
      <x:c r="O202" s="17" t="str">
        <x:v>llama-3-8b</x:v>
      </x:c>
      <x:c r="P202" s="17" t="n">
        <x:v>116.43</x:v>
      </x:c>
      <x:c r="Q202" s="17" t="n">
        <x:v>107.42</x:v>
      </x:c>
      <x:c r="R202" s="17" t="n">
        <x:v>119.25</x:v>
      </x:c>
      <x:c r="S202" s="17"/>
      <x:c r="T202" s="17"/>
      <x:c r="U202" s="17"/>
      <x:c r="V202" s="17"/>
      <x:c r="W202" s="17"/>
      <x:c r="X202" s="17"/>
      <x:c r="Y202" s="17"/>
      <x:c r="Z202" s="17"/>
    </x:row>
    <x:row r="203">
      <x:c r="A203" s="17" t="str">
        <x:v>Claude 3 Opus</x:v>
      </x:c>
      <x:c r="B203" s="17" t="str">
        <x:v>claude-3-opus-20240229</x:v>
      </x:c>
      <x:c r="C203" s="17"/>
      <x:c r="D203" s="17" t="str">
        <x:v>Anthropic</x:v>
      </x:c>
      <x:c r="E203" s="17" t="str">
        <x:v>United States of America</x:v>
      </x:c>
      <x:c r="F203" s="17" t="n">
        <x:v>45351</x:v>
      </x:c>
      <x:c r="G203" s="17" t="str">
        <x:v>API access</x:v>
      </x:c>
      <x:c r="H203" s="17" t="n">
        <x:v>45355</x:v>
      </x:c>
      <x:c r="I203" s="17"/>
      <x:c r="J203" s="17" t="str">
        <x:v>Speculative</x:v>
      </x:c>
      <x:c r="K203" s="17" t="str">
        <x:v>The largest model in Anthropic's Claude 3 model series.</x:v>
      </x:c>
      <x:c r="L203" s="17" t="str">
        <x:v>Claude 3 Opus</x:v>
      </x:c>
      <x:c r="M203" s="17"/>
      <x:c r="N203" s="17" t="str">
        <x:v>Claude 3 Opus</x:v>
      </x:c>
      <x:c r="O203" s="17" t="str">
        <x:v>claude-3-opus</x:v>
      </x:c>
      <x:c r="P203" s="17" t="n">
        <x:v>126.92</x:v>
      </x:c>
      <x:c r="Q203" s="17" t="n">
        <x:v>121.31</x:v>
      </x:c>
      <x:c r="R203" s="17" t="n">
        <x:v>129.83</x:v>
      </x:c>
      <x:c r="S203" s="17"/>
      <x:c r="T203" s="17"/>
      <x:c r="U203" s="17"/>
      <x:c r="V203" s="17"/>
      <x:c r="W203" s="17"/>
      <x:c r="X203" s="17"/>
      <x:c r="Y203" s="17"/>
      <x:c r="Z203" s="17"/>
    </x:row>
    <x:row r="204">
      <x:c r="A204" s="17" t="str">
        <x:v>Phi-4</x:v>
      </x:c>
      <x:c r="B204" s="17" t="str">
        <x:v>phi-4</x:v>
      </x:c>
      <x:c r="C204" s="17"/>
      <x:c r="D204" s="17" t="str">
        <x:v>Microsoft Research</x:v>
      </x:c>
      <x:c r="E204" s="17" t="str">
        <x:v>United States of America</x:v>
      </x:c>
      <x:c r="F204" s="17" t="n">
        <x:v>45638</x:v>
      </x:c>
      <x:c r="G204" s="17" t="str">
        <x:v>Open weights (unrestricted)</x:v>
      </x:c>
      <x:c r="H204" s="17" t="n">
        <x:v>45638</x:v>
      </x:c>
      <x:c r="I204" s="17" t="n">
        <x:v>9.3202015e+23</x:v>
      </x:c>
      <x:c r="J204" s="17" t="str">
        <x:v>Confident</x:v>
      </x:c>
      <x:c r="K204" s="17"/>
      <x:c r="L204" s="17"/>
      <x:c r="M204" s="17" t="str">
        <x:v>Phi-4</x:v>
      </x:c>
      <x:c r="N204" s="17" t="str">
        <x:v>Phi-4</x:v>
      </x:c>
      <x:c r="O204" s="17" t="str">
        <x:v>phi-4</x:v>
      </x:c>
      <x:c r="P204" s="17" t="n">
        <x:v>131.05</x:v>
      </x:c>
      <x:c r="Q204" s="17" t="n">
        <x:v>123.6</x:v>
      </x:c>
      <x:c r="R204" s="17" t="n">
        <x:v>132.36</x:v>
      </x:c>
      <x:c r="S204" s="17"/>
      <x:c r="T204" s="17"/>
      <x:c r="U204" s="17"/>
      <x:c r="V204" s="17"/>
      <x:c r="W204" s="17"/>
      <x:c r="X204" s="17"/>
      <x:c r="Y204" s="17"/>
      <x:c r="Z204" s="17"/>
    </x:row>
    <x:row r="205">
      <x:c r="A205" s="17" t="str">
        <x:v>Mistral Large 2</x:v>
      </x:c>
      <x:c r="B205" s="17" t="str">
        <x:v>mistral-large-2407</x:v>
      </x:c>
      <x:c r="C205" s="17"/>
      <x:c r="D205" s="17" t="str">
        <x:v>Mistral AI</x:v>
      </x:c>
      <x:c r="E205" s="17" t="str">
        <x:v>France</x:v>
      </x:c>
      <x:c r="F205" s="17" t="n">
        <x:v>45497</x:v>
      </x:c>
      <x:c r="G205" s="17" t="str">
        <x:v>Open weights (non-commercial)</x:v>
      </x:c>
      <x:c r="H205" s="17" t="n">
        <x:v>45497</x:v>
      </x:c>
      <x:c r="I205" s="17" t="n">
        <x:v>2.13e+25</x:v>
      </x:c>
      <x:c r="J205" s="17" t="str">
        <x:v>Likely</x:v>
      </x:c>
      <x:c r="K205" s="17"/>
      <x:c r="L205" s="17"/>
      <x:c r="M205" s="17" t="str">
        <x:v>Mistral Large 2 (Jul 2024)</x:v>
      </x:c>
      <x:c r="N205" s="17" t="str">
        <x:v>Mistral Large 2 (Jul 2024)</x:v>
      </x:c>
      <x:c r="O205" s="17" t="str">
        <x:v>mistral-large-2-jul-2024</x:v>
      </x:c>
      <x:c r="P205" s="17" t="n">
        <x:v>127.53</x:v>
      </x:c>
      <x:c r="Q205" s="17" t="n">
        <x:v>121.93</x:v>
      </x:c>
      <x:c r="R205" s="17" t="n">
        <x:v>129.33</x:v>
      </x:c>
      <x:c r="S205" s="17"/>
      <x:c r="T205" s="17"/>
      <x:c r="U205" s="17"/>
      <x:c r="V205" s="17"/>
      <x:c r="W205" s="17"/>
      <x:c r="X205" s="17"/>
      <x:c r="Y205" s="17"/>
      <x:c r="Z205" s="17"/>
    </x:row>
    <x:row r="206">
      <x:c r="A206" s="17" t="str">
        <x:v>phi-3-medium 14B</x:v>
      </x:c>
      <x:c r="B206" s="17" t="str">
        <x:v>Phi-3-medium-128k-instruct</x:v>
      </x:c>
      <x:c r="C206" s="17"/>
      <x:c r="D206" s="17" t="str">
        <x:v>Microsoft</x:v>
      </x:c>
      <x:c r="E206" s="17" t="str">
        <x:v>United States of America</x:v>
      </x:c>
      <x:c r="F206" s="17" t="n">
        <x:v>45405</x:v>
      </x:c>
      <x:c r="G206" s="17" t="str">
        <x:v>Open weights (unrestricted)</x:v>
      </x:c>
      <x:c r="H206" s="17" t="n">
        <x:v>45405</x:v>
      </x:c>
      <x:c r="I206" s="17" t="n">
        <x:v>4.032e+23</x:v>
      </x:c>
      <x:c r="J206" s="17" t="str">
        <x:v>Likely</x:v>
      </x:c>
      <x:c r="K206" s="17"/>
      <x:c r="L206" s="17"/>
      <x:c r="M206" s="17"/>
      <x:c r="N206" s="17" t="str">
        <x:v>phi-3-medium 14B</x:v>
      </x:c>
      <x:c r="O206" s="17" t="str">
        <x:v>phi-3-medium-14b</x:v>
      </x:c>
      <x:c r="P206" s="17" t="n">
        <x:v>121.07</x:v>
      </x:c>
      <x:c r="Q206" s="17" t="n">
        <x:v>113.81</x:v>
      </x:c>
      <x:c r="R206" s="17" t="n">
        <x:v>123.74</x:v>
      </x:c>
      <x:c r="S206" s="17"/>
      <x:c r="T206" s="17"/>
      <x:c r="U206" s="17"/>
      <x:c r="V206" s="17"/>
      <x:c r="W206" s="17"/>
      <x:c r="X206" s="17"/>
      <x:c r="Y206" s="17"/>
      <x:c r="Z206" s="17"/>
    </x:row>
    <x:row r="207">
      <x:c r="A207" s="17" t="str">
        <x:v>GPT-4 Turbo (Nov 2023)</x:v>
      </x:c>
      <x:c r="B207" s="17" t="str">
        <x:v>gpt-4-0125-preview</x:v>
      </x:c>
      <x:c r="C207" s="17" t="str">
        <x:v>GPT-4 Turbo Preview (January 2024)</x:v>
      </x:c>
      <x:c r="D207" s="17" t="str">
        <x:v>OpenAI</x:v>
      </x:c>
      <x:c r="E207" s="17" t="str">
        <x:v>United States of America</x:v>
      </x:c>
      <x:c r="F207" s="17" t="n">
        <x:v>45316</x:v>
      </x:c>
      <x:c r="G207" s="17" t="str">
        <x:v>API access</x:v>
      </x:c>
      <x:c r="H207" s="17" t="n">
        <x:v>45236</x:v>
      </x:c>
      <x:c r="I207" s="17"/>
      <x:c r="J207" s="17" t="str">
        <x:v>Unknown</x:v>
      </x:c>
      <x:c r="K207" s="17" t="str">
        <x:v>A January 2024 preview version of GPT-4 Turbo, OpenAI's updated GPT-4 series model.</x:v>
      </x:c>
      <x:c r="L207" s="17"/>
      <x:c r="M207" s="17"/>
      <x:c r="N207" s="17" t="str">
        <x:v>GPT-4 Turbo (Nov 2023)</x:v>
      </x:c>
      <x:c r="O207" s="17" t="str">
        <x:v>gpt-4-turbo-nov-2023</x:v>
      </x:c>
      <x:c r="P207" s="17"/>
      <x:c r="Q207" s="17"/>
      <x:c r="R207" s="17"/>
      <x:c r="S207" s="17"/>
      <x:c r="T207" s="17"/>
      <x:c r="U207" s="17"/>
      <x:c r="V207" s="17"/>
      <x:c r="W207" s="17"/>
      <x:c r="X207" s="17"/>
      <x:c r="Y207" s="17"/>
      <x:c r="Z207" s="17"/>
    </x:row>
    <x:row r="208">
      <x:c r="A208" s="17" t="str">
        <x:v>GPT-3.5 Turbo</x:v>
      </x:c>
      <x:c r="B208" s="17" t="str">
        <x:v>gpt-3.5-turbo-1106</x:v>
      </x:c>
      <x:c r="C208" s="17" t="str">
        <x:v>GPT-3.5 Turbo (Nov 2023)</x:v>
      </x:c>
      <x:c r="D208" s="17" t="str">
        <x:v>OpenAI</x:v>
      </x:c>
      <x:c r="E208" s="17" t="str">
        <x:v>United States of America</x:v>
      </x:c>
      <x:c r="F208" s="17" t="n">
        <x:v>45236</x:v>
      </x:c>
      <x:c r="G208" s="17" t="str">
        <x:v>API access</x:v>
      </x:c>
      <x:c r="H208" s="17" t="n">
        <x:v>45090</x:v>
      </x:c>
      <x:c r="I208" s="17"/>
      <x:c r="J208" s="17" t="str">
        <x:v>Likely</x:v>
      </x:c>
      <x:c r="K208" s="17" t="str">
        <x:v>A November 2023 preview of GPT-3.5 turbo, OpenAI's updated GPT-3.5 series model.</x:v>
      </x:c>
      <x:c r="L208" s="17"/>
      <x:c r="M208" s="17" t="str">
        <x:v>GPT-3.5 Turbo (Nov 2023)</x:v>
      </x:c>
      <x:c r="N208" s="17" t="str">
        <x:v>GPT-3.5 Turbo (Nov 2023)</x:v>
      </x:c>
      <x:c r="O208" s="17" t="str">
        <x:v>gpt-3-5-turbo-nov-2023</x:v>
      </x:c>
      <x:c r="P208" s="17" t="n">
        <x:v>118.28</x:v>
      </x:c>
      <x:c r="Q208" s="17" t="n">
        <x:v>108.74</x:v>
      </x:c>
      <x:c r="R208" s="17" t="n">
        <x:v>121.51</x:v>
      </x:c>
      <x:c r="S208" s="17"/>
      <x:c r="T208" s="17"/>
      <x:c r="U208" s="17"/>
      <x:c r="V208" s="17"/>
      <x:c r="W208" s="17"/>
      <x:c r="X208" s="17"/>
      <x:c r="Y208" s="17"/>
      <x:c r="Z208" s="17"/>
    </x:row>
    <x:row r="209">
      <x:c r="A209" s="17" t="str">
        <x:v>GPT-4 Turbo (Nov 2023)</x:v>
      </x:c>
      <x:c r="B209" s="17" t="str">
        <x:v>gpt-4-1106-preview</x:v>
      </x:c>
      <x:c r="C209" s="17" t="str">
        <x:v>GPT-4 Turbo Preview (Nov 2023)</x:v>
      </x:c>
      <x:c r="D209" s="17" t="str">
        <x:v>OpenAI</x:v>
      </x:c>
      <x:c r="E209" s="17" t="str">
        <x:v>United States of America</x:v>
      </x:c>
      <x:c r="F209" s="17" t="n">
        <x:v>45236</x:v>
      </x:c>
      <x:c r="G209" s="17" t="str">
        <x:v>API access</x:v>
      </x:c>
      <x:c r="H209" s="17" t="n">
        <x:v>45236</x:v>
      </x:c>
      <x:c r="I209" s="17"/>
      <x:c r="J209" s="17" t="str">
        <x:v>Unknown</x:v>
      </x:c>
      <x:c r="K209" s="17" t="str">
        <x:v>A November 2023 preview of GPT-4 turbo, OpenAI's updated GPT-4 series model.</x:v>
      </x:c>
      <x:c r="L209" s="17"/>
      <x:c r="M209" s="17"/>
      <x:c r="N209" s="17" t="str">
        <x:v>GPT-4 Turbo (Nov 2023)</x:v>
      </x:c>
      <x:c r="O209" s="17" t="str">
        <x:v>gpt-4-turbo-nov-2023</x:v>
      </x:c>
      <x:c r="P209" s="17"/>
      <x:c r="Q209" s="17"/>
      <x:c r="R209" s="17"/>
      <x:c r="S209" s="17"/>
      <x:c r="T209" s="17"/>
      <x:c r="U209" s="17"/>
      <x:c r="V209" s="17"/>
      <x:c r="W209" s="17"/>
      <x:c r="X209" s="17"/>
      <x:c r="Y209" s="17"/>
      <x:c r="Z209" s="17"/>
    </x:row>
    <x:row r="210">
      <x:c r="A210" s="17" t="str">
        <x:v>GPT-3.5 Turbo</x:v>
      </x:c>
      <x:c r="B210" s="17" t="str">
        <x:v>gpt-3.5-turbo-0125</x:v>
      </x:c>
      <x:c r="C210" s="17" t="str">
        <x:v>GPT-3.5 Turbo (Jan 2024)</x:v>
      </x:c>
      <x:c r="D210" s="17" t="str">
        <x:v>OpenAI</x:v>
      </x:c>
      <x:c r="E210" s="17" t="str">
        <x:v>United States of America</x:v>
      </x:c>
      <x:c r="F210" s="17" t="n">
        <x:v>45316</x:v>
      </x:c>
      <x:c r="G210" s="17" t="str">
        <x:v>API access</x:v>
      </x:c>
      <x:c r="H210" s="17" t="n">
        <x:v>45090</x:v>
      </x:c>
      <x:c r="I210" s="17"/>
      <x:c r="J210" s="17" t="str">
        <x:v>Likely</x:v>
      </x:c>
      <x:c r="K210" s="17" t="str">
        <x:v>A January 2024 preview version of GPT-3.5 Turbo, OpenAI's updated GPT-3.5 series model.</x:v>
      </x:c>
      <x:c r="L210" s="17"/>
      <x:c r="M210" s="17" t="str">
        <x:v>GPT-3.5 Turbo (Jan 2024)</x:v>
      </x:c>
      <x:c r="N210" s="17" t="str">
        <x:v>GPT-3.5 Turbo (Jan 2024)</x:v>
      </x:c>
      <x:c r="O210" s="17" t="str">
        <x:v>gpt-3-5-turbo-jan-2024</x:v>
      </x:c>
      <x:c r="P210" s="17" t="n">
        <x:v>114.42</x:v>
      </x:c>
      <x:c r="Q210" s="17" t="n">
        <x:v>104.52</x:v>
      </x:c>
      <x:c r="R210" s="17" t="n">
        <x:v>117.76</x:v>
      </x:c>
      <x:c r="S210" s="17"/>
      <x:c r="T210" s="17"/>
      <x:c r="U210" s="17"/>
      <x:c r="V210" s="17"/>
      <x:c r="W210" s="17"/>
      <x:c r="X210" s="17"/>
      <x:c r="Y210" s="17"/>
      <x:c r="Z210" s="17"/>
    </x:row>
    <x:row r="211">
      <x:c r="A211" s="17" t="str">
        <x:v>Yi-1.5-34B</x:v>
      </x:c>
      <x:c r="B211" s="17" t="str">
        <x:v>Yi-1.5-34B-Chat</x:v>
      </x:c>
      <x:c r="C211" s="17"/>
      <x:c r="D211" s="17" t="str">
        <x:v>01.AI</x:v>
      </x:c>
      <x:c r="E211" s="17" t="str">
        <x:v>China</x:v>
      </x:c>
      <x:c r="F211" s="17" t="n">
        <x:v>45425</x:v>
      </x:c>
      <x:c r="G211" s="17" t="str">
        <x:v>Open weights (restricted use)</x:v>
      </x:c>
      <x:c r="H211" s="17" t="n">
        <x:v>45425</x:v>
      </x:c>
      <x:c r="I211" s="17" t="n">
        <x:v>7.344e+23</x:v>
      </x:c>
      <x:c r="J211" s="17" t="str">
        <x:v>Confident</x:v>
      </x:c>
      <x:c r="K211" s="17"/>
      <x:c r="L211" s="17" t="str">
        <x:v>Yi-1.5-34B (chat)</x:v>
      </x:c>
      <x:c r="M211" s="17"/>
      <x:c r="N211" s="17" t="str">
        <x:v>Yi-1.5-34B</x:v>
      </x:c>
      <x:c r="O211" s="17" t="str">
        <x:v>yi-1-5-34b</x:v>
      </x:c>
      <x:c r="P211" s="17"/>
      <x:c r="Q211" s="17"/>
      <x:c r="R211" s="17"/>
      <x:c r="S211" s="17"/>
      <x:c r="T211" s="17"/>
      <x:c r="U211" s="17"/>
      <x:c r="V211" s="17"/>
      <x:c r="W211" s="17"/>
      <x:c r="X211" s="17"/>
      <x:c r="Y211" s="17"/>
      <x:c r="Z211" s="17"/>
    </x:row>
    <x:row r="212">
      <x:c r="A212" s="17" t="str">
        <x:v>Yi-34B</x:v>
      </x:c>
      <x:c r="B212" s="17" t="str">
        <x:v>Yi-34B-Chat</x:v>
      </x:c>
      <x:c r="C212" s="17"/>
      <x:c r="D212" s="17" t="str">
        <x:v>01.AI</x:v>
      </x:c>
      <x:c r="E212" s="17" t="str">
        <x:v>China</x:v>
      </x:c>
      <x:c r="F212" s="17" t="n">
        <x:v>45252</x:v>
      </x:c>
      <x:c r="G212" s="17" t="str">
        <x:v>Open weights (restricted use)</x:v>
      </x:c>
      <x:c r="H212" s="17" t="n">
        <x:v>45232</x:v>
      </x:c>
      <x:c r="I212" s="17" t="n">
        <x:v>6.1e+23</x:v>
      </x:c>
      <x:c r="J212" s="17" t="str">
        <x:v>Confident</x:v>
      </x:c>
      <x:c r="K212" s="17"/>
      <x:c r="L212" s="17" t="str">
        <x:v>Yi-34B (chat)</x:v>
      </x:c>
      <x:c r="M212" s="17" t="str">
        <x:v>Yi-34B</x:v>
      </x:c>
      <x:c r="N212" s="17" t="str">
        <x:v>Yi-34B</x:v>
      </x:c>
      <x:c r="O212" s="17" t="str">
        <x:v>yi-34b</x:v>
      </x:c>
      <x:c r="P212" s="17" t="n">
        <x:v>117.14</x:v>
      </x:c>
      <x:c r="Q212" s="17" t="n">
        <x:v>109.02</x:v>
      </x:c>
      <x:c r="R212" s="17" t="n">
        <x:v>120.55</x:v>
      </x:c>
      <x:c r="S212" s="17"/>
      <x:c r="T212" s="17"/>
      <x:c r="U212" s="17"/>
      <x:c r="V212" s="17"/>
      <x:c r="W212" s="17"/>
      <x:c r="X212" s="17"/>
      <x:c r="Y212" s="17"/>
      <x:c r="Z212" s="17"/>
    </x:row>
    <x:row r="213">
      <x:c r="A213" s="17" t="str">
        <x:v>Qwen2-72B</x:v>
      </x:c>
      <x:c r="B213" s="17" t="str">
        <x:v>qwen2-72b-instruct</x:v>
      </x:c>
      <x:c r="C213" s="17"/>
      <x:c r="D213" s="17" t="str">
        <x:v>Alibaba</x:v>
      </x:c>
      <x:c r="E213" s="17" t="str">
        <x:v>China</x:v>
      </x:c>
      <x:c r="F213" s="17" t="n">
        <x:v>45450</x:v>
      </x:c>
      <x:c r="G213" s="17" t="str">
        <x:v>Open weights (unrestricted)</x:v>
      </x:c>
      <x:c r="H213" s="17" t="n">
        <x:v>45450</x:v>
      </x:c>
      <x:c r="I213" s="17" t="n">
        <x:v>3.02e+24</x:v>
      </x:c>
      <x:c r="J213" s="17" t="str">
        <x:v>Confident</x:v>
      </x:c>
      <x:c r="K213" s="17" t="str">
        <x:v>Qwen's 72 billion-parameter model in the Qwen 2 series.</x:v>
      </x:c>
      <x:c r="L213" s="17" t="str">
        <x:v>Qwen2-72B</x:v>
      </x:c>
      <x:c r="M213" s="17"/>
      <x:c r="N213" s="17" t="str">
        <x:v>Qwen2-72B</x:v>
      </x:c>
      <x:c r="O213" s="17" t="str">
        <x:v>qwen2-72b</x:v>
      </x:c>
      <x:c r="P213" s="17" t="n">
        <x:v>125.49</x:v>
      </x:c>
      <x:c r="Q213" s="17" t="n">
        <x:v>119.09</x:v>
      </x:c>
      <x:c r="R213" s="17" t="n">
        <x:v>127.01</x:v>
      </x:c>
      <x:c r="S213" s="17"/>
      <x:c r="T213" s="17"/>
      <x:c r="U213" s="17"/>
      <x:c r="V213" s="17"/>
      <x:c r="W213" s="17"/>
      <x:c r="X213" s="17"/>
      <x:c r="Y213" s="17"/>
      <x:c r="Z213" s="17"/>
    </x:row>
    <x:row r="214">
      <x:c r="A214" s="17" t="str">
        <x:v>Qwen1.5-72B</x:v>
      </x:c>
      <x:c r="B214" s="17" t="str">
        <x:v>qwen1.5-72b-chat</x:v>
      </x:c>
      <x:c r="C214" s="17"/>
      <x:c r="D214" s="17" t="str">
        <x:v>Alibaba</x:v>
      </x:c>
      <x:c r="E214" s="17" t="str">
        <x:v>China</x:v>
      </x:c>
      <x:c r="F214" s="17" t="n">
        <x:v>45326</x:v>
      </x:c>
      <x:c r="G214" s="17" t="str">
        <x:v>Open weights (restricted use)</x:v>
      </x:c>
      <x:c r="H214" s="17" t="n">
        <x:v>45326</x:v>
      </x:c>
      <x:c r="I214" s="17" t="n">
        <x:v>1.3e+24</x:v>
      </x:c>
      <x:c r="J214" s="17" t="str">
        <x:v>Confident</x:v>
      </x:c>
      <x:c r="K214" s="17"/>
      <x:c r="L214" s="17" t="str">
        <x:v>Qwen1.5-72B</x:v>
      </x:c>
      <x:c r="M214" s="17"/>
      <x:c r="N214" s="17" t="str">
        <x:v>Qwen1.5-72B</x:v>
      </x:c>
      <x:c r="O214" s="17" t="str">
        <x:v>qwen1-5-72b</x:v>
      </x:c>
      <x:c r="P214" s="17"/>
      <x:c r="Q214" s="17"/>
      <x:c r="R214" s="17"/>
      <x:c r="S214" s="17"/>
      <x:c r="T214" s="17"/>
      <x:c r="U214" s="17"/>
      <x:c r="V214" s="17"/>
      <x:c r="W214" s="17"/>
      <x:c r="X214" s="17"/>
      <x:c r="Y214" s="17"/>
      <x:c r="Z214" s="17"/>
    </x:row>
    <x:row r="215">
      <x:c r="A215" s="17" t="str">
        <x:v>Qwen1.5-32B</x:v>
      </x:c>
      <x:c r="B215" s="17" t="str">
        <x:v>qwen1.5-32b-chat</x:v>
      </x:c>
      <x:c r="C215" s="17"/>
      <x:c r="D215" s="17" t="str">
        <x:v>Alibaba</x:v>
      </x:c>
      <x:c r="E215" s="17" t="str">
        <x:v>China</x:v>
      </x:c>
      <x:c r="F215" s="17" t="n">
        <x:v>45385</x:v>
      </x:c>
      <x:c r="G215" s="17" t="str">
        <x:v>Open weights (restricted use)</x:v>
      </x:c>
      <x:c r="H215" s="17" t="n">
        <x:v>45327</x:v>
      </x:c>
      <x:c r="I215" s="17"/>
      <x:c r="J215" s="17" t="str">
        <x:v>Confident</x:v>
      </x:c>
      <x:c r="K215" s="17" t="str">
        <x:v>A chat-optimized 32 billion-parameter model in the Qwen 1.5 series.</x:v>
      </x:c>
      <x:c r="L215" s="17" t="str">
        <x:v>Qwen1.5-32B (chat)</x:v>
      </x:c>
      <x:c r="M215" s="17"/>
      <x:c r="N215" s="17" t="str">
        <x:v>Qwen1.5-32B</x:v>
      </x:c>
      <x:c r="O215" s="17" t="str">
        <x:v>qwen1-5-32b</x:v>
      </x:c>
      <x:c r="P215" s="17"/>
      <x:c r="Q215" s="17"/>
      <x:c r="R215" s="17"/>
      <x:c r="S215" s="17"/>
      <x:c r="T215" s="17"/>
      <x:c r="U215" s="17"/>
      <x:c r="V215" s="17"/>
      <x:c r="W215" s="17"/>
      <x:c r="X215" s="17"/>
      <x:c r="Y215" s="17"/>
      <x:c r="Z215" s="17"/>
    </x:row>
    <x:row r="216">
      <x:c r="A216" s="17" t="str">
        <x:v>Mistral 7B</x:v>
      </x:c>
      <x:c r="B216" s="17" t="str">
        <x:v>Mistral-7B-Instruct-v0.3</x:v>
      </x:c>
      <x:c r="C216" s="17"/>
      <x:c r="D216" s="17" t="str">
        <x:v>Mistral AI</x:v>
      </x:c>
      <x:c r="E216" s="17" t="str">
        <x:v>France</x:v>
      </x:c>
      <x:c r="F216" s="17" t="n">
        <x:v>45439</x:v>
      </x:c>
      <x:c r="G216" s="17" t="str">
        <x:v>Open weights (unrestricted)</x:v>
      </x:c>
      <x:c r="H216" s="17" t="n">
        <x:v>45209</x:v>
      </x:c>
      <x:c r="I216" s="17"/>
      <x:c r="J216" s="17" t="str">
        <x:v>Confident</x:v>
      </x:c>
      <x:c r="K216" s="17" t="str">
        <x:v>An instruction-tuned version of Mistral-7B-v0.3, an updated version of their 7 billion-parameter model.</x:v>
      </x:c>
      <x:c r="L216" s="17"/>
      <x:c r="M216" s="17" t="str">
        <x:v>Mistral 7B v0.3</x:v>
      </x:c>
      <x:c r="N216" s="17" t="str">
        <x:v>Mistral 7B v0.3</x:v>
      </x:c>
      <x:c r="O216" s="17" t="str">
        <x:v>mistral-7b-v0-3</x:v>
      </x:c>
      <x:c r="P216" s="17"/>
      <x:c r="Q216" s="17"/>
      <x:c r="R216" s="17"/>
      <x:c r="S216" s="17"/>
      <x:c r="T216" s="17"/>
      <x:c r="U216" s="17"/>
      <x:c r="V216" s="17"/>
      <x:c r="W216" s="17"/>
      <x:c r="X216" s="17"/>
      <x:c r="Y216" s="17"/>
      <x:c r="Z216" s="17"/>
    </x:row>
    <x:row r="217">
      <x:c r="A217" s="17" t="str">
        <x:v>DeepSeek LLM 67B</x:v>
      </x:c>
      <x:c r="B217" s="17" t="str">
        <x:v>deepseek-llm-67b-chat</x:v>
      </x:c>
      <x:c r="C217" s="17"/>
      <x:c r="D217" s="17" t="str">
        <x:v>DeepSeek</x:v>
      </x:c>
      <x:c r="E217" s="17" t="str">
        <x:v>China</x:v>
      </x:c>
      <x:c r="F217" s="17" t="n">
        <x:v>45259</x:v>
      </x:c>
      <x:c r="G217" s="17" t="str">
        <x:v>Open weights (restricted use)</x:v>
      </x:c>
      <x:c r="H217" s="17" t="n">
        <x:v>45296</x:v>
      </x:c>
      <x:c r="I217" s="17" t="n">
        <x:v>8.04e+23</x:v>
      </x:c>
      <x:c r="J217" s="17" t="str">
        <x:v>Confident</x:v>
      </x:c>
      <x:c r="K217" s="17"/>
      <x:c r="L217" s="17" t="str">
        <x:v>DeepSeek LLM 67B (chat)</x:v>
      </x:c>
      <x:c r="M217" s="17"/>
      <x:c r="N217" s="17" t="str">
        <x:v>DeepSeek LLM 67B</x:v>
      </x:c>
      <x:c r="O217" s="17" t="str">
        <x:v>deepseek-llm-67b</x:v>
      </x:c>
      <x:c r="P217" s="17"/>
      <x:c r="Q217" s="17"/>
      <x:c r="R217" s="17"/>
      <x:c r="S217" s="17"/>
      <x:c r="T217" s="17"/>
      <x:c r="U217" s="17"/>
      <x:c r="V217" s="17"/>
      <x:c r="W217" s="17"/>
      <x:c r="X217" s="17"/>
      <x:c r="Y217" s="17"/>
      <x:c r="Z217" s="17"/>
    </x:row>
    <x:row r="218">
      <x:c r="A218" s="17" t="str">
        <x:v>Mixtral 8x7B</x:v>
      </x:c>
      <x:c r="B218" s="17" t="str">
        <x:v>Mixtral-8x7B-Instruct-v0.1</x:v>
      </x:c>
      <x:c r="C218" s="17"/>
      <x:c r="D218" s="17" t="str">
        <x:v>Mistral AI</x:v>
      </x:c>
      <x:c r="E218" s="17" t="str">
        <x:v>France</x:v>
      </x:c>
      <x:c r="F218" s="17" t="n">
        <x:v>45271</x:v>
      </x:c>
      <x:c r="G218" s="17" t="str">
        <x:v>Open weights (unrestricted)</x:v>
      </x:c>
      <x:c r="H218" s="17" t="n">
        <x:v>45271</x:v>
      </x:c>
      <x:c r="I218" s="17" t="n">
        <x:v>7.74e+23</x:v>
      </x:c>
      <x:c r="J218" s="17" t="str">
        <x:v>Speculative</x:v>
      </x:c>
      <x:c r="K218" s="17" t="str">
        <x:v>An instruction-tuned version of Mistral's 7 billion active (56 billion total)-parameter mixture-of-experts model</x:v>
      </x:c>
      <x:c r="L218" s="17"/>
      <x:c r="M218" s="17"/>
      <x:c r="N218" s="17" t="str">
        <x:v>Mixtral 8x7B</x:v>
      </x:c>
      <x:c r="O218" s="17" t="str">
        <x:v>mixtral-8x7b</x:v>
      </x:c>
      <x:c r="P218" s="17" t="n">
        <x:v>118.13</x:v>
      </x:c>
      <x:c r="Q218" s="17" t="n">
        <x:v>109.36</x:v>
      </x:c>
      <x:c r="R218" s="17" t="n">
        <x:v>120.78</x:v>
      </x:c>
      <x:c r="S218" s="17"/>
      <x:c r="T218" s="17"/>
      <x:c r="U218" s="17"/>
      <x:c r="V218" s="17"/>
      <x:c r="W218" s="17"/>
      <x:c r="X218" s="17"/>
      <x:c r="Y218" s="17"/>
      <x:c r="Z218" s="17"/>
    </x:row>
    <x:row r="219">
      <x:c r="A219" s="17" t="str">
        <x:v>WizardLM-2 8x22B</x:v>
      </x:c>
      <x:c r="B219" s="17" t="str">
        <x:v>WizardLM-2-8x22B</x:v>
      </x:c>
      <x:c r="C219" s="17"/>
      <x:c r="D219" s="17" t="str">
        <x:v>Microsoft</x:v>
      </x:c>
      <x:c r="E219" s="17" t="str">
        <x:v>United States of America</x:v>
      </x:c>
      <x:c r="F219" s="17" t="n">
        <x:v>45397</x:v>
      </x:c>
      <x:c r="G219" s="17" t="str">
        <x:v>Open weights (unrestricted)</x:v>
      </x:c>
      <x:c r="H219" s="17" t="n">
        <x:v>45397</x:v>
      </x:c>
      <x:c r="I219" s="17"/>
      <x:c r="J219" s="17" t="str">
        <x:v>Confident</x:v>
      </x:c>
      <x:c r="K219" s="17"/>
      <x:c r="L219" s="17" t="str">
        <x:v>WizardLM-2 8x22B</x:v>
      </x:c>
      <x:c r="M219" s="17"/>
      <x:c r="N219" s="17" t="str">
        <x:v>WizardLM-2 8x22B</x:v>
      </x:c>
      <x:c r="O219" s="17" t="str">
        <x:v>wizardlm-2-8x22b</x:v>
      </x:c>
      <x:c r="P219" s="17"/>
      <x:c r="Q219" s="17"/>
      <x:c r="R219" s="17"/>
      <x:c r="S219" s="17"/>
      <x:c r="T219" s="17"/>
      <x:c r="U219" s="17"/>
      <x:c r="V219" s="17"/>
      <x:c r="W219" s="17"/>
      <x:c r="X219" s="17"/>
      <x:c r="Y219" s="17"/>
      <x:c r="Z219" s="17"/>
    </x:row>
    <x:row r="220">
      <x:c r="A220" s="17" t="str">
        <x:v>DBRX</x:v>
      </x:c>
      <x:c r="B220" s="17" t="str">
        <x:v>dbrx-instruct</x:v>
      </x:c>
      <x:c r="C220" s="17"/>
      <x:c r="D220" s="17" t="str">
        <x:v>Databricks</x:v>
      </x:c>
      <x:c r="E220" s="17" t="str">
        <x:v>United States of America</x:v>
      </x:c>
      <x:c r="F220" s="17" t="n">
        <x:v>45378</x:v>
      </x:c>
      <x:c r="G220" s="17" t="str">
        <x:v>Open weights (restricted use)</x:v>
      </x:c>
      <x:c r="H220" s="17" t="n">
        <x:v>45378</x:v>
      </x:c>
      <x:c r="I220" s="17" t="n">
        <x:v>2.6e+24</x:v>
      </x:c>
      <x:c r="J220" s="17" t="str">
        <x:v>Confident</x:v>
      </x:c>
      <x:c r="K220" s="17"/>
      <x:c r="L220" s="17" t="str">
        <x:v>DBRX (instruct)</x:v>
      </x:c>
      <x:c r="M220" s="17"/>
      <x:c r="N220" s="17" t="str">
        <x:v>DBRX</x:v>
      </x:c>
      <x:c r="O220" s="17" t="str">
        <x:v>dbrx</x:v>
      </x:c>
      <x:c r="P220" s="17"/>
      <x:c r="Q220" s="17"/>
      <x:c r="R220" s="17"/>
      <x:c r="S220" s="17"/>
      <x:c r="T220" s="17"/>
      <x:c r="U220" s="17"/>
      <x:c r="V220" s="17"/>
      <x:c r="W220" s="17"/>
      <x:c r="X220" s="17"/>
      <x:c r="Y220" s="17"/>
      <x:c r="Z220" s="17"/>
    </x:row>
    <x:row r="221">
      <x:c r="A221" s="17" t="str">
        <x:v>Ministral 3B</x:v>
      </x:c>
      <x:c r="B221" s="17" t="str">
        <x:v>ministral-3b-2410</x:v>
      </x:c>
      <x:c r="C221" s="17"/>
      <x:c r="D221" s="17" t="str">
        <x:v>Mistral AI</x:v>
      </x:c>
      <x:c r="E221" s="17" t="str">
        <x:v>France</x:v>
      </x:c>
      <x:c r="F221" s="17" t="n">
        <x:v>45581</x:v>
      </x:c>
      <x:c r="G221" s="17" t="str">
        <x:v>API access</x:v>
      </x:c>
      <x:c r="H221" s="17" t="n">
        <x:v>45581</x:v>
      </x:c>
      <x:c r="I221" s="17"/>
      <x:c r="J221" s="17" t="str">
        <x:v>Confident</x:v>
      </x:c>
      <x:c r="K221" s="17"/>
      <x:c r="L221" s="17"/>
      <x:c r="M221" s="17"/>
      <x:c r="N221" s="17" t="str">
        <x:v>Ministral 3B</x:v>
      </x:c>
      <x:c r="O221" s="17" t="str">
        <x:v>ministral-3b</x:v>
      </x:c>
      <x:c r="P221" s="17"/>
      <x:c r="Q221" s="17"/>
      <x:c r="R221" s="17"/>
      <x:c r="S221" s="17"/>
      <x:c r="T221" s="17"/>
      <x:c r="U221" s="17"/>
      <x:c r="V221" s="17"/>
      <x:c r="W221" s="17"/>
      <x:c r="X221" s="17"/>
      <x:c r="Y221" s="17"/>
      <x:c r="Z221" s="17"/>
    </x:row>
    <x:row r="222">
      <x:c r="A222" s="17" t="str">
        <x:v>Mixtral 8x22B</x:v>
      </x:c>
      <x:c r="B222" s="17" t="str">
        <x:v>open-mixtral-8x22b</x:v>
      </x:c>
      <x:c r="C222" s="17"/>
      <x:c r="D222" s="17" t="str">
        <x:v>Mistral AI</x:v>
      </x:c>
      <x:c r="E222" s="17" t="str">
        <x:v>France</x:v>
      </x:c>
      <x:c r="F222" s="17" t="n">
        <x:v>45399</x:v>
      </x:c>
      <x:c r="G222" s="17" t="str">
        <x:v>Open weights (unrestricted)</x:v>
      </x:c>
      <x:c r="H222" s="17" t="n">
        <x:v>45399</x:v>
      </x:c>
      <x:c r="I222" s="17" t="n">
        <x:v>2.34e+24</x:v>
      </x:c>
      <x:c r="J222" s="17" t="str">
        <x:v>Speculative</x:v>
      </x:c>
      <x:c r="K222" s="17"/>
      <x:c r="L222" s="17"/>
      <x:c r="M222" s="17"/>
      <x:c r="N222" s="17" t="str">
        <x:v>Mixtral 8x22B</x:v>
      </x:c>
      <x:c r="O222" s="17" t="str">
        <x:v>mixtral-8x22b</x:v>
      </x:c>
      <x:c r="P222" s="17" t="n">
        <x:v>121.28</x:v>
      </x:c>
      <x:c r="Q222" s="17" t="n">
        <x:v>112.48</x:v>
      </x:c>
      <x:c r="R222" s="17" t="n">
        <x:v>123.4</x:v>
      </x:c>
      <x:c r="S222" s="17"/>
      <x:c r="T222" s="17"/>
      <x:c r="U222" s="17"/>
      <x:c r="V222" s="17"/>
      <x:c r="W222" s="17"/>
      <x:c r="X222" s="17"/>
      <x:c r="Y222" s="17"/>
      <x:c r="Z222" s="17"/>
    </x:row>
    <x:row r="223">
      <x:c r="A223" s="17" t="str">
        <x:v>Ministral 8B</x:v>
      </x:c>
      <x:c r="B223" s="17" t="str">
        <x:v>ministral-8b-2410</x:v>
      </x:c>
      <x:c r="C223" s="17"/>
      <x:c r="D223" s="17" t="str">
        <x:v>Mistral AI</x:v>
      </x:c>
      <x:c r="E223" s="17" t="str">
        <x:v>France</x:v>
      </x:c>
      <x:c r="F223" s="17" t="n">
        <x:v>45581</x:v>
      </x:c>
      <x:c r="G223" s="17" t="str">
        <x:v>Open weights (non-commercial)</x:v>
      </x:c>
      <x:c r="H223" s="17" t="n">
        <x:v>45581</x:v>
      </x:c>
      <x:c r="I223" s="17"/>
      <x:c r="J223" s="17" t="str">
        <x:v>Confident</x:v>
      </x:c>
      <x:c r="K223" s="17"/>
      <x:c r="L223" s="17"/>
      <x:c r="M223" s="17"/>
      <x:c r="N223" s="17" t="str">
        <x:v>Ministral 8B</x:v>
      </x:c>
      <x:c r="O223" s="17" t="str">
        <x:v>ministral-8b</x:v>
      </x:c>
      <x:c r="P223" s="17"/>
      <x:c r="Q223" s="17"/>
      <x:c r="R223" s="17"/>
      <x:c r="S223" s="17"/>
      <x:c r="T223" s="17"/>
      <x:c r="U223" s="17"/>
      <x:c r="V223" s="17"/>
      <x:c r="W223" s="17"/>
      <x:c r="X223" s="17"/>
      <x:c r="Y223" s="17"/>
      <x:c r="Z223" s="17"/>
    </x:row>
    <x:row r="224">
      <x:c r="A224" s="17" t="str">
        <x:v>Mixtral 8x7B</x:v>
      </x:c>
      <x:c r="B224" s="17" t="str">
        <x:v>open-mixtral-8x7b</x:v>
      </x:c>
      <x:c r="C224" s="17"/>
      <x:c r="D224" s="17" t="str">
        <x:v>Mistral AI</x:v>
      </x:c>
      <x:c r="E224" s="17" t="str">
        <x:v>France</x:v>
      </x:c>
      <x:c r="F224" s="17" t="n">
        <x:v>45271</x:v>
      </x:c>
      <x:c r="G224" s="17" t="str">
        <x:v>Open weights (unrestricted)</x:v>
      </x:c>
      <x:c r="H224" s="17" t="n">
        <x:v>45271</x:v>
      </x:c>
      <x:c r="I224" s="17" t="n">
        <x:v>7.74e+23</x:v>
      </x:c>
      <x:c r="J224" s="17" t="str">
        <x:v>Speculative</x:v>
      </x:c>
      <x:c r="K224" s="17"/>
      <x:c r="L224" s="17"/>
      <x:c r="M224" s="17"/>
      <x:c r="N224" s="17" t="str">
        <x:v>Mixtral 8x7B</x:v>
      </x:c>
      <x:c r="O224" s="17" t="str">
        <x:v>mixtral-8x7b</x:v>
      </x:c>
      <x:c r="P224" s="17" t="n">
        <x:v>118.13</x:v>
      </x:c>
      <x:c r="Q224" s="17" t="n">
        <x:v>109.36</x:v>
      </x:c>
      <x:c r="R224" s="17" t="n">
        <x:v>120.78</x:v>
      </x:c>
      <x:c r="S224" s="17"/>
      <x:c r="T224" s="17"/>
      <x:c r="U224" s="17"/>
      <x:c r="V224" s="17"/>
      <x:c r="W224" s="17"/>
      <x:c r="X224" s="17"/>
      <x:c r="Y224" s="17"/>
      <x:c r="Z224" s="17"/>
    </x:row>
    <x:row r="225">
      <x:c r="A225" s="17" t="str">
        <x:v>Mistral 7B</x:v>
      </x:c>
      <x:c r="B225" s="17" t="str">
        <x:v>open-mistral-7b</x:v>
      </x:c>
      <x:c r="C225" s="17"/>
      <x:c r="D225" s="17" t="str">
        <x:v>Mistral AI</x:v>
      </x:c>
      <x:c r="E225" s="17" t="str">
        <x:v>France</x:v>
      </x:c>
      <x:c r="F225" s="17" t="n">
        <x:v>45196</x:v>
      </x:c>
      <x:c r="G225" s="17" t="str">
        <x:v>Open weights (unrestricted)</x:v>
      </x:c>
      <x:c r="H225" s="17" t="n">
        <x:v>45209</x:v>
      </x:c>
      <x:c r="I225" s="17"/>
      <x:c r="J225" s="17" t="str">
        <x:v>Confident</x:v>
      </x:c>
      <x:c r="K225" s="17"/>
      <x:c r="L225" s="17"/>
      <x:c r="M225" s="17" t="str">
        <x:v>Mistral 7B v0.3</x:v>
      </x:c>
      <x:c r="N225" s="17" t="str">
        <x:v>Mistral 7B v0.3</x:v>
      </x:c>
      <x:c r="O225" s="17" t="str">
        <x:v>mistral-7b-v0-3</x:v>
      </x:c>
      <x:c r="P225" s="17"/>
      <x:c r="Q225" s="17"/>
      <x:c r="R225" s="17"/>
      <x:c r="S225" s="17"/>
      <x:c r="T225" s="17"/>
      <x:c r="U225" s="17"/>
      <x:c r="V225" s="17"/>
      <x:c r="W225" s="17"/>
      <x:c r="X225" s="17"/>
      <x:c r="Y225" s="17"/>
      <x:c r="Z225" s="17"/>
    </x:row>
    <x:row r="226">
      <x:c r="A226" s="17" t="str">
        <x:v>Mistral NeMo</x:v>
      </x:c>
      <x:c r="B226" s="17" t="str">
        <x:v>open-mistral-nemo-2407</x:v>
      </x:c>
      <x:c r="C226" s="17"/>
      <x:c r="D226" s="17" t="str">
        <x:v>Mistral AI</x:v>
      </x:c>
      <x:c r="E226" s="17" t="str">
        <x:v>France</x:v>
      </x:c>
      <x:c r="F226" s="17" t="n">
        <x:v>45491</x:v>
      </x:c>
      <x:c r="G226" s="17" t="str">
        <x:v>Open weights (unrestricted)</x:v>
      </x:c>
      <x:c r="H226" s="17" t="n">
        <x:v>45491</x:v>
      </x:c>
      <x:c r="I226" s="17"/>
      <x:c r="J226" s="17" t="str">
        <x:v>Confident</x:v>
      </x:c>
      <x:c r="K226" s="17"/>
      <x:c r="L226" s="17"/>
      <x:c r="M226" s="17"/>
      <x:c r="N226" s="17" t="str">
        <x:v>Mistral NeMo</x:v>
      </x:c>
      <x:c r="O226" s="17" t="str">
        <x:v>mistral-nemo</x:v>
      </x:c>
      <x:c r="P226" s="17" t="n">
        <x:v>118.38</x:v>
      </x:c>
      <x:c r="Q226" s="17" t="n">
        <x:v>109.85</x:v>
      </x:c>
      <x:c r="R226" s="17" t="n">
        <x:v>121.76</x:v>
      </x:c>
      <x:c r="S226" s="17"/>
      <x:c r="T226" s="17"/>
      <x:c r="U226" s="17"/>
      <x:c r="V226" s="17"/>
      <x:c r="W226" s="17"/>
      <x:c r="X226" s="17"/>
      <x:c r="Y226" s="17"/>
      <x:c r="Z226" s="17"/>
    </x:row>
    <x:row r="227">
      <x:c r="A227" s="17" t="str">
        <x:v>Eurus-2-7B-PRIME</x:v>
      </x:c>
      <x:c r="B227" s="17" t="str">
        <x:v>Eurus-2-7B-PRIME</x:v>
      </x:c>
      <x:c r="C227" s="17"/>
      <x:c r="D227" s="17" t="str">
        <x:v>Tsinghua University,University of Illinois Urbana-Champaign (UIUC),Shanghai AI Lab,Peking University,Shanghai Jiao Tong University,CUHK Shenzhen Research Institute</x:v>
      </x:c>
      <x:c r="E227" s="17" t="str">
        <x:v>China,United States of America</x:v>
      </x:c>
      <x:c r="F227" s="17" t="n">
        <x:v>45657</x:v>
      </x:c>
      <x:c r="G227" s="17" t="str">
        <x:v>Open weights (unrestricted)</x:v>
      </x:c>
      <x:c r="H227" s="17" t="n">
        <x:v>45691</x:v>
      </x:c>
      <x:c r="I227" s="17"/>
      <x:c r="J227" s="17" t="str">
        <x:v>Speculative</x:v>
      </x:c>
      <x:c r="K227" s="17"/>
      <x:c r="L227" s="17"/>
      <x:c r="M227" s="17"/>
      <x:c r="N227" s="17" t="str">
        <x:v>Eurus-2-7B-PRIME</x:v>
      </x:c>
      <x:c r="O227" s="17" t="str">
        <x:v>eurus-2-7b-prime</x:v>
      </x:c>
      <x:c r="P227" s="17"/>
      <x:c r="Q227" s="17"/>
      <x:c r="R227" s="17"/>
      <x:c r="S227" s="17"/>
      <x:c r="T227" s="17"/>
      <x:c r="U227" s="17"/>
      <x:c r="V227" s="17"/>
      <x:c r="W227" s="17"/>
      <x:c r="X227" s="17"/>
      <x:c r="Y227" s="17"/>
      <x:c r="Z227" s="17"/>
    </x:row>
    <x:row r="228">
      <x:c r="A228" s="17" t="str">
        <x:v>Gemini 2.5 Deep Think</x:v>
      </x:c>
      <x:c r="B228" s="17" t="str">
        <x:v>gemini-2.5-deep-think-2025-08-01-webapp</x:v>
      </x:c>
      <x:c r="C228" s="17"/>
      <x:c r="D228" s="17" t="str">
        <x:v>Google,Google DeepMind</x:v>
      </x:c>
      <x:c r="E228" s="17" t="str">
        <x:v>United States of America</x:v>
      </x:c>
      <x:c r="F228" s="17" t="n">
        <x:v>45870</x:v>
      </x:c>
      <x:c r="G228" s="17" t="str">
        <x:v>Hosted access (no API)</x:v>
      </x:c>
      <x:c r="H228" s="17" t="n">
        <x:v>45870</x:v>
      </x:c>
      <x:c r="I228" s="17"/>
      <x:c r="J228" s="17" t="str">
        <x:v>Unknown</x:v>
      </x:c>
      <x:c r="K228" s="17"/>
      <x:c r="L228" s="17"/>
      <x:c r="M228" s="17"/>
      <x:c r="N228" s="17" t="str">
        <x:v>Gemini 2.5 Deep Think</x:v>
      </x:c>
      <x:c r="O228" s="17" t="str">
        <x:v>gemini-2-5-deep-think</x:v>
      </x:c>
      <x:c r="P228" s="17"/>
      <x:c r="Q228" s="17"/>
      <x:c r="R228" s="17"/>
      <x:c r="S228" s="17"/>
      <x:c r="T228" s="17"/>
      <x:c r="U228" s="17"/>
      <x:c r="V228" s="17"/>
      <x:c r="W228" s="17"/>
      <x:c r="X228" s="17"/>
      <x:c r="Y228" s="17"/>
      <x:c r="Z228" s="17"/>
    </x:row>
    <x:row r="229">
      <x:c r="A229" s="17" t="str">
        <x:v>GPT-5.5</x:v>
      </x:c>
      <x:c r="B229" s="17" t="str">
        <x:v>gpt-5.5_unknown</x:v>
      </x:c>
      <x:c r="C229" s="17" t="str">
        <x:v>GPT-5.5 (unknown thinking)</x:v>
      </x:c>
      <x:c r="D229" s="17" t="str">
        <x:v>OpenAI</x:v>
      </x:c>
      <x:c r="E229" s="17" t="str">
        <x:v>United States of America</x:v>
      </x:c>
      <x:c r="F229" s="17" t="n">
        <x:v>46135</x:v>
      </x:c>
      <x:c r="G229" s="17" t="str">
        <x:v>API access</x:v>
      </x:c>
      <x:c r="H229" s="17" t="n">
        <x:v>46135</x:v>
      </x:c>
      <x:c r="I229" s="17"/>
      <x:c r="J229" s="17" t="str">
        <x:v>Likely</x:v>
      </x:c>
      <x:c r="K229" s="17"/>
      <x:c r="L229" s="17"/>
      <x:c r="M229" s="17"/>
      <x:c r="N229" s="17" t="str">
        <x:v>GPT-5.5</x:v>
      </x:c>
      <x:c r="O229" s="17" t="str">
        <x:v>gpt-5-5</x:v>
      </x:c>
      <x:c r="P229" s="17" t="n">
        <x:v>158.33</x:v>
      </x:c>
      <x:c r="Q229" s="17" t="n">
        <x:v>156.44</x:v>
      </x:c>
      <x:c r="R229" s="17" t="n">
        <x:v>161.43</x:v>
      </x:c>
      <x:c r="S229" s="17"/>
      <x:c r="T229" s="17"/>
      <x:c r="U229" s="17"/>
      <x:c r="V229" s="17"/>
      <x:c r="W229" s="17"/>
      <x:c r="X229" s="17"/>
      <x:c r="Y229" s="17"/>
      <x:c r="Z229" s="17"/>
    </x:row>
    <x:row r="230">
      <x:c r="A230" s="17" t="str">
        <x:v>GLM-5.2</x:v>
      </x:c>
      <x:c r="B230" s="17" t="str">
        <x:v>glm-5.2_unknown</x:v>
      </x:c>
      <x:c r="C230" s="17" t="str">
        <x:v>GLM-5.2</x:v>
      </x:c>
      <x:c r="D230" s="17" t="str">
        <x:v>Z.ai (Zhipu AI)</x:v>
      </x:c>
      <x:c r="E230" s="17" t="str">
        <x:v>China</x:v>
      </x:c>
      <x:c r="F230" s="17" t="n">
        <x:v>46189</x:v>
      </x:c>
      <x:c r="G230" s="17" t="str">
        <x:v>Open weights (unrestricted)</x:v>
      </x:c>
      <x:c r="H230" s="17" t="n">
        <x:v>46189</x:v>
      </x:c>
      <x:c r="I230" s="17"/>
      <x:c r="J230" s="17" t="str">
        <x:v>Confident</x:v>
      </x:c>
      <x:c r="K230" s="17"/>
      <x:c r="L230" s="17" t="str">
        <x:v>GLM-5.2 (unknown thinking)</x:v>
      </x:c>
      <x:c r="M230" s="17"/>
      <x:c r="N230" s="17" t="str">
        <x:v>GLM-5.2</x:v>
      </x:c>
      <x:c r="O230" s="17" t="str">
        <x:v>glm-5-2</x:v>
      </x:c>
      <x:c r="P230" s="17" t="n">
        <x:v>151.6</x:v>
      </x:c>
      <x:c r="Q230" s="17" t="n">
        <x:v>149.97</x:v>
      </x:c>
      <x:c r="R230" s="17" t="n">
        <x:v>153.86</x:v>
      </x:c>
      <x:c r="S230" s="17"/>
      <x:c r="T230" s="17"/>
      <x:c r="U230" s="17"/>
      <x:c r="V230" s="17"/>
      <x:c r="W230" s="17"/>
      <x:c r="X230" s="17"/>
      <x:c r="Y230" s="17"/>
      <x:c r="Z230" s="17"/>
    </x:row>
    <x:row r="231">
      <x:c r="A231" s="17" t="str">
        <x:v>GPT-5.3 Codex</x:v>
      </x:c>
      <x:c r="B231" s="17" t="str">
        <x:v>gpt-5.3-codex</x:v>
      </x:c>
      <x:c r="C231" s="17" t="str">
        <x:v>GPT-5.3 Codex</x:v>
      </x:c>
      <x:c r="D231" s="17" t="str">
        <x:v>OpenAI</x:v>
      </x:c>
      <x:c r="E231" s="17" t="str">
        <x:v>United States of America</x:v>
      </x:c>
      <x:c r="F231" s="17" t="n">
        <x:v>46058</x:v>
      </x:c>
      <x:c r="G231" s="17" t="str">
        <x:v>API access</x:v>
      </x:c>
      <x:c r="H231" s="17" t="n">
        <x:v>46058</x:v>
      </x:c>
      <x:c r="I231" s="17"/>
      <x:c r="J231" s="17" t="str">
        <x:v>Likely</x:v>
      </x:c>
      <x:c r="K231" s="17"/>
      <x:c r="L231" s="17" t="str">
        <x:v>GPT-5.3 Codex</x:v>
      </x:c>
      <x:c r="M231" s="17"/>
      <x:c r="N231" s="17" t="str">
        <x:v>GPT-5.3 Codex</x:v>
      </x:c>
      <x:c r="O231" s="17" t="str">
        <x:v>gpt-5-3-codex</x:v>
      </x:c>
      <x:c r="P231" s="17" t="n">
        <x:v>155.49</x:v>
      </x:c>
      <x:c r="Q231" s="17" t="n">
        <x:v>153.29</x:v>
      </x:c>
      <x:c r="R231" s="17" t="n">
        <x:v>158.84</x:v>
      </x:c>
      <x:c r="S231" s="17"/>
      <x:c r="T231" s="17"/>
      <x:c r="U231" s="17"/>
      <x:c r="V231" s="17"/>
      <x:c r="W231" s="17"/>
      <x:c r="X231" s="17"/>
      <x:c r="Y231" s="17"/>
      <x:c r="Z231" s="17"/>
    </x:row>
    <x:row r="232">
      <x:c r="A232" s="17" t="str">
        <x:v>Claude Opus 4.7</x:v>
      </x:c>
      <x:c r="B232" s="17" t="str">
        <x:v>claude-opus-4-7_unknown</x:v>
      </x:c>
      <x:c r="C232" s="17" t="str">
        <x:v>Claude Opus 4.7 (unknown)</x:v>
      </x:c>
      <x:c r="D232" s="17" t="str">
        <x:v>Anthropic</x:v>
      </x:c>
      <x:c r="E232" s="17" t="str">
        <x:v>United States of America</x:v>
      </x:c>
      <x:c r="F232" s="17" t="n">
        <x:v>46128</x:v>
      </x:c>
      <x:c r="G232" s="17" t="str">
        <x:v>API access</x:v>
      </x:c>
      <x:c r="H232" s="17" t="n">
        <x:v>46128</x:v>
      </x:c>
      <x:c r="I232" s="17"/>
      <x:c r="J232" s="17" t="str">
        <x:v>Likely</x:v>
      </x:c>
      <x:c r="K232" s="17"/>
      <x:c r="L232" s="17" t="str">
        <x:v>Claude Opus 4.7 (unknown settings)</x:v>
      </x:c>
      <x:c r="M232" s="17"/>
      <x:c r="N232" s="17" t="str">
        <x:v>Claude Opus 4.7</x:v>
      </x:c>
      <x:c r="O232" s="17" t="str">
        <x:v>claude-opus-4-7</x:v>
      </x:c>
      <x:c r="P232" s="17" t="n">
        <x:v>156.01</x:v>
      </x:c>
      <x:c r="Q232" s="17" t="n">
        <x:v>154.07</x:v>
      </x:c>
      <x:c r="R232" s="17" t="n">
        <x:v>158.4</x:v>
      </x:c>
      <x:c r="S232" s="17"/>
      <x:c r="T232" s="17"/>
      <x:c r="U232" s="17"/>
      <x:c r="V232" s="17"/>
      <x:c r="W232" s="17"/>
      <x:c r="X232" s="17"/>
      <x:c r="Y232" s="17"/>
      <x:c r="Z232" s="17"/>
    </x:row>
    <x:row r="233">
      <x:c r="A233" s="17" t="str">
        <x:v>Claude Opus 4.8</x:v>
      </x:c>
      <x:c r="B233" s="17" t="str">
        <x:v>claude-opus-4-8_unknown</x:v>
      </x:c>
      <x:c r="C233" s="17" t="str">
        <x:v>Claude Opus 4.8</x:v>
      </x:c>
      <x:c r="D233" s="17" t="str">
        <x:v>Anthropic</x:v>
      </x:c>
      <x:c r="E233" s="17" t="str">
        <x:v>United States of America</x:v>
      </x:c>
      <x:c r="F233" s="17" t="n">
        <x:v>46170</x:v>
      </x:c>
      <x:c r="G233" s="17" t="str">
        <x:v>API access</x:v>
      </x:c>
      <x:c r="H233" s="17" t="n">
        <x:v>46170</x:v>
      </x:c>
      <x:c r="I233" s="17"/>
      <x:c r="J233" s="17" t="str">
        <x:v>Unverified</x:v>
      </x:c>
      <x:c r="K233" s="17"/>
      <x:c r="L233" s="17" t="str">
        <x:v>Claude Opus 4.8 (unknown thinking)</x:v>
      </x:c>
      <x:c r="M233" s="17"/>
      <x:c r="N233" s="17" t="str">
        <x:v>Claude Opus 4.8</x:v>
      </x:c>
      <x:c r="O233" s="17" t="str">
        <x:v>claude-opus-4-8</x:v>
      </x:c>
      <x:c r="P233" s="17" t="n">
        <x:v>157.85</x:v>
      </x:c>
      <x:c r="Q233" s="17" t="n">
        <x:v>155.12</x:v>
      </x:c>
      <x:c r="R233" s="17" t="n">
        <x:v>160.58</x:v>
      </x:c>
      <x:c r="S233" s="17"/>
      <x:c r="T233" s="17"/>
      <x:c r="U233" s="17"/>
      <x:c r="V233" s="17"/>
      <x:c r="W233" s="17"/>
      <x:c r="X233" s="17"/>
      <x:c r="Y233" s="17"/>
      <x:c r="Z233" s="17"/>
    </x:row>
    <x:row r="234">
      <x:c r="A234" s="17" t="str">
        <x:v>Claude Fable 5</x:v>
      </x:c>
      <x:c r="B234" s="17" t="str">
        <x:v>claude-fable-5_high</x:v>
      </x:c>
      <x:c r="C234" s="17" t="str">
        <x:v>Claude Fable 5 (high)</x:v>
      </x:c>
      <x:c r="D234" s="17" t="str">
        <x:v>Anthropic</x:v>
      </x:c>
      <x:c r="E234" s="17" t="str">
        <x:v>United States of America</x:v>
      </x:c>
      <x:c r="F234" s="17" t="n">
        <x:v>46182</x:v>
      </x:c>
      <x:c r="G234" s="17" t="str">
        <x:v>API access</x:v>
      </x:c>
      <x:c r="H234" s="17" t="n">
        <x:v>46182</x:v>
      </x:c>
      <x:c r="I234" s="17"/>
      <x:c r="J234" s="17" t="str">
        <x:v>Confident</x:v>
      </x:c>
      <x:c r="K234" s="17"/>
      <x:c r="L234" s="17" t="str">
        <x:v>Claude Fable 5 (high)</x:v>
      </x:c>
      <x:c r="M234" s="17"/>
      <x:c r="N234" s="17" t="str">
        <x:v>Claude Fable 5</x:v>
      </x:c>
      <x:c r="O234" s="17" t="str">
        <x:v>claude-fable-5</x:v>
      </x:c>
      <x:c r="P234" s="17" t="n">
        <x:v>160.44</x:v>
      </x:c>
      <x:c r="Q234" s="17" t="n">
        <x:v>158.05</x:v>
      </x:c>
      <x:c r="R234" s="17" t="n">
        <x:v>164.61</x:v>
      </x:c>
      <x:c r="S234" s="17"/>
      <x:c r="T234" s="17"/>
      <x:c r="U234" s="17"/>
      <x:c r="V234" s="17"/>
      <x:c r="W234" s="17"/>
      <x:c r="X234" s="17"/>
      <x:c r="Y234" s="17"/>
      <x:c r="Z234" s="17"/>
    </x:row>
    <x:row r="235">
      <x:c r="A235" s="17" t="str">
        <x:v>Claude Sonnet 4.6</x:v>
      </x:c>
      <x:c r="B235" s="17" t="str">
        <x:v>claude-sonnet-4-6_unknown</x:v>
      </x:c>
      <x:c r="C235" s="17" t="str">
        <x:v>Claude Sonnet 4.6 (unknown thinking)</x:v>
      </x:c>
      <x:c r="D235" s="17" t="str">
        <x:v>Anthropic</x:v>
      </x:c>
      <x:c r="E235" s="17" t="str">
        <x:v>United States of America</x:v>
      </x:c>
      <x:c r="F235" s="17" t="n">
        <x:v>46070</x:v>
      </x:c>
      <x:c r="G235" s="17" t="str">
        <x:v>API access</x:v>
      </x:c>
      <x:c r="H235" s="17" t="n">
        <x:v>46070</x:v>
      </x:c>
      <x:c r="I235" s="17"/>
      <x:c r="J235" s="17" t="str">
        <x:v>Likely</x:v>
      </x:c>
      <x:c r="K235" s="17"/>
      <x:c r="L235" s="17"/>
      <x:c r="M235" s="17"/>
      <x:c r="N235" s="17" t="str">
        <x:v>Claude Sonnet 4.6</x:v>
      </x:c>
      <x:c r="O235" s="17" t="str">
        <x:v>claude-sonnet-4-6</x:v>
      </x:c>
      <x:c r="P235" s="17" t="n">
        <x:v>153.18</x:v>
      </x:c>
      <x:c r="Q235" s="17" t="n">
        <x:v>149.67</x:v>
      </x:c>
      <x:c r="R235" s="17" t="n">
        <x:v>156.08</x:v>
      </x:c>
      <x:c r="S235" s="17"/>
      <x:c r="T235" s="17"/>
      <x:c r="U235" s="17"/>
      <x:c r="V235" s="17"/>
      <x:c r="W235" s="17"/>
      <x:c r="X235" s="17"/>
      <x:c r="Y235" s="17"/>
      <x:c r="Z235" s="17"/>
    </x:row>
    <x:row r="236">
      <x:c r="A236" s="17" t="str">
        <x:v>Gemini 3.5 Flash</x:v>
      </x:c>
      <x:c r="B236" s="17" t="str">
        <x:v>gemini-3.5-flash_unknown</x:v>
      </x:c>
      <x:c r="C236" s="17" t="str">
        <x:v>Gemini 3.5 Flash (unknown thinking)</x:v>
      </x:c>
      <x:c r="D236" s="17" t="str">
        <x:v>Google</x:v>
      </x:c>
      <x:c r="E236" s="17" t="str">
        <x:v>United States of America</x:v>
      </x:c>
      <x:c r="F236" s="17" t="n">
        <x:v>46161</x:v>
      </x:c>
      <x:c r="G236" s="17" t="str">
        <x:v>API access</x:v>
      </x:c>
      <x:c r="H236" s="17"/>
      <x:c r="I236" s="17"/>
      <x:c r="J236" s="17" t="str">
        <x:v>Confident</x:v>
      </x:c>
      <x:c r="K236" s="17"/>
      <x:c r="L236" s="17"/>
      <x:c r="M236" s="17"/>
      <x:c r="N236" s="17" t="str">
        <x:v>Gemini 3.5 Flash</x:v>
      </x:c>
      <x:c r="O236" s="17" t="str">
        <x:v>gemini-3-5-flash</x:v>
      </x:c>
      <x:c r="P236" s="17" t="n">
        <x:v>154.58</x:v>
      </x:c>
      <x:c r="Q236" s="17" t="n">
        <x:v>152.84</x:v>
      </x:c>
      <x:c r="R236" s="17" t="n">
        <x:v>157.2</x:v>
      </x:c>
      <x:c r="S236" s="17"/>
      <x:c r="T236" s="17"/>
      <x:c r="U236" s="17"/>
      <x:c r="V236" s="17"/>
      <x:c r="W236" s="17"/>
      <x:c r="X236" s="17"/>
      <x:c r="Y236" s="17"/>
      <x:c r="Z236" s="17"/>
    </x:row>
    <x:row r="237">
      <x:c r="A237" s="17" t="str">
        <x:v>Grok 4.20</x:v>
      </x:c>
      <x:c r="B237" s="17" t="str">
        <x:v>grok-4-20</x:v>
      </x:c>
      <x:c r="C237" s="17"/>
      <x:c r="D237" s="17" t="str">
        <x:v>xAI</x:v>
      </x:c>
      <x:c r="E237" s="17" t="str">
        <x:v>United States of America</x:v>
      </x:c>
      <x:c r="F237" s="17" t="n">
        <x:v>46070</x:v>
      </x:c>
      <x:c r="G237" s="17" t="str">
        <x:v>API access</x:v>
      </x:c>
      <x:c r="H237" s="17" t="n">
        <x:v>46070</x:v>
      </x:c>
      <x:c r="I237" s="17"/>
      <x:c r="J237" s="17" t="str">
        <x:v>Likely</x:v>
      </x:c>
      <x:c r="K237" s="17"/>
      <x:c r="L237" s="17"/>
      <x:c r="M237" s="17"/>
      <x:c r="N237" s="17" t="str">
        <x:v>Grok 4.20</x:v>
      </x:c>
      <x:c r="O237" s="17" t="str">
        <x:v>grok-4-20</x:v>
      </x:c>
      <x:c r="P237" s="17" t="n">
        <x:v>152.56</x:v>
      </x:c>
      <x:c r="Q237" s="17" t="n">
        <x:v>149.24</x:v>
      </x:c>
      <x:c r="R237" s="17" t="n">
        <x:v>154.54</x:v>
      </x:c>
      <x:c r="S237" s="17"/>
      <x:c r="T237" s="17"/>
      <x:c r="U237" s="17"/>
      <x:c r="V237" s="17"/>
      <x:c r="W237" s="17"/>
      <x:c r="X237" s="17"/>
      <x:c r="Y237" s="17"/>
      <x:c r="Z237" s="17"/>
    </x:row>
    <x:row r="238">
      <x:c r="A238" s="17" t="str">
        <x:v>Claude Fable 5</x:v>
      </x:c>
      <x:c r="B238" s="17" t="str">
        <x:v>claude-fable-5</x:v>
      </x:c>
      <x:c r="C238" s="17" t="str">
        <x:v>Claude Fable 5</x:v>
      </x:c>
      <x:c r="D238" s="17" t="str">
        <x:v>Anthropic</x:v>
      </x:c>
      <x:c r="E238" s="17" t="str">
        <x:v>United States of America</x:v>
      </x:c>
      <x:c r="F238" s="17" t="n">
        <x:v>46182</x:v>
      </x:c>
      <x:c r="G238" s="17" t="str">
        <x:v>API access</x:v>
      </x:c>
      <x:c r="H238" s="17" t="n">
        <x:v>46182</x:v>
      </x:c>
      <x:c r="I238" s="17"/>
      <x:c r="J238" s="17" t="str">
        <x:v>Confident</x:v>
      </x:c>
      <x:c r="K238" s="17"/>
      <x:c r="L238" s="17" t="str">
        <x:v>Claude Fable 5</x:v>
      </x:c>
      <x:c r="M238" s="17"/>
      <x:c r="N238" s="17" t="str">
        <x:v>Claude Fable 5</x:v>
      </x:c>
      <x:c r="O238" s="17" t="str">
        <x:v>claude-fable-5</x:v>
      </x:c>
      <x:c r="P238" s="17" t="n">
        <x:v>160.44</x:v>
      </x:c>
      <x:c r="Q238" s="17" t="n">
        <x:v>158.05</x:v>
      </x:c>
      <x:c r="R238" s="17" t="n">
        <x:v>164.61</x:v>
      </x:c>
      <x:c r="S238" s="17"/>
      <x:c r="T238" s="17"/>
      <x:c r="U238" s="17"/>
      <x:c r="V238" s="17"/>
      <x:c r="W238" s="17"/>
      <x:c r="X238" s="17"/>
      <x:c r="Y238" s="17"/>
      <x:c r="Z238" s="17"/>
    </x:row>
    <x:row r="239">
      <x:c r="A239" s="17" t="str">
        <x:v>Claude Opus 4.6</x:v>
      </x:c>
      <x:c r="B239" s="17" t="str">
        <x:v>claude-opus-4-6_unknown</x:v>
      </x:c>
      <x:c r="C239" s="17" t="str">
        <x:v>Claude Opus 4.6 (unknown thinking)</x:v>
      </x:c>
      <x:c r="D239" s="17" t="str">
        <x:v>Anthropic</x:v>
      </x:c>
      <x:c r="E239" s="17" t="str">
        <x:v>United States of America</x:v>
      </x:c>
      <x:c r="F239" s="17" t="n">
        <x:v>46058</x:v>
      </x:c>
      <x:c r="G239" s="17" t="str">
        <x:v>API access</x:v>
      </x:c>
      <x:c r="H239" s="17" t="n">
        <x:v>46058</x:v>
      </x:c>
      <x:c r="I239" s="17"/>
      <x:c r="J239" s="17" t="str">
        <x:v>Likely</x:v>
      </x:c>
      <x:c r="K239" s="17"/>
      <x:c r="L239" s="17" t="str">
        <x:v>Claude Opus 4.6 (unknown settings)</x:v>
      </x:c>
      <x:c r="M239" s="17"/>
      <x:c r="N239" s="17" t="str">
        <x:v>Claude Opus 4.6</x:v>
      </x:c>
      <x:c r="O239" s="17" t="str">
        <x:v>claude-opus-4-6</x:v>
      </x:c>
      <x:c r="P239" s="17" t="n">
        <x:v>155.31</x:v>
      </x:c>
      <x:c r="Q239" s="17" t="n">
        <x:v>153.34</x:v>
      </x:c>
      <x:c r="R239" s="17" t="n">
        <x:v>157.92</x:v>
      </x:c>
      <x:c r="S239" s="17"/>
      <x:c r="T239" s="17"/>
      <x:c r="U239" s="17"/>
      <x:c r="V239" s="17"/>
      <x:c r="W239" s="17"/>
      <x:c r="X239" s="17"/>
      <x:c r="Y239" s="17"/>
      <x:c r="Z239" s="17"/>
    </x:row>
    <x:row r="240">
      <x:c r="A240" s="17" t="str">
        <x:v>DeepSeek-V4-Pro</x:v>
      </x:c>
      <x:c r="B240" s="17" t="str">
        <x:v>deepseek-v4-pro_unknown</x:v>
      </x:c>
      <x:c r="C240" s="17" t="str">
        <x:v>DeepSeek v4 Pro (unknown thinking)</x:v>
      </x:c>
      <x:c r="D240" s="17" t="str">
        <x:v>DeepSeek</x:v>
      </x:c>
      <x:c r="E240" s="17" t="str">
        <x:v>China</x:v>
      </x:c>
      <x:c r="F240" s="17" t="n">
        <x:v>46136</x:v>
      </x:c>
      <x:c r="G240" s="17" t="str">
        <x:v>Open weights (unrestricted)</x:v>
      </x:c>
      <x:c r="H240" s="17" t="n">
        <x:v>46136</x:v>
      </x:c>
      <x:c r="I240" s="17" t="n">
        <x:v>9.702e+24</x:v>
      </x:c>
      <x:c r="J240" s="17" t="str">
        <x:v>Likely</x:v>
      </x:c>
      <x:c r="K240" s="17"/>
      <x:c r="L240" s="17" t="str">
        <x:v>DeepSeek v4 (unknown thinking)</x:v>
      </x:c>
      <x:c r="M240" s="17"/>
      <x:c r="N240" s="17" t="str">
        <x:v>DeepSeek-V4-Pro</x:v>
      </x:c>
      <x:c r="O240" s="17" t="str">
        <x:v>deepseek-v4-pro</x:v>
      </x:c>
      <x:c r="P240" s="17" t="n">
        <x:v>149.74</x:v>
      </x:c>
      <x:c r="Q240" s="17" t="n">
        <x:v>147.87</x:v>
      </x:c>
      <x:c r="R240" s="17" t="n">
        <x:v>152.06</x:v>
      </x:c>
      <x:c r="S240" s="17"/>
      <x:c r="T240" s="17"/>
      <x:c r="U240" s="17"/>
      <x:c r="V240" s="17"/>
      <x:c r="W240" s="17"/>
      <x:c r="X240" s="17"/>
      <x:c r="Y240" s="17"/>
      <x:c r="Z240" s="17"/>
    </x:row>
    <x:row r="241">
      <x:c r="A241" s="17" t="str">
        <x:v>MiniMax-M3</x:v>
      </x:c>
      <x:c r="B241" s="17" t="str">
        <x:v>MiniMax-M3</x:v>
      </x:c>
      <x:c r="C241" s="17"/>
      <x:c r="D241" s="17" t="str">
        <x:v>MiniMax</x:v>
      </x:c>
      <x:c r="E241" s="17" t="str">
        <x:v>China</x:v>
      </x:c>
      <x:c r="F241" s="17" t="n">
        <x:v>46174</x:v>
      </x:c>
      <x:c r="G241" s="17" t="str">
        <x:v>API access</x:v>
      </x:c>
      <x:c r="H241" s="17" t="n">
        <x:v>46174</x:v>
      </x:c>
      <x:c r="I241" s="17"/>
      <x:c r="J241" s="17" t="str">
        <x:v>Confident</x:v>
      </x:c>
      <x:c r="K241" s="17"/>
      <x:c r="L241" s="17"/>
      <x:c r="M241" s="17"/>
      <x:c r="N241" s="17" t="str">
        <x:v>MiniMax-M3</x:v>
      </x:c>
      <x:c r="O241" s="17" t="str">
        <x:v>minimax-m3</x:v>
      </x:c>
      <x:c r="P241" s="17" t="n">
        <x:v>144.93</x:v>
      </x:c>
      <x:c r="Q241" s="17" t="n">
        <x:v>141.94</x:v>
      </x:c>
      <x:c r="R241" s="17" t="n">
        <x:v>146.52</x:v>
      </x:c>
      <x:c r="S241" s="17"/>
      <x:c r="T241" s="17"/>
      <x:c r="U241" s="17"/>
      <x:c r="V241" s="17"/>
      <x:c r="W241" s="17"/>
      <x:c r="X241" s="17"/>
      <x:c r="Y241" s="17"/>
      <x:c r="Z241" s="17"/>
    </x:row>
    <x:row r="242">
      <x:c r="A242" s="17" t="str">
        <x:v>GPT-5.4</x:v>
      </x:c>
      <x:c r="B242" s="17" t="str">
        <x:v>gpt-5.4-2026-03-05_unknown</x:v>
      </x:c>
      <x:c r="C242" s="17" t="str">
        <x:v>GPT-5.4</x:v>
      </x:c>
      <x:c r="D242" s="17" t="str">
        <x:v>OpenAI</x:v>
      </x:c>
      <x:c r="E242" s="17" t="str">
        <x:v>United States of America</x:v>
      </x:c>
      <x:c r="F242" s="17" t="n">
        <x:v>46086</x:v>
      </x:c>
      <x:c r="G242" s="17" t="str">
        <x:v>API access</x:v>
      </x:c>
      <x:c r="H242" s="17" t="n">
        <x:v>46086</x:v>
      </x:c>
      <x:c r="I242" s="17"/>
      <x:c r="J242" s="17" t="str">
        <x:v>Likely</x:v>
      </x:c>
      <x:c r="K242" s="17"/>
      <x:c r="L242" s="17" t="str">
        <x:v>GPT-5.4 (none)</x:v>
      </x:c>
      <x:c r="M242" s="17"/>
      <x:c r="N242" s="17" t="str">
        <x:v>GPT-5.4</x:v>
      </x:c>
      <x:c r="O242" s="17" t="str">
        <x:v>gpt-5-4</x:v>
      </x:c>
      <x:c r="P242" s="17" t="n">
        <x:v>156.03</x:v>
      </x:c>
      <x:c r="Q242" s="17" t="n">
        <x:v>154.45</x:v>
      </x:c>
      <x:c r="R242" s="17" t="n">
        <x:v>158.37</x:v>
      </x:c>
      <x:c r="S242" s="17"/>
      <x:c r="T242" s="17"/>
      <x:c r="U242" s="17"/>
      <x:c r="V242" s="17"/>
      <x:c r="W242" s="17"/>
      <x:c r="X242" s="17"/>
      <x:c r="Y242" s="17"/>
      <x:c r="Z242" s="17"/>
    </x:row>
    <x:row r="243">
      <x:c r="A243" s="17" t="str">
        <x:v>Claude Sonnet 4.5</x:v>
      </x:c>
      <x:c r="B243" s="17" t="str">
        <x:v>claude-sonnet-4-5-20250929_unknown</x:v>
      </x:c>
      <x:c r="C243" s="17" t="str">
        <x:v>Claude Sonnet 4.5 (unknown thinking)</x:v>
      </x:c>
      <x:c r="D243" s="17" t="str">
        <x:v>Anthropic</x:v>
      </x:c>
      <x:c r="E243" s="17" t="str">
        <x:v>United States of America</x:v>
      </x:c>
      <x:c r="F243" s="17" t="n">
        <x:v>45929</x:v>
      </x:c>
      <x:c r="G243" s="17" t="str">
        <x:v>API access</x:v>
      </x:c>
      <x:c r="H243" s="17" t="n">
        <x:v>45929</x:v>
      </x:c>
      <x:c r="I243" s="17"/>
      <x:c r="J243" s="17" t="str">
        <x:v>Unknown</x:v>
      </x:c>
      <x:c r="K243" s="17"/>
      <x:c r="L243" s="17" t="str">
        <x:v>Claude Sonnet 4.5 (59k thinking)</x:v>
      </x:c>
      <x:c r="M243" s="17"/>
      <x:c r="N243" s="17" t="str">
        <x:v>Claude Sonnet 4.5</x:v>
      </x:c>
      <x:c r="O243" s="17" t="str">
        <x:v>claude-sonnet-4-5</x:v>
      </x:c>
      <x:c r="P243" s="17" t="n">
        <x:v>146.75</x:v>
      </x:c>
      <x:c r="Q243" s="17" t="n">
        <x:v>144.71</x:v>
      </x:c>
      <x:c r="R243" s="17" t="n">
        <x:v>148.07</x:v>
      </x:c>
      <x:c r="S243" s="17"/>
      <x:c r="T243" s="17"/>
      <x:c r="U243" s="17"/>
      <x:c r="V243" s="17"/>
      <x:c r="W243" s="17"/>
      <x:c r="X243" s="17"/>
      <x:c r="Y243" s="17"/>
      <x:c r="Z243" s="17"/>
    </x:row>
    <x:row r="244">
      <x:c r="A244" s="17" t="str">
        <x:v>Claude Haiku 4.5</x:v>
      </x:c>
      <x:c r="B244" s="17" t="str">
        <x:v>claude-haiku-4-5-20251001_unknown</x:v>
      </x:c>
      <x:c r="C244" s="17" t="str">
        <x:v>Claude Haiku 4.5 (unknown thinking)</x:v>
      </x:c>
      <x:c r="D244" s="17" t="str">
        <x:v>Anthropic</x:v>
      </x:c>
      <x:c r="E244" s="17" t="str">
        <x:v>United States of America</x:v>
      </x:c>
      <x:c r="F244" s="17" t="n">
        <x:v>45945</x:v>
      </x:c>
      <x:c r="G244" s="17" t="str">
        <x:v>API access</x:v>
      </x:c>
      <x:c r="H244" s="17" t="n">
        <x:v>45945</x:v>
      </x:c>
      <x:c r="I244" s="17"/>
      <x:c r="J244" s="17" t="str">
        <x:v>Unknown</x:v>
      </x:c>
      <x:c r="K244" s="17"/>
      <x:c r="L244" s="17" t="str">
        <x:v>Claude Haiku 4.5 (16k thinking)</x:v>
      </x:c>
      <x:c r="M244" s="17"/>
      <x:c r="N244" s="17" t="str">
        <x:v>Claude Haiku 4.5</x:v>
      </x:c>
      <x:c r="O244" s="17" t="str">
        <x:v>claude-haiku-4-5</x:v>
      </x:c>
      <x:c r="P244" s="17" t="n">
        <x:v>142.86</x:v>
      </x:c>
      <x:c r="Q244" s="17" t="n">
        <x:v>139.6</x:v>
      </x:c>
      <x:c r="R244" s="17" t="n">
        <x:v>144.62</x:v>
      </x:c>
      <x:c r="S244" s="17"/>
      <x:c r="T244" s="17"/>
      <x:c r="U244" s="17"/>
      <x:c r="V244" s="17"/>
      <x:c r="W244" s="17"/>
      <x:c r="X244" s="17"/>
      <x:c r="Y244" s="17"/>
      <x:c r="Z244" s="17"/>
    </x:row>
    <x:row r="245">
      <x:c r="A245" s="17" t="str">
        <x:v>Claude Opus 4.5</x:v>
      </x:c>
      <x:c r="B245" s="17" t="str">
        <x:v>claude-opus-4-5-20251101_unknown</x:v>
      </x:c>
      <x:c r="C245" s="17" t="str">
        <x:v>Claude Opus 4.5 (unknown thinking)</x:v>
      </x:c>
      <x:c r="D245" s="17" t="str">
        <x:v>Anthropic</x:v>
      </x:c>
      <x:c r="E245" s="17" t="str">
        <x:v>United States of America</x:v>
      </x:c>
      <x:c r="F245" s="17" t="n">
        <x:v>45985</x:v>
      </x:c>
      <x:c r="G245" s="17" t="str">
        <x:v>API access</x:v>
      </x:c>
      <x:c r="H245" s="17" t="n">
        <x:v>45985</x:v>
      </x:c>
      <x:c r="I245" s="17"/>
      <x:c r="J245" s="17" t="str">
        <x:v>Unknown</x:v>
      </x:c>
      <x:c r="K245" s="17"/>
      <x:c r="L245" s="17" t="str">
        <x:v>Claude Opus 4.5 (unknown settings)</x:v>
      </x:c>
      <x:c r="M245" s="17"/>
      <x:c r="N245" s="17" t="str">
        <x:v>Claude Opus 4.5</x:v>
      </x:c>
      <x:c r="O245" s="17" t="str">
        <x:v>claude-opus-4-5</x:v>
      </x:c>
      <x:c r="P245" s="17" t="n">
        <x:v>149.53</x:v>
      </x:c>
      <x:c r="Q245" s="17" t="n">
        <x:v>147.66</x:v>
      </x:c>
      <x:c r="R245" s="17" t="n">
        <x:v>151.99</x:v>
      </x:c>
      <x:c r="S245" s="17"/>
      <x:c r="T245" s="17"/>
      <x:c r="U245" s="17"/>
      <x:c r="V245" s="17"/>
      <x:c r="W245" s="17"/>
      <x:c r="X245" s="17"/>
      <x:c r="Y245" s="17"/>
      <x:c r="Z245" s="17"/>
    </x:row>
    <x:row r="246">
      <x:c r="A246" s="17" t="str">
        <x:v>DeepSeek-V3.2-Exp</x:v>
      </x:c>
      <x:c r="B246" s="17" t="str">
        <x:v>DeepSeek-V3.2-Exp_unknown</x:v>
      </x:c>
      <x:c r="C246" s="17"/>
      <x:c r="D246" s="17" t="str">
        <x:v>DeepSeek</x:v>
      </x:c>
      <x:c r="E246" s="17" t="str">
        <x:v>China</x:v>
      </x:c>
      <x:c r="F246" s="17" t="n">
        <x:v>45929</x:v>
      </x:c>
      <x:c r="G246" s="17" t="str">
        <x:v>Open weights (unrestricted)</x:v>
      </x:c>
      <x:c r="H246" s="17" t="n">
        <x:v>45929</x:v>
      </x:c>
      <x:c r="I246" s="17" t="n">
        <x:v>4.18e+24</x:v>
      </x:c>
      <x:c r="J246" s="17" t="str">
        <x:v>Confident</x:v>
      </x:c>
      <x:c r="K246" s="17"/>
      <x:c r="L246" s="17"/>
      <x:c r="M246" s="17"/>
      <x:c r="N246" s="17" t="str">
        <x:v>DeepSeek-V3.2-Exp</x:v>
      </x:c>
      <x:c r="O246" s="17" t="str">
        <x:v>deepseek-v3-2-exp</x:v>
      </x:c>
      <x:c r="P246" s="17" t="n">
        <x:v>144.86</x:v>
      </x:c>
      <x:c r="Q246" s="17" t="n">
        <x:v>141.79</x:v>
      </x:c>
      <x:c r="R246" s="17" t="n">
        <x:v>146.71</x:v>
      </x:c>
      <x:c r="S246" s="17"/>
      <x:c r="T246" s="17"/>
      <x:c r="U246" s="17"/>
      <x:c r="V246" s="17"/>
      <x:c r="W246" s="17"/>
      <x:c r="X246" s="17"/>
      <x:c r="Y246" s="17"/>
      <x:c r="Z246" s="17"/>
    </x:row>
    <x:row r="247">
      <x:c r="A247" s="17" t="str">
        <x:v>Grok 4.1 Fast</x:v>
      </x:c>
      <x:c r="B247" s="17" t="str">
        <x:v>grok-4-1-fast-reasoning</x:v>
      </x:c>
      <x:c r="C247" s="17"/>
      <x:c r="D247" s="17" t="str">
        <x:v>xAI</x:v>
      </x:c>
      <x:c r="E247" s="17" t="str">
        <x:v>United States of America</x:v>
      </x:c>
      <x:c r="F247" s="17" t="n">
        <x:v>45980</x:v>
      </x:c>
      <x:c r="G247" s="17" t="str">
        <x:v>API access</x:v>
      </x:c>
      <x:c r="H247" s="17" t="n">
        <x:v>45980</x:v>
      </x:c>
      <x:c r="I247" s="17"/>
      <x:c r="J247" s="17" t="str">
        <x:v>Unknown</x:v>
      </x:c>
      <x:c r="K247" s="17"/>
      <x:c r="L247" s="17"/>
      <x:c r="M247" s="17"/>
      <x:c r="N247" s="17" t="str">
        <x:v>Grok 4.1 Fast</x:v>
      </x:c>
      <x:c r="O247" s="17" t="str">
        <x:v>grok-4-1-fast</x:v>
      </x:c>
      <x:c r="P247" s="17"/>
      <x:c r="Q247" s="17"/>
      <x:c r="R247" s="17"/>
      <x:c r="S247" s="17"/>
      <x:c r="T247" s="17"/>
      <x:c r="U247" s="17"/>
      <x:c r="V247" s="17"/>
      <x:c r="W247" s="17"/>
      <x:c r="X247" s="17"/>
      <x:c r="Y247" s="17"/>
      <x:c r="Z247" s="17"/>
    </x:row>
    <x:row r="248">
      <x:c r="A248" s="17" t="str">
        <x:v>GPT-5.2</x:v>
      </x:c>
      <x:c r="B248" s="17" t="str">
        <x:v>gpt-5.2-2025-12-11_unknown</x:v>
      </x:c>
      <x:c r="C248" s="17" t="str">
        <x:v>GPT-5.2 (unknown thinking)</x:v>
      </x:c>
      <x:c r="D248" s="17" t="str">
        <x:v>OpenAI</x:v>
      </x:c>
      <x:c r="E248" s="17" t="str">
        <x:v>United States of America</x:v>
      </x:c>
      <x:c r="F248" s="17" t="n">
        <x:v>46002</x:v>
      </x:c>
      <x:c r="G248" s="17" t="str">
        <x:v>API access</x:v>
      </x:c>
      <x:c r="H248" s="17" t="n">
        <x:v>46002</x:v>
      </x:c>
      <x:c r="I248" s="17"/>
      <x:c r="J248" s="17" t="str">
        <x:v>Unknown</x:v>
      </x:c>
      <x:c r="K248" s="17"/>
      <x:c r="L248" s="17" t="str">
        <x:v>GPT-5.2 (high)</x:v>
      </x:c>
      <x:c r="M248" s="17"/>
      <x:c r="N248" s="17" t="str">
        <x:v>GPT-5.2</x:v>
      </x:c>
      <x:c r="O248" s="17" t="str">
        <x:v>gpt-5-2</x:v>
      </x:c>
      <x:c r="P248" s="17" t="n">
        <x:v>153.7</x:v>
      </x:c>
      <x:c r="Q248" s="17" t="n">
        <x:v>152.26</x:v>
      </x:c>
      <x:c r="R248" s="17" t="n">
        <x:v>155.46</x:v>
      </x:c>
      <x:c r="S248" s="17"/>
      <x:c r="T248" s="17"/>
      <x:c r="U248" s="17"/>
      <x:c r="V248" s="17"/>
      <x:c r="W248" s="17"/>
      <x:c r="X248" s="17"/>
      <x:c r="Y248" s="17"/>
      <x:c r="Z248" s="17"/>
    </x:row>
    <x:row r="249">
      <x:c r="A249" s="17" t="str">
        <x:v>GPT-5.1</x:v>
      </x:c>
      <x:c r="B249" s="17" t="str">
        <x:v>gpt-5.1-2025-11-13_unknown</x:v>
      </x:c>
      <x:c r="C249" s="17" t="str">
        <x:v>GPT-5.1 (unknown thinking)</x:v>
      </x:c>
      <x:c r="D249" s="17" t="str">
        <x:v>OpenAI</x:v>
      </x:c>
      <x:c r="E249" s="17" t="str">
        <x:v>United States of America</x:v>
      </x:c>
      <x:c r="F249" s="17" t="n">
        <x:v>45974</x:v>
      </x:c>
      <x:c r="G249" s="17" t="str">
        <x:v>API access</x:v>
      </x:c>
      <x:c r="H249" s="17" t="n">
        <x:v>45974</x:v>
      </x:c>
      <x:c r="I249" s="17"/>
      <x:c r="J249" s="17" t="str">
        <x:v>Unknown</x:v>
      </x:c>
      <x:c r="K249" s="17"/>
      <x:c r="L249" s="17" t="str">
        <x:v>GPT-5.1 (high)</x:v>
      </x:c>
      <x:c r="M249" s="17"/>
      <x:c r="N249" s="17" t="str">
        <x:v>GPT-5.1</x:v>
      </x:c>
      <x:c r="O249" s="17" t="str">
        <x:v>gpt-5-1</x:v>
      </x:c>
      <x:c r="P249" s="17" t="n">
        <x:v>149.72</x:v>
      </x:c>
      <x:c r="Q249" s="17" t="n">
        <x:v>148.31</x:v>
      </x:c>
      <x:c r="R249" s="17" t="n">
        <x:v>151.01</x:v>
      </x:c>
      <x:c r="S249" s="17"/>
      <x:c r="T249" s="17"/>
      <x:c r="U249" s="17"/>
      <x:c r="V249" s="17"/>
      <x:c r="W249" s="17"/>
      <x:c r="X249" s="17"/>
      <x:c r="Y249" s="17"/>
      <x:c r="Z249" s="17"/>
    </x:row>
    <x:row r="250">
      <x:c r="A250" s="17" t="str">
        <x:v>Qwen3.5-27B</x:v>
      </x:c>
      <x:c r="B250" s="17" t="str">
        <x:v>qwen3.5-27B</x:v>
      </x:c>
      <x:c r="C250" s="17"/>
      <x:c r="D250" s="17" t="str">
        <x:v>Alibaba</x:v>
      </x:c>
      <x:c r="E250" s="17" t="str">
        <x:v>China</x:v>
      </x:c>
      <x:c r="F250" s="17" t="n">
        <x:v>46077</x:v>
      </x:c>
      <x:c r="G250" s="17" t="str">
        <x:v>Open weights (restricted use)</x:v>
      </x:c>
      <x:c r="H250" s="17" t="n">
        <x:v>46077</x:v>
      </x:c>
      <x:c r="I250" s="17"/>
      <x:c r="J250" s="17" t="str">
        <x:v>Confident</x:v>
      </x:c>
      <x:c r="K250" s="17"/>
      <x:c r="L250" s="17"/>
      <x:c r="M250" s="17"/>
      <x:c r="N250" s="17" t="str">
        <x:v>Qwen3.5-27B</x:v>
      </x:c>
      <x:c r="O250" s="17" t="str">
        <x:v>qwen3-5-27b</x:v>
      </x:c>
      <x:c r="P250" s="17"/>
      <x:c r="Q250" s="17"/>
      <x:c r="R250" s="17"/>
      <x:c r="S250" s="17"/>
      <x:c r="T250" s="17"/>
      <x:c r="U250" s="17"/>
      <x:c r="V250" s="17"/>
      <x:c r="W250" s="17"/>
      <x:c r="X250" s="17"/>
      <x:c r="Y250" s="17"/>
      <x:c r="Z250" s="17"/>
    </x:row>
    <x:row r="251">
      <x:c r="A251" s="17" t="str">
        <x:v>MiniMax-M2</x:v>
      </x:c>
      <x:c r="B251" s="17" t="str">
        <x:v>MiniMax-M2</x:v>
      </x:c>
      <x:c r="C251" s="17"/>
      <x:c r="D251" s="17" t="str">
        <x:v>MiniMax</x:v>
      </x:c>
      <x:c r="E251" s="17" t="str">
        <x:v>China</x:v>
      </x:c>
      <x:c r="F251" s="17" t="n">
        <x:v>45957</x:v>
      </x:c>
      <x:c r="G251" s="17" t="str">
        <x:v>Open weights (unrestricted)</x:v>
      </x:c>
      <x:c r="H251" s="17" t="n">
        <x:v>45957</x:v>
      </x:c>
      <x:c r="I251" s="17"/>
      <x:c r="J251" s="17" t="str">
        <x:v>Confident</x:v>
      </x:c>
      <x:c r="K251" s="17"/>
      <x:c r="L251" s="17"/>
      <x:c r="M251" s="17"/>
      <x:c r="N251" s="17" t="str">
        <x:v>MiniMax-M2</x:v>
      </x:c>
      <x:c r="O251" s="17" t="str">
        <x:v>minimax-m2</x:v>
      </x:c>
      <x:c r="P251" s="17"/>
      <x:c r="Q251" s="17"/>
      <x:c r="R251" s="17"/>
      <x:c r="S251" s="17"/>
      <x:c r="T251" s="17"/>
      <x:c r="U251" s="17"/>
      <x:c r="V251" s="17"/>
      <x:c r="W251" s="17"/>
      <x:c r="X251" s="17"/>
      <x:c r="Y251" s="17"/>
      <x:c r="Z251" s="17"/>
    </x:row>
    <x:row r="252">
      <x:c r="A252" s="17" t="str">
        <x:v>Grok 4.3 Beta</x:v>
      </x:c>
      <x:c r="B252" s="17" t="str">
        <x:v>grok-4-3</x:v>
      </x:c>
      <x:c r="C252" s="17"/>
      <x:c r="D252" s="17" t="str">
        <x:v>xAI</x:v>
      </x:c>
      <x:c r="E252" s="17" t="str">
        <x:v>United States of America</x:v>
      </x:c>
      <x:c r="F252" s="17" t="n">
        <x:v>46129</x:v>
      </x:c>
      <x:c r="G252" s="17" t="str">
        <x:v>Hosted access (no API)</x:v>
      </x:c>
      <x:c r="H252" s="17" t="n">
        <x:v>46129</x:v>
      </x:c>
      <x:c r="I252" s="17"/>
      <x:c r="J252" s="17" t="str">
        <x:v>Likely</x:v>
      </x:c>
      <x:c r="K252" s="17"/>
      <x:c r="L252" s="17"/>
      <x:c r="M252" s="17"/>
      <x:c r="N252" s="17" t="str">
        <x:v>Grok 4.3 Beta</x:v>
      </x:c>
      <x:c r="O252" s="17" t="str">
        <x:v>grok-4-3-beta</x:v>
      </x:c>
      <x:c r="P252" s="17" t="n">
        <x:v>148.98</x:v>
      </x:c>
      <x:c r="Q252" s="17" t="n">
        <x:v>147.37</x:v>
      </x:c>
      <x:c r="R252" s="17" t="n">
        <x:v>150.53</x:v>
      </x:c>
      <x:c r="S252" s="17"/>
      <x:c r="T252" s="17"/>
      <x:c r="U252" s="17"/>
      <x:c r="V252" s="17"/>
      <x:c r="W252" s="17"/>
      <x:c r="X252" s="17"/>
      <x:c r="Y252" s="17"/>
      <x:c r="Z252" s="17"/>
    </x:row>
    <x:row r="253">
      <x:c r="A253" s="17" t="str">
        <x:v>gpt-oss-120b</x:v>
      </x:c>
      <x:c r="B253" s="17" t="str">
        <x:v>gpt-oss-120b</x:v>
      </x:c>
      <x:c r="C253" s="17"/>
      <x:c r="D253" s="17" t="str">
        <x:v>OpenAI</x:v>
      </x:c>
      <x:c r="E253" s="17" t="str">
        <x:v>United States of America</x:v>
      </x:c>
      <x:c r="F253" s="17" t="n">
        <x:v>45874</x:v>
      </x:c>
      <x:c r="G253" s="17" t="str">
        <x:v>Open weights (unrestricted)</x:v>
      </x:c>
      <x:c r="H253" s="17" t="n">
        <x:v>45874</x:v>
      </x:c>
      <x:c r="I253" s="17" t="n">
        <x:v>4.94e+24</x:v>
      </x:c>
      <x:c r="J253" s="17" t="str">
        <x:v>Confident</x:v>
      </x:c>
      <x:c r="K253" s="17" t="str">
        <x:v>The larger one of OpenAI's two latest open source language models.</x:v>
      </x:c>
      <x:c r="L253" s="17"/>
      <x:c r="M253" s="17"/>
      <x:c r="N253" s="17" t="str">
        <x:v>gpt-oss-120b</x:v>
      </x:c>
      <x:c r="O253" s="17" t="str">
        <x:v>gpt-oss-120b</x:v>
      </x:c>
      <x:c r="P253" s="17" t="n">
        <x:v>140.57</x:v>
      </x:c>
      <x:c r="Q253" s="17" t="n">
        <x:v>136.18</x:v>
      </x:c>
      <x:c r="R253" s="17" t="n">
        <x:v>143.08</x:v>
      </x:c>
      <x:c r="S253" s="17"/>
      <x:c r="T253" s="17"/>
      <x:c r="U253" s="17"/>
      <x:c r="V253" s="17"/>
      <x:c r="W253" s="17"/>
      <x:c r="X253" s="17"/>
      <x:c r="Y253" s="17"/>
      <x:c r="Z253" s="17"/>
    </x:row>
    <x:row r="254">
      <x:c r="A254" s="17" t="str">
        <x:v>MiniMax-M2.5</x:v>
      </x:c>
      <x:c r="B254" s="17" t="str">
        <x:v>MiniMax-M2.5</x:v>
      </x:c>
      <x:c r="C254" s="17"/>
      <x:c r="D254" s="17" t="str">
        <x:v>MiniMax</x:v>
      </x:c>
      <x:c r="E254" s="17" t="str">
        <x:v>China</x:v>
      </x:c>
      <x:c r="F254" s="17" t="n">
        <x:v>46065</x:v>
      </x:c>
      <x:c r="G254" s="17" t="str">
        <x:v>Open weights (unrestricted)</x:v>
      </x:c>
      <x:c r="H254" s="17" t="n">
        <x:v>46065</x:v>
      </x:c>
      <x:c r="I254" s="17"/>
      <x:c r="J254" s="17" t="str">
        <x:v>Likely</x:v>
      </x:c>
      <x:c r="K254" s="17"/>
      <x:c r="L254" s="17"/>
      <x:c r="M254" s="17"/>
      <x:c r="N254" s="17" t="str">
        <x:v>MiniMax-M2.5</x:v>
      </x:c>
      <x:c r="O254" s="17" t="str">
        <x:v>minimax-m2-5</x:v>
      </x:c>
      <x:c r="P254" s="17" t="n">
        <x:v>147.07</x:v>
      </x:c>
      <x:c r="Q254" s="17" t="n">
        <x:v>142.34</x:v>
      </x:c>
      <x:c r="R254" s="17" t="n">
        <x:v>148.14</x:v>
      </x:c>
      <x:c r="S254" s="17"/>
      <x:c r="T254" s="17"/>
      <x:c r="U254" s="17"/>
      <x:c r="V254" s="17"/>
      <x:c r="W254" s="17"/>
      <x:c r="X254" s="17"/>
      <x:c r="Y254" s="17"/>
      <x:c r="Z254" s="17"/>
    </x:row>
    <x:row r="255">
      <x:c r="A255" s="17" t="str">
        <x:v>GPT-5 mini</x:v>
      </x:c>
      <x:c r="B255" s="17" t="str">
        <x:v>gpt-5-mini-2025-08-07_unknown</x:v>
      </x:c>
      <x:c r="C255" s="17" t="str">
        <x:v>GPT-5 mini (unknown thinking)</x:v>
      </x:c>
      <x:c r="D255" s="17" t="str">
        <x:v>OpenAI</x:v>
      </x:c>
      <x:c r="E255" s="17" t="str">
        <x:v>United States of America</x:v>
      </x:c>
      <x:c r="F255" s="17" t="n">
        <x:v>45876</x:v>
      </x:c>
      <x:c r="G255" s="17" t="str">
        <x:v>API access</x:v>
      </x:c>
      <x:c r="H255" s="17" t="n">
        <x:v>45876</x:v>
      </x:c>
      <x:c r="I255" s="17"/>
      <x:c r="J255" s="17" t="str">
        <x:v>Unknown</x:v>
      </x:c>
      <x:c r="K255" s="17" t="str">
        <x:v>A smaller version of OpenAI's latest flagship frontier model, benchmarked using high reasoning effort.</x:v>
      </x:c>
      <x:c r="L255" s="17" t="str">
        <x:v>GPT-5 mini (high)</x:v>
      </x:c>
      <x:c r="M255" s="17"/>
      <x:c r="N255" s="17" t="str">
        <x:v>GPT-5 mini</x:v>
      </x:c>
      <x:c r="O255" s="17" t="str">
        <x:v>gpt-5-mini</x:v>
      </x:c>
      <x:c r="P255" s="17" t="n">
        <x:v>145.79</x:v>
      </x:c>
      <x:c r="Q255" s="17" t="n">
        <x:v>143.69</x:v>
      </x:c>
      <x:c r="R255" s="17" t="n">
        <x:v>147.21</x:v>
      </x:c>
      <x:c r="S255" s="17"/>
      <x:c r="T255" s="17"/>
      <x:c r="U255" s="17"/>
      <x:c r="V255" s="17"/>
      <x:c r="W255" s="17"/>
      <x:c r="X255" s="17"/>
      <x:c r="Y255" s="17"/>
      <x:c r="Z255" s="17"/>
    </x:row>
    <x:row r="256">
      <x:c r="A256" s="17" t="str">
        <x:v>GPT-5.5</x:v>
      </x:c>
      <x:c r="B256" s="17" t="str">
        <x:v>gpt-5.5_high</x:v>
      </x:c>
      <x:c r="C256" s="17" t="str">
        <x:v>GPT-5.5 (high)</x:v>
      </x:c>
      <x:c r="D256" s="17" t="str">
        <x:v>OpenAI</x:v>
      </x:c>
      <x:c r="E256" s="17" t="str">
        <x:v>United States of America</x:v>
      </x:c>
      <x:c r="F256" s="17" t="n">
        <x:v>46135</x:v>
      </x:c>
      <x:c r="G256" s="17" t="str">
        <x:v>API access</x:v>
      </x:c>
      <x:c r="H256" s="17" t="n">
        <x:v>46135</x:v>
      </x:c>
      <x:c r="I256" s="17"/>
      <x:c r="J256" s="17" t="str">
        <x:v>Likely</x:v>
      </x:c>
      <x:c r="K256" s="17"/>
      <x:c r="L256" s="17"/>
      <x:c r="M256" s="17"/>
      <x:c r="N256" s="17" t="str">
        <x:v>GPT-5.5</x:v>
      </x:c>
      <x:c r="O256" s="17" t="str">
        <x:v>gpt-5-5</x:v>
      </x:c>
      <x:c r="P256" s="17" t="n">
        <x:v>158.33</x:v>
      </x:c>
      <x:c r="Q256" s="17" t="n">
        <x:v>156.44</x:v>
      </x:c>
      <x:c r="R256" s="17" t="n">
        <x:v>161.43</x:v>
      </x:c>
      <x:c r="S256" s="17"/>
      <x:c r="T256" s="17"/>
      <x:c r="U256" s="17"/>
      <x:c r="V256" s="17"/>
      <x:c r="W256" s="17"/>
      <x:c r="X256" s="17"/>
      <x:c r="Y256" s="17"/>
      <x:c r="Z256" s="17"/>
    </x:row>
    <x:row r="257">
      <x:c r="A257" s="17" t="str">
        <x:v>Claude Opus 4.6</x:v>
      </x:c>
      <x:c r="B257" s="17" t="str">
        <x:v>claude-opus-4-6_high</x:v>
      </x:c>
      <x:c r="C257" s="17" t="str">
        <x:v>Claude Opus 4.6 (high)</x:v>
      </x:c>
      <x:c r="D257" s="17" t="str">
        <x:v>Anthropic</x:v>
      </x:c>
      <x:c r="E257" s="17" t="str">
        <x:v>United States of America</x:v>
      </x:c>
      <x:c r="F257" s="17" t="n">
        <x:v>46058</x:v>
      </x:c>
      <x:c r="G257" s="17" t="str">
        <x:v>API access</x:v>
      </x:c>
      <x:c r="H257" s="17" t="n">
        <x:v>46058</x:v>
      </x:c>
      <x:c r="I257" s="17"/>
      <x:c r="J257" s="17" t="str">
        <x:v>Likely</x:v>
      </x:c>
      <x:c r="K257" s="17"/>
      <x:c r="L257" s="17" t="str">
        <x:v>Claude Opus 4.6 (high)</x:v>
      </x:c>
      <x:c r="M257" s="17"/>
      <x:c r="N257" s="17" t="str">
        <x:v>Claude Opus 4.6</x:v>
      </x:c>
      <x:c r="O257" s="17" t="str">
        <x:v>claude-opus-4-6</x:v>
      </x:c>
      <x:c r="P257" s="17" t="n">
        <x:v>155.31</x:v>
      </x:c>
      <x:c r="Q257" s="17" t="n">
        <x:v>153.34</x:v>
      </x:c>
      <x:c r="R257" s="17" t="n">
        <x:v>157.92</x:v>
      </x:c>
      <x:c r="S257" s="17"/>
      <x:c r="T257" s="17"/>
      <x:c r="U257" s="17"/>
      <x:c r="V257" s="17"/>
      <x:c r="W257" s="17"/>
      <x:c r="X257" s="17"/>
      <x:c r="Y257" s="17"/>
      <x:c r="Z257" s="17"/>
    </x:row>
    <x:row r="258">
      <x:c r="A258" s="17" t="str">
        <x:v>DeepSeek-V4-Pro</x:v>
      </x:c>
      <x:c r="B258" s="17" t="str">
        <x:v>deepseek-v4-pro_high</x:v>
      </x:c>
      <x:c r="C258" s="17" t="str">
        <x:v>DeepSeek v4 Pro (high)</x:v>
      </x:c>
      <x:c r="D258" s="17" t="str">
        <x:v>DeepSeek</x:v>
      </x:c>
      <x:c r="E258" s="17" t="str">
        <x:v>China</x:v>
      </x:c>
      <x:c r="F258" s="17" t="n">
        <x:v>46136</x:v>
      </x:c>
      <x:c r="G258" s="17" t="str">
        <x:v>Open weights (unrestricted)</x:v>
      </x:c>
      <x:c r="H258" s="17" t="n">
        <x:v>46136</x:v>
      </x:c>
      <x:c r="I258" s="17" t="n">
        <x:v>9.702e+24</x:v>
      </x:c>
      <x:c r="J258" s="17" t="str">
        <x:v>Likely</x:v>
      </x:c>
      <x:c r="K258" s="17"/>
      <x:c r="L258" s="17" t="str">
        <x:v>DeepSeek v4 (high)</x:v>
      </x:c>
      <x:c r="M258" s="17"/>
      <x:c r="N258" s="17" t="str">
        <x:v>DeepSeek-V4-Pro</x:v>
      </x:c>
      <x:c r="O258" s="17" t="str">
        <x:v>deepseek-v4-pro</x:v>
      </x:c>
      <x:c r="P258" s="17" t="n">
        <x:v>149.74</x:v>
      </x:c>
      <x:c r="Q258" s="17" t="n">
        <x:v>147.87</x:v>
      </x:c>
      <x:c r="R258" s="17" t="n">
        <x:v>152.06</x:v>
      </x:c>
      <x:c r="S258" s="17"/>
      <x:c r="T258" s="17"/>
      <x:c r="U258" s="17"/>
      <x:c r="V258" s="17"/>
      <x:c r="W258" s="17"/>
      <x:c r="X258" s="17"/>
      <x:c r="Y258" s="17"/>
      <x:c r="Z258" s="17"/>
    </x:row>
    <x:row r="259">
      <x:c r="A259" s="17" t="str">
        <x:v>GLM-4.7</x:v>
      </x:c>
      <x:c r="B259" s="17" t="str">
        <x:v>zai-org/glm-4.7</x:v>
      </x:c>
      <x:c r="C259" s="17" t="str">
        <x:v>GLM-4.7 (Novita)</x:v>
      </x:c>
      <x:c r="D259" s="17" t="str">
        <x:v>Z.ai (Zhipu AI)</x:v>
      </x:c>
      <x:c r="E259" s="17" t="str">
        <x:v>China</x:v>
      </x:c>
      <x:c r="F259" s="17" t="n">
        <x:v>46013</x:v>
      </x:c>
      <x:c r="G259" s="17" t="str">
        <x:v>Open weights (unrestricted)</x:v>
      </x:c>
      <x:c r="H259" s="17" t="n">
        <x:v>46013</x:v>
      </x:c>
      <x:c r="I259" s="17" t="n">
        <x:v>4.42e+24</x:v>
      </x:c>
      <x:c r="J259" s="17" t="str">
        <x:v>Likely</x:v>
      </x:c>
      <x:c r="K259" s="17"/>
      <x:c r="L259" s="17"/>
      <x:c r="M259" s="17"/>
      <x:c r="N259" s="17" t="str">
        <x:v>GLM-4.7</x:v>
      </x:c>
      <x:c r="O259" s="17" t="str">
        <x:v>glm-4-7</x:v>
      </x:c>
      <x:c r="P259" s="17" t="n">
        <x:v>143.73</x:v>
      </x:c>
      <x:c r="Q259" s="17" t="n">
        <x:v>141.11</x:v>
      </x:c>
      <x:c r="R259" s="17" t="n">
        <x:v>145.38</x:v>
      </x:c>
      <x:c r="S259" s="17"/>
      <x:c r="T259" s="17"/>
      <x:c r="U259" s="17"/>
      <x:c r="V259" s="17"/>
      <x:c r="W259" s="17"/>
      <x:c r="X259" s="17"/>
      <x:c r="Y259" s="17"/>
      <x:c r="Z259" s="17"/>
    </x:row>
    <x:row r="260">
      <x:c r="A260" s="17" t="str">
        <x:v>DeepSeek-V3.2-Exp</x:v>
      </x:c>
      <x:c r="B260" s="17" t="str">
        <x:v>DeepSeek-V3.2-Exp_thinking</x:v>
      </x:c>
      <x:c r="C260" s="17"/>
      <x:c r="D260" s="17" t="str">
        <x:v>DeepSeek</x:v>
      </x:c>
      <x:c r="E260" s="17" t="str">
        <x:v>China</x:v>
      </x:c>
      <x:c r="F260" s="17" t="n">
        <x:v>45929</x:v>
      </x:c>
      <x:c r="G260" s="17" t="str">
        <x:v>Open weights (unrestricted)</x:v>
      </x:c>
      <x:c r="H260" s="17" t="n">
        <x:v>45929</x:v>
      </x:c>
      <x:c r="I260" s="17" t="n">
        <x:v>4.18e+24</x:v>
      </x:c>
      <x:c r="J260" s="17" t="str">
        <x:v>Confident</x:v>
      </x:c>
      <x:c r="K260" s="17"/>
      <x:c r="L260" s="17"/>
      <x:c r="M260" s="17"/>
      <x:c r="N260" s="17" t="str">
        <x:v>DeepSeek-V3.2-Exp</x:v>
      </x:c>
      <x:c r="O260" s="17" t="str">
        <x:v>deepseek-v3-2-exp</x:v>
      </x:c>
      <x:c r="P260" s="17" t="n">
        <x:v>144.86</x:v>
      </x:c>
      <x:c r="Q260" s="17" t="n">
        <x:v>141.79</x:v>
      </x:c>
      <x:c r="R260" s="17" t="n">
        <x:v>146.71</x:v>
      </x:c>
      <x:c r="S260" s="17"/>
      <x:c r="T260" s="17"/>
      <x:c r="U260" s="17"/>
      <x:c r="V260" s="17"/>
      <x:c r="W260" s="17"/>
      <x:c r="X260" s="17"/>
      <x:c r="Y260" s="17"/>
      <x:c r="Z260" s="17"/>
    </x:row>
    <x:row r="261">
      <x:c r="A261" s="17" t="str">
        <x:v>DeepSeek-V3.2</x:v>
      </x:c>
      <x:c r="B261" s="17" t="str">
        <x:v>deepseek/deepseek-v3.2</x:v>
      </x:c>
      <x:c r="C261" s="17" t="str">
        <x:v>DeepSeek-V3.2 (Thinking; Novita)</x:v>
      </x:c>
      <x:c r="D261" s="17" t="str">
        <x:v>DeepSeek</x:v>
      </x:c>
      <x:c r="E261" s="17" t="str">
        <x:v>China</x:v>
      </x:c>
      <x:c r="F261" s="17" t="n">
        <x:v>45992</x:v>
      </x:c>
      <x:c r="G261" s="17" t="str">
        <x:v>Open weights (unrestricted)</x:v>
      </x:c>
      <x:c r="H261" s="17" t="n">
        <x:v>45992</x:v>
      </x:c>
      <x:c r="I261" s="17" t="n">
        <x:v>4.1999999999999997e+24</x:v>
      </x:c>
      <x:c r="J261" s="17" t="str">
        <x:v>Likely</x:v>
      </x:c>
      <x:c r="K261" s="17"/>
      <x:c r="L261" s="17"/>
      <x:c r="M261" s="17" t="str">
        <x:v>DeepSeek-V3.2</x:v>
      </x:c>
      <x:c r="N261" s="17" t="str">
        <x:v>DeepSeek-V3.2</x:v>
      </x:c>
      <x:c r="O261" s="17" t="str">
        <x:v>deepseek-v3-2</x:v>
      </x:c>
      <x:c r="P261" s="17" t="n">
        <x:v>146.56</x:v>
      </x:c>
      <x:c r="Q261" s="17" t="n">
        <x:v>144.63</x:v>
      </x:c>
      <x:c r="R261" s="17" t="n">
        <x:v>147.62</x:v>
      </x:c>
      <x:c r="S261" s="17"/>
      <x:c r="T261" s="17"/>
      <x:c r="U261" s="17"/>
      <x:c r="V261" s="17"/>
      <x:c r="W261" s="17"/>
      <x:c r="X261" s="17"/>
      <x:c r="Y261" s="17"/>
      <x:c r="Z261" s="17"/>
    </x:row>
    <x:row r="262">
      <x:c r="A262" s="17" t="str">
        <x:v>MiMo-V2-Pro</x:v>
      </x:c>
      <x:c r="B262" s="17" t="str">
        <x:v>mimo-v2-pro</x:v>
      </x:c>
      <x:c r="C262" s="17"/>
      <x:c r="D262" s="17" t="str">
        <x:v>Xiaomi Corp</x:v>
      </x:c>
      <x:c r="E262" s="17" t="str">
        <x:v>China</x:v>
      </x:c>
      <x:c r="F262" s="17"/>
      <x:c r="G262" s="17"/>
      <x:c r="H262" s="17" t="n">
        <x:v>46099</x:v>
      </x:c>
      <x:c r="I262" s="17"/>
      <x:c r="J262" s="17" t="str">
        <x:v>Confident</x:v>
      </x:c>
      <x:c r="K262" s="17"/>
      <x:c r="L262" s="17"/>
      <x:c r="M262" s="17"/>
      <x:c r="N262" s="17" t="str">
        <x:v>MiMo-V2-Pro</x:v>
      </x:c>
      <x:c r="O262" s="17" t="str">
        <x:v>mimo-v2-pro</x:v>
      </x:c>
      <x:c r="P262" s="17"/>
      <x:c r="Q262" s="17"/>
      <x:c r="R262" s="17"/>
      <x:c r="S262" s="17"/>
      <x:c r="T262" s="17"/>
      <x:c r="U262" s="17"/>
      <x:c r="V262" s="17"/>
      <x:c r="W262" s="17"/>
      <x:c r="X262" s="17"/>
      <x:c r="Y262" s="17"/>
      <x:c r="Z262" s="17"/>
    </x:row>
    <x:row r="263">
      <x:c r="A263" s="17" t="str">
        <x:v>Claude Opus 4.7</x:v>
      </x:c>
      <x:c r="B263" s="17" t="str">
        <x:v>claude-opus-4-7</x:v>
      </x:c>
      <x:c r="C263" s="17" t="str">
        <x:v>Claude Opus 4.7 (no thinking)</x:v>
      </x:c>
      <x:c r="D263" s="17" t="str">
        <x:v>Anthropic</x:v>
      </x:c>
      <x:c r="E263" s="17" t="str">
        <x:v>United States of America</x:v>
      </x:c>
      <x:c r="F263" s="17" t="n">
        <x:v>46128</x:v>
      </x:c>
      <x:c r="G263" s="17" t="str">
        <x:v>API access</x:v>
      </x:c>
      <x:c r="H263" s="17" t="n">
        <x:v>46128</x:v>
      </x:c>
      <x:c r="I263" s="17"/>
      <x:c r="J263" s="17" t="str">
        <x:v>Likely</x:v>
      </x:c>
      <x:c r="K263" s="17"/>
      <x:c r="L263" s="17" t="str">
        <x:v>Claude Opus 4.7 (no thinking)</x:v>
      </x:c>
      <x:c r="M263" s="17"/>
      <x:c r="N263" s="17" t="str">
        <x:v>Claude Opus 4.7</x:v>
      </x:c>
      <x:c r="O263" s="17" t="str">
        <x:v>claude-opus-4-7</x:v>
      </x:c>
      <x:c r="P263" s="17" t="n">
        <x:v>156.01</x:v>
      </x:c>
      <x:c r="Q263" s="17" t="n">
        <x:v>154.07</x:v>
      </x:c>
      <x:c r="R263" s="17" t="n">
        <x:v>158.4</x:v>
      </x:c>
      <x:c r="S263" s="17"/>
      <x:c r="T263" s="17"/>
      <x:c r="U263" s="17"/>
      <x:c r="V263" s="17"/>
      <x:c r="W263" s="17"/>
      <x:c r="X263" s="17"/>
      <x:c r="Y263" s="17"/>
      <x:c r="Z263" s="17"/>
    </x:row>
    <x:row r="264">
      <x:c r="A264" s="17" t="str">
        <x:v>Claude Opus 4.7</x:v>
      </x:c>
      <x:c r="B264" s="17" t="str">
        <x:v>claude-opus-4-7_high</x:v>
      </x:c>
      <x:c r="C264" s="17" t="str">
        <x:v>Claude Opus 4.7 (high)</x:v>
      </x:c>
      <x:c r="D264" s="17" t="str">
        <x:v>Anthropic</x:v>
      </x:c>
      <x:c r="E264" s="17" t="str">
        <x:v>United States of America</x:v>
      </x:c>
      <x:c r="F264" s="17" t="n">
        <x:v>46128</x:v>
      </x:c>
      <x:c r="G264" s="17" t="str">
        <x:v>API access</x:v>
      </x:c>
      <x:c r="H264" s="17" t="n">
        <x:v>46128</x:v>
      </x:c>
      <x:c r="I264" s="17"/>
      <x:c r="J264" s="17" t="str">
        <x:v>Likely</x:v>
      </x:c>
      <x:c r="K264" s="17"/>
      <x:c r="L264" s="17" t="str">
        <x:v>Claude Opus 4.7 (high)</x:v>
      </x:c>
      <x:c r="M264" s="17"/>
      <x:c r="N264" s="17" t="str">
        <x:v>Claude Opus 4.7</x:v>
      </x:c>
      <x:c r="O264" s="17" t="str">
        <x:v>claude-opus-4-7</x:v>
      </x:c>
      <x:c r="P264" s="17" t="n">
        <x:v>156.01</x:v>
      </x:c>
      <x:c r="Q264" s="17" t="n">
        <x:v>154.07</x:v>
      </x:c>
      <x:c r="R264" s="17" t="n">
        <x:v>158.4</x:v>
      </x:c>
      <x:c r="S264" s="17"/>
      <x:c r="T264" s="17"/>
      <x:c r="U264" s="17"/>
      <x:c r="V264" s="17"/>
      <x:c r="W264" s="17"/>
      <x:c r="X264" s="17"/>
      <x:c r="Y264" s="17"/>
      <x:c r="Z264" s="17"/>
    </x:row>
    <x:row r="265">
      <x:c r="A265" s="17" t="str">
        <x:v>Claude Opus 4</x:v>
      </x:c>
      <x:c r="B265" s="17" t="str">
        <x:v>claude-opus-4-20250514_unknown</x:v>
      </x:c>
      <x:c r="C265" s="17" t="str">
        <x:v>Claude Opus 4</x:v>
      </x:c>
      <x:c r="D265" s="17" t="str">
        <x:v>Anthropic</x:v>
      </x:c>
      <x:c r="E265" s="17" t="str">
        <x:v>United States of America</x:v>
      </x:c>
      <x:c r="F265" s="17" t="n">
        <x:v>45799</x:v>
      </x:c>
      <x:c r="G265" s="17" t="str">
        <x:v>API access</x:v>
      </x:c>
      <x:c r="H265" s="17" t="n">
        <x:v>45799</x:v>
      </x:c>
      <x:c r="I265" s="17"/>
      <x:c r="J265" s="17" t="str">
        <x:v>Unknown</x:v>
      </x:c>
      <x:c r="K265" s="17" t="str">
        <x:v>Anthropic's largest model in the Claude 4 series (superseded by Claude Opus 4.1), benchmarked with up to 32,000 reasoning tokens.</x:v>
      </x:c>
      <x:c r="L265" s="17" t="str">
        <x:v>Claude Opus 4 (unknown settings)</x:v>
      </x:c>
      <x:c r="M265" s="17"/>
      <x:c r="N265" s="17" t="str">
        <x:v>Claude Opus 4</x:v>
      </x:c>
      <x:c r="O265" s="17" t="str">
        <x:v>claude-opus-4</x:v>
      </x:c>
      <x:c r="P265" s="17" t="n">
        <x:v>142.89</x:v>
      </x:c>
      <x:c r="Q265" s="17" t="n">
        <x:v>140.36</x:v>
      </x:c>
      <x:c r="R265" s="17" t="n">
        <x:v>144.3</x:v>
      </x:c>
      <x:c r="S265" s="17"/>
      <x:c r="T265" s="17"/>
      <x:c r="U265" s="17"/>
      <x:c r="V265" s="17"/>
      <x:c r="W265" s="17"/>
      <x:c r="X265" s="17"/>
      <x:c r="Y265" s="17"/>
      <x:c r="Z265" s="17"/>
    </x:row>
    <x:row r="266">
      <x:c r="A266" s="17" t="str">
        <x:v>Kimi K2</x:v>
      </x:c>
      <x:c r="B266" s="17" t="str">
        <x:v>Kimi-K2-Instruct</x:v>
      </x:c>
      <x:c r="C266" s="17" t="str">
        <x:v>Kimi K2 Instruct</x:v>
      </x:c>
      <x:c r="D266" s="17" t="str">
        <x:v>Moonshot</x:v>
      </x:c>
      <x:c r="E266" s="17" t="str">
        <x:v>China</x:v>
      </x:c>
      <x:c r="F266" s="17" t="n">
        <x:v>45850</x:v>
      </x:c>
      <x:c r="G266" s="17" t="str">
        <x:v>Open weights (restricted use)</x:v>
      </x:c>
      <x:c r="H266" s="17" t="n">
        <x:v>45849</x:v>
      </x:c>
      <x:c r="I266" s="17" t="n">
        <x:v>2.976e+24</x:v>
      </x:c>
      <x:c r="J266" s="17" t="str">
        <x:v>Confident</x:v>
      </x:c>
      <x:c r="K266" s="17" t="str">
        <x:v>Moonshot AI’s 1-trillion parameter scale model.</x:v>
      </x:c>
      <x:c r="L266" s="17"/>
      <x:c r="M266" s="17" t="str">
        <x:v>Kimi K2 (Jul 2025)</x:v>
      </x:c>
      <x:c r="N266" s="17" t="str">
        <x:v>Kimi K2 (Jul 2025)</x:v>
      </x:c>
      <x:c r="O266" s="17" t="str">
        <x:v>kimi-k2-jul-2025</x:v>
      </x:c>
      <x:c r="P266" s="17" t="n">
        <x:v>140.45</x:v>
      </x:c>
      <x:c r="Q266" s="17" t="n">
        <x:v>137</x:v>
      </x:c>
      <x:c r="R266" s="17" t="n">
        <x:v>142.06</x:v>
      </x:c>
      <x:c r="S266" s="17"/>
      <x:c r="T266" s="17"/>
      <x:c r="U266" s="17"/>
      <x:c r="V266" s="17"/>
      <x:c r="W266" s="17"/>
      <x:c r="X266" s="17"/>
      <x:c r="Y266" s="17"/>
      <x:c r="Z266" s="17"/>
    </x:row>
    <x:row r="267">
      <x:c r="A267" s="17" t="str">
        <x:v>Qwen3-Coder-480B-A35B</x:v>
      </x:c>
      <x:c r="B267" s="17" t="str">
        <x:v>Qwen3-Coder-480B-A35B-Instruct</x:v>
      </x:c>
      <x:c r="C267" s="17"/>
      <x:c r="D267" s="17" t="str">
        <x:v>Alibaba</x:v>
      </x:c>
      <x:c r="E267" s="17" t="str">
        <x:v>China</x:v>
      </x:c>
      <x:c r="F267" s="17" t="n">
        <x:v>45869</x:v>
      </x:c>
      <x:c r="G267" s="17" t="str">
        <x:v>Open weights (unrestricted)</x:v>
      </x:c>
      <x:c r="H267" s="17" t="n">
        <x:v>45860</x:v>
      </x:c>
      <x:c r="I267" s="17" t="n">
        <x:v>1.575e+24</x:v>
      </x:c>
      <x:c r="J267" s="17" t="str">
        <x:v>Confident</x:v>
      </x:c>
      <x:c r="K267" s="17"/>
      <x:c r="L267" s="17" t="str">
        <x:v>Qwen3 Coder</x:v>
      </x:c>
      <x:c r="M267" s="17"/>
      <x:c r="N267" s="17" t="str">
        <x:v>Qwen3-Coder-480B-A35B</x:v>
      </x:c>
      <x:c r="O267" s="17" t="str">
        <x:v>qwen3-coder-480b-a35b</x:v>
      </x:c>
      <x:c r="P267" s="17"/>
      <x:c r="Q267" s="17"/>
      <x:c r="R267" s="17"/>
      <x:c r="S267" s="17"/>
      <x:c r="T267" s="17"/>
      <x:c r="U267" s="17"/>
      <x:c r="V267" s="17"/>
      <x:c r="W267" s="17"/>
      <x:c r="X267" s="17"/>
      <x:c r="Y267" s="17"/>
      <x:c r="Z267" s="17"/>
    </x:row>
    <x:row r="268">
      <x:c r="A268" s="17" t="str">
        <x:v>Claude Sonnet 4</x:v>
      </x:c>
      <x:c r="B268" s="17" t="str">
        <x:v>claude-sonnet-4-20250514_unknown</x:v>
      </x:c>
      <x:c r="C268" s="17" t="str">
        <x:v>Claude Sonnet 4 (unknown thinking)</x:v>
      </x:c>
      <x:c r="D268" s="17" t="str">
        <x:v>Anthropic</x:v>
      </x:c>
      <x:c r="E268" s="17" t="str">
        <x:v>United States of America</x:v>
      </x:c>
      <x:c r="F268" s="17" t="n">
        <x:v>45799</x:v>
      </x:c>
      <x:c r="G268" s="17" t="str">
        <x:v>API access</x:v>
      </x:c>
      <x:c r="H268" s="17" t="n">
        <x:v>45799</x:v>
      </x:c>
      <x:c r="I268" s="17"/>
      <x:c r="J268" s="17" t="str">
        <x:v>Unknown</x:v>
      </x:c>
      <x:c r="K268" s="17" t="str">
        <x:v>Anthropic's mid-sized Claude 4 series model, evaluated at up to 12,000 reasoning tokens.</x:v>
      </x:c>
      <x:c r="L268" s="17" t="str">
        <x:v>Claude Sonnet 4 (12k thinking)</x:v>
      </x:c>
      <x:c r="M268" s="17"/>
      <x:c r="N268" s="17" t="str">
        <x:v>Claude Sonnet 4</x:v>
      </x:c>
      <x:c r="O268" s="17" t="str">
        <x:v>claude-sonnet-4</x:v>
      </x:c>
      <x:c r="P268" s="17" t="n">
        <x:v>142.15</x:v>
      </x:c>
      <x:c r="Q268" s="17" t="n">
        <x:v>139.04</x:v>
      </x:c>
      <x:c r="R268" s="17" t="n">
        <x:v>143.61</x:v>
      </x:c>
      <x:c r="S268" s="17"/>
      <x:c r="T268" s="17"/>
      <x:c r="U268" s="17"/>
      <x:c r="V268" s="17"/>
      <x:c r="W268" s="17"/>
      <x:c r="X268" s="17"/>
      <x:c r="Y268" s="17"/>
      <x:c r="Z268" s="17"/>
    </x:row>
    <x:row r="269">
      <x:c r="A269" s="17" t="str">
        <x:v>Claude 3.7 Sonnet</x:v>
      </x:c>
      <x:c r="B269" s="17" t="str">
        <x:v>claude-3-7-sonnet-20250219_unknown</x:v>
      </x:c>
      <x:c r="C269" s="17" t="str">
        <x:v>Claude 3.7 Sonnet (unknown thinking)</x:v>
      </x:c>
      <x:c r="D269" s="17" t="str">
        <x:v>Anthropic</x:v>
      </x:c>
      <x:c r="E269" s="17" t="str">
        <x:v>United States of America</x:v>
      </x:c>
      <x:c r="F269" s="17" t="n">
        <x:v>45712</x:v>
      </x:c>
      <x:c r="G269" s="17" t="str">
        <x:v>API access</x:v>
      </x:c>
      <x:c r="H269" s="17" t="n">
        <x:v>45712</x:v>
      </x:c>
      <x:c r="I269" s="17" t="n">
        <x:v>3.3499999999999998e+25</x:v>
      </x:c>
      <x:c r="J269" s="17" t="str">
        <x:v>Likely</x:v>
      </x:c>
      <x:c r="K269" s="17" t="str">
        <x:v>A previous flagship reasoning model from Anthropic, benchmarked with up to 64,000 reasoning tokens allowed.</x:v>
      </x:c>
      <x:c r="L269" s="17" t="str">
        <x:v>Claude 3.7 Sonnet (64k thinking)</x:v>
      </x:c>
      <x:c r="M269" s="17"/>
      <x:c r="N269" s="17" t="str">
        <x:v>Claude 3.7 Sonnet</x:v>
      </x:c>
      <x:c r="O269" s="17" t="str">
        <x:v>claude-3-7-sonnet</x:v>
      </x:c>
      <x:c r="P269" s="17" t="n">
        <x:v>141.7</x:v>
      </x:c>
      <x:c r="Q269" s="17" t="n">
        <x:v>139.28</x:v>
      </x:c>
      <x:c r="R269" s="17" t="n">
        <x:v>143.27</x:v>
      </x:c>
      <x:c r="S269" s="17"/>
      <x:c r="T269" s="17"/>
      <x:c r="U269" s="17"/>
      <x:c r="V269" s="17"/>
      <x:c r="W269" s="17"/>
      <x:c r="X269" s="17"/>
      <x:c r="Y269" s="17"/>
      <x:c r="Z269" s="17"/>
    </x:row>
    <x:row r="270">
      <x:c r="A270" s="17" t="str">
        <x:v>GLM-4.5-Air</x:v>
      </x:c>
      <x:c r="B270" s="17" t="str">
        <x:v>GLM-4.5-Air</x:v>
      </x:c>
      <x:c r="C270" s="17"/>
      <x:c r="D270" s="17" t="str">
        <x:v>Z.ai (Zhipu AI),Tsinghua University</x:v>
      </x:c>
      <x:c r="E270" s="17" t="str">
        <x:v>China</x:v>
      </x:c>
      <x:c r="F270" s="17" t="n">
        <x:v>45858</x:v>
      </x:c>
      <x:c r="G270" s="17" t="str">
        <x:v>Open weights (unrestricted)</x:v>
      </x:c>
      <x:c r="H270" s="17" t="n">
        <x:v>45874</x:v>
      </x:c>
      <x:c r="I270" s="17" t="n">
        <x:v>1.656e+24</x:v>
      </x:c>
      <x:c r="J270" s="17" t="str">
        <x:v>Confident</x:v>
      </x:c>
      <x:c r="K270" s="17" t="str">
        <x:v>A smaller version of GLM-4.5, Zhipu AI &amp; Tsinghua University's large open source model.</x:v>
      </x:c>
      <x:c r="L270" s="17"/>
      <x:c r="M270" s="17"/>
      <x:c r="N270" s="17" t="str">
        <x:v>GLM-4.5-Air</x:v>
      </x:c>
      <x:c r="O270" s="17" t="str">
        <x:v>glm-4-5-air</x:v>
      </x:c>
      <x:c r="P270" s="17"/>
      <x:c r="Q270" s="17"/>
      <x:c r="R270" s="17"/>
      <x:c r="S270" s="17"/>
      <x:c r="T270" s="17"/>
      <x:c r="U270" s="17"/>
      <x:c r="V270" s="17"/>
      <x:c r="W270" s="17"/>
      <x:c r="X270" s="17"/>
      <x:c r="Y270" s="17"/>
      <x:c r="Z270" s="17"/>
    </x:row>
    <x:row r="271">
      <x:c r="A271" s="17" t="str">
        <x:v>o3-mini</x:v>
      </x:c>
      <x:c r="B271" s="17" t="str">
        <x:v>o3-mini-2025-01-31_low</x:v>
      </x:c>
      <x:c r="C271" s="17"/>
      <x:c r="D271" s="17" t="str">
        <x:v>OpenAI</x:v>
      </x:c>
      <x:c r="E271" s="17" t="str">
        <x:v>United States of America</x:v>
      </x:c>
      <x:c r="F271" s="17" t="n">
        <x:v>45688</x:v>
      </x:c>
      <x:c r="G271" s="17" t="str">
        <x:v>API access</x:v>
      </x:c>
      <x:c r="H271" s="17" t="n">
        <x:v>45688</x:v>
      </x:c>
      <x:c r="I271" s="17"/>
      <x:c r="J271" s="17" t="str">
        <x:v>Unknown</x:v>
      </x:c>
      <x:c r="K271" s="17" t="str">
        <x:v>A smaller version of OpenAI's o3 reasoning model, evaluated with low reasoning effort.</x:v>
      </x:c>
      <x:c r="L271" s="17"/>
      <x:c r="M271" s="17"/>
      <x:c r="N271" s="17" t="str">
        <x:v>o3-mini</x:v>
      </x:c>
      <x:c r="O271" s="17" t="str">
        <x:v>o3-mini</x:v>
      </x:c>
      <x:c r="P271" s="17" t="n">
        <x:v>141.41</x:v>
      </x:c>
      <x:c r="Q271" s="17" t="n">
        <x:v>137.82</x:v>
      </x:c>
      <x:c r="R271" s="17" t="n">
        <x:v>142.81</x:v>
      </x:c>
      <x:c r="S271" s="17"/>
      <x:c r="T271" s="17"/>
      <x:c r="U271" s="17"/>
      <x:c r="V271" s="17"/>
      <x:c r="W271" s="17"/>
      <x:c r="X271" s="17"/>
      <x:c r="Y271" s="17"/>
      <x:c r="Z271" s="17"/>
    </x:row>
    <x:row r="272">
      <x:c r="A272" s="17" t="str">
        <x:v>Claude Opus 4.8</x:v>
      </x:c>
      <x:c r="B272" s="17" t="str">
        <x:v>claude-opus-4-8_xhigh</x:v>
      </x:c>
      <x:c r="C272" s="17" t="str">
        <x:v>Claude Opus 4.8</x:v>
      </x:c>
      <x:c r="D272" s="17" t="str">
        <x:v>Anthropic</x:v>
      </x:c>
      <x:c r="E272" s="17" t="str">
        <x:v>United States of America</x:v>
      </x:c>
      <x:c r="F272" s="17" t="n">
        <x:v>46170</x:v>
      </x:c>
      <x:c r="G272" s="17" t="str">
        <x:v>API access</x:v>
      </x:c>
      <x:c r="H272" s="17" t="n">
        <x:v>46170</x:v>
      </x:c>
      <x:c r="I272" s="17"/>
      <x:c r="J272" s="17" t="str">
        <x:v>Unverified</x:v>
      </x:c>
      <x:c r="K272" s="17"/>
      <x:c r="L272" s="17" t="str">
        <x:v>Claude Opus 4.8 (xhigh)</x:v>
      </x:c>
      <x:c r="M272" s="17"/>
      <x:c r="N272" s="17" t="str">
        <x:v>Claude Opus 4.8</x:v>
      </x:c>
      <x:c r="O272" s="17" t="str">
        <x:v>claude-opus-4-8</x:v>
      </x:c>
      <x:c r="P272" s="17" t="n">
        <x:v>157.85</x:v>
      </x:c>
      <x:c r="Q272" s="17" t="n">
        <x:v>155.12</x:v>
      </x:c>
      <x:c r="R272" s="17" t="n">
        <x:v>160.58</x:v>
      </x:c>
      <x:c r="S272" s="17"/>
      <x:c r="T272" s="17"/>
      <x:c r="U272" s="17"/>
      <x:c r="V272" s="17"/>
      <x:c r="W272" s="17"/>
      <x:c r="X272" s="17"/>
      <x:c r="Y272" s="17"/>
      <x:c r="Z272" s="17"/>
    </x:row>
    <x:row r="273">
      <x:c r="A273" s="17" t="str">
        <x:v>GPT-5.6 Sol</x:v>
      </x:c>
      <x:c r="B273" s="17" t="str">
        <x:v>gpt-5.6-sol_high</x:v>
      </x:c>
      <x:c r="C273" s="17" t="str">
        <x:v>GPT-5.6 Sol (high)</x:v>
      </x:c>
      <x:c r="D273" s="17" t="str">
        <x:v>OpenAI</x:v>
      </x:c>
      <x:c r="E273" s="17" t="str">
        <x:v>United States of America</x:v>
      </x:c>
      <x:c r="F273" s="17" t="n">
        <x:v>46212</x:v>
      </x:c>
      <x:c r="G273" s="17" t="str">
        <x:v>API access</x:v>
      </x:c>
      <x:c r="H273" s="17" t="n">
        <x:v>46212</x:v>
      </x:c>
      <x:c r="I273" s="17"/>
      <x:c r="J273" s="17" t="str">
        <x:v>Unverified</x:v>
      </x:c>
      <x:c r="K273" s="17"/>
      <x:c r="L273" s="17" t="str">
        <x:v>GPT-5.6 Sol (high)</x:v>
      </x:c>
      <x:c r="M273" s="17"/>
      <x:c r="N273" s="17" t="str">
        <x:v>GPT-5.6 Sol</x:v>
      </x:c>
      <x:c r="O273" s="17" t="str">
        <x:v>gpt-5-6-sol</x:v>
      </x:c>
      <x:c r="P273" s="17" t="n">
        <x:v>161.77</x:v>
      </x:c>
      <x:c r="Q273" s="17" t="n">
        <x:v>159.26</x:v>
      </x:c>
      <x:c r="R273" s="17" t="n">
        <x:v>166.01</x:v>
      </x:c>
      <x:c r="S273" s="17"/>
      <x:c r="T273" s="17"/>
      <x:c r="U273" s="17"/>
      <x:c r="V273" s="17"/>
      <x:c r="W273" s="17"/>
      <x:c r="X273" s="17"/>
      <x:c r="Y273" s="17"/>
      <x:c r="Z273" s="17"/>
    </x:row>
    <x:row r="274">
      <x:c r="A274" s="17" t="str">
        <x:v>Claude Opus 4.8</x:v>
      </x:c>
      <x:c r="B274" s="17" t="str">
        <x:v>claude-opus-4-8_high</x:v>
      </x:c>
      <x:c r="C274" s="17" t="str">
        <x:v>Claude Opus 4.8</x:v>
      </x:c>
      <x:c r="D274" s="17" t="str">
        <x:v>Anthropic</x:v>
      </x:c>
      <x:c r="E274" s="17" t="str">
        <x:v>United States of America</x:v>
      </x:c>
      <x:c r="F274" s="17" t="n">
        <x:v>46170</x:v>
      </x:c>
      <x:c r="G274" s="17" t="str">
        <x:v>API access</x:v>
      </x:c>
      <x:c r="H274" s="17" t="n">
        <x:v>46170</x:v>
      </x:c>
      <x:c r="I274" s="17"/>
      <x:c r="J274" s="17" t="str">
        <x:v>Unverified</x:v>
      </x:c>
      <x:c r="K274" s="17"/>
      <x:c r="L274" s="17" t="str">
        <x:v>Claude Opus 4.8 (high)</x:v>
      </x:c>
      <x:c r="M274" s="17"/>
      <x:c r="N274" s="17" t="str">
        <x:v>Claude Opus 4.8</x:v>
      </x:c>
      <x:c r="O274" s="17" t="str">
        <x:v>claude-opus-4-8</x:v>
      </x:c>
      <x:c r="P274" s="17" t="n">
        <x:v>157.85</x:v>
      </x:c>
      <x:c r="Q274" s="17" t="n">
        <x:v>155.12</x:v>
      </x:c>
      <x:c r="R274" s="17" t="n">
        <x:v>160.58</x:v>
      </x:c>
      <x:c r="S274" s="17"/>
      <x:c r="T274" s="17"/>
      <x:c r="U274" s="17"/>
      <x:c r="V274" s="17"/>
      <x:c r="W274" s="17"/>
      <x:c r="X274" s="17"/>
      <x:c r="Y274" s="17"/>
      <x:c r="Z274" s="17"/>
    </x:row>
    <x:row r="275">
      <x:c r="A275" s="17" t="str">
        <x:v>GPT-5.3 Codex</x:v>
      </x:c>
      <x:c r="B275" s="17" t="str">
        <x:v>gpt-5.3-codex_xhigh</x:v>
      </x:c>
      <x:c r="C275" s="17" t="str">
        <x:v>GPT-5.3 Codex (xhigh)</x:v>
      </x:c>
      <x:c r="D275" s="17" t="str">
        <x:v>OpenAI</x:v>
      </x:c>
      <x:c r="E275" s="17" t="str">
        <x:v>United States of America</x:v>
      </x:c>
      <x:c r="F275" s="17" t="n">
        <x:v>46058</x:v>
      </x:c>
      <x:c r="G275" s="17" t="str">
        <x:v>API access</x:v>
      </x:c>
      <x:c r="H275" s="17" t="n">
        <x:v>46058</x:v>
      </x:c>
      <x:c r="I275" s="17"/>
      <x:c r="J275" s="17" t="str">
        <x:v>Likely</x:v>
      </x:c>
      <x:c r="K275" s="17"/>
      <x:c r="L275" s="17"/>
      <x:c r="M275" s="17"/>
      <x:c r="N275" s="17" t="str">
        <x:v>GPT-5.3 Codex</x:v>
      </x:c>
      <x:c r="O275" s="17" t="str">
        <x:v>gpt-5-3-codex</x:v>
      </x:c>
      <x:c r="P275" s="17" t="n">
        <x:v>155.49</x:v>
      </x:c>
      <x:c r="Q275" s="17" t="n">
        <x:v>153.29</x:v>
      </x:c>
      <x:c r="R275" s="17" t="n">
        <x:v>158.84</x:v>
      </x:c>
      <x:c r="S275" s="17"/>
      <x:c r="T275" s="17"/>
      <x:c r="U275" s="17"/>
      <x:c r="V275" s="17"/>
      <x:c r="W275" s="17"/>
      <x:c r="X275" s="17"/>
      <x:c r="Y275" s="17"/>
      <x:c r="Z275" s="17"/>
    </x:row>
    <x:row r="276">
      <x:c r="A276" s="17" t="str">
        <x:v>GPT-5.5</x:v>
      </x:c>
      <x:c r="B276" s="17" t="str">
        <x:v>gpt-5.5_medium</x:v>
      </x:c>
      <x:c r="C276" s="17" t="str">
        <x:v>GPT-5.5 (medium)</x:v>
      </x:c>
      <x:c r="D276" s="17" t="str">
        <x:v>OpenAI</x:v>
      </x:c>
      <x:c r="E276" s="17" t="str">
        <x:v>United States of America</x:v>
      </x:c>
      <x:c r="F276" s="17" t="n">
        <x:v>46135</x:v>
      </x:c>
      <x:c r="G276" s="17" t="str">
        <x:v>API access</x:v>
      </x:c>
      <x:c r="H276" s="17" t="n">
        <x:v>46135</x:v>
      </x:c>
      <x:c r="I276" s="17"/>
      <x:c r="J276" s="17" t="str">
        <x:v>Likely</x:v>
      </x:c>
      <x:c r="K276" s="17"/>
      <x:c r="L276" s="17"/>
      <x:c r="M276" s="17"/>
      <x:c r="N276" s="17" t="str">
        <x:v>GPT-5.5</x:v>
      </x:c>
      <x:c r="O276" s="17" t="str">
        <x:v>gpt-5-5</x:v>
      </x:c>
      <x:c r="P276" s="17" t="n">
        <x:v>158.33</x:v>
      </x:c>
      <x:c r="Q276" s="17" t="n">
        <x:v>156.44</x:v>
      </x:c>
      <x:c r="R276" s="17" t="n">
        <x:v>161.43</x:v>
      </x:c>
      <x:c r="S276" s="17"/>
      <x:c r="T276" s="17"/>
      <x:c r="U276" s="17"/>
      <x:c r="V276" s="17"/>
      <x:c r="W276" s="17"/>
      <x:c r="X276" s="17"/>
      <x:c r="Y276" s="17"/>
      <x:c r="Z276" s="17"/>
    </x:row>
    <x:row r="277">
      <x:c r="A277" s="17" t="str">
        <x:v>GPT-5.4</x:v>
      </x:c>
      <x:c r="B277" s="17" t="str">
        <x:v>gpt-5.4-2026-03-05_medium</x:v>
      </x:c>
      <x:c r="C277" s="17" t="str">
        <x:v>GPT-5.4 (medium)</x:v>
      </x:c>
      <x:c r="D277" s="17" t="str">
        <x:v>OpenAI</x:v>
      </x:c>
      <x:c r="E277" s="17" t="str">
        <x:v>United States of America</x:v>
      </x:c>
      <x:c r="F277" s="17" t="n">
        <x:v>46086</x:v>
      </x:c>
      <x:c r="G277" s="17" t="str">
        <x:v>API access</x:v>
      </x:c>
      <x:c r="H277" s="17" t="n">
        <x:v>46086</x:v>
      </x:c>
      <x:c r="I277" s="17"/>
      <x:c r="J277" s="17" t="str">
        <x:v>Likely</x:v>
      </x:c>
      <x:c r="K277" s="17"/>
      <x:c r="L277" s="17" t="str">
        <x:v>GPT-5.4 (medium)</x:v>
      </x:c>
      <x:c r="M277" s="17"/>
      <x:c r="N277" s="17" t="str">
        <x:v>GPT-5.4</x:v>
      </x:c>
      <x:c r="O277" s="17" t="str">
        <x:v>gpt-5-4</x:v>
      </x:c>
      <x:c r="P277" s="17" t="n">
        <x:v>156.03</x:v>
      </x:c>
      <x:c r="Q277" s="17" t="n">
        <x:v>154.45</x:v>
      </x:c>
      <x:c r="R277" s="17" t="n">
        <x:v>158.37</x:v>
      </x:c>
      <x:c r="S277" s="17"/>
      <x:c r="T277" s="17"/>
      <x:c r="U277" s="17"/>
      <x:c r="V277" s="17"/>
      <x:c r="W277" s="17"/>
      <x:c r="X277" s="17"/>
      <x:c r="Y277" s="17"/>
      <x:c r="Z277" s="17"/>
    </x:row>
    <x:row r="278">
      <x:c r="A278" s="17" t="str">
        <x:v>Claude Opus 4.8</x:v>
      </x:c>
      <x:c r="B278" s="17" t="str">
        <x:v>claude-opus-4-8_none</x:v>
      </x:c>
      <x:c r="C278" s="17" t="str">
        <x:v>Claude Opus 4.8</x:v>
      </x:c>
      <x:c r="D278" s="17" t="str">
        <x:v>Anthropic</x:v>
      </x:c>
      <x:c r="E278" s="17" t="str">
        <x:v>United States of America</x:v>
      </x:c>
      <x:c r="F278" s="17" t="n">
        <x:v>46170</x:v>
      </x:c>
      <x:c r="G278" s="17" t="str">
        <x:v>API access</x:v>
      </x:c>
      <x:c r="H278" s="17" t="n">
        <x:v>46170</x:v>
      </x:c>
      <x:c r="I278" s="17"/>
      <x:c r="J278" s="17" t="str">
        <x:v>Unverified</x:v>
      </x:c>
      <x:c r="K278" s="17"/>
      <x:c r="L278" s="17" t="str">
        <x:v>Claude Opus 4.8 (no thinking)</x:v>
      </x:c>
      <x:c r="M278" s="17"/>
      <x:c r="N278" s="17" t="str">
        <x:v>Claude Opus 4.8</x:v>
      </x:c>
      <x:c r="O278" s="17" t="str">
        <x:v>claude-opus-4-8</x:v>
      </x:c>
      <x:c r="P278" s="17" t="n">
        <x:v>157.85</x:v>
      </x:c>
      <x:c r="Q278" s="17" t="n">
        <x:v>155.12</x:v>
      </x:c>
      <x:c r="R278" s="17" t="n">
        <x:v>160.58</x:v>
      </x:c>
      <x:c r="S278" s="17"/>
      <x:c r="T278" s="17"/>
      <x:c r="U278" s="17"/>
      <x:c r="V278" s="17"/>
      <x:c r="W278" s="17"/>
      <x:c r="X278" s="17"/>
      <x:c r="Y278" s="17"/>
      <x:c r="Z278" s="17"/>
    </x:row>
    <x:row r="279">
      <x:c r="A279" s="17" t="str">
        <x:v>Claude Sonnet 4.6</x:v>
      </x:c>
      <x:c r="B279" s="17" t="str">
        <x:v>claude-sonnet-4-6_medium</x:v>
      </x:c>
      <x:c r="C279" s="17" t="str">
        <x:v>Claude Sonnet 4.6 (medium)</x:v>
      </x:c>
      <x:c r="D279" s="17" t="str">
        <x:v>Anthropic</x:v>
      </x:c>
      <x:c r="E279" s="17" t="str">
        <x:v>United States of America</x:v>
      </x:c>
      <x:c r="F279" s="17" t="n">
        <x:v>46070</x:v>
      </x:c>
      <x:c r="G279" s="17" t="str">
        <x:v>API access</x:v>
      </x:c>
      <x:c r="H279" s="17" t="n">
        <x:v>46070</x:v>
      </x:c>
      <x:c r="I279" s="17"/>
      <x:c r="J279" s="17" t="str">
        <x:v>Likely</x:v>
      </x:c>
      <x:c r="K279" s="17"/>
      <x:c r="L279" s="17"/>
      <x:c r="M279" s="17"/>
      <x:c r="N279" s="17" t="str">
        <x:v>Claude Sonnet 4.6</x:v>
      </x:c>
      <x:c r="O279" s="17" t="str">
        <x:v>claude-sonnet-4-6</x:v>
      </x:c>
      <x:c r="P279" s="17" t="n">
        <x:v>153.18</x:v>
      </x:c>
      <x:c r="Q279" s="17" t="n">
        <x:v>149.67</x:v>
      </x:c>
      <x:c r="R279" s="17" t="n">
        <x:v>156.08</x:v>
      </x:c>
      <x:c r="S279" s="17"/>
      <x:c r="T279" s="17"/>
      <x:c r="U279" s="17"/>
      <x:c r="V279" s="17"/>
      <x:c r="W279" s="17"/>
      <x:c r="X279" s="17"/>
      <x:c r="Y279" s="17"/>
      <x:c r="Z279" s="17"/>
    </x:row>
    <x:row r="280">
      <x:c r="A280" s="17" t="str">
        <x:v>GPT-5.2 Codex</x:v>
      </x:c>
      <x:c r="B280" s="17" t="str">
        <x:v>gpt-5.2-codex</x:v>
      </x:c>
      <x:c r="C280" s="17" t="str">
        <x:v>GPT-5.2 Codex</x:v>
      </x:c>
      <x:c r="D280" s="17" t="str">
        <x:v>OpenAI</x:v>
      </x:c>
      <x:c r="E280" s="17" t="str">
        <x:v>United States of America</x:v>
      </x:c>
      <x:c r="F280" s="17" t="n">
        <x:v>46009</x:v>
      </x:c>
      <x:c r="G280" s="17" t="str">
        <x:v>API access</x:v>
      </x:c>
      <x:c r="H280" s="17" t="n">
        <x:v>46009</x:v>
      </x:c>
      <x:c r="I280" s="17"/>
      <x:c r="J280" s="17" t="str">
        <x:v>Likely</x:v>
      </x:c>
      <x:c r="K280" s="17"/>
      <x:c r="L280" s="17" t="str">
        <x:v>GPT-5.2 Codex</x:v>
      </x:c>
      <x:c r="M280" s="17"/>
      <x:c r="N280" s="17" t="str">
        <x:v>GPT-5.2 Codex</x:v>
      </x:c>
      <x:c r="O280" s="17" t="str">
        <x:v>gpt-5-2-codex</x:v>
      </x:c>
      <x:c r="P280" s="17"/>
      <x:c r="Q280" s="17"/>
      <x:c r="R280" s="17"/>
      <x:c r="S280" s="17"/>
      <x:c r="T280" s="17"/>
      <x:c r="U280" s="17"/>
      <x:c r="V280" s="17"/>
      <x:c r="W280" s="17"/>
      <x:c r="X280" s="17"/>
      <x:c r="Y280" s="17"/>
      <x:c r="Z280" s="17"/>
    </x:row>
    <x:row r="281">
      <x:c r="A281" s="17" t="str">
        <x:v>GPT-5.1-Codex</x:v>
      </x:c>
      <x:c r="B281" s="17" t="str">
        <x:v>gpt-5.1-codex</x:v>
      </x:c>
      <x:c r="C281" s="17" t="str">
        <x:v>GPT-5.1 Codex</x:v>
      </x:c>
      <x:c r="D281" s="17" t="str">
        <x:v>OpenAI</x:v>
      </x:c>
      <x:c r="E281" s="17" t="str">
        <x:v>United States of America</x:v>
      </x:c>
      <x:c r="F281" s="17" t="n">
        <x:v>45973</x:v>
      </x:c>
      <x:c r="G281" s="17" t="str">
        <x:v>API access</x:v>
      </x:c>
      <x:c r="H281" s="17" t="n">
        <x:v>45973</x:v>
      </x:c>
      <x:c r="I281" s="17"/>
      <x:c r="J281" s="17" t="str">
        <x:v>Unknown</x:v>
      </x:c>
      <x:c r="K281" s="17"/>
      <x:c r="L281" s="17" t="str">
        <x:v>GPT-5.1-codex</x:v>
      </x:c>
      <x:c r="M281" s="17"/>
      <x:c r="N281" s="17" t="str">
        <x:v>GPT-5.1-Codex</x:v>
      </x:c>
      <x:c r="O281" s="17" t="str">
        <x:v>gpt-5-1-codex</x:v>
      </x:c>
      <x:c r="P281" s="17"/>
      <x:c r="Q281" s="17"/>
      <x:c r="R281" s="17"/>
      <x:c r="S281" s="17"/>
      <x:c r="T281" s="17"/>
      <x:c r="U281" s="17"/>
      <x:c r="V281" s="17"/>
      <x:c r="W281" s="17"/>
      <x:c r="X281" s="17"/>
      <x:c r="Y281" s="17"/>
      <x:c r="Z281" s="17"/>
    </x:row>
    <x:row r="282">
      <x:c r="A282" s="17" t="str">
        <x:v>GPT-5.1-Codex-Max</x:v>
      </x:c>
      <x:c r="B282" s="17" t="str">
        <x:v>gpt-5.1-codex-max</x:v>
      </x:c>
      <x:c r="C282" s="17" t="str">
        <x:v>GPT-5.1-Codex-Max</x:v>
      </x:c>
      <x:c r="D282" s="17" t="str">
        <x:v>OpenAI</x:v>
      </x:c>
      <x:c r="E282" s="17" t="str">
        <x:v>United States of America</x:v>
      </x:c>
      <x:c r="F282" s="17" t="n">
        <x:v>45980</x:v>
      </x:c>
      <x:c r="G282" s="17" t="str">
        <x:v>API access</x:v>
      </x:c>
      <x:c r="H282" s="17" t="n">
        <x:v>45980</x:v>
      </x:c>
      <x:c r="I282" s="17"/>
      <x:c r="J282" s="17" t="str">
        <x:v>Unknown</x:v>
      </x:c>
      <x:c r="K282" s="17"/>
      <x:c r="L282" s="17" t="str">
        <x:v>GPT-5.1-Codex-Max</x:v>
      </x:c>
      <x:c r="M282" s="17"/>
      <x:c r="N282" s="17" t="str">
        <x:v>GPT-5.1-Codex-Max</x:v>
      </x:c>
      <x:c r="O282" s="17" t="str">
        <x:v>gpt-5-1-codex-max</x:v>
      </x:c>
      <x:c r="P282" s="17"/>
      <x:c r="Q282" s="17"/>
      <x:c r="R282" s="17"/>
      <x:c r="S282" s="17"/>
      <x:c r="T282" s="17"/>
      <x:c r="U282" s="17"/>
      <x:c r="V282" s="17"/>
      <x:c r="W282" s="17"/>
      <x:c r="X282" s="17"/>
      <x:c r="Y282" s="17"/>
      <x:c r="Z282" s="17"/>
    </x:row>
    <x:row r="283">
      <x:c r="A283" s="17" t="str">
        <x:v>GPT-5.5</x:v>
      </x:c>
      <x:c r="B283" s="17" t="str">
        <x:v>gpt-5.5_none</x:v>
      </x:c>
      <x:c r="C283" s="17" t="str">
        <x:v>GPT-5.5 (no thinking)</x:v>
      </x:c>
      <x:c r="D283" s="17" t="str">
        <x:v>OpenAI</x:v>
      </x:c>
      <x:c r="E283" s="17" t="str">
        <x:v>United States of America</x:v>
      </x:c>
      <x:c r="F283" s="17" t="n">
        <x:v>46135</x:v>
      </x:c>
      <x:c r="G283" s="17" t="str">
        <x:v>API access</x:v>
      </x:c>
      <x:c r="H283" s="17" t="n">
        <x:v>46135</x:v>
      </x:c>
      <x:c r="I283" s="17"/>
      <x:c r="J283" s="17" t="str">
        <x:v>Likely</x:v>
      </x:c>
      <x:c r="K283" s="17"/>
      <x:c r="L283" s="17"/>
      <x:c r="M283" s="17"/>
      <x:c r="N283" s="17" t="str">
        <x:v>GPT-5.5</x:v>
      </x:c>
      <x:c r="O283" s="17" t="str">
        <x:v>gpt-5-5</x:v>
      </x:c>
      <x:c r="P283" s="17" t="n">
        <x:v>158.33</x:v>
      </x:c>
      <x:c r="Q283" s="17" t="n">
        <x:v>156.44</x:v>
      </x:c>
      <x:c r="R283" s="17" t="n">
        <x:v>161.43</x:v>
      </x:c>
      <x:c r="S283" s="17"/>
      <x:c r="T283" s="17"/>
      <x:c r="U283" s="17"/>
      <x:c r="V283" s="17"/>
      <x:c r="W283" s="17"/>
      <x:c r="X283" s="17"/>
      <x:c r="Y283" s="17"/>
      <x:c r="Z283" s="17"/>
    </x:row>
    <x:row r="284">
      <x:c r="A284" s="17" t="str">
        <x:v>GPT-5.4</x:v>
      </x:c>
      <x:c r="B284" s="17" t="str">
        <x:v>gpt-5.4-2026-03-05_none</x:v>
      </x:c>
      <x:c r="C284" s="17" t="str">
        <x:v>GPT-5.4 (none)</x:v>
      </x:c>
      <x:c r="D284" s="17" t="str">
        <x:v>OpenAI</x:v>
      </x:c>
      <x:c r="E284" s="17" t="str">
        <x:v>United States of America</x:v>
      </x:c>
      <x:c r="F284" s="17" t="n">
        <x:v>46086</x:v>
      </x:c>
      <x:c r="G284" s="17" t="str">
        <x:v>API access</x:v>
      </x:c>
      <x:c r="H284" s="17" t="n">
        <x:v>46086</x:v>
      </x:c>
      <x:c r="I284" s="17"/>
      <x:c r="J284" s="17" t="str">
        <x:v>Likely</x:v>
      </x:c>
      <x:c r="K284" s="17"/>
      <x:c r="L284" s="17" t="str">
        <x:v>GPT-5.4 (none)</x:v>
      </x:c>
      <x:c r="M284" s="17"/>
      <x:c r="N284" s="17" t="str">
        <x:v>GPT-5.4</x:v>
      </x:c>
      <x:c r="O284" s="17" t="str">
        <x:v>gpt-5-4</x:v>
      </x:c>
      <x:c r="P284" s="17" t="n">
        <x:v>156.03</x:v>
      </x:c>
      <x:c r="Q284" s="17" t="n">
        <x:v>154.45</x:v>
      </x:c>
      <x:c r="R284" s="17" t="n">
        <x:v>158.37</x:v>
      </x:c>
      <x:c r="S284" s="17"/>
      <x:c r="T284" s="17"/>
      <x:c r="U284" s="17"/>
      <x:c r="V284" s="17"/>
      <x:c r="W284" s="17"/>
      <x:c r="X284" s="17"/>
      <x:c r="Y284" s="17"/>
      <x:c r="Z284" s="17"/>
    </x:row>
    <x:row r="285">
      <x:c r="A285" s="17" t="str">
        <x:v>GLM-5.2</x:v>
      </x:c>
      <x:c r="B285" s="17" t="str">
        <x:v>glm-5.2_high</x:v>
      </x:c>
      <x:c r="C285" s="17" t="str">
        <x:v>GLM-5.2</x:v>
      </x:c>
      <x:c r="D285" s="17" t="str">
        <x:v>Z.ai (Zhipu AI)</x:v>
      </x:c>
      <x:c r="E285" s="17" t="str">
        <x:v>China</x:v>
      </x:c>
      <x:c r="F285" s="17" t="n">
        <x:v>46189</x:v>
      </x:c>
      <x:c r="G285" s="17" t="str">
        <x:v>Open weights (unrestricted)</x:v>
      </x:c>
      <x:c r="H285" s="17" t="n">
        <x:v>46189</x:v>
      </x:c>
      <x:c r="I285" s="17"/>
      <x:c r="J285" s="17" t="str">
        <x:v>Confident</x:v>
      </x:c>
      <x:c r="K285" s="17"/>
      <x:c r="L285" s="17" t="str">
        <x:v>GLM-5.2 (high)</x:v>
      </x:c>
      <x:c r="M285" s="17"/>
      <x:c r="N285" s="17" t="str">
        <x:v>GLM-5.2</x:v>
      </x:c>
      <x:c r="O285" s="17" t="str">
        <x:v>glm-5-2</x:v>
      </x:c>
      <x:c r="P285" s="17" t="n">
        <x:v>151.6</x:v>
      </x:c>
      <x:c r="Q285" s="17" t="n">
        <x:v>149.97</x:v>
      </x:c>
      <x:c r="R285" s="17" t="n">
        <x:v>153.86</x:v>
      </x:c>
      <x:c r="S285" s="17"/>
      <x:c r="T285" s="17"/>
      <x:c r="U285" s="17"/>
      <x:c r="V285" s="17"/>
      <x:c r="W285" s="17"/>
      <x:c r="X285" s="17"/>
      <x:c r="Y285" s="17"/>
      <x:c r="Z285" s="17"/>
    </x:row>
    <x:row r="286">
      <x:c r="A286" s="17" t="str">
        <x:v>Gemma 4 26B A4B</x:v>
      </x:c>
      <x:c r="B286" s="17" t="str">
        <x:v>gemma-4-26b-a4b</x:v>
      </x:c>
      <x:c r="C286" s="17" t="str">
        <x:v>Gemma 4 26B A4B</x:v>
      </x:c>
      <x:c r="D286" s="17" t="str">
        <x:v>Google DeepMind</x:v>
      </x:c>
      <x:c r="E286" s="17" t="str">
        <x:v>United States of America</x:v>
      </x:c>
      <x:c r="F286" s="17" t="n">
        <x:v>46114</x:v>
      </x:c>
      <x:c r="G286" s="17" t="str">
        <x:v>Open weights (unrestricted)</x:v>
      </x:c>
      <x:c r="H286" s="17" t="n">
        <x:v>46114</x:v>
      </x:c>
      <x:c r="I286" s="17"/>
      <x:c r="J286" s="17" t="str">
        <x:v>Confident</x:v>
      </x:c>
      <x:c r="K286" s="17"/>
      <x:c r="L286" s="17"/>
      <x:c r="M286" s="17"/>
      <x:c r="N286" s="17" t="str">
        <x:v>Gemma 4 26B A4B</x:v>
      </x:c>
      <x:c r="O286" s="17" t="str">
        <x:v>gemma-4-26b-a4b</x:v>
      </x:c>
      <x:c r="P286" s="17"/>
      <x:c r="Q286" s="17"/>
      <x:c r="R286" s="17"/>
      <x:c r="S286" s="17"/>
      <x:c r="T286" s="17"/>
      <x:c r="U286" s="17"/>
      <x:c r="V286" s="17"/>
      <x:c r="W286" s="17"/>
      <x:c r="X286" s="17"/>
      <x:c r="Y286" s="17"/>
      <x:c r="Z286" s="17"/>
    </x:row>
    <x:row r="287">
      <x:c r="A287" s="17" t="str">
        <x:v>MiMo-V2.5-Pro</x:v>
      </x:c>
      <x:c r="B287" s="17" t="str">
        <x:v>mimo-v2.5-pro</x:v>
      </x:c>
      <x:c r="C287" s="17"/>
      <x:c r="D287" s="17" t="str">
        <x:v>Xiaomi Corp</x:v>
      </x:c>
      <x:c r="E287" s="17" t="str">
        <x:v>China</x:v>
      </x:c>
      <x:c r="F287" s="17"/>
      <x:c r="G287" s="17" t="str">
        <x:v>Open weights (unrestricted)</x:v>
      </x:c>
      <x:c r="H287" s="17" t="n">
        <x:v>46135</x:v>
      </x:c>
      <x:c r="I287" s="17" t="n">
        <x:v>6.804e+24</x:v>
      </x:c>
      <x:c r="J287" s="17" t="str">
        <x:v>Likely</x:v>
      </x:c>
      <x:c r="K287" s="17"/>
      <x:c r="L287" s="17"/>
      <x:c r="M287" s="17"/>
      <x:c r="N287" s="17" t="str">
        <x:v>MiMo-V2.5-Pro</x:v>
      </x:c>
      <x:c r="O287" s="17" t="str">
        <x:v>mimo-v2-5-pro</x:v>
      </x:c>
      <x:c r="P287" s="17"/>
      <x:c r="Q287" s="17"/>
      <x:c r="R287" s="17"/>
      <x:c r="S287" s="17"/>
      <x:c r="T287" s="17"/>
      <x:c r="U287" s="17"/>
      <x:c r="V287" s="17"/>
      <x:c r="W287" s="17"/>
      <x:c r="X287" s="17"/>
      <x:c r="Y287" s="17"/>
      <x:c r="Z287" s="17"/>
    </x:row>
    <x:row r="288">
      <x:c r="A288" s="17" t="str">
        <x:v>GPT-5</x:v>
      </x:c>
      <x:c r="B288" s="17" t="str">
        <x:v>gpt-5-2025-08-07_minimal</x:v>
      </x:c>
      <x:c r="C288" s="17" t="str">
        <x:v>GPT-5 (minimal)</x:v>
      </x:c>
      <x:c r="D288" s="17" t="str">
        <x:v>OpenAI</x:v>
      </x:c>
      <x:c r="E288" s="17" t="str">
        <x:v>United States of America</x:v>
      </x:c>
      <x:c r="F288" s="17" t="n">
        <x:v>45876</x:v>
      </x:c>
      <x:c r="G288" s="17" t="str">
        <x:v>API access</x:v>
      </x:c>
      <x:c r="H288" s="17" t="n">
        <x:v>45876</x:v>
      </x:c>
      <x:c r="I288" s="17" t="n">
        <x:v>6.6e+25</x:v>
      </x:c>
      <x:c r="J288" s="17" t="str">
        <x:v>Speculative</x:v>
      </x:c>
      <x:c r="K288" s="17" t="str">
        <x:v>OpenAI's latest flagship frontier model, benchmarked using minimal reasoning effort.</x:v>
      </x:c>
      <x:c r="L288" s="17" t="str">
        <x:v>GPT-5 (minimal)</x:v>
      </x:c>
      <x:c r="M288" s="17"/>
      <x:c r="N288" s="17" t="str">
        <x:v>GPT-5</x:v>
      </x:c>
      <x:c r="O288" s="17" t="str">
        <x:v>gpt-5</x:v>
      </x:c>
      <x:c r="P288" s="17" t="n">
        <x:v>150</x:v>
      </x:c>
      <x:c r="Q288" s="17"/>
      <x:c r="R288" s="17"/>
      <x:c r="S288" s="17"/>
      <x:c r="T288" s="17"/>
      <x:c r="U288" s="17"/>
      <x:c r="V288" s="17"/>
      <x:c r="W288" s="17"/>
      <x:c r="X288" s="17"/>
      <x:c r="Y288" s="17"/>
      <x:c r="Z288" s="17"/>
    </x:row>
    <x:row r="289">
      <x:c r="A289" s="17" t="str">
        <x:v>Gemini 3.1 Flash-Lite</x:v>
      </x:c>
      <x:c r="B289" s="17" t="str">
        <x:v>gemini-3.1-flash-lite</x:v>
      </x:c>
      <x:c r="C289" s="17"/>
      <x:c r="D289" s="17" t="str">
        <x:v>Google</x:v>
      </x:c>
      <x:c r="E289" s="17" t="str">
        <x:v>United States of America</x:v>
      </x:c>
      <x:c r="F289" s="17" t="n">
        <x:v>46084</x:v>
      </x:c>
      <x:c r="G289" s="17" t="str">
        <x:v>API access</x:v>
      </x:c>
      <x:c r="H289" s="17" t="n">
        <x:v>46084</x:v>
      </x:c>
      <x:c r="I289" s="17"/>
      <x:c r="J289" s="17" t="str">
        <x:v>Likely</x:v>
      </x:c>
      <x:c r="K289" s="17"/>
      <x:c r="L289" s="17"/>
      <x:c r="M289" s="17"/>
      <x:c r="N289" s="17" t="str">
        <x:v>Gemini 3.1 Flash-Lite</x:v>
      </x:c>
      <x:c r="O289" s="17" t="str">
        <x:v>gemini-3-1-flash-lite</x:v>
      </x:c>
      <x:c r="P289" s="17" t="n">
        <x:v>144.36</x:v>
      </x:c>
      <x:c r="Q289" s="17" t="n">
        <x:v>136.85</x:v>
      </x:c>
      <x:c r="R289" s="17" t="n">
        <x:v>146.37</x:v>
      </x:c>
      <x:c r="S289" s="17"/>
      <x:c r="T289" s="17"/>
      <x:c r="U289" s="17"/>
      <x:c r="V289" s="17"/>
      <x:c r="W289" s="17"/>
      <x:c r="X289" s="17"/>
      <x:c r="Y289" s="17"/>
      <x:c r="Z289" s="17"/>
    </x:row>
    <x:row r="290">
      <x:c r="A290" s="17" t="str">
        <x:v>Mercury 2</x:v>
      </x:c>
      <x:c r="B290" s="17" t="str">
        <x:v>mercury-2</x:v>
      </x:c>
      <x:c r="C290" s="17" t="str">
        <x:v>Mercury 2</x:v>
      </x:c>
      <x:c r="D290" s="17" t="str">
        <x:v>Inception Labs</x:v>
      </x:c>
      <x:c r="E290" s="17" t="str">
        <x:v>United States of America</x:v>
      </x:c>
      <x:c r="F290" s="17"/>
      <x:c r="G290" s="17" t="str">
        <x:v>API access</x:v>
      </x:c>
      <x:c r="H290" s="17" t="n">
        <x:v>46073</x:v>
      </x:c>
      <x:c r="I290" s="17"/>
      <x:c r="J290" s="17" t="str">
        <x:v>Unverified</x:v>
      </x:c>
      <x:c r="K290" s="17"/>
      <x:c r="L290" s="17"/>
      <x:c r="M290" s="17"/>
      <x:c r="N290" s="17" t="str">
        <x:v>Mercury 2</x:v>
      </x:c>
      <x:c r="O290" s="17" t="str">
        <x:v>mercury-2</x:v>
      </x:c>
      <x:c r="P290" s="17"/>
      <x:c r="Q290" s="17"/>
      <x:c r="R290" s="17"/>
      <x:c r="S290" s="17"/>
      <x:c r="T290" s="17"/>
      <x:c r="U290" s="17"/>
      <x:c r="V290" s="17"/>
      <x:c r="W290" s="17"/>
      <x:c r="X290" s="17"/>
      <x:c r="Y290" s="17"/>
      <x:c r="Z290" s="17"/>
    </x:row>
    <x:row r="291">
      <x:c r="A291" s="17" t="str">
        <x:v>Gemini 2.5 Pro (Jun 2025)</x:v>
      </x:c>
      <x:c r="B291" s="17" t="str">
        <x:v>gemini-2.5-pro_32K</x:v>
      </x:c>
      <x:c r="C291" s="17"/>
      <x:c r="D291" s="17" t="str">
        <x:v>Google DeepMind</x:v>
      </x:c>
      <x:c r="E291" s="17" t="str">
        <x:v>United States of America</x:v>
      </x:c>
      <x:c r="F291" s="17" t="n">
        <x:v>45825</x:v>
      </x:c>
      <x:c r="G291" s="17" t="str">
        <x:v>API access</x:v>
      </x:c>
      <x:c r="H291" s="17" t="n">
        <x:v>45813</x:v>
      </x:c>
      <x:c r="I291" s="17"/>
      <x:c r="J291" s="17" t="str">
        <x:v>Unknown</x:v>
      </x:c>
      <x:c r="K291" s="17" t="str">
        <x:v>Google’s general-purpose frontier reasoning model, evaluated with up to 32,000 reasoning tokens.</x:v>
      </x:c>
      <x:c r="L291" s="17" t="str">
        <x:v>Gemini 2.5 Pro (32k thinking)</x:v>
      </x:c>
      <x:c r="M291" s="17" t="str">
        <x:v>Gemini 2.5 Pro (Jun 2025)</x:v>
      </x:c>
      <x:c r="N291" s="17" t="str">
        <x:v>Gemini 2.5 Pro (Jun 2025)</x:v>
      </x:c>
      <x:c r="O291" s="17" t="str">
        <x:v>gemini-2-5-pro-jun-2025</x:v>
      </x:c>
      <x:c r="P291" s="17" t="n">
        <x:v>146.08</x:v>
      </x:c>
      <x:c r="Q291" s="17" t="n">
        <x:v>144.33</x:v>
      </x:c>
      <x:c r="R291" s="17" t="n">
        <x:v>147.72</x:v>
      </x:c>
      <x:c r="S291" s="17"/>
      <x:c r="T291" s="17"/>
      <x:c r="U291" s="17"/>
      <x:c r="V291" s="17"/>
      <x:c r="W291" s="17"/>
      <x:c r="X291" s="17"/>
      <x:c r="Y291" s="17"/>
      <x:c r="Z291" s="17"/>
    </x:row>
    <x:row r="292">
      <x:c r="A292" s="17" t="str">
        <x:v>MiMo-V2-Flash</x:v>
      </x:c>
      <x:c r="B292" s="17" t="str">
        <x:v>mimo-v2-flash</x:v>
      </x:c>
      <x:c r="C292" s="17"/>
      <x:c r="D292" s="17" t="str">
        <x:v>Xiaomi Corp</x:v>
      </x:c>
      <x:c r="E292" s="17" t="str">
        <x:v>China</x:v>
      </x:c>
      <x:c r="F292" s="17"/>
      <x:c r="G292" s="17" t="str">
        <x:v>Open weights (unrestricted)</x:v>
      </x:c>
      <x:c r="H292" s="17" t="n">
        <x:v>46007</x:v>
      </x:c>
      <x:c r="I292" s="17" t="n">
        <x:v>2.43e+24</x:v>
      </x:c>
      <x:c r="J292" s="17" t="str">
        <x:v>Likely</x:v>
      </x:c>
      <x:c r="K292" s="17"/>
      <x:c r="L292" s="17"/>
      <x:c r="M292" s="17"/>
      <x:c r="N292" s="17" t="str">
        <x:v>MiMo-V2-Flash</x:v>
      </x:c>
      <x:c r="O292" s="17" t="str">
        <x:v>mimo-v2-flash</x:v>
      </x:c>
      <x:c r="P292" s="17"/>
      <x:c r="Q292" s="17"/>
      <x:c r="R292" s="17"/>
      <x:c r="S292" s="17"/>
      <x:c r="T292" s="17"/>
      <x:c r="U292" s="17"/>
      <x:c r="V292" s="17"/>
      <x:c r="W292" s="17"/>
      <x:c r="X292" s="17"/>
      <x:c r="Y292" s="17"/>
      <x:c r="Z292" s="17"/>
    </x:row>
    <x:row r="293">
      <x:c r="A293" s="17" t="str">
        <x:v>DeepSeek-V4-Flash</x:v>
      </x:c>
      <x:c r="B293" s="17" t="str">
        <x:v>deepseek-v4-flash_high</x:v>
      </x:c>
      <x:c r="C293" s="17" t="str">
        <x:v>DeepSeek v4 Flash (high)</x:v>
      </x:c>
      <x:c r="D293" s="17" t="str">
        <x:v>DeepSeek</x:v>
      </x:c>
      <x:c r="E293" s="17" t="str">
        <x:v>China</x:v>
      </x:c>
      <x:c r="F293" s="17" t="n">
        <x:v>46136</x:v>
      </x:c>
      <x:c r="G293" s="17" t="str">
        <x:v>Open weights (unrestricted)</x:v>
      </x:c>
      <x:c r="H293" s="17" t="n">
        <x:v>46136</x:v>
      </x:c>
      <x:c r="I293" s="17" t="n">
        <x:v>2.496e+24</x:v>
      </x:c>
      <x:c r="J293" s="17" t="str">
        <x:v>Likely</x:v>
      </x:c>
      <x:c r="K293" s="17"/>
      <x:c r="L293" s="17" t="str">
        <x:v>DeepSeek v4 (high)</x:v>
      </x:c>
      <x:c r="M293" s="17"/>
      <x:c r="N293" s="17" t="str">
        <x:v>DeepSeek-V4-Flash</x:v>
      </x:c>
      <x:c r="O293" s="17" t="str">
        <x:v>deepseek-v4-flash</x:v>
      </x:c>
      <x:c r="P293" s="17"/>
      <x:c r="Q293" s="17"/>
      <x:c r="R293" s="17"/>
      <x:c r="S293" s="17"/>
      <x:c r="T293" s="17"/>
      <x:c r="U293" s="17"/>
      <x:c r="V293" s="17"/>
      <x:c r="W293" s="17"/>
      <x:c r="X293" s="17"/>
      <x:c r="Y293" s="17"/>
      <x:c r="Z293" s="17"/>
    </x:row>
    <x:row r="294">
      <x:c r="A294" s="17" t="str">
        <x:v>MiniMax-M2.1</x:v>
      </x:c>
      <x:c r="B294" s="17" t="str">
        <x:v>MiniMax-M2.1</x:v>
      </x:c>
      <x:c r="C294" s="17"/>
      <x:c r="D294" s="17" t="str">
        <x:v>MiniMax</x:v>
      </x:c>
      <x:c r="E294" s="17" t="str">
        <x:v>China</x:v>
      </x:c>
      <x:c r="F294" s="17" t="n">
        <x:v>46014</x:v>
      </x:c>
      <x:c r="G294" s="17" t="str">
        <x:v>Open weights (restricted use)</x:v>
      </x:c>
      <x:c r="H294" s="17" t="n">
        <x:v>46014</x:v>
      </x:c>
      <x:c r="I294" s="17"/>
      <x:c r="J294" s="17" t="str">
        <x:v>Confident</x:v>
      </x:c>
      <x:c r="K294" s="17"/>
      <x:c r="L294" s="17"/>
      <x:c r="M294" s="17"/>
      <x:c r="N294" s="17" t="str">
        <x:v>MiniMax-M2.1</x:v>
      </x:c>
      <x:c r="O294" s="17" t="str">
        <x:v>minimax-m2-1</x:v>
      </x:c>
      <x:c r="P294" s="17"/>
      <x:c r="Q294" s="17"/>
      <x:c r="R294" s="17"/>
      <x:c r="S294" s="17"/>
      <x:c r="T294" s="17"/>
      <x:c r="U294" s="17"/>
      <x:c r="V294" s="17"/>
      <x:c r="W294" s="17"/>
      <x:c r="X294" s="17"/>
      <x:c r="Y294" s="17"/>
      <x:c r="Z294" s="17"/>
    </x:row>
    <x:row r="295">
      <x:c r="A295" s="17" t="str">
        <x:v>MiniMax-M2.7</x:v>
      </x:c>
      <x:c r="B295" s="17" t="str">
        <x:v>MiniMax-M2.7</x:v>
      </x:c>
      <x:c r="C295" s="17"/>
      <x:c r="D295" s="17" t="str">
        <x:v>MiniMax</x:v>
      </x:c>
      <x:c r="E295" s="17" t="str">
        <x:v>China</x:v>
      </x:c>
      <x:c r="F295" s="17" t="n">
        <x:v>46099</x:v>
      </x:c>
      <x:c r="G295" s="17" t="str">
        <x:v>Open weights (non-commercial)</x:v>
      </x:c>
      <x:c r="H295" s="17" t="n">
        <x:v>46099</x:v>
      </x:c>
      <x:c r="I295" s="17"/>
      <x:c r="J295" s="17" t="str">
        <x:v>Unverified</x:v>
      </x:c>
      <x:c r="K295" s="17"/>
      <x:c r="L295" s="17"/>
      <x:c r="M295" s="17"/>
      <x:c r="N295" s="17" t="str">
        <x:v>MiniMax-M2.7</x:v>
      </x:c>
      <x:c r="O295" s="17" t="str">
        <x:v>minimax-m2-7</x:v>
      </x:c>
      <x:c r="P295" s="17" t="n">
        <x:v>145.61</x:v>
      </x:c>
      <x:c r="Q295" s="17" t="n">
        <x:v>138.06</x:v>
      </x:c>
      <x:c r="R295" s="17" t="n">
        <x:v>147.75</x:v>
      </x:c>
      <x:c r="S295" s="17"/>
      <x:c r="T295" s="17"/>
      <x:c r="U295" s="17"/>
      <x:c r="V295" s="17"/>
      <x:c r="W295" s="17"/>
      <x:c r="X295" s="17"/>
      <x:c r="Y295" s="17"/>
      <x:c r="Z295" s="17"/>
    </x:row>
    <x:row r="296">
      <x:c r="A296" s="17" t="str">
        <x:v>Kimi K2 Thinking</x:v>
      </x:c>
      <x:c r="B296" s="17" t="str">
        <x:v>kimi-k2-thinking</x:v>
      </x:c>
      <x:c r="C296" s="17" t="str">
        <x:v>Kimi K2 Thinking</x:v>
      </x:c>
      <x:c r="D296" s="17" t="str">
        <x:v>Moonshot</x:v>
      </x:c>
      <x:c r="E296" s="17" t="str">
        <x:v>China</x:v>
      </x:c>
      <x:c r="F296" s="17" t="n">
        <x:v>45967</x:v>
      </x:c>
      <x:c r="G296" s="17" t="str">
        <x:v>Open weights (restricted use)</x:v>
      </x:c>
      <x:c r="H296" s="17" t="n">
        <x:v>45967</x:v>
      </x:c>
      <x:c r="I296" s="17" t="n">
        <x:v>4.1999999999999997e+24</x:v>
      </x:c>
      <x:c r="J296" s="17" t="str">
        <x:v>Likely</x:v>
      </x:c>
      <x:c r="K296" s="17"/>
      <x:c r="L296" s="17"/>
      <x:c r="M296" s="17"/>
      <x:c r="N296" s="17" t="str">
        <x:v>Kimi K2 Thinking</x:v>
      </x:c>
      <x:c r="O296" s="17" t="str">
        <x:v>kimi-k2-thinking</x:v>
      </x:c>
      <x:c r="P296" s="17" t="n">
        <x:v>146.01</x:v>
      </x:c>
      <x:c r="Q296" s="17" t="n">
        <x:v>143.68</x:v>
      </x:c>
      <x:c r="R296" s="17" t="n">
        <x:v>147.44</x:v>
      </x:c>
      <x:c r="S296" s="17"/>
      <x:c r="T296" s="17"/>
      <x:c r="U296" s="17"/>
      <x:c r="V296" s="17"/>
      <x:c r="W296" s="17"/>
      <x:c r="X296" s="17"/>
      <x:c r="Y296" s="17"/>
      <x:c r="Z296" s="17"/>
    </x:row>
    <x:row r="297">
      <x:c r="A297" s="17"/>
      <x:c r="B297" s="17" t="str">
        <x:v>grok-code-fast-1</x:v>
      </x:c>
      <x:c r="C297" s="17"/>
      <x:c r="D297" s="17"/>
      <x:c r="E297" s="17"/>
      <x:c r="F297" s="17" t="n">
        <x:v>45897</x:v>
      </x:c>
      <x:c r="G297" s="17"/>
      <x:c r="H297" s="17"/>
      <x:c r="I297" s="17"/>
      <x:c r="J297" s="17" t="str">
        <x:v>Unverified</x:v>
      </x:c>
      <x:c r="K297" s="17"/>
      <x:c r="L297" s="17"/>
      <x:c r="M297" s="17"/>
      <x:c r="N297" s="17"/>
      <x:c r="O297" s="17" t="str">
        <x:v>grok-code-fast-1</x:v>
      </x:c>
      <x:c r="P297" s="17"/>
      <x:c r="Q297" s="17"/>
      <x:c r="R297" s="17"/>
      <x:c r="S297" s="17"/>
      <x:c r="T297" s="17"/>
      <x:c r="U297" s="17"/>
      <x:c r="V297" s="17"/>
      <x:c r="W297" s="17"/>
      <x:c r="X297" s="17"/>
      <x:c r="Y297" s="17"/>
      <x:c r="Z297" s="17"/>
    </x:row>
    <x:row r="298">
      <x:c r="A298" s="17" t="str">
        <x:v>gpt-oss-20b</x:v>
      </x:c>
      <x:c r="B298" s="17" t="str">
        <x:v>gpt-oss-20b</x:v>
      </x:c>
      <x:c r="C298" s="17"/>
      <x:c r="D298" s="17" t="str">
        <x:v>OpenAI</x:v>
      </x:c>
      <x:c r="E298" s="17" t="str">
        <x:v>United States of America</x:v>
      </x:c>
      <x:c r="F298" s="17" t="n">
        <x:v>45874</x:v>
      </x:c>
      <x:c r="G298" s="17" t="str">
        <x:v>Open weights (unrestricted)</x:v>
      </x:c>
      <x:c r="H298" s="17" t="n">
        <x:v>45874</x:v>
      </x:c>
      <x:c r="I298" s="17" t="n">
        <x:v>5.49e+23</x:v>
      </x:c>
      <x:c r="J298" s="17" t="str">
        <x:v>Confident</x:v>
      </x:c>
      <x:c r="K298" s="17" t="str">
        <x:v>The smaller one of OpenAI's two latest open source language models.</x:v>
      </x:c>
      <x:c r="L298" s="17"/>
      <x:c r="M298" s="17"/>
      <x:c r="N298" s="17" t="str">
        <x:v>gpt-oss-20b</x:v>
      </x:c>
      <x:c r="O298" s="17" t="str">
        <x:v>gpt-oss-20b</x:v>
      </x:c>
      <x:c r="P298" s="17"/>
      <x:c r="Q298" s="17"/>
      <x:c r="R298" s="17"/>
      <x:c r="S298" s="17"/>
      <x:c r="T298" s="17"/>
      <x:c r="U298" s="17"/>
      <x:c r="V298" s="17"/>
      <x:c r="W298" s="17"/>
      <x:c r="X298" s="17"/>
      <x:c r="Y298" s="17"/>
      <x:c r="Z298" s="17"/>
    </x:row>
    <x:row r="299">
      <x:c r="A299" s="17" t="str">
        <x:v>DeepSeek-V4-Pro</x:v>
      </x:c>
      <x:c r="B299" s="17" t="str">
        <x:v>deepseek-v4-pro_none</x:v>
      </x:c>
      <x:c r="C299" s="17" t="str">
        <x:v>DeepSeek v4 Pro (unknown thinking)</x:v>
      </x:c>
      <x:c r="D299" s="17" t="str">
        <x:v>DeepSeek</x:v>
      </x:c>
      <x:c r="E299" s="17" t="str">
        <x:v>China</x:v>
      </x:c>
      <x:c r="F299" s="17" t="n">
        <x:v>46136</x:v>
      </x:c>
      <x:c r="G299" s="17" t="str">
        <x:v>Open weights (unrestricted)</x:v>
      </x:c>
      <x:c r="H299" s="17" t="n">
        <x:v>46136</x:v>
      </x:c>
      <x:c r="I299" s="17" t="n">
        <x:v>9.702e+24</x:v>
      </x:c>
      <x:c r="J299" s="17" t="str">
        <x:v>Likely</x:v>
      </x:c>
      <x:c r="K299" s="17"/>
      <x:c r="L299" s="17" t="str">
        <x:v>DeepSeek v4 (no thinking)</x:v>
      </x:c>
      <x:c r="M299" s="17"/>
      <x:c r="N299" s="17" t="str">
        <x:v>DeepSeek-V4-Pro</x:v>
      </x:c>
      <x:c r="O299" s="17" t="str">
        <x:v>deepseek-v4-pro</x:v>
      </x:c>
      <x:c r="P299" s="17" t="n">
        <x:v>149.74</x:v>
      </x:c>
      <x:c r="Q299" s="17" t="n">
        <x:v>147.87</x:v>
      </x:c>
      <x:c r="R299" s="17" t="n">
        <x:v>152.06</x:v>
      </x:c>
      <x:c r="S299" s="17"/>
      <x:c r="T299" s="17"/>
      <x:c r="U299" s="17"/>
      <x:c r="V299" s="17"/>
      <x:c r="W299" s="17"/>
      <x:c r="X299" s="17"/>
      <x:c r="Y299" s="17"/>
      <x:c r="Z299" s="17"/>
    </x:row>
    <x:row r="300">
      <x:c r="A300" s="17" t="str">
        <x:v>MiMo-V2.5</x:v>
      </x:c>
      <x:c r="B300" s="17" t="str">
        <x:v>mimo-v2.5</x:v>
      </x:c>
      <x:c r="C300" s="17"/>
      <x:c r="D300" s="17" t="str">
        <x:v>Xiaomi Corp</x:v>
      </x:c>
      <x:c r="E300" s="17" t="str">
        <x:v>China</x:v>
      </x:c>
      <x:c r="F300" s="17"/>
      <x:c r="G300" s="17" t="str">
        <x:v>Open weights (unrestricted)</x:v>
      </x:c>
      <x:c r="H300" s="17" t="n">
        <x:v>46135</x:v>
      </x:c>
      <x:c r="I300" s="17" t="n">
        <x:v>4.32e+24</x:v>
      </x:c>
      <x:c r="J300" s="17" t="str">
        <x:v>Unverified</x:v>
      </x:c>
      <x:c r="K300" s="17"/>
      <x:c r="L300" s="17"/>
      <x:c r="M300" s="17"/>
      <x:c r="N300" s="17" t="str">
        <x:v>MiMo-V2.5</x:v>
      </x:c>
      <x:c r="O300" s="17" t="str">
        <x:v>mimo-v2-5</x:v>
      </x:c>
      <x:c r="P300" s="17"/>
      <x:c r="Q300" s="17"/>
      <x:c r="R300" s="17"/>
      <x:c r="S300" s="17"/>
      <x:c r="T300" s="17"/>
      <x:c r="U300" s="17"/>
      <x:c r="V300" s="17"/>
      <x:c r="W300" s="17"/>
      <x:c r="X300" s="17"/>
      <x:c r="Y300" s="17"/>
      <x:c r="Z300" s="17"/>
    </x:row>
    <x:row r="301">
      <x:c r="A301" s="17"/>
      <x:c r="B301" s="17" t="str">
        <x:v>qwen3-coder-plus</x:v>
      </x:c>
      <x:c r="C301" s="17"/>
      <x:c r="D301" s="17"/>
      <x:c r="E301" s="17"/>
      <x:c r="F301" s="17" t="n">
        <x:v>45923</x:v>
      </x:c>
      <x:c r="G301" s="17"/>
      <x:c r="H301" s="17"/>
      <x:c r="I301" s="17"/>
      <x:c r="J301" s="17" t="str">
        <x:v>Unverified</x:v>
      </x:c>
      <x:c r="K301" s="17"/>
      <x:c r="L301" s="17"/>
      <x:c r="M301" s="17"/>
      <x:c r="N301" s="17"/>
      <x:c r="O301" s="17" t="str">
        <x:v>qwen3-coder-plus</x:v>
      </x:c>
      <x:c r="P301" s="17"/>
      <x:c r="Q301" s="17"/>
      <x:c r="R301" s="17"/>
      <x:c r="S301" s="17"/>
      <x:c r="T301" s="17"/>
      <x:c r="U301" s="17"/>
      <x:c r="V301" s="17"/>
      <x:c r="W301" s="17"/>
      <x:c r="X301" s="17"/>
      <x:c r="Y301" s="17"/>
      <x:c r="Z301" s="17"/>
    </x:row>
    <x:row r="302">
      <x:c r="A302" s="17" t="str">
        <x:v>GLM-4.6</x:v>
      </x:c>
      <x:c r="B302" s="17" t="str">
        <x:v>glm-4.6</x:v>
      </x:c>
      <x:c r="C302" s="17" t="str">
        <x:v>GLM-4.6</x:v>
      </x:c>
      <x:c r="D302" s="17" t="str">
        <x:v>Z.ai (Zhipu AI),Tsinghua University</x:v>
      </x:c>
      <x:c r="E302" s="17" t="str">
        <x:v>China</x:v>
      </x:c>
      <x:c r="F302" s="17" t="n">
        <x:v>45930</x:v>
      </x:c>
      <x:c r="G302" s="17" t="str">
        <x:v>Open weights (unrestricted)</x:v>
      </x:c>
      <x:c r="H302" s="17" t="n">
        <x:v>45930</x:v>
      </x:c>
      <x:c r="I302" s="17" t="n">
        <x:v>4.42e+24</x:v>
      </x:c>
      <x:c r="J302" s="17" t="str">
        <x:v>Likely</x:v>
      </x:c>
      <x:c r="K302" s="17"/>
      <x:c r="L302" s="17"/>
      <x:c r="M302" s="17"/>
      <x:c r="N302" s="17" t="str">
        <x:v>GLM-4.6</x:v>
      </x:c>
      <x:c r="O302" s="17" t="str">
        <x:v>glm-4-6</x:v>
      </x:c>
      <x:c r="P302" s="17" t="n">
        <x:v>140.95</x:v>
      </x:c>
      <x:c r="Q302" s="17" t="n">
        <x:v>136.28</x:v>
      </x:c>
      <x:c r="R302" s="17" t="n">
        <x:v>142.51</x:v>
      </x:c>
      <x:c r="S302" s="17"/>
      <x:c r="T302" s="17"/>
      <x:c r="U302" s="17"/>
      <x:c r="V302" s="17"/>
      <x:c r="W302" s="17"/>
      <x:c r="X302" s="17"/>
      <x:c r="Y302" s="17"/>
      <x:c r="Z302" s="17"/>
    </x:row>
    <x:row r="303">
      <x:c r="A303" s="17" t="str">
        <x:v>Gemini 2.5 Flash-Lite</x:v>
      </x:c>
      <x:c r="B303" s="17" t="str">
        <x:v>gemini-2.5-flash-lite-preview-06-17-thinking</x:v>
      </x:c>
      <x:c r="C303" s="17" t="str">
        <x:v>gemini-2.5-flash-lite-preview-06-17 (Default thinking length)</x:v>
      </x:c>
      <x:c r="D303" s="17" t="str">
        <x:v>Google DeepMind</x:v>
      </x:c>
      <x:c r="E303" s="17" t="str">
        <x:v>United States of America</x:v>
      </x:c>
      <x:c r="F303" s="17" t="n">
        <x:v>45825</x:v>
      </x:c>
      <x:c r="G303" s="17" t="str">
        <x:v>API access</x:v>
      </x:c>
      <x:c r="H303" s="17" t="n">
        <x:v>45823</x:v>
      </x:c>
      <x:c r="I303" s="17"/>
      <x:c r="J303" s="17" t="str">
        <x:v>Unknown</x:v>
      </x:c>
      <x:c r="K303" s="17" t="str">
        <x:v>A June 2025 preview of Gemini 2.5 Flash Lite.</x:v>
      </x:c>
      <x:c r="L303" s="17" t="str">
        <x:v>Gemini 2.5 Flash-Lite (Jun 2025)</x:v>
      </x:c>
      <x:c r="M303" s="17" t="str">
        <x:v>Gemini 2.5 Flash-Lite (Jun 2025)</x:v>
      </x:c>
      <x:c r="N303" s="17" t="str">
        <x:v>Gemini 2.5 Flash-Lite (Jun 2025)</x:v>
      </x:c>
      <x:c r="O303" s="17" t="str">
        <x:v>gemini-2-5-flash-lite-jun-2025</x:v>
      </x:c>
      <x:c r="P303" s="17"/>
      <x:c r="Q303" s="17"/>
      <x:c r="R303" s="17"/>
      <x:c r="S303" s="17"/>
      <x:c r="T303" s="17"/>
      <x:c r="U303" s="17"/>
      <x:c r="V303" s="17"/>
      <x:c r="W303" s="17"/>
      <x:c r="X303" s="17"/>
      <x:c r="Y303" s="17"/>
      <x:c r="Z303" s="17"/>
    </x:row>
    <x:row r="304">
      <x:c r="A304" s="17" t="str">
        <x:v>DeepSeek-V4-Flash</x:v>
      </x:c>
      <x:c r="B304" s="17" t="str">
        <x:v>deepseek-v4-flash_none</x:v>
      </x:c>
      <x:c r="C304" s="17" t="str">
        <x:v>DeepSeek v4 Flash (high)</x:v>
      </x:c>
      <x:c r="D304" s="17" t="str">
        <x:v>DeepSeek</x:v>
      </x:c>
      <x:c r="E304" s="17" t="str">
        <x:v>China</x:v>
      </x:c>
      <x:c r="F304" s="17" t="n">
        <x:v>46136</x:v>
      </x:c>
      <x:c r="G304" s="17" t="str">
        <x:v>Open weights (unrestricted)</x:v>
      </x:c>
      <x:c r="H304" s="17" t="n">
        <x:v>46136</x:v>
      </x:c>
      <x:c r="I304" s="17" t="n">
        <x:v>2.496e+24</x:v>
      </x:c>
      <x:c r="J304" s="17" t="str">
        <x:v>Likely</x:v>
      </x:c>
      <x:c r="K304" s="17"/>
      <x:c r="L304" s="17" t="str">
        <x:v>DeepSeek v4 (no thinking)</x:v>
      </x:c>
      <x:c r="M304" s="17"/>
      <x:c r="N304" s="17" t="str">
        <x:v>DeepSeek-V4-Flash</x:v>
      </x:c>
      <x:c r="O304" s="17" t="str">
        <x:v>deepseek-v4-flash</x:v>
      </x:c>
      <x:c r="P304" s="17"/>
      <x:c r="Q304" s="17"/>
      <x:c r="R304" s="17"/>
      <x:c r="S304" s="17"/>
      <x:c r="T304" s="17"/>
      <x:c r="U304" s="17"/>
      <x:c r="V304" s="17"/>
      <x:c r="W304" s="17"/>
      <x:c r="X304" s="17"/>
      <x:c r="Y304" s="17"/>
      <x:c r="Z304" s="17"/>
    </x:row>
    <x:row r="305">
      <x:c r="A305" s="17" t="str">
        <x:v>Kimi K2</x:v>
      </x:c>
      <x:c r="B305" s="17" t="str">
        <x:v>moonshotai/kimi-k2-0905</x:v>
      </x:c>
      <x:c r="C305" s="17" t="str">
        <x:v>Kimi K2 0905 (Novita)</x:v>
      </x:c>
      <x:c r="D305" s="17" t="str">
        <x:v>Moonshot</x:v>
      </x:c>
      <x:c r="E305" s="17" t="str">
        <x:v>China</x:v>
      </x:c>
      <x:c r="F305" s="17" t="n">
        <x:v>45905</x:v>
      </x:c>
      <x:c r="G305" s="17" t="str">
        <x:v>Open weights (restricted use)</x:v>
      </x:c>
      <x:c r="H305" s="17" t="n">
        <x:v>45849</x:v>
      </x:c>
      <x:c r="I305" s="17" t="n">
        <x:v>2.976e+24</x:v>
      </x:c>
      <x:c r="J305" s="17" t="str">
        <x:v>Confident</x:v>
      </x:c>
      <x:c r="K305" s="17" t="str">
        <x:v>A July 2025 preview version of Kimi K2 turbo, an updated version of Kimi K2.</x:v>
      </x:c>
      <x:c r="L305" s="17"/>
      <x:c r="M305" s="17" t="str">
        <x:v>Kimi K2 (Sep 2025)</x:v>
      </x:c>
      <x:c r="N305" s="17" t="str">
        <x:v>Kimi K2 (Sep 2025)</x:v>
      </x:c>
      <x:c r="O305" s="17" t="str">
        <x:v>kimi-k2-sep-2025</x:v>
      </x:c>
      <x:c r="P305" s="17" t="n">
        <x:v>140.98</x:v>
      </x:c>
      <x:c r="Q305" s="17" t="n">
        <x:v>138.39</x:v>
      </x:c>
      <x:c r="R305" s="17" t="n">
        <x:v>142.27</x:v>
      </x:c>
      <x:c r="S305" s="17"/>
      <x:c r="T305" s="17"/>
      <x:c r="U305" s="17"/>
      <x:c r="V305" s="17"/>
      <x:c r="W305" s="17"/>
      <x:c r="X305" s="17"/>
      <x:c r="Y305" s="17"/>
      <x:c r="Z305" s="17"/>
    </x:row>
    <x:row r="306">
      <x:c r="A306" s="17"/>
      <x:c r="B306" s="17" t="str">
        <x:v>mistral-medium-2508</x:v>
      </x:c>
      <x:c r="C306" s="17"/>
      <x:c r="D306" s="17"/>
      <x:c r="E306" s="17"/>
      <x:c r="F306" s="17" t="n">
        <x:v>45881</x:v>
      </x:c>
      <x:c r="G306" s="17"/>
      <x:c r="H306" s="17"/>
      <x:c r="I306" s="17"/>
      <x:c r="J306" s="17" t="str">
        <x:v>Unverified</x:v>
      </x:c>
      <x:c r="K306" s="17"/>
      <x:c r="L306" s="17"/>
      <x:c r="M306" s="17"/>
      <x:c r="N306" s="17"/>
      <x:c r="O306" s="17" t="str">
        <x:v>mistral-medium-2508</x:v>
      </x:c>
      <x:c r="P306" s="17"/>
      <x:c r="Q306" s="17"/>
      <x:c r="R306" s="17"/>
      <x:c r="S306" s="17"/>
      <x:c r="T306" s="17"/>
      <x:c r="U306" s="17"/>
      <x:c r="V306" s="17"/>
      <x:c r="W306" s="17"/>
      <x:c r="X306" s="17"/>
      <x:c r="Y306" s="17"/>
      <x:c r="Z306" s="17"/>
    </x:row>
    <x:row r="307">
      <x:c r="A307" s="17" t="str">
        <x:v>Codestral</x:v>
      </x:c>
      <x:c r="B307" s="17" t="str">
        <x:v>codestral-2508</x:v>
      </x:c>
      <x:c r="C307" s="17"/>
      <x:c r="D307" s="17" t="str">
        <x:v>Mistral AI</x:v>
      </x:c>
      <x:c r="E307" s="17" t="str">
        <x:v>France</x:v>
      </x:c>
      <x:c r="F307" s="17" t="n">
        <x:v>45868</x:v>
      </x:c>
      <x:c r="G307" s="17" t="str">
        <x:v>Open weights (non-commercial)</x:v>
      </x:c>
      <x:c r="H307" s="17" t="n">
        <x:v>45441</x:v>
      </x:c>
      <x:c r="I307" s="17"/>
      <x:c r="J307" s="17" t="str">
        <x:v>Confident</x:v>
      </x:c>
      <x:c r="K307" s="17" t="str">
        <x:v>A January 2025 version of a 2024 coding-optimized model from Mistral.</x:v>
      </x:c>
      <x:c r="L307" s="17"/>
      <x:c r="M307" s="17"/>
      <x:c r="N307" s="17" t="str">
        <x:v>Codestral</x:v>
      </x:c>
      <x:c r="O307" s="17" t="str">
        <x:v>codestral</x:v>
      </x:c>
      <x:c r="P307" s="17"/>
      <x:c r="Q307" s="17"/>
      <x:c r="R307" s="17"/>
      <x:c r="S307" s="17"/>
      <x:c r="T307" s="17"/>
      <x:c r="U307" s="17"/>
      <x:c r="V307" s="17"/>
      <x:c r="W307" s="17"/>
      <x:c r="X307" s="17"/>
      <x:c r="Y307" s="17"/>
      <x:c r="Z307" s="17"/>
    </x:row>
    <x:row r="308">
      <x:c r="A308" s="17"/>
      <x:c r="B308" s="17" t="str">
        <x:v>claude-mythos-preview-early</x:v>
      </x:c>
      <x:c r="C308" s="17"/>
      <x:c r="D308" s="17"/>
      <x:c r="E308" s="17"/>
      <x:c r="F308" s="17"/>
      <x:c r="G308" s="17"/>
      <x:c r="H308" s="17"/>
      <x:c r="I308" s="17"/>
      <x:c r="J308" s="17" t="str">
        <x:v>Unverified</x:v>
      </x:c>
      <x:c r="K308" s="17"/>
      <x:c r="L308" s="17"/>
      <x:c r="M308" s="17"/>
      <x:c r="N308" s="17"/>
      <x:c r="O308" s="17" t="str">
        <x:v>claude-mythos-preview-early</x:v>
      </x:c>
      <x:c r="P308" s="17"/>
      <x:c r="Q308" s="17"/>
      <x:c r="R308" s="17"/>
      <x:c r="S308" s="17"/>
      <x:c r="T308" s="17"/>
      <x:c r="U308" s="17"/>
      <x:c r="V308" s="17"/>
      <x:c r="W308" s="17"/>
      <x:c r="X308" s="17"/>
      <x:c r="Y308" s="17"/>
      <x:c r="Z308" s="17"/>
    </x:row>
    <x:row r="309">
      <x:c r="A309" s="17" t="str">
        <x:v>GPT-5.4 Pro</x:v>
      </x:c>
      <x:c r="B309" s="17" t="str">
        <x:v>gpt-5.4-pro-2026-03-05_unknown</x:v>
      </x:c>
      <x:c r="C309" s="17" t="str">
        <x:v>GPT-5.4 Pro</x:v>
      </x:c>
      <x:c r="D309" s="17" t="str">
        <x:v>OpenAI</x:v>
      </x:c>
      <x:c r="E309" s="17" t="str">
        <x:v>United States of America</x:v>
      </x:c>
      <x:c r="F309" s="17" t="n">
        <x:v>46086</x:v>
      </x:c>
      <x:c r="G309" s="17" t="str">
        <x:v>API access</x:v>
      </x:c>
      <x:c r="H309" s="17" t="n">
        <x:v>46086</x:v>
      </x:c>
      <x:c r="I309" s="17"/>
      <x:c r="J309" s="17" t="str">
        <x:v>Likely</x:v>
      </x:c>
      <x:c r="K309" s="17"/>
      <x:c r="L309" s="17" t="str">
        <x:v>GPT-5.4 Pro</x:v>
      </x:c>
      <x:c r="M309" s="17"/>
      <x:c r="N309" s="17" t="str">
        <x:v>GPT-5.4 Pro</x:v>
      </x:c>
      <x:c r="O309" s="17" t="str">
        <x:v>gpt-5-4-pro</x:v>
      </x:c>
      <x:c r="P309" s="17" t="n">
        <x:v>157.83</x:v>
      </x:c>
      <x:c r="Q309" s="17" t="n">
        <x:v>155.96</x:v>
      </x:c>
      <x:c r="R309" s="17" t="n">
        <x:v>160.88</x:v>
      </x:c>
      <x:c r="S309" s="17"/>
      <x:c r="T309" s="17"/>
      <x:c r="U309" s="17"/>
      <x:c r="V309" s="17"/>
      <x:c r="W309" s="17"/>
      <x:c r="X309" s="17"/>
      <x:c r="Y309" s="17"/>
      <x:c r="Z309" s="17"/>
    </x:row>
    <x:row r="310">
      <x:c r="A310" s="17" t="str">
        <x:v>GPT-5 Pro</x:v>
      </x:c>
      <x:c r="B310" s="17" t="str">
        <x:v>gpt-5-pro-2025-10-06_unknown</x:v>
      </x:c>
      <x:c r="C310" s="17" t="str">
        <x:v>GPT-5 Pro</x:v>
      </x:c>
      <x:c r="D310" s="17" t="str">
        <x:v>OpenAI</x:v>
      </x:c>
      <x:c r="E310" s="17" t="str">
        <x:v>United States of America</x:v>
      </x:c>
      <x:c r="F310" s="17" t="n">
        <x:v>45937</x:v>
      </x:c>
      <x:c r="G310" s="17" t="str">
        <x:v>API access</x:v>
      </x:c>
      <x:c r="H310" s="17" t="n">
        <x:v>45937</x:v>
      </x:c>
      <x:c r="I310" s="17"/>
      <x:c r="J310" s="17" t="str">
        <x:v>Unknown</x:v>
      </x:c>
      <x:c r="K310" s="17"/>
      <x:c r="L310" s="17" t="str">
        <x:v>GPT-5 Pro (unknown thinking)</x:v>
      </x:c>
      <x:c r="M310" s="17"/>
      <x:c r="N310" s="17" t="str">
        <x:v>GPT-5 Pro</x:v>
      </x:c>
      <x:c r="O310" s="17" t="str">
        <x:v>gpt-5-pro</x:v>
      </x:c>
      <x:c r="P310" s="17" t="n">
        <x:v>150.43</x:v>
      </x:c>
      <x:c r="Q310" s="17" t="n">
        <x:v>148.94</x:v>
      </x:c>
      <x:c r="R310" s="17" t="n">
        <x:v>152.05</x:v>
      </x:c>
      <x:c r="S310" s="17"/>
      <x:c r="T310" s="17"/>
      <x:c r="U310" s="17"/>
      <x:c r="V310" s="17"/>
      <x:c r="W310" s="17"/>
      <x:c r="X310" s="17"/>
      <x:c r="Y310" s="17"/>
      <x:c r="Z310" s="17"/>
    </x:row>
    <x:row r="311">
      <x:c r="A311" s="17" t="str">
        <x:v>GPT-5</x:v>
      </x:c>
      <x:c r="B311" s="17" t="str">
        <x:v>gpt-5-2025-08-07_unknown</x:v>
      </x:c>
      <x:c r="C311" s="17" t="str">
        <x:v>GPT-5 (unknown thinking)</x:v>
      </x:c>
      <x:c r="D311" s="17" t="str">
        <x:v>OpenAI</x:v>
      </x:c>
      <x:c r="E311" s="17" t="str">
        <x:v>United States of America</x:v>
      </x:c>
      <x:c r="F311" s="17" t="n">
        <x:v>45876</x:v>
      </x:c>
      <x:c r="G311" s="17" t="str">
        <x:v>API access</x:v>
      </x:c>
      <x:c r="H311" s="17" t="n">
        <x:v>45876</x:v>
      </x:c>
      <x:c r="I311" s="17" t="n">
        <x:v>6.6e+25</x:v>
      </x:c>
      <x:c r="J311" s="17" t="str">
        <x:v>Speculative</x:v>
      </x:c>
      <x:c r="K311" s="17" t="str">
        <x:v>OpenAI's latest flagship frontier model, benchmarked using high reasoning effort.</x:v>
      </x:c>
      <x:c r="L311" s="17" t="str">
        <x:v>GPT-5 (high)</x:v>
      </x:c>
      <x:c r="M311" s="17"/>
      <x:c r="N311" s="17" t="str">
        <x:v>GPT-5</x:v>
      </x:c>
      <x:c r="O311" s="17" t="str">
        <x:v>gpt-5</x:v>
      </x:c>
      <x:c r="P311" s="17" t="n">
        <x:v>150</x:v>
      </x:c>
      <x:c r="Q311" s="17"/>
      <x:c r="R311" s="17"/>
      <x:c r="S311" s="17"/>
      <x:c r="T311" s="17"/>
      <x:c r="U311" s="17"/>
      <x:c r="V311" s="17"/>
      <x:c r="W311" s="17"/>
      <x:c r="X311" s="17"/>
      <x:c r="Y311" s="17"/>
      <x:c r="Z311" s="17"/>
    </x:row>
    <x:row r="312">
      <x:c r="A312" s="17" t="str">
        <x:v>Claude Opus 4.1</x:v>
      </x:c>
      <x:c r="B312" s="17" t="str">
        <x:v>claude-opus-4-1-20250805_unknown</x:v>
      </x:c>
      <x:c r="C312" s="17" t="str">
        <x:v>Claude Opus 4.1 (unknown thinking)</x:v>
      </x:c>
      <x:c r="D312" s="17" t="str">
        <x:v>Anthropic</x:v>
      </x:c>
      <x:c r="E312" s="17" t="str">
        <x:v>United States of America</x:v>
      </x:c>
      <x:c r="F312" s="17" t="n">
        <x:v>45874</x:v>
      </x:c>
      <x:c r="G312" s="17" t="str">
        <x:v>API access</x:v>
      </x:c>
      <x:c r="H312" s="17" t="n">
        <x:v>45874</x:v>
      </x:c>
      <x:c r="I312" s="17"/>
      <x:c r="J312" s="17" t="str">
        <x:v>Unknown</x:v>
      </x:c>
      <x:c r="K312" s="17" t="str">
        <x:v>Anthropic’s largest flagship model, benchmarked with up to 27,000 reasoning tokens.</x:v>
      </x:c>
      <x:c r="L312" s="17" t="str">
        <x:v>Claude Opus 4.1 (unknown settings)</x:v>
      </x:c>
      <x:c r="M312" s="17"/>
      <x:c r="N312" s="17" t="str">
        <x:v>Claude Opus 4.1</x:v>
      </x:c>
      <x:c r="O312" s="17" t="str">
        <x:v>claude-opus-4-1</x:v>
      </x:c>
      <x:c r="P312" s="17" t="n">
        <x:v>144.21</x:v>
      </x:c>
      <x:c r="Q312" s="17" t="n">
        <x:v>141.74</x:v>
      </x:c>
      <x:c r="R312" s="17" t="n">
        <x:v>146.36</x:v>
      </x:c>
      <x:c r="S312" s="17"/>
      <x:c r="T312" s="17"/>
      <x:c r="U312" s="17"/>
      <x:c r="V312" s="17"/>
      <x:c r="W312" s="17"/>
      <x:c r="X312" s="17"/>
      <x:c r="Y312" s="17"/>
      <x:c r="Z312" s="17"/>
    </x:row>
    <x:row r="313">
      <x:c r="A313" s="17" t="str">
        <x:v>o1-pro</x:v>
      </x:c>
      <x:c r="B313" s="17" t="str">
        <x:v>o1-pro-2025-03-19</x:v>
      </x:c>
      <x:c r="C313" s="17" t="str">
        <x:v>o1 Pro</x:v>
      </x:c>
      <x:c r="D313" s="17" t="str">
        <x:v>OpenAI</x:v>
      </x:c>
      <x:c r="E313" s="17" t="str">
        <x:v>United States of America</x:v>
      </x:c>
      <x:c r="F313" s="17" t="n">
        <x:v>45735</x:v>
      </x:c>
      <x:c r="G313" s="17" t="str">
        <x:v>API access</x:v>
      </x:c>
      <x:c r="H313" s="17" t="n">
        <x:v>45735</x:v>
      </x:c>
      <x:c r="I313" s="17"/>
      <x:c r="J313" s="17" t="str">
        <x:v>Likely</x:v>
      </x:c>
      <x:c r="K313" s="17" t="str">
        <x:v>An An enhanced version of OpenAI's first reasoning model,o1, evaluated with low reasoning effort.</x:v>
      </x:c>
      <x:c r="L313" s="17"/>
      <x:c r="M313" s="17"/>
      <x:c r="N313" s="17" t="str">
        <x:v>o1-pro</x:v>
      </x:c>
      <x:c r="O313" s="17" t="str">
        <x:v>o1-pro</x:v>
      </x:c>
      <x:c r="P313" s="17"/>
      <x:c r="Q313" s="17"/>
      <x:c r="R313" s="17"/>
      <x:c r="S313" s="17"/>
      <x:c r="T313" s="17"/>
      <x:c r="U313" s="17"/>
      <x:c r="V313" s="17"/>
      <x:c r="W313" s="17"/>
      <x:c r="X313" s="17"/>
      <x:c r="Y313" s="17"/>
      <x:c r="Z313" s="17"/>
    </x:row>
    <x:row r="314">
      <x:c r="A314" s="17" t="str">
        <x:v>o1</x:v>
      </x:c>
      <x:c r="B314" s="17" t="str">
        <x:v>o1-2024-12-17_unknown</x:v>
      </x:c>
      <x:c r="C314" s="17" t="str">
        <x:v>o1 (unknown thinking)</x:v>
      </x:c>
      <x:c r="D314" s="17" t="str">
        <x:v>OpenAI</x:v>
      </x:c>
      <x:c r="E314" s="17" t="str">
        <x:v>United States of America</x:v>
      </x:c>
      <x:c r="F314" s="17" t="n">
        <x:v>45643</x:v>
      </x:c>
      <x:c r="G314" s="17" t="str">
        <x:v>API access</x:v>
      </x:c>
      <x:c r="H314" s="17" t="n">
        <x:v>45631</x:v>
      </x:c>
      <x:c r="I314" s="17"/>
      <x:c r="J314" s="17" t="str">
        <x:v>Unknown</x:v>
      </x:c>
      <x:c r="K314" s="17" t="str">
        <x:v>OpenAI's first reasoning model, evaluated with at the high reasoning effort level.</x:v>
      </x:c>
      <x:c r="L314" s="17"/>
      <x:c r="M314" s="17"/>
      <x:c r="N314" s="17" t="str">
        <x:v>o1</x:v>
      </x:c>
      <x:c r="O314" s="17" t="str">
        <x:v>o1</x:v>
      </x:c>
      <x:c r="P314" s="17" t="n">
        <x:v>142.69</x:v>
      </x:c>
      <x:c r="Q314" s="17" t="n">
        <x:v>140.88</x:v>
      </x:c>
      <x:c r="R314" s="17" t="n">
        <x:v>143.81</x:v>
      </x:c>
      <x:c r="S314" s="17"/>
      <x:c r="T314" s="17"/>
      <x:c r="U314" s="17"/>
      <x:c r="V314" s="17"/>
      <x:c r="W314" s="17"/>
      <x:c r="X314" s="17"/>
      <x:c r="Y314" s="17"/>
      <x:c r="Z314" s="17"/>
    </x:row>
    <x:row r="315">
      <x:c r="A315" s="17" t="str">
        <x:v>Pixtral Large</x:v>
      </x:c>
      <x:c r="B315" s="17" t="str">
        <x:v>pixtral-large-2411</x:v>
      </x:c>
      <x:c r="C315" s="17"/>
      <x:c r="D315" s="17" t="str">
        <x:v>Mistral AI</x:v>
      </x:c>
      <x:c r="E315" s="17" t="str">
        <x:v>France</x:v>
      </x:c>
      <x:c r="F315" s="17" t="n">
        <x:v>45614</x:v>
      </x:c>
      <x:c r="G315" s="17" t="str">
        <x:v>Open weights (non-commercial)</x:v>
      </x:c>
      <x:c r="H315" s="17" t="n">
        <x:v>45614</x:v>
      </x:c>
      <x:c r="I315" s="17"/>
      <x:c r="J315" s="17" t="str">
        <x:v>Confident</x:v>
      </x:c>
      <x:c r="K315" s="17"/>
      <x:c r="L315" s="17"/>
      <x:c r="M315" s="17"/>
      <x:c r="N315" s="17" t="str">
        <x:v>Pixtral Large</x:v>
      </x:c>
      <x:c r="O315" s="17" t="str">
        <x:v>pixtral-large</x:v>
      </x:c>
      <x:c r="P315" s="17"/>
      <x:c r="Q315" s="17"/>
      <x:c r="R315" s="17"/>
      <x:c r="S315" s="17"/>
      <x:c r="T315" s="17"/>
      <x:c r="U315" s="17"/>
      <x:c r="V315" s="17"/>
      <x:c r="W315" s="17"/>
      <x:c r="X315" s="17"/>
      <x:c r="Y315" s="17"/>
      <x:c r="Z315" s="17"/>
    </x:row>
    <x:row r="316">
      <x:c r="A316" s="17" t="str">
        <x:v>Gemini 2.0 Flash</x:v>
      </x:c>
      <x:c r="B316" s="17" t="str">
        <x:v>gemini-2.0-flash-02-05</x:v>
      </x:c>
      <x:c r="C316" s="17"/>
      <x:c r="D316" s="17" t="str">
        <x:v>Google DeepMind,Google</x:v>
      </x:c>
      <x:c r="E316" s="17" t="str">
        <x:v>United States of America</x:v>
      </x:c>
      <x:c r="F316" s="17" t="n">
        <x:v>45693</x:v>
      </x:c>
      <x:c r="G316" s="17" t="str">
        <x:v>API access</x:v>
      </x:c>
      <x:c r="H316" s="17" t="n">
        <x:v>45637</x:v>
      </x:c>
      <x:c r="I316" s="17"/>
      <x:c r="J316" s="17" t="str">
        <x:v>Unknown</x:v>
      </x:c>
      <x:c r="K316" s="17" t="str">
        <x:v>A February 2025 version of Gemini 2.0 Flash, a small language model from Google DeepMind.</x:v>
      </x:c>
      <x:c r="L316" s="17"/>
      <x:c r="M316" s="17" t="str">
        <x:v>Gemini 2.0 Flash (Feb 2025)</x:v>
      </x:c>
      <x:c r="N316" s="17" t="str">
        <x:v>Gemini 2.0 Flash (Feb 2025)</x:v>
      </x:c>
      <x:c r="O316" s="17" t="str">
        <x:v>gemini-2-0-flash-feb-2025</x:v>
      </x:c>
      <x:c r="P316" s="17" t="n">
        <x:v>135.79</x:v>
      </x:c>
      <x:c r="Q316" s="17" t="n">
        <x:v>132.35</x:v>
      </x:c>
      <x:c r="R316" s="17" t="n">
        <x:v>137.51</x:v>
      </x:c>
      <x:c r="S316" s="17"/>
      <x:c r="T316" s="17"/>
      <x:c r="U316" s="17"/>
      <x:c r="V316" s="17"/>
      <x:c r="W316" s="17"/>
      <x:c r="X316" s="17"/>
      <x:c r="Y316" s="17"/>
      <x:c r="Z316" s="17"/>
    </x:row>
    <x:row r="317">
      <x:c r="A317" s="17" t="str">
        <x:v>Llama 4 Maverick</x:v>
      </x:c>
      <x:c r="B317" s="17" t="str">
        <x:v>Llama-4-Maverick-17B-128E-Instruct</x:v>
      </x:c>
      <x:c r="C317" s="17" t="str">
        <x:v>Llama 4 Maverick</x:v>
      </x:c>
      <x:c r="D317" s="17" t="str">
        <x:v>Meta AI</x:v>
      </x:c>
      <x:c r="E317" s="17" t="str">
        <x:v>United States of America</x:v>
      </x:c>
      <x:c r="F317" s="17" t="n">
        <x:v>45752</x:v>
      </x:c>
      <x:c r="G317" s="17" t="str">
        <x:v>Open weights (restricted use)</x:v>
      </x:c>
      <x:c r="H317" s="17" t="n">
        <x:v>45752</x:v>
      </x:c>
      <x:c r="I317" s="17" t="n">
        <x:v>2.244000000001e+24</x:v>
      </x:c>
      <x:c r="J317" s="17" t="str">
        <x:v>Likely</x:v>
      </x:c>
      <x:c r="K317" s="17" t="str">
        <x:v>The 17 billion active (400 billion total)-parameter model in Meta's Llama 4 series.</x:v>
      </x:c>
      <x:c r="L317" s="17"/>
      <x:c r="M317" s="17"/>
      <x:c r="N317" s="17" t="str">
        <x:v>Llama 4 Maverick</x:v>
      </x:c>
      <x:c r="O317" s="17" t="str">
        <x:v>llama-4-maverick</x:v>
      </x:c>
      <x:c r="P317" s="17" t="n">
        <x:v>133.04</x:v>
      </x:c>
      <x:c r="Q317" s="17" t="n">
        <x:v>128.11</x:v>
      </x:c>
      <x:c r="R317" s="17" t="n">
        <x:v>135.12</x:v>
      </x:c>
      <x:c r="S317" s="17"/>
      <x:c r="T317" s="17"/>
      <x:c r="U317" s="17"/>
      <x:c r="V317" s="17"/>
      <x:c r="W317" s="17"/>
      <x:c r="X317" s="17"/>
      <x:c r="Y317" s="17"/>
      <x:c r="Z317" s="17"/>
    </x:row>
    <x:row r="318">
      <x:c r="A318" s="17" t="str">
        <x:v>o3</x:v>
      </x:c>
      <x:c r="B318" s="17" t="str">
        <x:v>o3-2025-04-16_unknown</x:v>
      </x:c>
      <x:c r="C318" s="17" t="str">
        <x:v>o3 (unknown thinking)</x:v>
      </x:c>
      <x:c r="D318" s="17" t="str">
        <x:v>OpenAI</x:v>
      </x:c>
      <x:c r="E318" s="17" t="str">
        <x:v>United States of America</x:v>
      </x:c>
      <x:c r="F318" s="17" t="n">
        <x:v>45763</x:v>
      </x:c>
      <x:c r="G318" s="17" t="str">
        <x:v>API access</x:v>
      </x:c>
      <x:c r="H318" s="17" t="n">
        <x:v>45646</x:v>
      </x:c>
      <x:c r="I318" s="17"/>
      <x:c r="J318" s="17" t="str">
        <x:v>Unknown</x:v>
      </x:c>
      <x:c r="K318" s="17" t="str">
        <x:v>OpenAI's second generation o-series reasoning model, evaluated with high reasoning effort.</x:v>
      </x:c>
      <x:c r="L318" s="17"/>
      <x:c r="M318" s="17"/>
      <x:c r="N318" s="17" t="str">
        <x:v>o3</x:v>
      </x:c>
      <x:c r="O318" s="17" t="str">
        <x:v>o3</x:v>
      </x:c>
      <x:c r="P318" s="17" t="n">
        <x:v>147.05</x:v>
      </x:c>
      <x:c r="Q318" s="17" t="n">
        <x:v>145.11</x:v>
      </x:c>
      <x:c r="R318" s="17" t="n">
        <x:v>148.38</x:v>
      </x:c>
      <x:c r="S318" s="17"/>
      <x:c r="T318" s="17"/>
      <x:c r="U318" s="17"/>
      <x:c r="V318" s="17"/>
      <x:c r="W318" s="17"/>
      <x:c r="X318" s="17"/>
      <x:c r="Y318" s="17"/>
      <x:c r="Z318" s="17"/>
    </x:row>
    <x:row r="319">
      <x:c r="A319" s="17" t="str">
        <x:v>GPT-4 Turbo (Nov 2023)</x:v>
      </x:c>
      <x:c r="B319" s="17" t="str">
        <x:v>gpt-4-turbo</x:v>
      </x:c>
      <x:c r="C319" s="17"/>
      <x:c r="D319" s="17" t="str">
        <x:v>OpenAI</x:v>
      </x:c>
      <x:c r="E319" s="17" t="str">
        <x:v>United States of America</x:v>
      </x:c>
      <x:c r="F319" s="17" t="n">
        <x:v>45236</x:v>
      </x:c>
      <x:c r="G319" s="17" t="str">
        <x:v>API access</x:v>
      </x:c>
      <x:c r="H319" s="17" t="n">
        <x:v>45236</x:v>
      </x:c>
      <x:c r="I319" s="17"/>
      <x:c r="J319" s="17" t="str">
        <x:v>Unknown</x:v>
      </x:c>
      <x:c r="K319" s="17" t="str">
        <x:v>An updated version of GPT-4 and OpenAI's then-new flagship language model.</x:v>
      </x:c>
      <x:c r="L319" s="17"/>
      <x:c r="M319" s="17"/>
      <x:c r="N319" s="17" t="str">
        <x:v>GPT-4 Turbo (Nov 2023)</x:v>
      </x:c>
      <x:c r="O319" s="17" t="str">
        <x:v>gpt-4-turbo-nov-2023</x:v>
      </x:c>
      <x:c r="P319" s="17"/>
      <x:c r="Q319" s="17"/>
      <x:c r="R319" s="17"/>
      <x:c r="S319" s="17"/>
      <x:c r="T319" s="17"/>
      <x:c r="U319" s="17"/>
      <x:c r="V319" s="17"/>
      <x:c r="W319" s="17"/>
      <x:c r="X319" s="17"/>
      <x:c r="Y319" s="17"/>
      <x:c r="Z319" s="17"/>
    </x:row>
    <x:row r="320">
      <x:c r="A320" s="17" t="str">
        <x:v>GPT-3.5 Turbo Instruct</x:v>
      </x:c>
      <x:c r="B320" s="17" t="str">
        <x:v>gpt-3.5-turbo-instruct</x:v>
      </x:c>
      <x:c r="C320" s="17"/>
      <x:c r="D320" s="17" t="str">
        <x:v>OpenAI</x:v>
      </x:c>
      <x:c r="E320" s="17" t="str">
        <x:v>United States of America</x:v>
      </x:c>
      <x:c r="F320" s="17" t="n">
        <x:v>45187</x:v>
      </x:c>
      <x:c r="G320" s="17" t="str">
        <x:v>API access</x:v>
      </x:c>
      <x:c r="H320" s="17" t="n">
        <x:v>45197</x:v>
      </x:c>
      <x:c r="I320" s="17"/>
      <x:c r="J320" s="17" t="str">
        <x:v>Likely</x:v>
      </x:c>
      <x:c r="K320" s="17" t="str">
        <x:v>An instruction-tuned version of OpenAI's GPT-3.5 turbo.</x:v>
      </x:c>
      <x:c r="L320" s="17"/>
      <x:c r="M320" s="17"/>
      <x:c r="N320" s="17" t="str">
        <x:v>GPT-3.5 Turbo Instruct</x:v>
      </x:c>
      <x:c r="O320" s="17" t="str">
        <x:v>gpt-3-5-turbo-instruct</x:v>
      </x:c>
      <x:c r="P320" s="17"/>
      <x:c r="Q320" s="17"/>
      <x:c r="R320" s="17"/>
      <x:c r="S320" s="17"/>
      <x:c r="T320" s="17"/>
      <x:c r="U320" s="17"/>
      <x:c r="V320" s="17"/>
      <x:c r="W320" s="17"/>
      <x:c r="X320" s="17"/>
      <x:c r="Y320" s="17"/>
      <x:c r="Z320" s="17"/>
    </x:row>
    <x:row r="321">
      <x:c r="A321" s="17" t="str">
        <x:v>GPT-3 175B (davinci)</x:v>
      </x:c>
      <x:c r="B321" s="17" t="str">
        <x:v>davinci-002</x:v>
      </x:c>
      <x:c r="C321" s="17"/>
      <x:c r="D321" s="17" t="str">
        <x:v>OpenAI</x:v>
      </x:c>
      <x:c r="E321" s="17" t="str">
        <x:v>United States of America</x:v>
      </x:c>
      <x:c r="F321" s="17"/>
      <x:c r="G321" s="17" t="str">
        <x:v>API access</x:v>
      </x:c>
      <x:c r="H321" s="17" t="n">
        <x:v>43979</x:v>
      </x:c>
      <x:c r="I321" s="17" t="n">
        <x:v>3.14e+23</x:v>
      </x:c>
      <x:c r="J321" s="17" t="str">
        <x:v>Confident</x:v>
      </x:c>
      <x:c r="K321" s="17"/>
      <x:c r="L321" s="17" t="str">
        <x:v>GPT-3 175B (davinci-002)</x:v>
      </x:c>
      <x:c r="M321" s="17"/>
      <x:c r="N321" s="17" t="str">
        <x:v>GPT-3 175B (davinci)</x:v>
      </x:c>
      <x:c r="O321" s="17" t="str">
        <x:v>gpt-3-175b-davinci</x:v>
      </x:c>
      <x:c r="P321" s="17"/>
      <x:c r="Q321" s="17"/>
      <x:c r="R321" s="17"/>
      <x:c r="S321" s="17"/>
      <x:c r="T321" s="17"/>
      <x:c r="U321" s="17"/>
      <x:c r="V321" s="17"/>
      <x:c r="W321" s="17"/>
      <x:c r="X321" s="17"/>
      <x:c r="Y321" s="17"/>
      <x:c r="Z321" s="17"/>
    </x:row>
    <x:row r="322">
      <x:c r="A322" s="17" t="str">
        <x:v>GPT-2 (1.5B)</x:v>
      </x:c>
      <x:c r="B322" s="17" t="str">
        <x:v>gpt2-xl</x:v>
      </x:c>
      <x:c r="C322" s="17"/>
      <x:c r="D322" s="17" t="str">
        <x:v>OpenAI</x:v>
      </x:c>
      <x:c r="E322" s="17" t="str">
        <x:v>United States of America</x:v>
      </x:c>
      <x:c r="F322" s="17" t="n">
        <x:v>43774</x:v>
      </x:c>
      <x:c r="G322" s="17" t="str">
        <x:v>Open weights (unrestricted)</x:v>
      </x:c>
      <x:c r="H322" s="17" t="n">
        <x:v>43510</x:v>
      </x:c>
      <x:c r="I322" s="17" t="n">
        <x:v>1.920000000001e+21</x:v>
      </x:c>
      <x:c r="J322" s="17" t="str">
        <x:v>Speculative</x:v>
      </x:c>
      <x:c r="K322" s="17" t="str">
        <x:v>The largest version of GPT-2, OpenAI's second generation transformer-based large pretrained language model.</x:v>
      </x:c>
      <x:c r="L322" s="17"/>
      <x:c r="M322" s="17"/>
      <x:c r="N322" s="17" t="str">
        <x:v>GPT-2 (1.5B)</x:v>
      </x:c>
      <x:c r="O322" s="17" t="str">
        <x:v>gpt-2-1-5b</x:v>
      </x:c>
      <x:c r="P322" s="17"/>
      <x:c r="Q322" s="17"/>
      <x:c r="R322" s="17"/>
      <x:c r="S322" s="17"/>
      <x:c r="T322" s="17"/>
      <x:c r="U322" s="17"/>
      <x:c r="V322" s="17"/>
      <x:c r="W322" s="17"/>
      <x:c r="X322" s="17"/>
      <x:c r="Y322" s="17"/>
      <x:c r="Z322" s="17"/>
    </x:row>
    <x:row r="323">
      <x:c r="A323" s="17"/>
      <x:c r="B323" s="17" t="str">
        <x:v>ml-elephant</x:v>
      </x:c>
      <x:c r="C323" s="17" t="str">
        <x:v>Zoo Ml-Ephant</x:v>
      </x:c>
      <x:c r="D323" s="17"/>
      <x:c r="E323" s="17"/>
      <x:c r="F323" s="17"/>
      <x:c r="G323" s="17"/>
      <x:c r="H323" s="17"/>
      <x:c r="I323" s="17"/>
      <x:c r="J323" s="17" t="str">
        <x:v>Unverified</x:v>
      </x:c>
      <x:c r="K323" s="17"/>
      <x:c r="L323" s="17"/>
      <x:c r="M323" s="17"/>
      <x:c r="N323" s="17"/>
      <x:c r="O323" s="17" t="str">
        <x:v>ml-elephant</x:v>
      </x:c>
      <x:c r="P323" s="17"/>
      <x:c r="Q323" s="17"/>
      <x:c r="R323" s="17"/>
      <x:c r="S323" s="17"/>
      <x:c r="T323" s="17"/>
      <x:c r="U323" s="17"/>
      <x:c r="V323" s="17"/>
      <x:c r="W323" s="17"/>
      <x:c r="X323" s="17"/>
      <x:c r="Y323" s="17"/>
      <x:c r="Z323" s="17"/>
    </x:row>
    <x:row r="324">
      <x:c r="A324" s="17" t="str">
        <x:v>Claude Opus 4.8</x:v>
      </x:c>
      <x:c r="B324" s="17" t="str">
        <x:v>claude-opus-4-8_medium</x:v>
      </x:c>
      <x:c r="C324" s="17" t="str">
        <x:v>Claude Opus 4.8</x:v>
      </x:c>
      <x:c r="D324" s="17" t="str">
        <x:v>Anthropic</x:v>
      </x:c>
      <x:c r="E324" s="17" t="str">
        <x:v>United States of America</x:v>
      </x:c>
      <x:c r="F324" s="17" t="n">
        <x:v>46170</x:v>
      </x:c>
      <x:c r="G324" s="17" t="str">
        <x:v>API access</x:v>
      </x:c>
      <x:c r="H324" s="17" t="n">
        <x:v>46170</x:v>
      </x:c>
      <x:c r="I324" s="17"/>
      <x:c r="J324" s="17" t="str">
        <x:v>Unverified</x:v>
      </x:c>
      <x:c r="K324" s="17"/>
      <x:c r="L324" s="17" t="str">
        <x:v>Claude Opus 4.8 (medium)</x:v>
      </x:c>
      <x:c r="M324" s="17"/>
      <x:c r="N324" s="17" t="str">
        <x:v>Claude Opus 4.8</x:v>
      </x:c>
      <x:c r="O324" s="17" t="str">
        <x:v>claude-opus-4-8</x:v>
      </x:c>
      <x:c r="P324" s="17" t="n">
        <x:v>157.85</x:v>
      </x:c>
      <x:c r="Q324" s="17" t="n">
        <x:v>155.12</x:v>
      </x:c>
      <x:c r="R324" s="17" t="n">
        <x:v>160.58</x:v>
      </x:c>
      <x:c r="S324" s="17"/>
      <x:c r="T324" s="17"/>
      <x:c r="U324" s="17"/>
      <x:c r="V324" s="17"/>
      <x:c r="W324" s="17"/>
      <x:c r="X324" s="17"/>
      <x:c r="Y324" s="17"/>
      <x:c r="Z324" s="17"/>
    </x:row>
    <x:row r="325">
      <x:c r="A325" s="17" t="str">
        <x:v>Claude Opus 4.8</x:v>
      </x:c>
      <x:c r="B325" s="17" t="str">
        <x:v>claude-opus-4-8_low</x:v>
      </x:c>
      <x:c r="C325" s="17" t="str">
        <x:v>Claude Opus 4.8</x:v>
      </x:c>
      <x:c r="D325" s="17" t="str">
        <x:v>Anthropic</x:v>
      </x:c>
      <x:c r="E325" s="17" t="str">
        <x:v>United States of America</x:v>
      </x:c>
      <x:c r="F325" s="17" t="n">
        <x:v>46170</x:v>
      </x:c>
      <x:c r="G325" s="17" t="str">
        <x:v>API access</x:v>
      </x:c>
      <x:c r="H325" s="17" t="n">
        <x:v>46170</x:v>
      </x:c>
      <x:c r="I325" s="17"/>
      <x:c r="J325" s="17" t="str">
        <x:v>Unverified</x:v>
      </x:c>
      <x:c r="K325" s="17"/>
      <x:c r="L325" s="17" t="str">
        <x:v>Claude Opus 4.8 (low)</x:v>
      </x:c>
      <x:c r="M325" s="17"/>
      <x:c r="N325" s="17" t="str">
        <x:v>Claude Opus 4.8</x:v>
      </x:c>
      <x:c r="O325" s="17" t="str">
        <x:v>claude-opus-4-8</x:v>
      </x:c>
      <x:c r="P325" s="17" t="n">
        <x:v>157.85</x:v>
      </x:c>
      <x:c r="Q325" s="17" t="n">
        <x:v>155.12</x:v>
      </x:c>
      <x:c r="R325" s="17" t="n">
        <x:v>160.58</x:v>
      </x:c>
      <x:c r="S325" s="17"/>
      <x:c r="T325" s="17"/>
      <x:c r="U325" s="17"/>
      <x:c r="V325" s="17"/>
      <x:c r="W325" s="17"/>
      <x:c r="X325" s="17"/>
      <x:c r="Y325" s="17"/>
      <x:c r="Z325" s="17"/>
    </x:row>
    <x:row r="326">
      <x:c r="A326" s="17" t="str">
        <x:v>Claude Opus 4.7</x:v>
      </x:c>
      <x:c r="B326" s="17" t="str">
        <x:v>claude-opus-4-7_medium</x:v>
      </x:c>
      <x:c r="C326" s="17" t="str">
        <x:v>Claude Opus 4.7 (medium)</x:v>
      </x:c>
      <x:c r="D326" s="17" t="str">
        <x:v>Anthropic</x:v>
      </x:c>
      <x:c r="E326" s="17" t="str">
        <x:v>United States of America</x:v>
      </x:c>
      <x:c r="F326" s="17" t="n">
        <x:v>46128</x:v>
      </x:c>
      <x:c r="G326" s="17" t="str">
        <x:v>API access</x:v>
      </x:c>
      <x:c r="H326" s="17" t="n">
        <x:v>46128</x:v>
      </x:c>
      <x:c r="I326" s="17"/>
      <x:c r="J326" s="17" t="str">
        <x:v>Likely</x:v>
      </x:c>
      <x:c r="K326" s="17"/>
      <x:c r="L326" s="17" t="str">
        <x:v>Claude Opus 4.7 (medium)</x:v>
      </x:c>
      <x:c r="M326" s="17"/>
      <x:c r="N326" s="17" t="str">
        <x:v>Claude Opus 4.7</x:v>
      </x:c>
      <x:c r="O326" s="17" t="str">
        <x:v>claude-opus-4-7</x:v>
      </x:c>
      <x:c r="P326" s="17" t="n">
        <x:v>156.01</x:v>
      </x:c>
      <x:c r="Q326" s="17" t="n">
        <x:v>154.07</x:v>
      </x:c>
      <x:c r="R326" s="17" t="n">
        <x:v>158.4</x:v>
      </x:c>
      <x:c r="S326" s="17"/>
      <x:c r="T326" s="17"/>
      <x:c r="U326" s="17"/>
      <x:c r="V326" s="17"/>
      <x:c r="W326" s="17"/>
      <x:c r="X326" s="17"/>
      <x:c r="Y326" s="17"/>
      <x:c r="Z326" s="17"/>
    </x:row>
    <x:row r="327">
      <x:c r="A327" s="17" t="str">
        <x:v>Claude Sonnet 4.6</x:v>
      </x:c>
      <x:c r="B327" s="17" t="str">
        <x:v>claude-sonnet-4-6_max</x:v>
      </x:c>
      <x:c r="C327" s="17" t="str">
        <x:v>Claude Sonnet 4.6 (max)</x:v>
      </x:c>
      <x:c r="D327" s="17" t="str">
        <x:v>Anthropic</x:v>
      </x:c>
      <x:c r="E327" s="17" t="str">
        <x:v>United States of America</x:v>
      </x:c>
      <x:c r="F327" s="17" t="n">
        <x:v>46070</x:v>
      </x:c>
      <x:c r="G327" s="17" t="str">
        <x:v>API access</x:v>
      </x:c>
      <x:c r="H327" s="17" t="n">
        <x:v>46070</x:v>
      </x:c>
      <x:c r="I327" s="17"/>
      <x:c r="J327" s="17" t="str">
        <x:v>Likely</x:v>
      </x:c>
      <x:c r="K327" s="17"/>
      <x:c r="L327" s="17"/>
      <x:c r="M327" s="17"/>
      <x:c r="N327" s="17" t="str">
        <x:v>Claude Sonnet 4.6</x:v>
      </x:c>
      <x:c r="O327" s="17" t="str">
        <x:v>claude-sonnet-4-6</x:v>
      </x:c>
      <x:c r="P327" s="17" t="n">
        <x:v>153.18</x:v>
      </x:c>
      <x:c r="Q327" s="17" t="n">
        <x:v>149.67</x:v>
      </x:c>
      <x:c r="R327" s="17" t="n">
        <x:v>156.08</x:v>
      </x:c>
      <x:c r="S327" s="17"/>
      <x:c r="T327" s="17"/>
      <x:c r="U327" s="17"/>
      <x:c r="V327" s="17"/>
      <x:c r="W327" s="17"/>
      <x:c r="X327" s="17"/>
      <x:c r="Y327" s="17"/>
      <x:c r="Z327" s="17"/>
    </x:row>
    <x:row r="328">
      <x:c r="A328" s="17" t="str">
        <x:v>Claude Sonnet 4.6</x:v>
      </x:c>
      <x:c r="B328" s="17" t="str">
        <x:v>claude-sonnet-4-6_high</x:v>
      </x:c>
      <x:c r="C328" s="17" t="str">
        <x:v>Claude Sonnet 4.6 (high)</x:v>
      </x:c>
      <x:c r="D328" s="17" t="str">
        <x:v>Anthropic</x:v>
      </x:c>
      <x:c r="E328" s="17" t="str">
        <x:v>United States of America</x:v>
      </x:c>
      <x:c r="F328" s="17" t="n">
        <x:v>46070</x:v>
      </x:c>
      <x:c r="G328" s="17" t="str">
        <x:v>API access</x:v>
      </x:c>
      <x:c r="H328" s="17" t="n">
        <x:v>46070</x:v>
      </x:c>
      <x:c r="I328" s="17"/>
      <x:c r="J328" s="17" t="str">
        <x:v>Likely</x:v>
      </x:c>
      <x:c r="K328" s="17"/>
      <x:c r="L328" s="17"/>
      <x:c r="M328" s="17"/>
      <x:c r="N328" s="17" t="str">
        <x:v>Claude Sonnet 4.6</x:v>
      </x:c>
      <x:c r="O328" s="17" t="str">
        <x:v>claude-sonnet-4-6</x:v>
      </x:c>
      <x:c r="P328" s="17" t="n">
        <x:v>153.18</x:v>
      </x:c>
      <x:c r="Q328" s="17" t="n">
        <x:v>149.67</x:v>
      </x:c>
      <x:c r="R328" s="17" t="n">
        <x:v>156.08</x:v>
      </x:c>
      <x:c r="S328" s="17"/>
      <x:c r="T328" s="17"/>
      <x:c r="U328" s="17"/>
      <x:c r="V328" s="17"/>
      <x:c r="W328" s="17"/>
      <x:c r="X328" s="17"/>
      <x:c r="Y328" s="17"/>
      <x:c r="Z328" s="17"/>
    </x:row>
    <x:row r="329">
      <x:c r="A329" s="17" t="str">
        <x:v>Claude Opus 4.7</x:v>
      </x:c>
      <x:c r="B329" s="17" t="str">
        <x:v>claude-opus-4-7_low</x:v>
      </x:c>
      <x:c r="C329" s="17" t="str">
        <x:v>Claude Opus 4.7 (low)</x:v>
      </x:c>
      <x:c r="D329" s="17" t="str">
        <x:v>Anthropic</x:v>
      </x:c>
      <x:c r="E329" s="17" t="str">
        <x:v>United States of America</x:v>
      </x:c>
      <x:c r="F329" s="17" t="n">
        <x:v>46128</x:v>
      </x:c>
      <x:c r="G329" s="17" t="str">
        <x:v>API access</x:v>
      </x:c>
      <x:c r="H329" s="17" t="n">
        <x:v>46128</x:v>
      </x:c>
      <x:c r="I329" s="17"/>
      <x:c r="J329" s="17" t="str">
        <x:v>Likely</x:v>
      </x:c>
      <x:c r="K329" s="17"/>
      <x:c r="L329" s="17" t="str">
        <x:v>Claude Opus 4.7 (low)</x:v>
      </x:c>
      <x:c r="M329" s="17"/>
      <x:c r="N329" s="17" t="str">
        <x:v>Claude Opus 4.7</x:v>
      </x:c>
      <x:c r="O329" s="17" t="str">
        <x:v>claude-opus-4-7</x:v>
      </x:c>
      <x:c r="P329" s="17" t="n">
        <x:v>156.01</x:v>
      </x:c>
      <x:c r="Q329" s="17" t="n">
        <x:v>154.07</x:v>
      </x:c>
      <x:c r="R329" s="17" t="n">
        <x:v>158.4</x:v>
      </x:c>
      <x:c r="S329" s="17"/>
      <x:c r="T329" s="17"/>
      <x:c r="U329" s="17"/>
      <x:c r="V329" s="17"/>
      <x:c r="W329" s="17"/>
      <x:c r="X329" s="17"/>
      <x:c r="Y329" s="17"/>
      <x:c r="Z329" s="17"/>
    </x:row>
    <x:row r="330">
      <x:c r="A330" s="17" t="str">
        <x:v>GPT-5.4 Mini</x:v>
      </x:c>
      <x:c r="B330" s="17" t="str">
        <x:v>gpt-5.4-mini-2026-03-17_unknown</x:v>
      </x:c>
      <x:c r="C330" s="17" t="str">
        <x:v>GPT-5.4 mini (unknown thinking)</x:v>
      </x:c>
      <x:c r="D330" s="17" t="str">
        <x:v>OpenAI</x:v>
      </x:c>
      <x:c r="E330" s="17" t="str">
        <x:v>United States of America</x:v>
      </x:c>
      <x:c r="F330" s="17" t="n">
        <x:v>46098</x:v>
      </x:c>
      <x:c r="G330" s="17" t="str">
        <x:v>API access</x:v>
      </x:c>
      <x:c r="H330" s="17" t="n">
        <x:v>46098</x:v>
      </x:c>
      <x:c r="I330" s="17"/>
      <x:c r="J330" s="17" t="str">
        <x:v>Likely</x:v>
      </x:c>
      <x:c r="K330" s="17"/>
      <x:c r="L330" s="17" t="str">
        <x:v>GPT-5.4 mini (unknown thinking)</x:v>
      </x:c>
      <x:c r="M330" s="17"/>
      <x:c r="N330" s="17" t="str">
        <x:v>GPT-5.4 Mini</x:v>
      </x:c>
      <x:c r="O330" s="17" t="str">
        <x:v>gpt-5-4-mini</x:v>
      </x:c>
      <x:c r="P330" s="17" t="n">
        <x:v>148.9</x:v>
      </x:c>
      <x:c r="Q330" s="17" t="n">
        <x:v>147.11</x:v>
      </x:c>
      <x:c r="R330" s="17" t="n">
        <x:v>150.06</x:v>
      </x:c>
      <x:c r="S330" s="17"/>
      <x:c r="T330" s="17"/>
      <x:c r="U330" s="17"/>
      <x:c r="V330" s="17"/>
      <x:c r="W330" s="17"/>
      <x:c r="X330" s="17"/>
      <x:c r="Y330" s="17"/>
      <x:c r="Z330" s="17"/>
    </x:row>
    <x:row r="331">
      <x:c r="A331" s="17" t="str">
        <x:v>DeepSeek-R1 (May 2025)</x:v>
      </x:c>
      <x:c r="B331" s="17" t="str">
        <x:v>chutes/DeepSeek-R1-0528</x:v>
      </x:c>
      <x:c r="C331" s="17" t="str">
        <x:v>DeepSeek-R1 (May 2025)</x:v>
      </x:c>
      <x:c r="D331" s="17" t="str">
        <x:v>DeepSeek</x:v>
      </x:c>
      <x:c r="E331" s="17" t="str">
        <x:v>China</x:v>
      </x:c>
      <x:c r="F331" s="17" t="n">
        <x:v>45805</x:v>
      </x:c>
      <x:c r="G331" s="17" t="str">
        <x:v>Open weights (unrestricted)</x:v>
      </x:c>
      <x:c r="H331" s="17" t="n">
        <x:v>45805</x:v>
      </x:c>
      <x:c r="I331" s="17" t="n">
        <x:v>4.020010000000001e+24</x:v>
      </x:c>
      <x:c r="J331" s="17" t="str">
        <x:v>Confident</x:v>
      </x:c>
      <x:c r="K331" s="17"/>
      <x:c r="L331" s="17" t="str">
        <x:v>DeepSeek-R1 (May 2025) (Chutes)</x:v>
      </x:c>
      <x:c r="M331" s="17"/>
      <x:c r="N331" s="17" t="str">
        <x:v>DeepSeek-R1 (May 2025)</x:v>
      </x:c>
      <x:c r="O331" s="17" t="str">
        <x:v>deepseek-r1-may-2025</x:v>
      </x:c>
      <x:c r="P331" s="17" t="n">
        <x:v>142</x:v>
      </x:c>
      <x:c r="Q331" s="17" t="n">
        <x:v>139.66</x:v>
      </x:c>
      <x:c r="R331" s="17" t="n">
        <x:v>143.43</x:v>
      </x:c>
      <x:c r="S331" s="17"/>
      <x:c r="T331" s="17"/>
      <x:c r="U331" s="17"/>
      <x:c r="V331" s="17"/>
      <x:c r="W331" s="17"/>
      <x:c r="X331" s="17"/>
      <x:c r="Y331" s="17"/>
      <x:c r="Z331" s="17"/>
    </x:row>
    <x:row r="332">
      <x:c r="A332" s="17"/>
      <x:c r="B332" s="17" t="str">
        <x:v>chutes/GLM-4.5-FP8</x:v>
      </x:c>
      <x:c r="C332" s="17"/>
      <x:c r="D332" s="17"/>
      <x:c r="E332" s="17"/>
      <x:c r="F332" s="17" t="n">
        <x:v>45865</x:v>
      </x:c>
      <x:c r="G332" s="17"/>
      <x:c r="H332" s="17"/>
      <x:c r="I332" s="17"/>
      <x:c r="J332" s="17" t="str">
        <x:v>Unverified</x:v>
      </x:c>
      <x:c r="K332" s="17"/>
      <x:c r="L332" s="17"/>
      <x:c r="M332" s="17"/>
      <x:c r="N332" s="17"/>
      <x:c r="O332" s="17" t="str">
        <x:v>chutes-glm-4-5-fp8</x:v>
      </x:c>
      <x:c r="P332" s="17"/>
      <x:c r="Q332" s="17"/>
      <x:c r="R332" s="17"/>
      <x:c r="S332" s="17"/>
      <x:c r="T332" s="17"/>
      <x:c r="U332" s="17"/>
      <x:c r="V332" s="17"/>
      <x:c r="W332" s="17"/>
      <x:c r="X332" s="17"/>
      <x:c r="Y332" s="17"/>
      <x:c r="Z332" s="17"/>
    </x:row>
    <x:row r="333">
      <x:c r="A333" s="17" t="str">
        <x:v>gpt-oss-120b</x:v>
      </x:c>
      <x:c r="B333" s="17" t="str">
        <x:v>chutes/gpt-oss-120b</x:v>
      </x:c>
      <x:c r="C333" s="17"/>
      <x:c r="D333" s="17" t="str">
        <x:v>OpenAI</x:v>
      </x:c>
      <x:c r="E333" s="17" t="str">
        <x:v>United States of America</x:v>
      </x:c>
      <x:c r="F333" s="17" t="n">
        <x:v>45874</x:v>
      </x:c>
      <x:c r="G333" s="17" t="str">
        <x:v>Open weights (unrestricted)</x:v>
      </x:c>
      <x:c r="H333" s="17" t="n">
        <x:v>45874</x:v>
      </x:c>
      <x:c r="I333" s="17" t="n">
        <x:v>4.94e+24</x:v>
      </x:c>
      <x:c r="J333" s="17" t="str">
        <x:v>Confident</x:v>
      </x:c>
      <x:c r="K333" s="17"/>
      <x:c r="L333" s="17" t="str">
        <x:v>gpt-oss-120b (Chutes)</x:v>
      </x:c>
      <x:c r="M333" s="17"/>
      <x:c r="N333" s="17" t="str">
        <x:v>gpt-oss-120b</x:v>
      </x:c>
      <x:c r="O333" s="17" t="str">
        <x:v>gpt-oss-120b</x:v>
      </x:c>
      <x:c r="P333" s="17" t="n">
        <x:v>140.57</x:v>
      </x:c>
      <x:c r="Q333" s="17" t="n">
        <x:v>136.18</x:v>
      </x:c>
      <x:c r="R333" s="17" t="n">
        <x:v>143.08</x:v>
      </x:c>
      <x:c r="S333" s="17"/>
      <x:c r="T333" s="17"/>
      <x:c r="U333" s="17"/>
      <x:c r="V333" s="17"/>
      <x:c r="W333" s="17"/>
      <x:c r="X333" s="17"/>
      <x:c r="Y333" s="17"/>
      <x:c r="Z333" s="17"/>
    </x:row>
    <x:row r="334">
      <x:c r="A334" s="17" t="str">
        <x:v>gpt-oss-120b</x:v>
      </x:c>
      <x:c r="B334" s="17" t="str">
        <x:v>chutes/gpt-oss-120b_high</x:v>
      </x:c>
      <x:c r="C334" s="17"/>
      <x:c r="D334" s="17" t="str">
        <x:v>OpenAI</x:v>
      </x:c>
      <x:c r="E334" s="17" t="str">
        <x:v>United States of America</x:v>
      </x:c>
      <x:c r="F334" s="17" t="n">
        <x:v>45874</x:v>
      </x:c>
      <x:c r="G334" s="17" t="str">
        <x:v>Open weights (unrestricted)</x:v>
      </x:c>
      <x:c r="H334" s="17" t="n">
        <x:v>45874</x:v>
      </x:c>
      <x:c r="I334" s="17" t="n">
        <x:v>4.94e+24</x:v>
      </x:c>
      <x:c r="J334" s="17" t="str">
        <x:v>Confident</x:v>
      </x:c>
      <x:c r="K334" s="17"/>
      <x:c r="L334" s="17" t="str">
        <x:v>gpt-oss-120b (high) (Chutes)</x:v>
      </x:c>
      <x:c r="M334" s="17"/>
      <x:c r="N334" s="17" t="str">
        <x:v>gpt-oss-120b</x:v>
      </x:c>
      <x:c r="O334" s="17" t="str">
        <x:v>gpt-oss-120b</x:v>
      </x:c>
      <x:c r="P334" s="17" t="n">
        <x:v>140.57</x:v>
      </x:c>
      <x:c r="Q334" s="17" t="n">
        <x:v>136.18</x:v>
      </x:c>
      <x:c r="R334" s="17" t="n">
        <x:v>143.08</x:v>
      </x:c>
      <x:c r="S334" s="17"/>
      <x:c r="T334" s="17"/>
      <x:c r="U334" s="17"/>
      <x:c r="V334" s="17"/>
      <x:c r="W334" s="17"/>
      <x:c r="X334" s="17"/>
      <x:c r="Y334" s="17"/>
      <x:c r="Z334" s="17"/>
    </x:row>
    <x:row r="335">
      <x:c r="A335" s="17" t="str">
        <x:v>Llama 4 Maverick</x:v>
      </x:c>
      <x:c r="B335" s="17" t="str">
        <x:v>chutes/Llama-4-Maverick-17B-128E-Instruct</x:v>
      </x:c>
      <x:c r="C335" s="17"/>
      <x:c r="D335" s="17" t="str">
        <x:v>Meta AI</x:v>
      </x:c>
      <x:c r="E335" s="17" t="str">
        <x:v>United States of America</x:v>
      </x:c>
      <x:c r="F335" s="17" t="n">
        <x:v>45753</x:v>
      </x:c>
      <x:c r="G335" s="17" t="str">
        <x:v>Open weights (restricted use)</x:v>
      </x:c>
      <x:c r="H335" s="17" t="n">
        <x:v>45752</x:v>
      </x:c>
      <x:c r="I335" s="17" t="n">
        <x:v>2.244000000001e+24</x:v>
      </x:c>
      <x:c r="J335" s="17" t="str">
        <x:v>Likely</x:v>
      </x:c>
      <x:c r="K335" s="17"/>
      <x:c r="L335" s="17" t="str">
        <x:v>Llama 4 Maverick (128 experts) (Chutes)</x:v>
      </x:c>
      <x:c r="M335" s="17"/>
      <x:c r="N335" s="17" t="str">
        <x:v>Llama 4 Maverick</x:v>
      </x:c>
      <x:c r="O335" s="17" t="str">
        <x:v>llama-4-maverick</x:v>
      </x:c>
      <x:c r="P335" s="17" t="n">
        <x:v>133.04</x:v>
      </x:c>
      <x:c r="Q335" s="17" t="n">
        <x:v>128.11</x:v>
      </x:c>
      <x:c r="R335" s="17" t="n">
        <x:v>135.12</x:v>
      </x:c>
      <x:c r="S335" s="17"/>
      <x:c r="T335" s="17"/>
      <x:c r="U335" s="17"/>
      <x:c r="V335" s="17"/>
      <x:c r="W335" s="17"/>
      <x:c r="X335" s="17"/>
      <x:c r="Y335" s="17"/>
      <x:c r="Z335" s="17"/>
    </x:row>
    <x:row r="336">
      <x:c r="A336" s="17" t="str">
        <x:v>Qwen3-8B</x:v>
      </x:c>
      <x:c r="B336" s="17" t="str">
        <x:v>chutes/Qwen3-8B</x:v>
      </x:c>
      <x:c r="C336" s="17"/>
      <x:c r="D336" s="17" t="str">
        <x:v>Alibaba</x:v>
      </x:c>
      <x:c r="E336" s="17" t="str">
        <x:v>China</x:v>
      </x:c>
      <x:c r="F336" s="17" t="n">
        <x:v>45775</x:v>
      </x:c>
      <x:c r="G336" s="17" t="str">
        <x:v>Open weights (unrestricted)</x:v>
      </x:c>
      <x:c r="H336" s="17" t="n">
        <x:v>45776</x:v>
      </x:c>
      <x:c r="I336" s="17" t="n">
        <x:v>1.7712e+24</x:v>
      </x:c>
      <x:c r="J336" s="17" t="str">
        <x:v>Confident</x:v>
      </x:c>
      <x:c r="K336" s="17"/>
      <x:c r="L336" s="17" t="str">
        <x:v>Qwen3 8B (Chutes)</x:v>
      </x:c>
      <x:c r="M336" s="17"/>
      <x:c r="N336" s="17" t="str">
        <x:v>Qwen3-8B</x:v>
      </x:c>
      <x:c r="O336" s="17" t="str">
        <x:v>qwen3-8b</x:v>
      </x:c>
      <x:c r="P336" s="17"/>
      <x:c r="Q336" s="17"/>
      <x:c r="R336" s="17"/>
      <x:c r="S336" s="17"/>
      <x:c r="T336" s="17"/>
      <x:c r="U336" s="17"/>
      <x:c r="V336" s="17"/>
      <x:c r="W336" s="17"/>
      <x:c r="X336" s="17"/>
      <x:c r="Y336" s="17"/>
      <x:c r="Z336" s="17"/>
    </x:row>
    <x:row r="337">
      <x:c r="A337" s="17" t="str">
        <x:v>Qwen3-235B-A22B</x:v>
      </x:c>
      <x:c r="B337" s="17" t="str">
        <x:v>chutes/Qwen3-235B-A22B</x:v>
      </x:c>
      <x:c r="C337" s="17"/>
      <x:c r="D337" s="17" t="str">
        <x:v>Alibaba</x:v>
      </x:c>
      <x:c r="E337" s="17" t="str">
        <x:v>China</x:v>
      </x:c>
      <x:c r="F337" s="17" t="n">
        <x:v>45775</x:v>
      </x:c>
      <x:c r="G337" s="17" t="str">
        <x:v>Open weights (unrestricted)</x:v>
      </x:c>
      <x:c r="H337" s="17" t="n">
        <x:v>45776</x:v>
      </x:c>
      <x:c r="I337" s="17" t="n">
        <x:v>4.752e+24</x:v>
      </x:c>
      <x:c r="J337" s="17" t="str">
        <x:v>Likely</x:v>
      </x:c>
      <x:c r="K337" s="17"/>
      <x:c r="L337" s="17" t="str">
        <x:v>Qwen3 (Apr 2025) (Chutes)</x:v>
      </x:c>
      <x:c r="M337" s="17"/>
      <x:c r="N337" s="17" t="str">
        <x:v>Qwen3-235B-A22B</x:v>
      </x:c>
      <x:c r="O337" s="17" t="str">
        <x:v>qwen3-235b-a22b</x:v>
      </x:c>
      <x:c r="P337" s="17" t="n">
        <x:v>139.58</x:v>
      </x:c>
      <x:c r="Q337" s="17" t="n">
        <x:v>134.79</x:v>
      </x:c>
      <x:c r="R337" s="17" t="n">
        <x:v>141.08</x:v>
      </x:c>
      <x:c r="S337" s="17"/>
      <x:c r="T337" s="17"/>
      <x:c r="U337" s="17"/>
      <x:c r="V337" s="17"/>
      <x:c r="W337" s="17"/>
      <x:c r="X337" s="17"/>
      <x:c r="Y337" s="17"/>
      <x:c r="Z337" s="17"/>
    </x:row>
    <x:row r="338">
      <x:c r="A338" s="17" t="str">
        <x:v>Qwen3-235B-A22B (Jul 2025)</x:v>
      </x:c>
      <x:c r="B338" s="17" t="str">
        <x:v>chutes/Qwen3-235B-A22B-Thinking-2507</x:v>
      </x:c>
      <x:c r="C338" s="17"/>
      <x:c r="D338" s="17" t="str">
        <x:v>Alibaba</x:v>
      </x:c>
      <x:c r="E338" s="17" t="str">
        <x:v>China</x:v>
      </x:c>
      <x:c r="F338" s="17" t="n">
        <x:v>45863</x:v>
      </x:c>
      <x:c r="G338" s="17" t="str">
        <x:v>Open weights (unrestricted)</x:v>
      </x:c>
      <x:c r="H338" s="17" t="n">
        <x:v>45863</x:v>
      </x:c>
      <x:c r="I338" s="17" t="n">
        <x:v>4.752e+24</x:v>
      </x:c>
      <x:c r="J338" s="17" t="str">
        <x:v>Likely</x:v>
      </x:c>
      <x:c r="K338" s="17"/>
      <x:c r="L338" s="17" t="str">
        <x:v>Qwen3 (Jul 2025) (Chutes)</x:v>
      </x:c>
      <x:c r="M338" s="17" t="str">
        <x:v>Qwen3-235B-A22B-Thinking (Jul 2025)</x:v>
      </x:c>
      <x:c r="N338" s="17" t="str">
        <x:v>Qwen3-235B-A22B-Thinking (Jul 2025)</x:v>
      </x:c>
      <x:c r="O338" s="17" t="str">
        <x:v>qwen3-235b-a22b-thinking-jul-2025</x:v>
      </x:c>
      <x:c r="P338" s="17" t="n">
        <x:v>144.78</x:v>
      </x:c>
      <x:c r="Q338" s="17" t="n">
        <x:v>142.35</x:v>
      </x:c>
      <x:c r="R338" s="17" t="n">
        <x:v>147.4</x:v>
      </x:c>
      <x:c r="S338" s="17"/>
      <x:c r="T338" s="17"/>
      <x:c r="U338" s="17"/>
      <x:c r="V338" s="17"/>
      <x:c r="W338" s="17"/>
      <x:c r="X338" s="17"/>
      <x:c r="Y338" s="17"/>
      <x:c r="Z338" s="17"/>
    </x:row>
    <x:row r="339">
      <x:c r="A339" s="17" t="str">
        <x:v>QwQ-32B</x:v>
      </x:c>
      <x:c r="B339" s="17" t="str">
        <x:v>chutes/QwQ-32B</x:v>
      </x:c>
      <x:c r="C339" s="17"/>
      <x:c r="D339" s="17" t="str">
        <x:v>Alibaba</x:v>
      </x:c>
      <x:c r="E339" s="17" t="str">
        <x:v>China</x:v>
      </x:c>
      <x:c r="F339" s="17" t="n">
        <x:v>45721</x:v>
      </x:c>
      <x:c r="G339" s="17" t="str">
        <x:v>Open weights (unrestricted)</x:v>
      </x:c>
      <x:c r="H339" s="17" t="n">
        <x:v>45722</x:v>
      </x:c>
      <x:c r="I339" s="17" t="n">
        <x:v>3.51e+24</x:v>
      </x:c>
      <x:c r="J339" s="17" t="str">
        <x:v>Speculative</x:v>
      </x:c>
      <x:c r="K339" s="17"/>
      <x:c r="L339" s="17" t="str">
        <x:v>QwQ 32B (Chutes)</x:v>
      </x:c>
      <x:c r="M339" s="17" t="str">
        <x:v>QwQ-32B</x:v>
      </x:c>
      <x:c r="N339" s="17" t="str">
        <x:v>QwQ-32B</x:v>
      </x:c>
      <x:c r="O339" s="17" t="str">
        <x:v>qwq-32b</x:v>
      </x:c>
      <x:c r="P339" s="17"/>
      <x:c r="Q339" s="17"/>
      <x:c r="R339" s="17"/>
      <x:c r="S339" s="17"/>
      <x:c r="T339" s="17"/>
      <x:c r="U339" s="17"/>
      <x:c r="V339" s="17"/>
      <x:c r="W339" s="17"/>
      <x:c r="X339" s="17"/>
      <x:c r="Y339" s="17"/>
      <x:c r="Z339" s="17"/>
    </x:row>
    <x:row r="340">
      <x:c r="A340" s="17" t="str">
        <x:v>Claude 3.7 Sonnet</x:v>
      </x:c>
      <x:c r="B340" s="17" t="str">
        <x:v>claude-3-7-sonnet-20250219_8K</x:v>
      </x:c>
      <x:c r="C340" s="17" t="str">
        <x:v>Claude 3.7 Sonnet (8k thinking)</x:v>
      </x:c>
      <x:c r="D340" s="17" t="str">
        <x:v>Anthropic</x:v>
      </x:c>
      <x:c r="E340" s="17" t="str">
        <x:v>United States of America</x:v>
      </x:c>
      <x:c r="F340" s="17" t="n">
        <x:v>45712</x:v>
      </x:c>
      <x:c r="G340" s="17" t="str">
        <x:v>API access</x:v>
      </x:c>
      <x:c r="H340" s="17" t="n">
        <x:v>45712</x:v>
      </x:c>
      <x:c r="I340" s="17" t="n">
        <x:v>3.3499999999999998e+25</x:v>
      </x:c>
      <x:c r="J340" s="17" t="str">
        <x:v>Likely</x:v>
      </x:c>
      <x:c r="K340" s="17" t="str">
        <x:v>A previous flagship reasoning model from Anthropic, benchmarked with up to 9,000 reasoning tokens allowed.</x:v>
      </x:c>
      <x:c r="L340" s="17" t="str">
        <x:v>Claude 3.7 Sonnet (8k thinking)</x:v>
      </x:c>
      <x:c r="M340" s="17"/>
      <x:c r="N340" s="17" t="str">
        <x:v>Claude 3.7 Sonnet</x:v>
      </x:c>
      <x:c r="O340" s="17" t="str">
        <x:v>claude-3-7-sonnet</x:v>
      </x:c>
      <x:c r="P340" s="17" t="n">
        <x:v>141.7</x:v>
      </x:c>
      <x:c r="Q340" s="17" t="n">
        <x:v>139.28</x:v>
      </x:c>
      <x:c r="R340" s="17" t="n">
        <x:v>143.27</x:v>
      </x:c>
      <x:c r="S340" s="17"/>
      <x:c r="T340" s="17"/>
      <x:c r="U340" s="17"/>
      <x:c r="V340" s="17"/>
      <x:c r="W340" s="17"/>
      <x:c r="X340" s="17"/>
      <x:c r="Y340" s="17"/>
      <x:c r="Z340" s="17"/>
    </x:row>
    <x:row r="341">
      <x:c r="A341" s="17"/>
      <x:c r="B341" s="17" t="str">
        <x:v>deepinfra/Qwen3-Next-80B-A3B-Instruct</x:v>
      </x:c>
      <x:c r="C341" s="17"/>
      <x:c r="D341" s="17"/>
      <x:c r="E341" s="17"/>
      <x:c r="F341" s="17" t="n">
        <x:v>45911</x:v>
      </x:c>
      <x:c r="G341" s="17"/>
      <x:c r="H341" s="17"/>
      <x:c r="I341" s="17"/>
      <x:c r="J341" s="17" t="str">
        <x:v>Unverified</x:v>
      </x:c>
      <x:c r="K341" s="17"/>
      <x:c r="L341" s="17"/>
      <x:c r="M341" s="17"/>
      <x:c r="N341" s="17"/>
      <x:c r="O341" s="17" t="str">
        <x:v>deepinfra-qwen3-next-80b-a3b-instruct</x:v>
      </x:c>
      <x:c r="P341" s="17"/>
      <x:c r="Q341" s="17"/>
      <x:c r="R341" s="17"/>
      <x:c r="S341" s="17"/>
      <x:c r="T341" s="17"/>
      <x:c r="U341" s="17"/>
      <x:c r="V341" s="17"/>
      <x:c r="W341" s="17"/>
      <x:c r="X341" s="17"/>
      <x:c r="Y341" s="17"/>
      <x:c r="Z341" s="17"/>
    </x:row>
    <x:row r="342">
      <x:c r="A342" s="17" t="str">
        <x:v>DeepSeek-V3.2-Exp</x:v>
      </x:c>
      <x:c r="B342" s="17" t="str">
        <x:v>DeepSeek-V3.2-Exp_high</x:v>
      </x:c>
      <x:c r="C342" s="17"/>
      <x:c r="D342" s="17" t="str">
        <x:v>DeepSeek</x:v>
      </x:c>
      <x:c r="E342" s="17" t="str">
        <x:v>China</x:v>
      </x:c>
      <x:c r="F342" s="17" t="n">
        <x:v>45929</x:v>
      </x:c>
      <x:c r="G342" s="17" t="str">
        <x:v>Open weights (unrestricted)</x:v>
      </x:c>
      <x:c r="H342" s="17" t="n">
        <x:v>45929</x:v>
      </x:c>
      <x:c r="I342" s="17" t="n">
        <x:v>4.18e+24</x:v>
      </x:c>
      <x:c r="J342" s="17" t="str">
        <x:v>Confident</x:v>
      </x:c>
      <x:c r="K342" s="17"/>
      <x:c r="L342" s="17"/>
      <x:c r="M342" s="17"/>
      <x:c r="N342" s="17" t="str">
        <x:v>DeepSeek-V3.2-Exp</x:v>
      </x:c>
      <x:c r="O342" s="17" t="str">
        <x:v>deepseek-v3-2-exp</x:v>
      </x:c>
      <x:c r="P342" s="17" t="n">
        <x:v>144.86</x:v>
      </x:c>
      <x:c r="Q342" s="17" t="n">
        <x:v>141.79</x:v>
      </x:c>
      <x:c r="R342" s="17" t="n">
        <x:v>146.71</x:v>
      </x:c>
      <x:c r="S342" s="17"/>
      <x:c r="T342" s="17"/>
      <x:c r="U342" s="17"/>
      <x:c r="V342" s="17"/>
      <x:c r="W342" s="17"/>
      <x:c r="X342" s="17"/>
      <x:c r="Y342" s="17"/>
      <x:c r="Z342" s="17"/>
    </x:row>
    <x:row r="343">
      <x:c r="A343" s="17" t="str">
        <x:v>Grok 4 Fast</x:v>
      </x:c>
      <x:c r="B343" s="17" t="str">
        <x:v>grok-4-fast</x:v>
      </x:c>
      <x:c r="C343" s="17"/>
      <x:c r="D343" s="17" t="str">
        <x:v>xAI</x:v>
      </x:c>
      <x:c r="E343" s="17" t="str">
        <x:v>United States of America</x:v>
      </x:c>
      <x:c r="F343" s="17" t="n">
        <x:v>45919</x:v>
      </x:c>
      <x:c r="G343" s="17" t="str">
        <x:v>API access</x:v>
      </x:c>
      <x:c r="H343" s="17" t="n">
        <x:v>45919</x:v>
      </x:c>
      <x:c r="I343" s="17"/>
      <x:c r="J343" s="17" t="str">
        <x:v>Unknown</x:v>
      </x:c>
      <x:c r="K343" s="17"/>
      <x:c r="L343" s="17" t="str">
        <x:v>Grok 4 Fast</x:v>
      </x:c>
      <x:c r="M343" s="17"/>
      <x:c r="N343" s="17" t="str">
        <x:v>Grok 4 Fast</x:v>
      </x:c>
      <x:c r="O343" s="17" t="str">
        <x:v>grok-4-fast</x:v>
      </x:c>
      <x:c r="P343" s="17" t="n">
        <x:v>144.62</x:v>
      </x:c>
      <x:c r="Q343" s="17" t="n">
        <x:v>141.49</x:v>
      </x:c>
      <x:c r="R343" s="17" t="n">
        <x:v>147.06</x:v>
      </x:c>
      <x:c r="S343" s="17"/>
      <x:c r="T343" s="17"/>
      <x:c r="U343" s="17"/>
      <x:c r="V343" s="17"/>
      <x:c r="W343" s="17"/>
      <x:c r="X343" s="17"/>
      <x:c r="Y343" s="17"/>
      <x:c r="Z343" s="17"/>
    </x:row>
    <x:row r="344">
      <x:c r="A344" s="17" t="str">
        <x:v>o3-pro</x:v>
      </x:c>
      <x:c r="B344" s="17" t="str">
        <x:v>o3-pro-2025-06-10_medium</x:v>
      </x:c>
      <x:c r="C344" s="17"/>
      <x:c r="D344" s="17" t="str">
        <x:v>OpenAI</x:v>
      </x:c>
      <x:c r="E344" s="17" t="str">
        <x:v>United States of America</x:v>
      </x:c>
      <x:c r="F344" s="17" t="n">
        <x:v>45818</x:v>
      </x:c>
      <x:c r="G344" s="17"/>
      <x:c r="H344" s="17" t="n">
        <x:v>45818</x:v>
      </x:c>
      <x:c r="I344" s="17"/>
      <x:c r="J344" s="17" t="str">
        <x:v>Unknown</x:v>
      </x:c>
      <x:c r="K344" s="17" t="str">
        <x:v>An enhanced version of OpenAI's previous flagship reasoning model o3, evaluated with medium reasoning effort.</x:v>
      </x:c>
      <x:c r="L344" s="17"/>
      <x:c r="M344" s="17"/>
      <x:c r="N344" s="17" t="str">
        <x:v>o3-pro</x:v>
      </x:c>
      <x:c r="O344" s="17" t="str">
        <x:v>o3-pro</x:v>
      </x:c>
      <x:c r="P344" s="17" t="n">
        <x:v>147.92</x:v>
      </x:c>
      <x:c r="Q344" s="17" t="n">
        <x:v>146.24</x:v>
      </x:c>
      <x:c r="R344" s="17" t="n">
        <x:v>150.45</x:v>
      </x:c>
      <x:c r="S344" s="17"/>
      <x:c r="T344" s="17"/>
      <x:c r="U344" s="17"/>
      <x:c r="V344" s="17"/>
      <x:c r="W344" s="17"/>
      <x:c r="X344" s="17"/>
      <x:c r="Y344" s="17"/>
      <x:c r="Z344" s="17"/>
    </x:row>
    <x:row r="345">
      <x:c r="A345" s="17" t="str">
        <x:v>GPT-4o</x:v>
      </x:c>
      <x:c r="B345" s="17" t="str">
        <x:v>chatgpt-4o-01-29-2025</x:v>
      </x:c>
      <x:c r="C345" s="17"/>
      <x:c r="D345" s="17" t="str">
        <x:v>OpenAI</x:v>
      </x:c>
      <x:c r="E345" s="17" t="str">
        <x:v>United States of America</x:v>
      </x:c>
      <x:c r="F345" s="17" t="n">
        <x:v>45686</x:v>
      </x:c>
      <x:c r="G345" s="17" t="str">
        <x:v>API access</x:v>
      </x:c>
      <x:c r="H345" s="17" t="n">
        <x:v>45425</x:v>
      </x:c>
      <x:c r="I345" s="17"/>
      <x:c r="J345" s="17" t="str">
        <x:v>Speculative</x:v>
      </x:c>
      <x:c r="K345" s="17" t="str">
        <x:v>A version of GPT-4o that was behind the ChatGPT interface, released in January 2025.</x:v>
      </x:c>
      <x:c r="L345" s="17" t="str">
        <x:v>ChatGPT-4o (Jan 2025)</x:v>
      </x:c>
      <x:c r="M345" s="17" t="str">
        <x:v>GPT-4o (Jan 2025)</x:v>
      </x:c>
      <x:c r="N345" s="17" t="str">
        <x:v>GPT-4o (Jan 2025)</x:v>
      </x:c>
      <x:c r="O345" s="17" t="str">
        <x:v>gpt-4o-jan-2025</x:v>
      </x:c>
      <x:c r="P345" s="17"/>
      <x:c r="Q345" s="17"/>
      <x:c r="R345" s="17"/>
      <x:c r="S345" s="17"/>
      <x:c r="T345" s="17"/>
      <x:c r="U345" s="17"/>
      <x:c r="V345" s="17"/>
      <x:c r="W345" s="17"/>
      <x:c r="X345" s="17"/>
      <x:c r="Y345" s="17"/>
      <x:c r="Z345" s="17"/>
    </x:row>
    <x:row r="346">
      <x:c r="A346" s="17" t="str">
        <x:v>DeepSeek-V3 (Mar 2025)</x:v>
      </x:c>
      <x:c r="B346" s="17" t="str">
        <x:v>chutes/DeepSeek-V3-0324</x:v>
      </x:c>
      <x:c r="C346" s="17" t="str">
        <x:v>DeepSeek-V3 (Mar 2025)</x:v>
      </x:c>
      <x:c r="D346" s="17" t="str">
        <x:v>DeepSeek</x:v>
      </x:c>
      <x:c r="E346" s="17" t="str">
        <x:v>China</x:v>
      </x:c>
      <x:c r="F346" s="17" t="n">
        <x:v>45740</x:v>
      </x:c>
      <x:c r="G346" s="17" t="str">
        <x:v>Open weights (restricted use)</x:v>
      </x:c>
      <x:c r="H346" s="17" t="n">
        <x:v>45740</x:v>
      </x:c>
      <x:c r="I346" s="17" t="n">
        <x:v>3.3e+24</x:v>
      </x:c>
      <x:c r="J346" s="17" t="str">
        <x:v>Confident</x:v>
      </x:c>
      <x:c r="K346" s="17"/>
      <x:c r="L346" s="17" t="str">
        <x:v>DeepSeek-V3 (Mar 2025) (Chutes)</x:v>
      </x:c>
      <x:c r="M346" s="17"/>
      <x:c r="N346" s="17" t="str">
        <x:v>DeepSeek-V3 (Mar 2025)</x:v>
      </x:c>
      <x:c r="O346" s="17" t="str">
        <x:v>deepseek-v3-mar-2025</x:v>
      </x:c>
      <x:c r="P346" s="17" t="n">
        <x:v>137.04</x:v>
      </x:c>
      <x:c r="Q346" s="17" t="n">
        <x:v>133.64</x:v>
      </x:c>
      <x:c r="R346" s="17" t="n">
        <x:v>138.66</x:v>
      </x:c>
      <x:c r="S346" s="17"/>
      <x:c r="T346" s="17"/>
      <x:c r="U346" s="17"/>
      <x:c r="V346" s="17"/>
      <x:c r="W346" s="17"/>
      <x:c r="X346" s="17"/>
      <x:c r="Y346" s="17"/>
      <x:c r="Z346" s="17"/>
    </x:row>
    <x:row r="347">
      <x:c r="A347" s="17" t="str">
        <x:v>Gemma 3 27B</x:v>
      </x:c>
      <x:c r="B347" s="17" t="str">
        <x:v>chutes/Gemma-3-27b-It</x:v>
      </x:c>
      <x:c r="C347" s="17"/>
      <x:c r="D347" s="17" t="str">
        <x:v>Google DeepMind</x:v>
      </x:c>
      <x:c r="E347" s="17" t="str">
        <x:v>United States of America</x:v>
      </x:c>
      <x:c r="F347" s="17" t="n">
        <x:v>45727</x:v>
      </x:c>
      <x:c r="G347" s="17" t="str">
        <x:v>Open weights (restricted use)</x:v>
      </x:c>
      <x:c r="H347" s="17" t="n">
        <x:v>45728</x:v>
      </x:c>
      <x:c r="I347" s="17" t="n">
        <x:v>2.268e+24</x:v>
      </x:c>
      <x:c r="J347" s="17" t="str">
        <x:v>Confident</x:v>
      </x:c>
      <x:c r="K347" s="17"/>
      <x:c r="L347" s="17" t="str">
        <x:v>Gemma-3-27b-it (Chutes)</x:v>
      </x:c>
      <x:c r="M347" s="17"/>
      <x:c r="N347" s="17" t="str">
        <x:v>Gemma 3 27B</x:v>
      </x:c>
      <x:c r="O347" s="17" t="str">
        <x:v>gemma-3-27b</x:v>
      </x:c>
      <x:c r="P347" s="17" t="n">
        <x:v>131.08</x:v>
      </x:c>
      <x:c r="Q347" s="17" t="n">
        <x:v>124.84</x:v>
      </x:c>
      <x:c r="R347" s="17" t="n">
        <x:v>133.28</x:v>
      </x:c>
      <x:c r="S347" s="17"/>
      <x:c r="T347" s="17"/>
      <x:c r="U347" s="17"/>
      <x:c r="V347" s="17"/>
      <x:c r="W347" s="17"/>
      <x:c r="X347" s="17"/>
      <x:c r="Y347" s="17"/>
      <x:c r="Z347" s="17"/>
    </x:row>
    <x:row r="348">
      <x:c r="A348" s="17" t="str">
        <x:v>DeepSeek-V3.1</x:v>
      </x:c>
      <x:c r="B348" s="17" t="str">
        <x:v>DeepSeek-V3.1</x:v>
      </x:c>
      <x:c r="C348" s="17"/>
      <x:c r="D348" s="17" t="str">
        <x:v>DeepSeek</x:v>
      </x:c>
      <x:c r="E348" s="17" t="str">
        <x:v>China</x:v>
      </x:c>
      <x:c r="F348" s="17" t="n">
        <x:v>45890</x:v>
      </x:c>
      <x:c r="G348" s="17" t="str">
        <x:v>Open weights (unrestricted)</x:v>
      </x:c>
      <x:c r="H348" s="17" t="n">
        <x:v>45890</x:v>
      </x:c>
      <x:c r="I348" s="17" t="n">
        <x:v>3.594058e+24</x:v>
      </x:c>
      <x:c r="J348" s="17" t="str">
        <x:v>Confident</x:v>
      </x:c>
      <x:c r="K348" s="17" t="str">
        <x:v>An updated version of DeepSeek V3.</x:v>
      </x:c>
      <x:c r="L348" s="17" t="str">
        <x:v>DeepSeek-V3.1</x:v>
      </x:c>
      <x:c r="M348" s="17"/>
      <x:c r="N348" s="17" t="str">
        <x:v>DeepSeek-V3.1</x:v>
      </x:c>
      <x:c r="O348" s="17" t="str">
        <x:v>deepseek-v3-1</x:v>
      </x:c>
      <x:c r="P348" s="17" t="n">
        <x:v>138.68</x:v>
      </x:c>
      <x:c r="Q348" s="17" t="n">
        <x:v>135.73</x:v>
      </x:c>
      <x:c r="R348" s="17" t="n">
        <x:v>142.57</x:v>
      </x:c>
      <x:c r="S348" s="17"/>
      <x:c r="T348" s="17"/>
      <x:c r="U348" s="17"/>
      <x:c r="V348" s="17"/>
      <x:c r="W348" s="17"/>
      <x:c r="X348" s="17"/>
      <x:c r="Y348" s="17"/>
      <x:c r="Z348" s="17"/>
    </x:row>
    <x:row r="349">
      <x:c r="A349" s="17" t="str">
        <x:v>Kimi K2</x:v>
      </x:c>
      <x:c r="B349" s="17" t="str">
        <x:v>fireworks/Kimi-K2-Instruct-0905</x:v>
      </x:c>
      <x:c r="C349" s="17" t="str">
        <x:v>Kimi K2 Instruct (0905)</x:v>
      </x:c>
      <x:c r="D349" s="17" t="str">
        <x:v>Moonshot</x:v>
      </x:c>
      <x:c r="E349" s="17" t="str">
        <x:v>China</x:v>
      </x:c>
      <x:c r="F349" s="17" t="n">
        <x:v>45905</x:v>
      </x:c>
      <x:c r="G349" s="17" t="str">
        <x:v>Open weights (restricted use)</x:v>
      </x:c>
      <x:c r="H349" s="17" t="n">
        <x:v>45849</x:v>
      </x:c>
      <x:c r="I349" s="17" t="n">
        <x:v>2.976e+24</x:v>
      </x:c>
      <x:c r="J349" s="17" t="str">
        <x:v>Confident</x:v>
      </x:c>
      <x:c r="K349" s="17"/>
      <x:c r="L349" s="17"/>
      <x:c r="M349" s="17" t="str">
        <x:v>Kimi K2 (Sep 2025)</x:v>
      </x:c>
      <x:c r="N349" s="17" t="str">
        <x:v>Kimi K2 (Sep 2025)</x:v>
      </x:c>
      <x:c r="O349" s="17" t="str">
        <x:v>kimi-k2-sep-2025</x:v>
      </x:c>
      <x:c r="P349" s="17" t="n">
        <x:v>140.98</x:v>
      </x:c>
      <x:c r="Q349" s="17" t="n">
        <x:v>138.39</x:v>
      </x:c>
      <x:c r="R349" s="17" t="n">
        <x:v>142.27</x:v>
      </x:c>
      <x:c r="S349" s="17"/>
      <x:c r="T349" s="17"/>
      <x:c r="U349" s="17"/>
      <x:c r="V349" s="17"/>
      <x:c r="W349" s="17"/>
      <x:c r="X349" s="17"/>
      <x:c r="Y349" s="17"/>
      <x:c r="Z349" s="17"/>
    </x:row>
    <x:row r="350">
      <x:c r="A350" s="17" t="str">
        <x:v>Grok-3 mini</x:v>
      </x:c>
      <x:c r="B350" s="17" t="str">
        <x:v>grok-3-mini-beta_medium</x:v>
      </x:c>
      <x:c r="C350" s="17"/>
      <x:c r="D350" s="17" t="str">
        <x:v>xAI</x:v>
      </x:c>
      <x:c r="E350" s="17" t="str">
        <x:v>United States of America</x:v>
      </x:c>
      <x:c r="F350" s="17" t="n">
        <x:v>45756</x:v>
      </x:c>
      <x:c r="G350" s="17" t="str">
        <x:v>API access</x:v>
      </x:c>
      <x:c r="H350" s="17" t="n">
        <x:v>45707</x:v>
      </x:c>
      <x:c r="I350" s="17"/>
      <x:c r="J350" s="17" t="str">
        <x:v>Unknown</x:v>
      </x:c>
      <x:c r="K350" s="17" t="str">
        <x:v>A beta release of a smaller version of XAI's third generation Grok model, evaluated with medium reasoning effort.</x:v>
      </x:c>
      <x:c r="L350" s="17"/>
      <x:c r="M350" s="17"/>
      <x:c r="N350" s="17" t="str">
        <x:v>Grok-3 mini</x:v>
      </x:c>
      <x:c r="O350" s="17" t="str">
        <x:v>grok-3-mini</x:v>
      </x:c>
      <x:c r="P350" s="17" t="n">
        <x:v>141.01</x:v>
      </x:c>
      <x:c r="Q350" s="17" t="n">
        <x:v>137.89</x:v>
      </x:c>
      <x:c r="R350" s="17" t="n">
        <x:v>142.63</x:v>
      </x:c>
      <x:c r="S350" s="17"/>
      <x:c r="T350" s="17"/>
      <x:c r="U350" s="17"/>
      <x:c r="V350" s="17"/>
      <x:c r="W350" s="17"/>
      <x:c r="X350" s="17"/>
      <x:c r="Y350" s="17"/>
      <x:c r="Z350" s="17"/>
    </x:row>
    <x:row r="351">
      <x:c r="A351" s="17" t="str">
        <x:v>MiniMax-M1-80k</x:v>
      </x:c>
      <x:c r="B351" s="17" t="str">
        <x:v>MiniMax-M1-80k</x:v>
      </x:c>
      <x:c r="C351" s="17"/>
      <x:c r="D351" s="17" t="str">
        <x:v>MiniMax</x:v>
      </x:c>
      <x:c r="E351" s="17" t="str">
        <x:v>China</x:v>
      </x:c>
      <x:c r="F351" s="17" t="n">
        <x:v>45821</x:v>
      </x:c>
      <x:c r="G351" s="17" t="str">
        <x:v>Open weights (unrestricted)</x:v>
      </x:c>
      <x:c r="H351" s="17" t="n">
        <x:v>45821</x:v>
      </x:c>
      <x:c r="I351" s="17" t="n">
        <x:v>4.3240062e+24</x:v>
      </x:c>
      <x:c r="J351" s="17" t="str">
        <x:v>Likely</x:v>
      </x:c>
      <x:c r="K351" s="17"/>
      <x:c r="L351" s="17"/>
      <x:c r="M351" s="17"/>
      <x:c r="N351" s="17" t="str">
        <x:v>MiniMax-M1-80k</x:v>
      </x:c>
      <x:c r="O351" s="17" t="str">
        <x:v>minimax-m1-80k</x:v>
      </x:c>
      <x:c r="P351" s="17"/>
      <x:c r="Q351" s="17"/>
      <x:c r="R351" s="17"/>
      <x:c r="S351" s="17"/>
      <x:c r="T351" s="17"/>
      <x:c r="U351" s="17"/>
      <x:c r="V351" s="17"/>
      <x:c r="W351" s="17"/>
      <x:c r="X351" s="17"/>
      <x:c r="Y351" s="17"/>
      <x:c r="Z351" s="17"/>
    </x:row>
    <x:row r="352">
      <x:c r="A352" s="17"/>
      <x:c r="B352" s="17" t="str">
        <x:v>nvidia-nemotron-nano-9b-v2</x:v>
      </x:c>
      <x:c r="C352" s="17"/>
      <x:c r="D352" s="17"/>
      <x:c r="E352" s="17"/>
      <x:c r="F352" s="17" t="n">
        <x:v>45887</x:v>
      </x:c>
      <x:c r="G352" s="17"/>
      <x:c r="H352" s="17"/>
      <x:c r="I352" s="17"/>
      <x:c r="J352" s="17" t="str">
        <x:v>Unverified</x:v>
      </x:c>
      <x:c r="K352" s="17"/>
      <x:c r="L352" s="17"/>
      <x:c r="M352" s="17"/>
      <x:c r="N352" s="17"/>
      <x:c r="O352" s="17" t="str">
        <x:v>nvidia-nemotron-nano-9b-v2</x:v>
      </x:c>
      <x:c r="P352" s="17"/>
      <x:c r="Q352" s="17"/>
      <x:c r="R352" s="17"/>
      <x:c r="S352" s="17"/>
      <x:c r="T352" s="17"/>
      <x:c r="U352" s="17"/>
      <x:c r="V352" s="17"/>
      <x:c r="W352" s="17"/>
      <x:c r="X352" s="17"/>
      <x:c r="Y352" s="17"/>
      <x:c r="Z352" s="17"/>
    </x:row>
    <x:row r="353">
      <x:c r="A353" s="17" t="str">
        <x:v>Qwen3-235B-A22B (Jul 2025)</x:v>
      </x:c>
      <x:c r="B353" s="17" t="str">
        <x:v>parasail-qwen3-235b-a22b-instruct-2507</x:v>
      </x:c>
      <x:c r="C353" s="17"/>
      <x:c r="D353" s="17" t="str">
        <x:v>Alibaba</x:v>
      </x:c>
      <x:c r="E353" s="17" t="str">
        <x:v>China</x:v>
      </x:c>
      <x:c r="F353" s="17" t="n">
        <x:v>45901</x:v>
      </x:c>
      <x:c r="G353" s="17" t="str">
        <x:v>Open weights (unrestricted)</x:v>
      </x:c>
      <x:c r="H353" s="17" t="n">
        <x:v>45863</x:v>
      </x:c>
      <x:c r="I353" s="17" t="n">
        <x:v>4.752e+24</x:v>
      </x:c>
      <x:c r="J353" s="17" t="str">
        <x:v>Likely</x:v>
      </x:c>
      <x:c r="K353" s="17"/>
      <x:c r="L353" s="17" t="str">
        <x:v>Qwen3 (Parasail)</x:v>
      </x:c>
      <x:c r="M353" s="17" t="str">
        <x:v>Qwen3-235B-A22B-Instruct (Jul 2025)</x:v>
      </x:c>
      <x:c r="N353" s="17" t="str">
        <x:v>Qwen3-235B-A22B-Instruct (Jul 2025)</x:v>
      </x:c>
      <x:c r="O353" s="17" t="str">
        <x:v>qwen3-235b-a22b-instruct-jul-2025</x:v>
      </x:c>
      <x:c r="P353" s="17" t="n">
        <x:v>138.96</x:v>
      </x:c>
      <x:c r="Q353" s="17" t="n">
        <x:v>135.35</x:v>
      </x:c>
      <x:c r="R353" s="17" t="n">
        <x:v>140.84</x:v>
      </x:c>
      <x:c r="S353" s="17"/>
      <x:c r="T353" s="17"/>
      <x:c r="U353" s="17"/>
      <x:c r="V353" s="17"/>
      <x:c r="W353" s="17"/>
      <x:c r="X353" s="17"/>
      <x:c r="Y353" s="17"/>
      <x:c r="Z353" s="17"/>
    </x:row>
    <x:row r="354">
      <x:c r="A354" s="17" t="str">
        <x:v>Qwen3-30B-A3B</x:v>
      </x:c>
      <x:c r="B354" s="17" t="str">
        <x:v>chutes/Qwen3-30B-A3B</x:v>
      </x:c>
      <x:c r="C354" s="17"/>
      <x:c r="D354" s="17" t="str">
        <x:v>Alibaba</x:v>
      </x:c>
      <x:c r="E354" s="17" t="str">
        <x:v>China</x:v>
      </x:c>
      <x:c r="F354" s="17" t="n">
        <x:v>45775</x:v>
      </x:c>
      <x:c r="G354" s="17" t="str">
        <x:v>Open weights (unrestricted)</x:v>
      </x:c>
      <x:c r="H354" s="17" t="n">
        <x:v>45776</x:v>
      </x:c>
      <x:c r="I354" s="17" t="n">
        <x:v>6.48e+23</x:v>
      </x:c>
      <x:c r="J354" s="17" t="str">
        <x:v>Likely</x:v>
      </x:c>
      <x:c r="K354" s="17"/>
      <x:c r="L354" s="17" t="str">
        <x:v>Qwen3-30B-A3B (Chutes)</x:v>
      </x:c>
      <x:c r="M354" s="17"/>
      <x:c r="N354" s="17" t="str">
        <x:v>Qwen3-30B-A3B</x:v>
      </x:c>
      <x:c r="O354" s="17" t="str">
        <x:v>qwen3-30b-a3b</x:v>
      </x:c>
      <x:c r="P354" s="17"/>
      <x:c r="Q354" s="17"/>
      <x:c r="R354" s="17"/>
      <x:c r="S354" s="17"/>
      <x:c r="T354" s="17"/>
      <x:c r="U354" s="17"/>
      <x:c r="V354" s="17"/>
      <x:c r="W354" s="17"/>
      <x:c r="X354" s="17"/>
      <x:c r="Y354" s="17"/>
      <x:c r="Z354" s="17"/>
    </x:row>
    <x:row r="355">
      <x:c r="A355" s="17" t="str">
        <x:v>Qwen3-14B</x:v>
      </x:c>
      <x:c r="B355" s="17" t="str">
        <x:v>chutes/Qwen3-14B</x:v>
      </x:c>
      <x:c r="C355" s="17"/>
      <x:c r="D355" s="17" t="str">
        <x:v>Alibaba</x:v>
      </x:c>
      <x:c r="E355" s="17" t="str">
        <x:v>China</x:v>
      </x:c>
      <x:c r="F355" s="17" t="n">
        <x:v>45775</x:v>
      </x:c>
      <x:c r="G355" s="17" t="str">
        <x:v>Open weights (unrestricted)</x:v>
      </x:c>
      <x:c r="H355" s="17" t="n">
        <x:v>45776</x:v>
      </x:c>
      <x:c r="I355" s="17" t="n">
        <x:v>3.1968e+24</x:v>
      </x:c>
      <x:c r="J355" s="17" t="str">
        <x:v>Confident</x:v>
      </x:c>
      <x:c r="K355" s="17"/>
      <x:c r="L355" s="17" t="str">
        <x:v>Qwen3 14B</x:v>
      </x:c>
      <x:c r="M355" s="17"/>
      <x:c r="N355" s="17" t="str">
        <x:v>Qwen3-14B</x:v>
      </x:c>
      <x:c r="O355" s="17" t="str">
        <x:v>qwen3-14b</x:v>
      </x:c>
      <x:c r="P355" s="17"/>
      <x:c r="Q355" s="17"/>
      <x:c r="R355" s="17"/>
      <x:c r="S355" s="17"/>
      <x:c r="T355" s="17"/>
      <x:c r="U355" s="17"/>
      <x:c r="V355" s="17"/>
      <x:c r="W355" s="17"/>
      <x:c r="X355" s="17"/>
      <x:c r="Y355" s="17"/>
      <x:c r="Z355" s="17"/>
    </x:row>
    <x:row r="356">
      <x:c r="A356" s="17" t="str">
        <x:v>Qwen3-32B</x:v>
      </x:c>
      <x:c r="B356" s="17" t="str">
        <x:v>chutes/Qwen3-32B</x:v>
      </x:c>
      <x:c r="C356" s="17"/>
      <x:c r="D356" s="17" t="str">
        <x:v>Alibaba</x:v>
      </x:c>
      <x:c r="E356" s="17" t="str">
        <x:v>China</x:v>
      </x:c>
      <x:c r="F356" s="17" t="n">
        <x:v>45775</x:v>
      </x:c>
      <x:c r="G356" s="17" t="str">
        <x:v>Open weights (unrestricted)</x:v>
      </x:c>
      <x:c r="H356" s="17" t="n">
        <x:v>45776</x:v>
      </x:c>
      <x:c r="I356" s="17" t="n">
        <x:v>7.0848e+24</x:v>
      </x:c>
      <x:c r="J356" s="17" t="str">
        <x:v>Confident</x:v>
      </x:c>
      <x:c r="K356" s="17"/>
      <x:c r="L356" s="17" t="str">
        <x:v>Qwen3 32B (Chutes)</x:v>
      </x:c>
      <x:c r="M356" s="17"/>
      <x:c r="N356" s="17" t="str">
        <x:v>Qwen3-32B</x:v>
      </x:c>
      <x:c r="O356" s="17" t="str">
        <x:v>qwen3-32b</x:v>
      </x:c>
      <x:c r="P356" s="17"/>
      <x:c r="Q356" s="17"/>
      <x:c r="R356" s="17"/>
      <x:c r="S356" s="17"/>
      <x:c r="T356" s="17"/>
      <x:c r="U356" s="17"/>
      <x:c r="V356" s="17"/>
      <x:c r="W356" s="17"/>
      <x:c r="X356" s="17"/>
      <x:c r="Y356" s="17"/>
      <x:c r="Z356" s="17"/>
    </x:row>
    <x:row r="357">
      <x:c r="A357" s="17"/>
      <x:c r="B357" s="17" t="str">
        <x:v>chutes/Qwen3-Next-80B-A3B-Instruct</x:v>
      </x:c>
      <x:c r="C357" s="17"/>
      <x:c r="D357" s="17"/>
      <x:c r="E357" s="17"/>
      <x:c r="F357" s="17" t="n">
        <x:v>45911</x:v>
      </x:c>
      <x:c r="G357" s="17"/>
      <x:c r="H357" s="17"/>
      <x:c r="I357" s="17"/>
      <x:c r="J357" s="17" t="str">
        <x:v>Unverified</x:v>
      </x:c>
      <x:c r="K357" s="17"/>
      <x:c r="L357" s="17"/>
      <x:c r="M357" s="17"/>
      <x:c r="N357" s="17"/>
      <x:c r="O357" s="17" t="str">
        <x:v>chutes-qwen3-next-80b-a3b-instruct</x:v>
      </x:c>
      <x:c r="P357" s="17"/>
      <x:c r="Q357" s="17"/>
      <x:c r="R357" s="17"/>
      <x:c r="S357" s="17"/>
      <x:c r="T357" s="17"/>
      <x:c r="U357" s="17"/>
      <x:c r="V357" s="17"/>
      <x:c r="W357" s="17"/>
      <x:c r="X357" s="17"/>
      <x:c r="Y357" s="17"/>
      <x:c r="Z357" s="17"/>
    </x:row>
    <x:row r="358">
      <x:c r="A358" s="17" t="str">
        <x:v>Llama 4 Scout</x:v>
      </x:c>
      <x:c r="B358" s="17" t="str">
        <x:v>chutes/Llama-4-Scout-17B-16E Instruct</x:v>
      </x:c>
      <x:c r="C358" s="17"/>
      <x:c r="D358" s="17" t="str">
        <x:v>Meta AI</x:v>
      </x:c>
      <x:c r="E358" s="17" t="str">
        <x:v>United States of America</x:v>
      </x:c>
      <x:c r="F358" s="17" t="n">
        <x:v>45753</x:v>
      </x:c>
      <x:c r="G358" s="17" t="str">
        <x:v>Open weights (restricted use)</x:v>
      </x:c>
      <x:c r="H358" s="17" t="n">
        <x:v>45752</x:v>
      </x:c>
      <x:c r="I358" s="17" t="n">
        <x:v>4.08e+24</x:v>
      </x:c>
      <x:c r="J358" s="17" t="str">
        <x:v>Likely</x:v>
      </x:c>
      <x:c r="K358" s="17"/>
      <x:c r="L358" s="17" t="str">
        <x:v>Llama 4 Maverick (16 experts) (Chutes)</x:v>
      </x:c>
      <x:c r="M358" s="17"/>
      <x:c r="N358" s="17" t="str">
        <x:v>Llama 4 Scout</x:v>
      </x:c>
      <x:c r="O358" s="17" t="str">
        <x:v>llama-4-scout</x:v>
      </x:c>
      <x:c r="P358" s="17" t="n">
        <x:v>130.56</x:v>
      </x:c>
      <x:c r="Q358" s="17" t="n">
        <x:v>125.67</x:v>
      </x:c>
      <x:c r="R358" s="17" t="n">
        <x:v>132.06</x:v>
      </x:c>
      <x:c r="S358" s="17"/>
      <x:c r="T358" s="17"/>
      <x:c r="U358" s="17"/>
      <x:c r="V358" s="17"/>
      <x:c r="W358" s="17"/>
      <x:c r="X358" s="17"/>
      <x:c r="Y358" s="17"/>
      <x:c r="Z358" s="17"/>
    </x:row>
    <x:row r="359">
      <x:c r="A359" s="17" t="str">
        <x:v>DeepSeek-V3.2-Exp</x:v>
      </x:c>
      <x:c r="B359" s="17" t="str">
        <x:v>DeepSeek-V3.2-Exp</x:v>
      </x:c>
      <x:c r="C359" s="17"/>
      <x:c r="D359" s="17" t="str">
        <x:v>DeepSeek</x:v>
      </x:c>
      <x:c r="E359" s="17" t="str">
        <x:v>China</x:v>
      </x:c>
      <x:c r="F359" s="17" t="n">
        <x:v>45929</x:v>
      </x:c>
      <x:c r="G359" s="17" t="str">
        <x:v>Open weights (unrestricted)</x:v>
      </x:c>
      <x:c r="H359" s="17" t="n">
        <x:v>45929</x:v>
      </x:c>
      <x:c r="I359" s="17" t="n">
        <x:v>4.18e+24</x:v>
      </x:c>
      <x:c r="J359" s="17" t="str">
        <x:v>Confident</x:v>
      </x:c>
      <x:c r="K359" s="17"/>
      <x:c r="L359" s="17"/>
      <x:c r="M359" s="17"/>
      <x:c r="N359" s="17" t="str">
        <x:v>DeepSeek-V3.2-Exp</x:v>
      </x:c>
      <x:c r="O359" s="17" t="str">
        <x:v>deepseek-v3-2-exp</x:v>
      </x:c>
      <x:c r="P359" s="17" t="n">
        <x:v>144.86</x:v>
      </x:c>
      <x:c r="Q359" s="17" t="n">
        <x:v>141.79</x:v>
      </x:c>
      <x:c r="R359" s="17" t="n">
        <x:v>146.71</x:v>
      </x:c>
      <x:c r="S359" s="17"/>
      <x:c r="T359" s="17"/>
      <x:c r="U359" s="17"/>
      <x:c r="V359" s="17"/>
      <x:c r="W359" s="17"/>
      <x:c r="X359" s="17"/>
      <x:c r="Y359" s="17"/>
      <x:c r="Z359" s="17"/>
    </x:row>
    <x:row r="360">
      <x:c r="A360" s="17" t="str">
        <x:v>GPT-5.2</x:v>
      </x:c>
      <x:c r="B360" s="17" t="str">
        <x:v>gpt-5.2-2025-12-11_none</x:v>
      </x:c>
      <x:c r="C360" s="17" t="str">
        <x:v>GPT-5.2 (none)</x:v>
      </x:c>
      <x:c r="D360" s="17" t="str">
        <x:v>OpenAI</x:v>
      </x:c>
      <x:c r="E360" s="17" t="str">
        <x:v>United States of America</x:v>
      </x:c>
      <x:c r="F360" s="17" t="n">
        <x:v>46002</x:v>
      </x:c>
      <x:c r="G360" s="17" t="str">
        <x:v>API access</x:v>
      </x:c>
      <x:c r="H360" s="17" t="n">
        <x:v>46002</x:v>
      </x:c>
      <x:c r="I360" s="17"/>
      <x:c r="J360" s="17" t="str">
        <x:v>Unknown</x:v>
      </x:c>
      <x:c r="K360" s="17"/>
      <x:c r="L360" s="17" t="str">
        <x:v>GPT-5.2 (none)</x:v>
      </x:c>
      <x:c r="M360" s="17"/>
      <x:c r="N360" s="17" t="str">
        <x:v>GPT-5.2</x:v>
      </x:c>
      <x:c r="O360" s="17" t="str">
        <x:v>gpt-5-2</x:v>
      </x:c>
      <x:c r="P360" s="17" t="n">
        <x:v>153.7</x:v>
      </x:c>
      <x:c r="Q360" s="17" t="n">
        <x:v>152.26</x:v>
      </x:c>
      <x:c r="R360" s="17" t="n">
        <x:v>155.46</x:v>
      </x:c>
      <x:c r="S360" s="17"/>
      <x:c r="T360" s="17"/>
      <x:c r="U360" s="17"/>
      <x:c r="V360" s="17"/>
      <x:c r="W360" s="17"/>
      <x:c r="X360" s="17"/>
      <x:c r="Y360" s="17"/>
      <x:c r="Z360" s="17"/>
    </x:row>
    <x:row r="361">
      <x:c r="A361" s="17" t="str">
        <x:v>Qwen2.5-72B</x:v>
      </x:c>
      <x:c r="B361" s="17" t="str">
        <x:v>Qwen2.5-VL-72B-Instruct</x:v>
      </x:c>
      <x:c r="C361" s="17"/>
      <x:c r="D361" s="17" t="str">
        <x:v>Alibaba</x:v>
      </x:c>
      <x:c r="E361" s="17" t="str">
        <x:v>China</x:v>
      </x:c>
      <x:c r="F361" s="17" t="n">
        <x:v>45554</x:v>
      </x:c>
      <x:c r="G361" s="17" t="str">
        <x:v>Open weights (unrestricted)</x:v>
      </x:c>
      <x:c r="H361" s="17" t="n">
        <x:v>45554</x:v>
      </x:c>
      <x:c r="I361" s="17" t="n">
        <x:v>7.8e+24</x:v>
      </x:c>
      <x:c r="J361" s="17" t="str">
        <x:v>Confident</x:v>
      </x:c>
      <x:c r="K361" s="17" t="str">
        <x:v>A 72 billion-parameter instruction-tuned vision language model in the Qwen 2.5 series.</x:v>
      </x:c>
      <x:c r="L361" s="17" t="str">
        <x:v>Qwen2.5-VL-72B</x:v>
      </x:c>
      <x:c r="M361" s="17"/>
      <x:c r="N361" s="17" t="str">
        <x:v>Qwen2.5-72B</x:v>
      </x:c>
      <x:c r="O361" s="17" t="str">
        <x:v>qwen2-5-72b</x:v>
      </x:c>
      <x:c r="P361" s="17" t="n">
        <x:v>129.12</x:v>
      </x:c>
      <x:c r="Q361" s="17" t="n">
        <x:v>122.2</x:v>
      </x:c>
      <x:c r="R361" s="17" t="n">
        <x:v>130.91</x:v>
      </x:c>
      <x:c r="S361" s="17"/>
      <x:c r="T361" s="17"/>
      <x:c r="U361" s="17"/>
      <x:c r="V361" s="17"/>
      <x:c r="W361" s="17"/>
      <x:c r="X361" s="17"/>
      <x:c r="Y361" s="17"/>
      <x:c r="Z361" s="17"/>
    </x:row>
    <x:row r="362">
      <x:c r="A362" s="17"/>
      <x:c r="B362" s="17" t="str">
        <x:v>Qwen-VL-Max</x:v>
      </x:c>
      <x:c r="C362" s="17"/>
      <x:c r="D362" s="17"/>
      <x:c r="E362" s="17"/>
      <x:c r="F362" s="17" t="n">
        <x:v>45309</x:v>
      </x:c>
      <x:c r="G362" s="17"/>
      <x:c r="H362" s="17"/>
      <x:c r="I362" s="17"/>
      <x:c r="J362" s="17" t="str">
        <x:v>Unverified</x:v>
      </x:c>
      <x:c r="K362" s="17"/>
      <x:c r="L362" s="17"/>
      <x:c r="M362" s="17"/>
      <x:c r="N362" s="17"/>
      <x:c r="O362" s="17" t="str">
        <x:v>qwen-vl-max</x:v>
      </x:c>
      <x:c r="P362" s="17"/>
      <x:c r="Q362" s="17"/>
      <x:c r="R362" s="17"/>
      <x:c r="S362" s="17"/>
      <x:c r="T362" s="17"/>
      <x:c r="U362" s="17"/>
      <x:c r="V362" s="17"/>
      <x:c r="W362" s="17"/>
      <x:c r="X362" s="17"/>
      <x:c r="Y362" s="17"/>
      <x:c r="Z362" s="17"/>
    </x:row>
    <x:row r="363">
      <x:c r="A363" s="17" t="str">
        <x:v>Llama 2-7B</x:v>
      </x:c>
      <x:c r="B363" s="17" t="str">
        <x:v>Llama-2-7b</x:v>
      </x:c>
      <x:c r="C363" s="17"/>
      <x:c r="D363" s="17" t="str">
        <x:v>Meta AI</x:v>
      </x:c>
      <x:c r="E363" s="17" t="str">
        <x:v>United States of America</x:v>
      </x:c>
      <x:c r="F363" s="17" t="n">
        <x:v>45125</x:v>
      </x:c>
      <x:c r="G363" s="17" t="str">
        <x:v>Open weights (restricted use)</x:v>
      </x:c>
      <x:c r="H363" s="17" t="n">
        <x:v>45125</x:v>
      </x:c>
      <x:c r="I363" s="17" t="n">
        <x:v>8.4e+22</x:v>
      </x:c>
      <x:c r="J363" s="17" t="str">
        <x:v>Confident</x:v>
      </x:c>
      <x:c r="K363" s="17" t="str">
        <x:v>Meta's 7 billion-parameter model in the Llama 2 series of open source models.</x:v>
      </x:c>
      <x:c r="L363" s="17"/>
      <x:c r="M363" s="17"/>
      <x:c r="N363" s="17" t="str">
        <x:v>Llama 2-7B</x:v>
      </x:c>
      <x:c r="O363" s="17" t="str">
        <x:v>llama-2-7b</x:v>
      </x:c>
      <x:c r="P363" s="17" t="n">
        <x:v>98.78</x:v>
      </x:c>
      <x:c r="Q363" s="17" t="n">
        <x:v>87.09</x:v>
      </x:c>
      <x:c r="R363" s="17" t="n">
        <x:v>105.57</x:v>
      </x:c>
      <x:c r="S363" s="17"/>
      <x:c r="T363" s="17"/>
      <x:c r="U363" s="17"/>
      <x:c r="V363" s="17"/>
      <x:c r="W363" s="17"/>
      <x:c r="X363" s="17"/>
      <x:c r="Y363" s="17"/>
      <x:c r="Z363" s="17"/>
    </x:row>
    <x:row r="364">
      <x:c r="A364" s="17" t="str">
        <x:v>Llama 2-13B</x:v>
      </x:c>
      <x:c r="B364" s="17" t="str">
        <x:v>Llama-2-13b</x:v>
      </x:c>
      <x:c r="C364" s="17"/>
      <x:c r="D364" s="17" t="str">
        <x:v>Meta AI</x:v>
      </x:c>
      <x:c r="E364" s="17" t="str">
        <x:v>United States of America</x:v>
      </x:c>
      <x:c r="F364" s="17" t="n">
        <x:v>45125</x:v>
      </x:c>
      <x:c r="G364" s="17" t="str">
        <x:v>Open weights (restricted use)</x:v>
      </x:c>
      <x:c r="H364" s="17" t="n">
        <x:v>45125</x:v>
      </x:c>
      <x:c r="I364" s="17" t="n">
        <x:v>1.6e+23</x:v>
      </x:c>
      <x:c r="J364" s="17" t="str">
        <x:v>Confident</x:v>
      </x:c>
      <x:c r="K364" s="17" t="str">
        <x:v>Meta's 13 billion-parameter model in the Llama 2 series of open source models.</x:v>
      </x:c>
      <x:c r="L364" s="17"/>
      <x:c r="M364" s="17"/>
      <x:c r="N364" s="17" t="str">
        <x:v>Llama 2-13B</x:v>
      </x:c>
      <x:c r="O364" s="17" t="str">
        <x:v>llama-2-13b</x:v>
      </x:c>
      <x:c r="P364" s="17" t="n">
        <x:v>105.91</x:v>
      </x:c>
      <x:c r="Q364" s="17" t="n">
        <x:v>95.41</x:v>
      </x:c>
      <x:c r="R364" s="17" t="n">
        <x:v>111.37</x:v>
      </x:c>
      <x:c r="S364" s="17"/>
      <x:c r="T364" s="17"/>
      <x:c r="U364" s="17"/>
      <x:c r="V364" s="17"/>
      <x:c r="W364" s="17"/>
      <x:c r="X364" s="17"/>
      <x:c r="Y364" s="17"/>
      <x:c r="Z364" s="17"/>
    </x:row>
    <x:row r="365">
      <x:c r="A365" s="17" t="str">
        <x:v>Mistral 7B</x:v>
      </x:c>
      <x:c r="B365" s="17" t="str">
        <x:v>Mistral-7B-Instruct-v0.2</x:v>
      </x:c>
      <x:c r="C365" s="17"/>
      <x:c r="D365" s="17" t="str">
        <x:v>Mistral AI</x:v>
      </x:c>
      <x:c r="E365" s="17" t="str">
        <x:v>France</x:v>
      </x:c>
      <x:c r="F365" s="17" t="n">
        <x:v>45271</x:v>
      </x:c>
      <x:c r="G365" s="17" t="str">
        <x:v>Open weights (unrestricted)</x:v>
      </x:c>
      <x:c r="H365" s="17" t="n">
        <x:v>45209</x:v>
      </x:c>
      <x:c r="I365" s="17"/>
      <x:c r="J365" s="17" t="str">
        <x:v>Confident</x:v>
      </x:c>
      <x:c r="K365" s="17"/>
      <x:c r="L365" s="17"/>
      <x:c r="M365" s="17" t="str">
        <x:v>Mistral 7B v0.2</x:v>
      </x:c>
      <x:c r="N365" s="17" t="str">
        <x:v>Mistral 7B v0.2</x:v>
      </x:c>
      <x:c r="O365" s="17" t="str">
        <x:v>mistral-7b-v0-2</x:v>
      </x:c>
      <x:c r="P365" s="17"/>
      <x:c r="Q365" s="17"/>
      <x:c r="R365" s="17"/>
      <x:c r="S365" s="17"/>
      <x:c r="T365" s="17"/>
      <x:c r="U365" s="17"/>
      <x:c r="V365" s="17"/>
      <x:c r="W365" s="17"/>
      <x:c r="X365" s="17"/>
      <x:c r="Y365" s="17"/>
      <x:c r="Z365" s="17"/>
    </x:row>
    <x:row r="366">
      <x:c r="A366" s="17" t="str">
        <x:v>Gemma 2B</x:v>
      </x:c>
      <x:c r="B366" s="17" t="str">
        <x:v>gemma-2b</x:v>
      </x:c>
      <x:c r="C366" s="17"/>
      <x:c r="D366" s="17" t="str">
        <x:v>Google DeepMind</x:v>
      </x:c>
      <x:c r="E366" s="17" t="str">
        <x:v>United States of America</x:v>
      </x:c>
      <x:c r="F366" s="17" t="n">
        <x:v>45343</x:v>
      </x:c>
      <x:c r="G366" s="17" t="str">
        <x:v>Open weights (restricted use)</x:v>
      </x:c>
      <x:c r="H366" s="17" t="n">
        <x:v>45343</x:v>
      </x:c>
      <x:c r="I366" s="17" t="n">
        <x:v>4.5115822e+22</x:v>
      </x:c>
      <x:c r="J366" s="17" t="str">
        <x:v>Confident</x:v>
      </x:c>
      <x:c r="K366" s="17" t="str">
        <x:v>Google's 2 billion-parameter model in the Gemma series of open source models.</x:v>
      </x:c>
      <x:c r="L366" s="17"/>
      <x:c r="M366" s="17"/>
      <x:c r="N366" s="17" t="str">
        <x:v>Gemma 2B</x:v>
      </x:c>
      <x:c r="O366" s="17" t="str">
        <x:v>gemma-2b</x:v>
      </x:c>
      <x:c r="P366" s="17" t="n">
        <x:v>93.91</x:v>
      </x:c>
      <x:c r="Q366" s="17" t="n">
        <x:v>81</x:v>
      </x:c>
      <x:c r="R366" s="17" t="n">
        <x:v>101.27</x:v>
      </x:c>
      <x:c r="S366" s="17"/>
      <x:c r="T366" s="17"/>
      <x:c r="U366" s="17"/>
      <x:c r="V366" s="17"/>
      <x:c r="W366" s="17"/>
      <x:c r="X366" s="17"/>
      <x:c r="Y366" s="17"/>
      <x:c r="Z366" s="17"/>
    </x:row>
    <x:row r="367">
      <x:c r="A367" s="17" t="str">
        <x:v>Gemma 7B</x:v>
      </x:c>
      <x:c r="B367" s="17" t="str">
        <x:v>gemma-7b</x:v>
      </x:c>
      <x:c r="C367" s="17"/>
      <x:c r="D367" s="17" t="str">
        <x:v>Google DeepMind</x:v>
      </x:c>
      <x:c r="E367" s="17" t="str">
        <x:v>United States of America</x:v>
      </x:c>
      <x:c r="F367" s="17" t="n">
        <x:v>45343</x:v>
      </x:c>
      <x:c r="G367" s="17" t="str">
        <x:v>Open weights (restricted use)</x:v>
      </x:c>
      <x:c r="H367" s="17" t="n">
        <x:v>45343</x:v>
      </x:c>
      <x:c r="I367" s="17" t="n">
        <x:v>3.07e+23</x:v>
      </x:c>
      <x:c r="J367" s="17" t="str">
        <x:v>Confident</x:v>
      </x:c>
      <x:c r="K367" s="17" t="str">
        <x:v>Google's 7 billion-parameter model in the Gemma series of open source models.</x:v>
      </x:c>
      <x:c r="L367" s="17"/>
      <x:c r="M367" s="17"/>
      <x:c r="N367" s="17" t="str">
        <x:v>Gemma 7B</x:v>
      </x:c>
      <x:c r="O367" s="17" t="str">
        <x:v>gemma-7b</x:v>
      </x:c>
      <x:c r="P367" s="17" t="n">
        <x:v>111.76</x:v>
      </x:c>
      <x:c r="Q367" s="17" t="n">
        <x:v>103.06</x:v>
      </x:c>
      <x:c r="R367" s="17" t="n">
        <x:v>116.41</x:v>
      </x:c>
      <x:c r="S367" s="17"/>
      <x:c r="T367" s="17"/>
      <x:c r="U367" s="17"/>
      <x:c r="V367" s="17"/>
      <x:c r="W367" s="17"/>
      <x:c r="X367" s="17"/>
      <x:c r="Y367" s="17"/>
      <x:c r="Z367" s="17"/>
    </x:row>
    <x:row r="368">
      <x:c r="A368" s="17" t="str">
        <x:v>MPT-7B</x:v>
      </x:c>
      <x:c r="B368" s="17" t="str">
        <x:v>mpt-7b</x:v>
      </x:c>
      <x:c r="C368" s="17"/>
      <x:c r="D368" s="17" t="str">
        <x:v>MosaicML</x:v>
      </x:c>
      <x:c r="E368" s="17" t="str">
        <x:v>United States of America</x:v>
      </x:c>
      <x:c r="F368" s="17" t="n">
        <x:v>45051</x:v>
      </x:c>
      <x:c r="G368" s="17" t="str">
        <x:v>Open weights (unrestricted)</x:v>
      </x:c>
      <x:c r="H368" s="17" t="n">
        <x:v>45051</x:v>
      </x:c>
      <x:c r="I368" s="17" t="n">
        <x:v>4.2e+22</x:v>
      </x:c>
      <x:c r="J368" s="17" t="str">
        <x:v>Confident</x:v>
      </x:c>
      <x:c r="K368" s="17"/>
      <x:c r="L368" s="17"/>
      <x:c r="M368" s="17"/>
      <x:c r="N368" s="17" t="str">
        <x:v>MPT-7B</x:v>
      </x:c>
      <x:c r="O368" s="17" t="str">
        <x:v>mpt-7b</x:v>
      </x:c>
      <x:c r="P368" s="17" t="n">
        <x:v>94.3</x:v>
      </x:c>
      <x:c r="Q368" s="17" t="n">
        <x:v>81.04</x:v>
      </x:c>
      <x:c r="R368" s="17" t="n">
        <x:v>102.67</x:v>
      </x:c>
      <x:c r="S368" s="17"/>
      <x:c r="T368" s="17"/>
      <x:c r="U368" s="17"/>
      <x:c r="V368" s="17"/>
      <x:c r="W368" s="17"/>
      <x:c r="X368" s="17"/>
      <x:c r="Y368" s="17"/>
      <x:c r="Z368" s="17"/>
    </x:row>
    <x:row r="369">
      <x:c r="A369" s="17" t="str">
        <x:v>Falcon-7B</x:v>
      </x:c>
      <x:c r="B369" s="17" t="str">
        <x:v>falcon-7b</x:v>
      </x:c>
      <x:c r="C369" s="17"/>
      <x:c r="D369" s="17" t="str">
        <x:v>Technology Innovation Institute</x:v>
      </x:c>
      <x:c r="E369" s="17" t="str">
        <x:v>United Arab Emirates</x:v>
      </x:c>
      <x:c r="F369" s="17" t="n">
        <x:v>45040</x:v>
      </x:c>
      <x:c r="G369" s="17" t="str">
        <x:v>Open weights (unrestricted)</x:v>
      </x:c>
      <x:c r="H369" s="17" t="n">
        <x:v>45040</x:v>
      </x:c>
      <x:c r="I369" s="17" t="n">
        <x:v>6.3e+22</x:v>
      </x:c>
      <x:c r="J369" s="17" t="str">
        <x:v>Confident</x:v>
      </x:c>
      <x:c r="K369" s="17" t="str">
        <x:v>The 7 billion-parameter model in the Falcon series.</x:v>
      </x:c>
      <x:c r="L369" s="17"/>
      <x:c r="M369" s="17"/>
      <x:c r="N369" s="17" t="str">
        <x:v>Falcon-7B</x:v>
      </x:c>
      <x:c r="O369" s="17" t="str">
        <x:v>falcon-7b</x:v>
      </x:c>
      <x:c r="P369" s="17" t="n">
        <x:v>94.81</x:v>
      </x:c>
      <x:c r="Q369" s="17" t="n">
        <x:v>81.69</x:v>
      </x:c>
      <x:c r="R369" s="17" t="n">
        <x:v>102.89</x:v>
      </x:c>
      <x:c r="S369" s="17"/>
      <x:c r="T369" s="17"/>
      <x:c r="U369" s="17"/>
      <x:c r="V369" s="17"/>
      <x:c r="W369" s="17"/>
      <x:c r="X369" s="17"/>
      <x:c r="Y369" s="17"/>
      <x:c r="Z369" s="17"/>
    </x:row>
    <x:row r="370">
      <x:c r="A370" s="17"/>
      <x:c r="B370" s="17" t="str">
        <x:v>chatglm2-6b</x:v>
      </x:c>
      <x:c r="C370" s="17"/>
      <x:c r="D370" s="17"/>
      <x:c r="E370" s="17"/>
      <x:c r="F370" s="17" t="n">
        <x:v>45101</x:v>
      </x:c>
      <x:c r="G370" s="17"/>
      <x:c r="H370" s="17"/>
      <x:c r="I370" s="17"/>
      <x:c r="J370" s="17" t="str">
        <x:v>Unverified</x:v>
      </x:c>
      <x:c r="K370" s="17"/>
      <x:c r="L370" s="17"/>
      <x:c r="M370" s="17"/>
      <x:c r="N370" s="17"/>
      <x:c r="O370" s="17" t="str">
        <x:v>chatglm2-6b</x:v>
      </x:c>
      <x:c r="P370" s="17"/>
      <x:c r="Q370" s="17"/>
      <x:c r="R370" s="17"/>
      <x:c r="S370" s="17"/>
      <x:c r="T370" s="17"/>
      <x:c r="U370" s="17"/>
      <x:c r="V370" s="17"/>
      <x:c r="W370" s="17"/>
      <x:c r="X370" s="17"/>
      <x:c r="Y370" s="17"/>
      <x:c r="Z370" s="17"/>
    </x:row>
    <x:row r="371">
      <x:c r="A371" s="17"/>
      <x:c r="B371" s="17" t="str">
        <x:v>internlm-7b</x:v>
      </x:c>
      <x:c r="C371" s="17"/>
      <x:c r="D371" s="17"/>
      <x:c r="E371" s="17"/>
      <x:c r="F371" s="17" t="n">
        <x:v>45112</x:v>
      </x:c>
      <x:c r="G371" s="17"/>
      <x:c r="H371" s="17"/>
      <x:c r="I371" s="17"/>
      <x:c r="J371" s="17" t="str">
        <x:v>Unverified</x:v>
      </x:c>
      <x:c r="K371" s="17"/>
      <x:c r="L371" s="17"/>
      <x:c r="M371" s="17"/>
      <x:c r="N371" s="17"/>
      <x:c r="O371" s="17" t="str">
        <x:v>internlm-7b</x:v>
      </x:c>
      <x:c r="P371" s="17"/>
      <x:c r="Q371" s="17"/>
      <x:c r="R371" s="17"/>
      <x:c r="S371" s="17"/>
      <x:c r="T371" s="17"/>
      <x:c r="U371" s="17"/>
      <x:c r="V371" s="17"/>
      <x:c r="W371" s="17"/>
      <x:c r="X371" s="17"/>
      <x:c r="Y371" s="17"/>
      <x:c r="Z371" s="17"/>
    </x:row>
    <x:row r="372">
      <x:c r="A372" s="17"/>
      <x:c r="B372" s="17" t="str">
        <x:v>internlm-20b</x:v>
      </x:c>
      <x:c r="C372" s="17"/>
      <x:c r="D372" s="17"/>
      <x:c r="E372" s="17"/>
      <x:c r="F372" s="17" t="n">
        <x:v>45187</x:v>
      </x:c>
      <x:c r="G372" s="17"/>
      <x:c r="H372" s="17"/>
      <x:c r="I372" s="17"/>
      <x:c r="J372" s="17" t="str">
        <x:v>Unverified</x:v>
      </x:c>
      <x:c r="K372" s="17"/>
      <x:c r="L372" s="17"/>
      <x:c r="M372" s="17"/>
      <x:c r="N372" s="17"/>
      <x:c r="O372" s="17" t="str">
        <x:v>internlm-20b</x:v>
      </x:c>
      <x:c r="P372" s="17"/>
      <x:c r="Q372" s="17"/>
      <x:c r="R372" s="17"/>
      <x:c r="S372" s="17"/>
      <x:c r="T372" s="17"/>
      <x:c r="U372" s="17"/>
      <x:c r="V372" s="17"/>
      <x:c r="W372" s="17"/>
      <x:c r="X372" s="17"/>
      <x:c r="Y372" s="17"/>
      <x:c r="Z372" s="17"/>
    </x:row>
    <x:row r="373">
      <x:c r="A373" s="17" t="str">
        <x:v>Baichuan1-7B</x:v>
      </x:c>
      <x:c r="B373" s="17" t="str">
        <x:v>Baichuan-7B</x:v>
      </x:c>
      <x:c r="C373" s="17"/>
      <x:c r="D373" s="17" t="str">
        <x:v>Baichuan</x:v>
      </x:c>
      <x:c r="E373" s="17" t="str">
        <x:v>China</x:v>
      </x:c>
      <x:c r="F373" s="17" t="n">
        <x:v>45078</x:v>
      </x:c>
      <x:c r="G373" s="17" t="str">
        <x:v>Open weights (non-commercial)</x:v>
      </x:c>
      <x:c r="H373" s="17" t="n">
        <x:v>45078</x:v>
      </x:c>
      <x:c r="I373" s="17" t="n">
        <x:v>5.04e+22</x:v>
      </x:c>
      <x:c r="J373" s="17" t="str">
        <x:v>Confident</x:v>
      </x:c>
      <x:c r="K373" s="17"/>
      <x:c r="L373" s="17"/>
      <x:c r="M373" s="17"/>
      <x:c r="N373" s="17" t="str">
        <x:v>Baichuan1-7B</x:v>
      </x:c>
      <x:c r="O373" s="17" t="str">
        <x:v>baichuan1-7b</x:v>
      </x:c>
      <x:c r="P373" s="17" t="n">
        <x:v>90.14</x:v>
      </x:c>
      <x:c r="Q373" s="17" t="n">
        <x:v>75.09</x:v>
      </x:c>
      <x:c r="R373" s="17" t="n">
        <x:v>99.78</x:v>
      </x:c>
      <x:c r="S373" s="17"/>
      <x:c r="T373" s="17"/>
      <x:c r="U373" s="17"/>
      <x:c r="V373" s="17"/>
      <x:c r="W373" s="17"/>
      <x:c r="X373" s="17"/>
      <x:c r="Y373" s="17"/>
      <x:c r="Z373" s="17"/>
    </x:row>
    <x:row r="374">
      <x:c r="A374" s="17" t="str">
        <x:v>Baichuan2-13B</x:v>
      </x:c>
      <x:c r="B374" s="17" t="str">
        <x:v>Baichuan-2-13B-Base</x:v>
      </x:c>
      <x:c r="C374" s="17"/>
      <x:c r="D374" s="17" t="str">
        <x:v>Baichuan</x:v>
      </x:c>
      <x:c r="E374" s="17" t="str">
        <x:v>China</x:v>
      </x:c>
      <x:c r="F374" s="17" t="n">
        <x:v>45175</x:v>
      </x:c>
      <x:c r="G374" s="17" t="str">
        <x:v>Open weights (restricted use)</x:v>
      </x:c>
      <x:c r="H374" s="17" t="n">
        <x:v>45175</x:v>
      </x:c>
      <x:c r="I374" s="17" t="n">
        <x:v>2.03e+23</x:v>
      </x:c>
      <x:c r="J374" s="17" t="str">
        <x:v>Confident</x:v>
      </x:c>
      <x:c r="K374" s="17"/>
      <x:c r="L374" s="17"/>
      <x:c r="M374" s="17"/>
      <x:c r="N374" s="17" t="str">
        <x:v>Baichuan2-13B</x:v>
      </x:c>
      <x:c r="O374" s="17" t="str">
        <x:v>baichuan2-13b</x:v>
      </x:c>
      <x:c r="P374" s="17" t="n">
        <x:v>102.93</x:v>
      </x:c>
      <x:c r="Q374" s="17" t="n">
        <x:v>89.49</x:v>
      </x:c>
      <x:c r="R374" s="17" t="n">
        <x:v>110.46</x:v>
      </x:c>
      <x:c r="S374" s="17"/>
      <x:c r="T374" s="17"/>
      <x:c r="U374" s="17"/>
      <x:c r="V374" s="17"/>
      <x:c r="W374" s="17"/>
      <x:c r="X374" s="17"/>
      <x:c r="Y374" s="17"/>
      <x:c r="Z374" s="17"/>
    </x:row>
    <x:row r="375">
      <x:c r="A375" s="17" t="str">
        <x:v>LLaMA-7B</x:v>
      </x:c>
      <x:c r="B375" s="17" t="str">
        <x:v>LLaMA-7B</x:v>
      </x:c>
      <x:c r="C375" s="17"/>
      <x:c r="D375" s="17" t="str">
        <x:v>Meta AI</x:v>
      </x:c>
      <x:c r="E375" s="17" t="str">
        <x:v>United States of America</x:v>
      </x:c>
      <x:c r="F375" s="17" t="n">
        <x:v>44981</x:v>
      </x:c>
      <x:c r="G375" s="17" t="str">
        <x:v>Open weights (non-commercial)</x:v>
      </x:c>
      <x:c r="H375" s="17" t="n">
        <x:v>44981</x:v>
      </x:c>
      <x:c r="I375" s="17" t="n">
        <x:v>4.00000001e+22</x:v>
      </x:c>
      <x:c r="J375" s="17" t="str">
        <x:v>Confident</x:v>
      </x:c>
      <x:c r="K375" s="17" t="str">
        <x:v>Meta's smallest model in the original Llama series.</x:v>
      </x:c>
      <x:c r="L375" s="17"/>
      <x:c r="M375" s="17"/>
      <x:c r="N375" s="17" t="str">
        <x:v>LLaMA-7B</x:v>
      </x:c>
      <x:c r="O375" s="17" t="str">
        <x:v>llama-7b</x:v>
      </x:c>
      <x:c r="P375" s="17" t="n">
        <x:v>96.41</x:v>
      </x:c>
      <x:c r="Q375" s="17" t="n">
        <x:v>83.74</x:v>
      </x:c>
      <x:c r="R375" s="17" t="n">
        <x:v>104.14</x:v>
      </x:c>
      <x:c r="S375" s="17"/>
      <x:c r="T375" s="17"/>
      <x:c r="U375" s="17"/>
      <x:c r="V375" s="17"/>
      <x:c r="W375" s="17"/>
      <x:c r="X375" s="17"/>
      <x:c r="Y375" s="17"/>
      <x:c r="Z375" s="17"/>
    </x:row>
    <x:row r="376">
      <x:c r="A376" s="17" t="str">
        <x:v>LLaMA-13B</x:v>
      </x:c>
      <x:c r="B376" s="17" t="str">
        <x:v>LLaMA-13B</x:v>
      </x:c>
      <x:c r="C376" s="17"/>
      <x:c r="D376" s="17" t="str">
        <x:v>Meta AI</x:v>
      </x:c>
      <x:c r="E376" s="17" t="str">
        <x:v>United States of America</x:v>
      </x:c>
      <x:c r="F376" s="17" t="n">
        <x:v>44981</x:v>
      </x:c>
      <x:c r="G376" s="17" t="str">
        <x:v>Open weights (non-commercial)</x:v>
      </x:c>
      <x:c r="H376" s="17" t="n">
        <x:v>44984</x:v>
      </x:c>
      <x:c r="I376" s="17" t="n">
        <x:v>7.8e+22</x:v>
      </x:c>
      <x:c r="J376" s="17" t="str">
        <x:v>Confident</x:v>
      </x:c>
      <x:c r="K376" s="17" t="str">
        <x:v>Meta's 13 billion-parameter model in the original Llama series.</x:v>
      </x:c>
      <x:c r="L376" s="17"/>
      <x:c r="M376" s="17"/>
      <x:c r="N376" s="17" t="str">
        <x:v>LLaMA-13B</x:v>
      </x:c>
      <x:c r="O376" s="17" t="str">
        <x:v>llama-13b</x:v>
      </x:c>
      <x:c r="P376" s="17" t="n">
        <x:v>100.3</x:v>
      </x:c>
      <x:c r="Q376" s="17" t="n">
        <x:v>89.58</x:v>
      </x:c>
      <x:c r="R376" s="17" t="n">
        <x:v>106.66</x:v>
      </x:c>
      <x:c r="S376" s="17"/>
      <x:c r="T376" s="17"/>
      <x:c r="U376" s="17"/>
      <x:c r="V376" s="17"/>
      <x:c r="W376" s="17"/>
      <x:c r="X376" s="17"/>
      <x:c r="Y376" s="17"/>
      <x:c r="Z376" s="17"/>
    </x:row>
    <x:row r="377">
      <x:c r="A377" s="17" t="str">
        <x:v>LLaMA-33B</x:v>
      </x:c>
      <x:c r="B377" s="17" t="str">
        <x:v>LLaMA-33B</x:v>
      </x:c>
      <x:c r="C377" s="17"/>
      <x:c r="D377" s="17" t="str">
        <x:v>Meta AI</x:v>
      </x:c>
      <x:c r="E377" s="17" t="str">
        <x:v>United States of America</x:v>
      </x:c>
      <x:c r="F377" s="17" t="n">
        <x:v>44981</x:v>
      </x:c>
      <x:c r="G377" s="17" t="str">
        <x:v>Open weights (non-commercial)</x:v>
      </x:c>
      <x:c r="H377" s="17" t="n">
        <x:v>44984</x:v>
      </x:c>
      <x:c r="I377" s="17" t="n">
        <x:v>2.7300000000001e+23</x:v>
      </x:c>
      <x:c r="J377" s="17" t="str">
        <x:v>Confident</x:v>
      </x:c>
      <x:c r="K377" s="17" t="str">
        <x:v>Meta's 33 billion-parameter model in the original Llama series</x:v>
      </x:c>
      <x:c r="L377" s="17"/>
      <x:c r="M377" s="17"/>
      <x:c r="N377" s="17" t="str">
        <x:v>LLaMA-33B</x:v>
      </x:c>
      <x:c r="O377" s="17" t="str">
        <x:v>llama-33b</x:v>
      </x:c>
      <x:c r="P377" s="17" t="n">
        <x:v>107.16</x:v>
      </x:c>
      <x:c r="Q377" s="17" t="n">
        <x:v>96.33</x:v>
      </x:c>
      <x:c r="R377" s="17" t="n">
        <x:v>112.28</x:v>
      </x:c>
      <x:c r="S377" s="17"/>
      <x:c r="T377" s="17"/>
      <x:c r="U377" s="17"/>
      <x:c r="V377" s="17"/>
      <x:c r="W377" s="17"/>
      <x:c r="X377" s="17"/>
      <x:c r="Y377" s="17"/>
      <x:c r="Z377" s="17"/>
    </x:row>
    <x:row r="378">
      <x:c r="A378" s="17" t="str">
        <x:v>LLaMA-65B</x:v>
      </x:c>
      <x:c r="B378" s="17" t="str">
        <x:v>LLaMA-65B</x:v>
      </x:c>
      <x:c r="C378" s="17"/>
      <x:c r="D378" s="17" t="str">
        <x:v>Meta AI</x:v>
      </x:c>
      <x:c r="E378" s="17" t="str">
        <x:v>United States of America</x:v>
      </x:c>
      <x:c r="F378" s="17" t="n">
        <x:v>44981</x:v>
      </x:c>
      <x:c r="G378" s="17" t="str">
        <x:v>Open weights (non-commercial)</x:v>
      </x:c>
      <x:c r="H378" s="17" t="n">
        <x:v>44981</x:v>
      </x:c>
      <x:c r="I378" s="17" t="n">
        <x:v>5.5e+23</x:v>
      </x:c>
      <x:c r="J378" s="17" t="str">
        <x:v>Confident</x:v>
      </x:c>
      <x:c r="K378" s="17" t="str">
        <x:v>Meta's largest model in the original Llama series.</x:v>
      </x:c>
      <x:c r="L378" s="17"/>
      <x:c r="M378" s="17"/>
      <x:c r="N378" s="17" t="str">
        <x:v>LLaMA-65B</x:v>
      </x:c>
      <x:c r="O378" s="17" t="str">
        <x:v>llama-65b</x:v>
      </x:c>
      <x:c r="P378" s="17" t="n">
        <x:v>109.93</x:v>
      </x:c>
      <x:c r="Q378" s="17" t="n">
        <x:v>100.46</x:v>
      </x:c>
      <x:c r="R378" s="17" t="n">
        <x:v>114.37</x:v>
      </x:c>
      <x:c r="S378" s="17"/>
      <x:c r="T378" s="17"/>
      <x:c r="U378" s="17"/>
      <x:c r="V378" s="17"/>
      <x:c r="W378" s="17"/>
      <x:c r="X378" s="17"/>
      <x:c r="Y378" s="17"/>
      <x:c r="Z378" s="17"/>
    </x:row>
    <x:row r="379">
      <x:c r="A379" s="17" t="str">
        <x:v>Llama 2-70B</x:v>
      </x:c>
      <x:c r="B379" s="17" t="str">
        <x:v>Llama-2-70b-hf </x:v>
      </x:c>
      <x:c r="C379" s="17"/>
      <x:c r="D379" s="17" t="str">
        <x:v>Meta AI</x:v>
      </x:c>
      <x:c r="E379" s="17" t="str">
        <x:v>United States of America</x:v>
      </x:c>
      <x:c r="F379" s="17" t="n">
        <x:v>45125</x:v>
      </x:c>
      <x:c r="G379" s="17" t="str">
        <x:v>Open weights (restricted use)</x:v>
      </x:c>
      <x:c r="H379" s="17" t="n">
        <x:v>45125</x:v>
      </x:c>
      <x:c r="I379" s="17" t="n">
        <x:v>8.1e+23</x:v>
      </x:c>
      <x:c r="J379" s="17" t="str">
        <x:v>Confident</x:v>
      </x:c>
      <x:c r="K379" s="17" t="str">
        <x:v>A chat-optimized of a 70 billion-parameter model in the Llama 2 series.</x:v>
      </x:c>
      <x:c r="L379" s="17"/>
      <x:c r="M379" s="17"/>
      <x:c r="N379" s="17" t="str">
        <x:v>Llama 2-70B</x:v>
      </x:c>
      <x:c r="O379" s="17" t="str">
        <x:v>llama-2-70b</x:v>
      </x:c>
      <x:c r="P379" s="17" t="n">
        <x:v>113.72</x:v>
      </x:c>
      <x:c r="Q379" s="17" t="n">
        <x:v>104.07</x:v>
      </x:c>
      <x:c r="R379" s="17" t="n">
        <x:v>117.82</x:v>
      </x:c>
      <x:c r="S379" s="17"/>
      <x:c r="T379" s="17"/>
      <x:c r="U379" s="17"/>
      <x:c r="V379" s="17"/>
      <x:c r="W379" s="17"/>
      <x:c r="X379" s="17"/>
      <x:c r="Y379" s="17"/>
      <x:c r="Z379" s="17"/>
    </x:row>
    <x:row r="380">
      <x:c r="A380" s="17" t="str">
        <x:v>Stable Beluga 2</x:v>
      </x:c>
      <x:c r="B380" s="17" t="str">
        <x:v>StableBeluga2</x:v>
      </x:c>
      <x:c r="C380" s="17"/>
      <x:c r="D380" s="17" t="str">
        <x:v>Stability AI</x:v>
      </x:c>
      <x:c r="E380" s="17" t="str">
        <x:v>United Kingdom of Great Britain and Northern Ireland</x:v>
      </x:c>
      <x:c r="F380" s="17" t="n">
        <x:v>45127</x:v>
      </x:c>
      <x:c r="G380" s="17" t="str">
        <x:v>Open weights (non-commercial)</x:v>
      </x:c>
      <x:c r="H380" s="17" t="n">
        <x:v>45127</x:v>
      </x:c>
      <x:c r="I380" s="17"/>
      <x:c r="J380" s="17" t="str">
        <x:v>Likely</x:v>
      </x:c>
      <x:c r="K380" s="17"/>
      <x:c r="L380" s="17" t="str">
        <x:v>Stable Beluga 2</x:v>
      </x:c>
      <x:c r="M380" s="17"/>
      <x:c r="N380" s="17" t="str">
        <x:v>Stable Beluga 2</x:v>
      </x:c>
      <x:c r="O380" s="17" t="str">
        <x:v>stable-beluga-2</x:v>
      </x:c>
      <x:c r="P380" s="17" t="n">
        <x:v>116.91</x:v>
      </x:c>
      <x:c r="Q380" s="17" t="n">
        <x:v>107.97</x:v>
      </x:c>
      <x:c r="R380" s="17" t="n">
        <x:v>120.27</x:v>
      </x:c>
      <x:c r="S380" s="17"/>
      <x:c r="T380" s="17"/>
      <x:c r="U380" s="17"/>
      <x:c r="V380" s="17"/>
      <x:c r="W380" s="17"/>
      <x:c r="X380" s="17"/>
      <x:c r="Y380" s="17"/>
      <x:c r="Z380" s="17"/>
    </x:row>
    <x:row r="381">
      <x:c r="A381" s="17"/>
      <x:c r="B381" s="17" t="str">
        <x:v>Qwen-1_8B</x:v>
      </x:c>
      <x:c r="C381" s="17" t="str">
        <x:v>Qwen-1.8B</x:v>
      </x:c>
      <x:c r="D381" s="17"/>
      <x:c r="E381" s="17"/>
      <x:c r="F381" s="17" t="n">
        <x:v>45260</x:v>
      </x:c>
      <x:c r="G381" s="17"/>
      <x:c r="H381" s="17"/>
      <x:c r="I381" s="17"/>
      <x:c r="J381" s="17" t="str">
        <x:v>Unverified</x:v>
      </x:c>
      <x:c r="K381" s="17" t="str">
        <x:v>Qwen's 1.8 billion-parameter model in the original Qwen series.</x:v>
      </x:c>
      <x:c r="L381" s="17"/>
      <x:c r="M381" s="17"/>
      <x:c r="N381" s="17"/>
      <x:c r="O381" s="17" t="str">
        <x:v>qwen-1-8b</x:v>
      </x:c>
      <x:c r="P381" s="17"/>
      <x:c r="Q381" s="17"/>
      <x:c r="R381" s="17"/>
      <x:c r="S381" s="17"/>
      <x:c r="T381" s="17"/>
      <x:c r="U381" s="17"/>
      <x:c r="V381" s="17"/>
      <x:c r="W381" s="17"/>
      <x:c r="X381" s="17"/>
      <x:c r="Y381" s="17"/>
      <x:c r="Z381" s="17"/>
    </x:row>
    <x:row r="382">
      <x:c r="A382" s="17" t="str">
        <x:v>Qwen-7B</x:v>
      </x:c>
      <x:c r="B382" s="17" t="str">
        <x:v>Qwen-7B</x:v>
      </x:c>
      <x:c r="C382" s="17"/>
      <x:c r="D382" s="17" t="str">
        <x:v>Alibaba</x:v>
      </x:c>
      <x:c r="E382" s="17" t="str">
        <x:v>China</x:v>
      </x:c>
      <x:c r="F382" s="17" t="n">
        <x:v>45197</x:v>
      </x:c>
      <x:c r="G382" s="17" t="str">
        <x:v>Open weights (restricted use)</x:v>
      </x:c>
      <x:c r="H382" s="17" t="n">
        <x:v>45197</x:v>
      </x:c>
      <x:c r="I382" s="17" t="n">
        <x:v>1.01e+23</x:v>
      </x:c>
      <x:c r="J382" s="17" t="str">
        <x:v>Confident</x:v>
      </x:c>
      <x:c r="K382" s="17" t="str">
        <x:v>Qwen's 7 billion-parameter model in the original Qwen series.</x:v>
      </x:c>
      <x:c r="L382" s="17" t="str">
        <x:v>Qwen-7B</x:v>
      </x:c>
      <x:c r="M382" s="17"/>
      <x:c r="N382" s="17" t="str">
        <x:v>Qwen-7B</x:v>
      </x:c>
      <x:c r="O382" s="17" t="str">
        <x:v>qwen-7b</x:v>
      </x:c>
      <x:c r="P382" s="17" t="n">
        <x:v>106.56</x:v>
      </x:c>
      <x:c r="Q382" s="17" t="n">
        <x:v>93.93</x:v>
      </x:c>
      <x:c r="R382" s="17" t="n">
        <x:v>112.46</x:v>
      </x:c>
      <x:c r="S382" s="17"/>
      <x:c r="T382" s="17"/>
      <x:c r="U382" s="17"/>
      <x:c r="V382" s="17"/>
      <x:c r="W382" s="17"/>
      <x:c r="X382" s="17"/>
      <x:c r="Y382" s="17"/>
      <x:c r="Z382" s="17"/>
    </x:row>
    <x:row r="383">
      <x:c r="A383" s="17" t="str">
        <x:v>Qwen-14B</x:v>
      </x:c>
      <x:c r="B383" s="17" t="str">
        <x:v>Qwen-14B</x:v>
      </x:c>
      <x:c r="C383" s="17"/>
      <x:c r="D383" s="17" t="str">
        <x:v>Alibaba</x:v>
      </x:c>
      <x:c r="E383" s="17" t="str">
        <x:v>China</x:v>
      </x:c>
      <x:c r="F383" s="17" t="n">
        <x:v>45197</x:v>
      </x:c>
      <x:c r="G383" s="17" t="str">
        <x:v>Open weights (restricted use)</x:v>
      </x:c>
      <x:c r="H383" s="17" t="n">
        <x:v>45197</x:v>
      </x:c>
      <x:c r="I383" s="17" t="n">
        <x:v>2.5e+23</x:v>
      </x:c>
      <x:c r="J383" s="17" t="str">
        <x:v>Confident</x:v>
      </x:c>
      <x:c r="K383" s="17" t="str">
        <x:v>Qwen's 14 billion-parameter model in the original Qwen series.</x:v>
      </x:c>
      <x:c r="L383" s="17" t="str">
        <x:v>Qwen-14B</x:v>
      </x:c>
      <x:c r="M383" s="17"/>
      <x:c r="N383" s="17" t="str">
        <x:v>Qwen-14B</x:v>
      </x:c>
      <x:c r="O383" s="17" t="str">
        <x:v>qwen-14b</x:v>
      </x:c>
      <x:c r="P383" s="17" t="n">
        <x:v>112.8</x:v>
      </x:c>
      <x:c r="Q383" s="17" t="n">
        <x:v>103.39</x:v>
      </x:c>
      <x:c r="R383" s="17" t="n">
        <x:v>117.54</x:v>
      </x:c>
      <x:c r="S383" s="17"/>
      <x:c r="T383" s="17"/>
      <x:c r="U383" s="17"/>
      <x:c r="V383" s="17"/>
      <x:c r="W383" s="17"/>
      <x:c r="X383" s="17"/>
      <x:c r="Y383" s="17"/>
      <x:c r="Z383" s="17"/>
    </x:row>
    <x:row r="384">
      <x:c r="A384" s="17" t="str">
        <x:v>InstructGPT 175B</x:v>
      </x:c>
      <x:c r="B384" s="17" t="str">
        <x:v>text-davinci-001</x:v>
      </x:c>
      <x:c r="C384" s="17"/>
      <x:c r="D384" s="17" t="str">
        <x:v>OpenAI</x:v>
      </x:c>
      <x:c r="E384" s="17" t="str">
        <x:v>United States of America</x:v>
      </x:c>
      <x:c r="F384" s="17" t="n">
        <x:v>44588</x:v>
      </x:c>
      <x:c r="G384" s="17" t="str">
        <x:v>API access</x:v>
      </x:c>
      <x:c r="H384" s="17" t="n">
        <x:v>44588</x:v>
      </x:c>
      <x:c r="I384" s="17" t="n">
        <x:v>3.19181e+23</x:v>
      </x:c>
      <x:c r="J384" s="17" t="str">
        <x:v>Confident</x:v>
      </x:c>
      <x:c r="K384" s="17"/>
      <x:c r="L384" s="17"/>
      <x:c r="M384" s="17"/>
      <x:c r="N384" s="17" t="str">
        <x:v>InstructGPT 175B</x:v>
      </x:c>
      <x:c r="O384" s="17" t="str">
        <x:v>instructgpt-175b</x:v>
      </x:c>
      <x:c r="P384" s="17"/>
      <x:c r="Q384" s="17"/>
      <x:c r="R384" s="17"/>
      <x:c r="S384" s="17"/>
      <x:c r="T384" s="17"/>
      <x:c r="U384" s="17"/>
      <x:c r="V384" s="17"/>
      <x:c r="W384" s="17"/>
      <x:c r="X384" s="17"/>
      <x:c r="Y384" s="17"/>
      <x:c r="Z384" s="17"/>
    </x:row>
    <x:row r="385">
      <x:c r="A385" s="17" t="str">
        <x:v>phi-3.5-mini</x:v>
      </x:c>
      <x:c r="B385" s="17" t="str">
        <x:v>Phi-3.5-mini-instruct</x:v>
      </x:c>
      <x:c r="C385" s="17"/>
      <x:c r="D385" s="17" t="str">
        <x:v>Microsoft</x:v>
      </x:c>
      <x:c r="E385" s="17" t="str">
        <x:v>United States of America</x:v>
      </x:c>
      <x:c r="F385" s="17" t="n">
        <x:v>45520</x:v>
      </x:c>
      <x:c r="G385" s="17" t="str">
        <x:v>Open weights (unrestricted)</x:v>
      </x:c>
      <x:c r="H385" s="17" t="n">
        <x:v>45405</x:v>
      </x:c>
      <x:c r="I385" s="17" t="n">
        <x:v>3.7101154e+22</x:v>
      </x:c>
      <x:c r="J385" s="17" t="str">
        <x:v>Confident</x:v>
      </x:c>
      <x:c r="K385" s="17" t="str">
        <x:v>An instruction-tuned version of phi-3.5-mini, a small model in Microsoft's Phi 3.5 open source model series.</x:v>
      </x:c>
      <x:c r="L385" s="17"/>
      <x:c r="M385" s="17"/>
      <x:c r="N385" s="17" t="str">
        <x:v>phi-3.5-mini</x:v>
      </x:c>
      <x:c r="O385" s="17" t="str">
        <x:v>phi-3-5-mini</x:v>
      </x:c>
      <x:c r="P385" s="17"/>
      <x:c r="Q385" s="17"/>
      <x:c r="R385" s="17"/>
      <x:c r="S385" s="17"/>
      <x:c r="T385" s="17"/>
      <x:c r="U385" s="17"/>
      <x:c r="V385" s="17"/>
      <x:c r="W385" s="17"/>
      <x:c r="X385" s="17"/>
      <x:c r="Y385" s="17"/>
      <x:c r="Z385" s="17"/>
    </x:row>
    <x:row r="386">
      <x:c r="A386" s="17" t="str">
        <x:v>Phi-3.5-MoE</x:v>
      </x:c>
      <x:c r="B386" s="17" t="str">
        <x:v>Phi-3.5-MoE-instruct</x:v>
      </x:c>
      <x:c r="C386" s="17"/>
      <x:c r="D386" s="17" t="str">
        <x:v>Microsoft</x:v>
      </x:c>
      <x:c r="E386" s="17" t="str">
        <x:v>United States of America</x:v>
      </x:c>
      <x:c r="F386" s="17" t="n">
        <x:v>45521</x:v>
      </x:c>
      <x:c r="G386" s="17" t="str">
        <x:v>Open weights (unrestricted)</x:v>
      </x:c>
      <x:c r="H386" s="17" t="n">
        <x:v>45405</x:v>
      </x:c>
      <x:c r="I386" s="17" t="n">
        <x:v>3.0202896e+23</x:v>
      </x:c>
      <x:c r="J386" s="17" t="str">
        <x:v>Confident</x:v>
      </x:c>
      <x:c r="K386" s="17"/>
      <x:c r="L386" s="17"/>
      <x:c r="M386" s="17"/>
      <x:c r="N386" s="17" t="str">
        <x:v>Phi-3.5-MoE</x:v>
      </x:c>
      <x:c r="O386" s="17" t="str">
        <x:v>phi-3-5-moe</x:v>
      </x:c>
      <x:c r="P386" s="17"/>
      <x:c r="Q386" s="17"/>
      <x:c r="R386" s="17"/>
      <x:c r="S386" s="17"/>
      <x:c r="T386" s="17"/>
      <x:c r="U386" s="17"/>
      <x:c r="V386" s="17"/>
      <x:c r="W386" s="17"/>
      <x:c r="X386" s="17"/>
      <x:c r="Y386" s="17"/>
      <x:c r="Z386" s="17"/>
    </x:row>
    <x:row r="387">
      <x:c r="A387" s="17" t="str">
        <x:v>Mistral 7B</x:v>
      </x:c>
      <x:c r="B387" s="17" t="str">
        <x:v>Mistral-7B-v0.1</x:v>
      </x:c>
      <x:c r="C387" s="17"/>
      <x:c r="D387" s="17" t="str">
        <x:v>Mistral AI</x:v>
      </x:c>
      <x:c r="E387" s="17" t="str">
        <x:v>France</x:v>
      </x:c>
      <x:c r="F387" s="17" t="n">
        <x:v>45196</x:v>
      </x:c>
      <x:c r="G387" s="17" t="str">
        <x:v>Open weights (unrestricted)</x:v>
      </x:c>
      <x:c r="H387" s="17" t="n">
        <x:v>45209</x:v>
      </x:c>
      <x:c r="I387" s="17"/>
      <x:c r="J387" s="17" t="str">
        <x:v>Confident</x:v>
      </x:c>
      <x:c r="K387" s="17"/>
      <x:c r="L387" s="17"/>
      <x:c r="M387" s="17" t="str">
        <x:v>Mistral 7B v0.1</x:v>
      </x:c>
      <x:c r="N387" s="17" t="str">
        <x:v>Mistral 7B v0.1</x:v>
      </x:c>
      <x:c r="O387" s="17" t="str">
        <x:v>mistral-7b-v0-1</x:v>
      </x:c>
      <x:c r="P387" s="17" t="n">
        <x:v>111.98</x:v>
      </x:c>
      <x:c r="Q387" s="17" t="n">
        <x:v>102.38</x:v>
      </x:c>
      <x:c r="R387" s="17" t="n">
        <x:v>115.99</x:v>
      </x:c>
      <x:c r="S387" s="17"/>
      <x:c r="T387" s="17"/>
      <x:c r="U387" s="17"/>
      <x:c r="V387" s="17"/>
      <x:c r="W387" s="17"/>
      <x:c r="X387" s="17"/>
      <x:c r="Y387" s="17"/>
      <x:c r="Z387" s="17"/>
    </x:row>
    <x:row r="388">
      <x:c r="A388" s="17" t="str">
        <x:v>Mistral NeMo</x:v>
      </x:c>
      <x:c r="B388" s="17" t="str">
        <x:v>Mistral-Nemo-Base-2407</x:v>
      </x:c>
      <x:c r="C388" s="17"/>
      <x:c r="D388" s="17" t="str">
        <x:v>Mistral AI</x:v>
      </x:c>
      <x:c r="E388" s="17" t="str">
        <x:v>France</x:v>
      </x:c>
      <x:c r="F388" s="17" t="n">
        <x:v>45491</x:v>
      </x:c>
      <x:c r="G388" s="17" t="str">
        <x:v>Open weights (unrestricted)</x:v>
      </x:c>
      <x:c r="H388" s="17" t="n">
        <x:v>45491</x:v>
      </x:c>
      <x:c r="I388" s="17"/>
      <x:c r="J388" s="17" t="str">
        <x:v>Confident</x:v>
      </x:c>
      <x:c r="K388" s="17"/>
      <x:c r="L388" s="17"/>
      <x:c r="M388" s="17"/>
      <x:c r="N388" s="17" t="str">
        <x:v>Mistral NeMo</x:v>
      </x:c>
      <x:c r="O388" s="17" t="str">
        <x:v>mistral-nemo</x:v>
      </x:c>
      <x:c r="P388" s="17" t="n">
        <x:v>118.38</x:v>
      </x:c>
      <x:c r="Q388" s="17" t="n">
        <x:v>109.85</x:v>
      </x:c>
      <x:c r="R388" s="17" t="n">
        <x:v>121.76</x:v>
      </x:c>
      <x:c r="S388" s="17"/>
      <x:c r="T388" s="17"/>
      <x:c r="U388" s="17"/>
      <x:c r="V388" s="17"/>
      <x:c r="W388" s="17"/>
      <x:c r="X388" s="17"/>
      <x:c r="Y388" s="17"/>
      <x:c r="Z388" s="17"/>
    </x:row>
    <x:row r="389">
      <x:c r="A389" s="17" t="str">
        <x:v>Gemma 2 9B</x:v>
      </x:c>
      <x:c r="B389" s="17" t="str">
        <x:v>gemma-2-9b</x:v>
      </x:c>
      <x:c r="C389" s="17"/>
      <x:c r="D389" s="17" t="str">
        <x:v>Google DeepMind</x:v>
      </x:c>
      <x:c r="E389" s="17" t="str">
        <x:v>United States of America</x:v>
      </x:c>
      <x:c r="F389" s="17"/>
      <x:c r="G389" s="17" t="str">
        <x:v>Open weights (restricted use)</x:v>
      </x:c>
      <x:c r="H389" s="17" t="n">
        <x:v>45467</x:v>
      </x:c>
      <x:c r="I389" s="17" t="n">
        <x:v>4.32e+23</x:v>
      </x:c>
      <x:c r="J389" s="17" t="str">
        <x:v>Confident</x:v>
      </x:c>
      <x:c r="K389" s="17" t="str">
        <x:v>A 9 billion-parameter open source model from Google DeepMind in the Gemma 2 series.</x:v>
      </x:c>
      <x:c r="L389" s="17"/>
      <x:c r="M389" s="17"/>
      <x:c r="N389" s="17" t="str">
        <x:v>Gemma 2 9B</x:v>
      </x:c>
      <x:c r="O389" s="17" t="str">
        <x:v>gemma-2-9b</x:v>
      </x:c>
      <x:c r="P389" s="17" t="n">
        <x:v>119.58</x:v>
      </x:c>
      <x:c r="Q389" s="17" t="n">
        <x:v>111.3</x:v>
      </x:c>
      <x:c r="R389" s="17" t="n">
        <x:v>122.38</x:v>
      </x:c>
      <x:c r="S389" s="17"/>
      <x:c r="T389" s="17"/>
      <x:c r="U389" s="17"/>
      <x:c r="V389" s="17"/>
      <x:c r="W389" s="17"/>
      <x:c r="X389" s="17"/>
      <x:c r="Y389" s="17"/>
      <x:c r="Z389" s="17"/>
    </x:row>
    <x:row r="390">
      <x:c r="A390" s="17" t="str">
        <x:v>Gopher (280B)</x:v>
      </x:c>
      <x:c r="B390" s="17" t="str">
        <x:v>Gopher (280B)</x:v>
      </x:c>
      <x:c r="C390" s="17"/>
      <x:c r="D390" s="17" t="str">
        <x:v>DeepMind</x:v>
      </x:c>
      <x:c r="E390" s="17" t="str">
        <x:v>United Kingdom of Great Britain and Northern Ireland</x:v>
      </x:c>
      <x:c r="F390" s="17" t="n">
        <x:v>44538</x:v>
      </x:c>
      <x:c r="G390" s="17" t="str">
        <x:v>Unreleased</x:v>
      </x:c>
      <x:c r="H390" s="17" t="n">
        <x:v>44538</x:v>
      </x:c>
      <x:c r="I390" s="17" t="n">
        <x:v>6.31e+23</x:v>
      </x:c>
      <x:c r="J390" s="17" t="str">
        <x:v>Confident</x:v>
      </x:c>
      <x:c r="K390" s="17" t="str">
        <x:v>A 280 billion-parameter model from DeepMind in 2021.</x:v>
      </x:c>
      <x:c r="L390" s="17"/>
      <x:c r="M390" s="17"/>
      <x:c r="N390" s="17" t="str">
        <x:v>Gopher (280B)</x:v>
      </x:c>
      <x:c r="O390" s="17" t="str">
        <x:v>gopher-280b</x:v>
      </x:c>
      <x:c r="P390" s="17"/>
      <x:c r="Q390" s="17"/>
      <x:c r="R390" s="17"/>
      <x:c r="S390" s="17"/>
      <x:c r="T390" s="17"/>
      <x:c r="U390" s="17"/>
      <x:c r="V390" s="17"/>
      <x:c r="W390" s="17"/>
      <x:c r="X390" s="17"/>
      <x:c r="Y390" s="17"/>
      <x:c r="Z390" s="17"/>
    </x:row>
    <x:row r="391">
      <x:c r="A391" s="17" t="str">
        <x:v>Megatron-Turing NLG 530B</x:v>
      </x:c>
      <x:c r="B391" s="17" t="str">
        <x:v>Megatron-Turing NLG 530B</x:v>
      </x:c>
      <x:c r="C391" s="17"/>
      <x:c r="D391" s="17" t="str">
        <x:v>Microsoft,NVIDIA</x:v>
      </x:c>
      <x:c r="E391" s="17" t="str">
        <x:v>United States of America</x:v>
      </x:c>
      <x:c r="F391" s="17" t="n">
        <x:v>44589</x:v>
      </x:c>
      <x:c r="G391" s="17" t="str">
        <x:v>Unreleased</x:v>
      </x:c>
      <x:c r="H391" s="17" t="n">
        <x:v>44480</x:v>
      </x:c>
      <x:c r="I391" s="17" t="n">
        <x:v>8.586e+23</x:v>
      </x:c>
      <x:c r="J391" s="17" t="str">
        <x:v>Confident</x:v>
      </x:c>
      <x:c r="K391" s="17"/>
      <x:c r="L391" s="17"/>
      <x:c r="M391" s="17"/>
      <x:c r="N391" s="17" t="str">
        <x:v>Megatron-Turing NLG 530B</x:v>
      </x:c>
      <x:c r="O391" s="17" t="str">
        <x:v>megatron-turing-nlg-530b</x:v>
      </x:c>
      <x:c r="P391" s="17"/>
      <x:c r="Q391" s="17"/>
      <x:c r="R391" s="17"/>
      <x:c r="S391" s="17"/>
      <x:c r="T391" s="17"/>
      <x:c r="U391" s="17"/>
      <x:c r="V391" s="17"/>
      <x:c r="W391" s="17"/>
      <x:c r="X391" s="17"/>
      <x:c r="Y391" s="17"/>
      <x:c r="Z391" s="17"/>
    </x:row>
    <x:row r="392">
      <x:c r="A392" s="17" t="str">
        <x:v>DeepSeek-V2 (MoE-236B)</x:v>
      </x:c>
      <x:c r="B392" s="17" t="str">
        <x:v>DeepSeek-V2</x:v>
      </x:c>
      <x:c r="C392" s="17"/>
      <x:c r="D392" s="17" t="str">
        <x:v>DeepSeek</x:v>
      </x:c>
      <x:c r="E392" s="17" t="str">
        <x:v>China</x:v>
      </x:c>
      <x:c r="F392" s="17" t="n">
        <x:v>45419</x:v>
      </x:c>
      <x:c r="G392" s="17" t="str">
        <x:v>Open weights (restricted use)</x:v>
      </x:c>
      <x:c r="H392" s="17" t="n">
        <x:v>45419</x:v>
      </x:c>
      <x:c r="I392" s="17" t="n">
        <x:v>1.02e+24</x:v>
      </x:c>
      <x:c r="J392" s="17" t="str">
        <x:v>Confident</x:v>
      </x:c>
      <x:c r="K392" s="17"/>
      <x:c r="L392" s="17"/>
      <x:c r="M392" s="17" t="str">
        <x:v>DeepSeek-V2 (MoE-236B, May 2024)</x:v>
      </x:c>
      <x:c r="N392" s="17" t="str">
        <x:v>DeepSeek-V2 (MoE-236B, May 2024)</x:v>
      </x:c>
      <x:c r="O392" s="17" t="str">
        <x:v>deepseek-v2-moe-236b-may-2024</x:v>
      </x:c>
      <x:c r="P392" s="17" t="n">
        <x:v>124.58</x:v>
      </x:c>
      <x:c r="Q392" s="17" t="n">
        <x:v>117.97</x:v>
      </x:c>
      <x:c r="R392" s="17" t="n">
        <x:v>127.63</x:v>
      </x:c>
      <x:c r="S392" s="17"/>
      <x:c r="T392" s="17"/>
      <x:c r="U392" s="17"/>
      <x:c r="V392" s="17"/>
      <x:c r="W392" s="17"/>
      <x:c r="X392" s="17"/>
      <x:c r="Y392" s="17"/>
      <x:c r="Z392" s="17"/>
    </x:row>
    <x:row r="393">
      <x:c r="A393" s="17" t="str">
        <x:v>Qwen2.5-72B</x:v>
      </x:c>
      <x:c r="B393" s="17" t="str">
        <x:v>Qwen2.5-72B</x:v>
      </x:c>
      <x:c r="C393" s="17"/>
      <x:c r="D393" s="17" t="str">
        <x:v>Alibaba</x:v>
      </x:c>
      <x:c r="E393" s="17" t="str">
        <x:v>China</x:v>
      </x:c>
      <x:c r="F393" s="17" t="n">
        <x:v>45554</x:v>
      </x:c>
      <x:c r="G393" s="17" t="str">
        <x:v>Open weights (unrestricted)</x:v>
      </x:c>
      <x:c r="H393" s="17" t="n">
        <x:v>45554</x:v>
      </x:c>
      <x:c r="I393" s="17" t="n">
        <x:v>7.8e+24</x:v>
      </x:c>
      <x:c r="J393" s="17" t="str">
        <x:v>Confident</x:v>
      </x:c>
      <x:c r="K393" s="17" t="str">
        <x:v>A 72 billion-parameter model in the Qwen 2.5 series.</x:v>
      </x:c>
      <x:c r="L393" s="17" t="str">
        <x:v>Qwen2.5-72B</x:v>
      </x:c>
      <x:c r="M393" s="17"/>
      <x:c r="N393" s="17" t="str">
        <x:v>Qwen2.5-72B</x:v>
      </x:c>
      <x:c r="O393" s="17" t="str">
        <x:v>qwen2-5-72b</x:v>
      </x:c>
      <x:c r="P393" s="17" t="n">
        <x:v>129.12</x:v>
      </x:c>
      <x:c r="Q393" s="17" t="n">
        <x:v>122.2</x:v>
      </x:c>
      <x:c r="R393" s="17" t="n">
        <x:v>130.91</x:v>
      </x:c>
      <x:c r="S393" s="17"/>
      <x:c r="T393" s="17"/>
      <x:c r="U393" s="17"/>
      <x:c r="V393" s="17"/>
      <x:c r="W393" s="17"/>
      <x:c r="X393" s="17"/>
      <x:c r="Y393" s="17"/>
      <x:c r="Z393" s="17"/>
    </x:row>
    <x:row r="394">
      <x:c r="A394" s="17" t="str">
        <x:v>Llama 3.1-405B</x:v>
      </x:c>
      <x:c r="B394" s="17" t="str">
        <x:v>Llama-3.1-405B</x:v>
      </x:c>
      <x:c r="C394" s="17"/>
      <x:c r="D394" s="17" t="str">
        <x:v>Meta AI</x:v>
      </x:c>
      <x:c r="E394" s="17" t="str">
        <x:v>United States of America</x:v>
      </x:c>
      <x:c r="F394" s="17" t="n">
        <x:v>45496</x:v>
      </x:c>
      <x:c r="G394" s="17" t="str">
        <x:v>Open weights (restricted use)</x:v>
      </x:c>
      <x:c r="H394" s="17" t="n">
        <x:v>45496</x:v>
      </x:c>
      <x:c r="I394" s="17" t="n">
        <x:v>3.8e+25</x:v>
      </x:c>
      <x:c r="J394" s="17" t="str">
        <x:v>Confident</x:v>
      </x:c>
      <x:c r="K394" s="17" t="str">
        <x:v>The 405 billion-parameter model in Meta’s LLaMA 3.1 series.</x:v>
      </x:c>
      <x:c r="L394" s="17"/>
      <x:c r="M394" s="17"/>
      <x:c r="N394" s="17" t="str">
        <x:v>Llama 3.1-405B</x:v>
      </x:c>
      <x:c r="O394" s="17" t="str">
        <x:v>llama-3-1-405b</x:v>
      </x:c>
      <x:c r="P394" s="17" t="n">
        <x:v>128.99</x:v>
      </x:c>
      <x:c r="Q394" s="17" t="n">
        <x:v>123.59</x:v>
      </x:c>
      <x:c r="R394" s="17" t="n">
        <x:v>130.73</x:v>
      </x:c>
      <x:c r="S394" s="17"/>
      <x:c r="T394" s="17"/>
      <x:c r="U394" s="17"/>
      <x:c r="V394" s="17"/>
      <x:c r="W394" s="17"/>
      <x:c r="X394" s="17"/>
      <x:c r="Y394" s="17"/>
      <x:c r="Z394" s="17"/>
    </x:row>
    <x:row r="395">
      <x:c r="A395" s="17" t="str">
        <x:v>DeepSeek-V3</x:v>
      </x:c>
      <x:c r="B395" s="17" t="str">
        <x:v>DeepSeek-V3-Base</x:v>
      </x:c>
      <x:c r="C395" s="17"/>
      <x:c r="D395" s="17" t="str">
        <x:v>DeepSeek</x:v>
      </x:c>
      <x:c r="E395" s="17" t="str">
        <x:v>China</x:v>
      </x:c>
      <x:c r="F395" s="17" t="n">
        <x:v>45652</x:v>
      </x:c>
      <x:c r="G395" s="17" t="str">
        <x:v>Open weights (restricted use)</x:v>
      </x:c>
      <x:c r="H395" s="17" t="n">
        <x:v>45650</x:v>
      </x:c>
      <x:c r="I395" s="17" t="n">
        <x:v>3.3e+24</x:v>
      </x:c>
      <x:c r="J395" s="17" t="str">
        <x:v>Confident</x:v>
      </x:c>
      <x:c r="K395" s="17"/>
      <x:c r="L395" s="17" t="str">
        <x:v>DeepSeek-V3 (base)</x:v>
      </x:c>
      <x:c r="M395" s="17"/>
      <x:c r="N395" s="17" t="str">
        <x:v>DeepSeek-V3</x:v>
      </x:c>
      <x:c r="O395" s="17" t="str">
        <x:v>deepseek-v3</x:v>
      </x:c>
      <x:c r="P395" s="17" t="n">
        <x:v>132.99</x:v>
      </x:c>
      <x:c r="Q395" s="17" t="n">
        <x:v>127.9</x:v>
      </x:c>
      <x:c r="R395" s="17" t="n">
        <x:v>135.76</x:v>
      </x:c>
      <x:c r="S395" s="17"/>
      <x:c r="T395" s="17"/>
      <x:c r="U395" s="17"/>
      <x:c r="V395" s="17"/>
      <x:c r="W395" s="17"/>
      <x:c r="X395" s="17"/>
      <x:c r="Y395" s="17"/>
      <x:c r="Z395" s="17"/>
    </x:row>
    <x:row r="396">
      <x:c r="A396" s="17" t="str">
        <x:v>MPT-30B</x:v>
      </x:c>
      <x:c r="B396" s="17" t="str">
        <x:v>mpt-30b</x:v>
      </x:c>
      <x:c r="C396" s="17"/>
      <x:c r="D396" s="17" t="str">
        <x:v>MosaicML</x:v>
      </x:c>
      <x:c r="E396" s="17" t="str">
        <x:v>United States of America</x:v>
      </x:c>
      <x:c r="F396" s="17" t="n">
        <x:v>45099</x:v>
      </x:c>
      <x:c r="G396" s="17" t="str">
        <x:v>Open weights (unrestricted)</x:v>
      </x:c>
      <x:c r="H396" s="17" t="n">
        <x:v>45099</x:v>
      </x:c>
      <x:c r="I396" s="17" t="n">
        <x:v>1.8900000000001e+23</x:v>
      </x:c>
      <x:c r="J396" s="17" t="str">
        <x:v>Confident</x:v>
      </x:c>
      <x:c r="K396" s="17"/>
      <x:c r="L396" s="17"/>
      <x:c r="M396" s="17"/>
      <x:c r="N396" s="17" t="str">
        <x:v>MPT-30B</x:v>
      </x:c>
      <x:c r="O396" s="17" t="str">
        <x:v>mpt-30b</x:v>
      </x:c>
      <x:c r="P396" s="17" t="n">
        <x:v>100.38</x:v>
      </x:c>
      <x:c r="Q396" s="17" t="n">
        <x:v>89.25</x:v>
      </x:c>
      <x:c r="R396" s="17" t="n">
        <x:v>106.66</x:v>
      </x:c>
      <x:c r="S396" s="17"/>
      <x:c r="T396" s="17"/>
      <x:c r="U396" s="17"/>
      <x:c r="V396" s="17"/>
      <x:c r="W396" s="17"/>
      <x:c r="X396" s="17"/>
      <x:c r="Y396" s="17"/>
      <x:c r="Z396" s="17"/>
    </x:row>
    <x:row r="397">
      <x:c r="A397" s="17" t="str">
        <x:v>Falcon-40B</x:v>
      </x:c>
      <x:c r="B397" s="17" t="str">
        <x:v>falcon-40b</x:v>
      </x:c>
      <x:c r="C397" s="17"/>
      <x:c r="D397" s="17" t="str">
        <x:v>Technology Innovation Institute</x:v>
      </x:c>
      <x:c r="E397" s="17" t="str">
        <x:v>United Arab Emirates</x:v>
      </x:c>
      <x:c r="F397" s="17" t="n">
        <x:v>45000</x:v>
      </x:c>
      <x:c r="G397" s="17" t="str">
        <x:v>Open weights (unrestricted)</x:v>
      </x:c>
      <x:c r="H397" s="17" t="n">
        <x:v>45000</x:v>
      </x:c>
      <x:c r="I397" s="17" t="n">
        <x:v>2.4e+23</x:v>
      </x:c>
      <x:c r="J397" s="17" t="str">
        <x:v>Confident</x:v>
      </x:c>
      <x:c r="K397" s="17" t="str">
        <x:v>The 40 billion-parameter model in the Falcon series.</x:v>
      </x:c>
      <x:c r="L397" s="17"/>
      <x:c r="M397" s="17"/>
      <x:c r="N397" s="17" t="str">
        <x:v>Falcon-40B</x:v>
      </x:c>
      <x:c r="O397" s="17" t="str">
        <x:v>falcon-40b</x:v>
      </x:c>
      <x:c r="P397" s="17" t="n">
        <x:v>104.19</x:v>
      </x:c>
      <x:c r="Q397" s="17" t="n">
        <x:v>94.99</x:v>
      </x:c>
      <x:c r="R397" s="17" t="n">
        <x:v>110.58</x:v>
      </x:c>
      <x:c r="S397" s="17"/>
      <x:c r="T397" s="17"/>
      <x:c r="U397" s="17"/>
      <x:c r="V397" s="17"/>
      <x:c r="W397" s="17"/>
      <x:c r="X397" s="17"/>
      <x:c r="Y397" s="17"/>
      <x:c r="Z397" s="17"/>
    </x:row>
    <x:row r="398">
      <x:c r="A398" s="17" t="str">
        <x:v>Llama 2-34B</x:v>
      </x:c>
      <x:c r="B398" s="17" t="str">
        <x:v>Llama-2-34b</x:v>
      </x:c>
      <x:c r="C398" s="17"/>
      <x:c r="D398" s="17" t="str">
        <x:v>Meta AI</x:v>
      </x:c>
      <x:c r="E398" s="17" t="str">
        <x:v>United States of America</x:v>
      </x:c>
      <x:c r="F398" s="17" t="n">
        <x:v>45125</x:v>
      </x:c>
      <x:c r="G398" s="17" t="str">
        <x:v>Unreleased</x:v>
      </x:c>
      <x:c r="H398" s="17" t="n">
        <x:v>45125</x:v>
      </x:c>
      <x:c r="I398" s="17" t="n">
        <x:v>4.08e+23</x:v>
      </x:c>
      <x:c r="J398" s="17" t="str">
        <x:v>Confident</x:v>
      </x:c>
      <x:c r="K398" s="17" t="str">
        <x:v>Meta's 34 billion-parameter model in the Llama 2 series.</x:v>
      </x:c>
      <x:c r="L398" s="17"/>
      <x:c r="M398" s="17"/>
      <x:c r="N398" s="17" t="str">
        <x:v>Llama 2-34B</x:v>
      </x:c>
      <x:c r="O398" s="17" t="str">
        <x:v>llama-2-34b</x:v>
      </x:c>
      <x:c r="P398" s="17" t="n">
        <x:v>104.95</x:v>
      </x:c>
      <x:c r="Q398" s="17" t="n">
        <x:v>94.08</x:v>
      </x:c>
      <x:c r="R398" s="17" t="n">
        <x:v>110.71</x:v>
      </x:c>
      <x:c r="S398" s="17"/>
      <x:c r="T398" s="17"/>
      <x:c r="U398" s="17"/>
      <x:c r="V398" s="17"/>
      <x:c r="W398" s="17"/>
      <x:c r="X398" s="17"/>
      <x:c r="Y398" s="17"/>
      <x:c r="Z398" s="17"/>
    </x:row>
    <x:row r="399">
      <x:c r="A399" s="17" t="str">
        <x:v>Chinchilla</x:v>
      </x:c>
      <x:c r="B399" s="17" t="str">
        <x:v>Chinchilla (70B)</x:v>
      </x:c>
      <x:c r="C399" s="17"/>
      <x:c r="D399" s="17" t="str">
        <x:v>DeepMind</x:v>
      </x:c>
      <x:c r="E399" s="17" t="str">
        <x:v>United Kingdom of Great Britain and Northern Ireland</x:v>
      </x:c>
      <x:c r="F399" s="17" t="n">
        <x:v>44649</x:v>
      </x:c>
      <x:c r="G399" s="17" t="str">
        <x:v>Unreleased</x:v>
      </x:c>
      <x:c r="H399" s="17" t="n">
        <x:v>44649</x:v>
      </x:c>
      <x:c r="I399" s="17" t="n">
        <x:v>5.76e+23</x:v>
      </x:c>
      <x:c r="J399" s="17" t="str">
        <x:v>Confident</x:v>
      </x:c>
      <x:c r="K399" s="17"/>
      <x:c r="L399" s="17" t="str">
        <x:v>Chinchilla</x:v>
      </x:c>
      <x:c r="M399" s="17"/>
      <x:c r="N399" s="17" t="str">
        <x:v>Chinchilla</x:v>
      </x:c>
      <x:c r="O399" s="17" t="str">
        <x:v>chinchilla</x:v>
      </x:c>
      <x:c r="P399" s="17"/>
      <x:c r="Q399" s="17"/>
      <x:c r="R399" s="17"/>
      <x:c r="S399" s="17"/>
      <x:c r="T399" s="17"/>
      <x:c r="U399" s="17"/>
      <x:c r="V399" s="17"/>
      <x:c r="W399" s="17"/>
      <x:c r="X399" s="17"/>
      <x:c r="Y399" s="17"/>
      <x:c r="Z399" s="17"/>
    </x:row>
    <x:row r="400">
      <x:c r="A400" s="17"/>
      <x:c r="B400" s="17" t="str">
        <x:v>PaLM 62B</x:v>
      </x:c>
      <x:c r="C400" s="17"/>
      <x:c r="D400" s="17"/>
      <x:c r="E400" s="17"/>
      <x:c r="F400" s="17" t="n">
        <x:v>44655</x:v>
      </x:c>
      <x:c r="G400" s="17"/>
      <x:c r="H400" s="17"/>
      <x:c r="I400" s="17"/>
      <x:c r="J400" s="17" t="str">
        <x:v>Unverified</x:v>
      </x:c>
      <x:c r="K400" s="17" t="str">
        <x:v>Google's 62 billion-parameter model in the PaLM series.</x:v>
      </x:c>
      <x:c r="L400" s="17"/>
      <x:c r="M400" s="17"/>
      <x:c r="N400" s="17"/>
      <x:c r="O400" s="17" t="str">
        <x:v>palm-62b</x:v>
      </x:c>
      <x:c r="P400" s="17"/>
      <x:c r="Q400" s="17"/>
      <x:c r="R400" s="17"/>
      <x:c r="S400" s="17"/>
      <x:c r="T400" s="17"/>
      <x:c r="U400" s="17"/>
      <x:c r="V400" s="17"/>
      <x:c r="W400" s="17"/>
      <x:c r="X400" s="17"/>
      <x:c r="Y400" s="17"/>
      <x:c r="Z400" s="17"/>
    </x:row>
    <x:row r="401">
      <x:c r="A401" s="17" t="str">
        <x:v>PaLM (540B)</x:v>
      </x:c>
      <x:c r="B401" s="17" t="str">
        <x:v>PaLM 540B</x:v>
      </x:c>
      <x:c r="C401" s="17"/>
      <x:c r="D401" s="17" t="str">
        <x:v>Google Research</x:v>
      </x:c>
      <x:c r="E401" s="17" t="str">
        <x:v>United States of America</x:v>
      </x:c>
      <x:c r="F401" s="17" t="n">
        <x:v>44655</x:v>
      </x:c>
      <x:c r="G401" s="17" t="str">
        <x:v>Unreleased</x:v>
      </x:c>
      <x:c r="H401" s="17" t="n">
        <x:v>44655</x:v>
      </x:c>
      <x:c r="I401" s="17" t="n">
        <x:v>2.5272e+24</x:v>
      </x:c>
      <x:c r="J401" s="17" t="str">
        <x:v>Confident</x:v>
      </x:c>
      <x:c r="K401" s="17" t="str">
        <x:v>Google's largest model in the PaLM series.</x:v>
      </x:c>
      <x:c r="L401" s="17"/>
      <x:c r="M401" s="17"/>
      <x:c r="N401" s="17" t="str">
        <x:v>PaLM (540B)</x:v>
      </x:c>
      <x:c r="O401" s="17" t="str">
        <x:v>palm-540b</x:v>
      </x:c>
      <x:c r="P401" s="17"/>
      <x:c r="Q401" s="17"/>
      <x:c r="R401" s="17"/>
      <x:c r="S401" s="17"/>
      <x:c r="T401" s="17"/>
      <x:c r="U401" s="17"/>
      <x:c r="V401" s="17"/>
      <x:c r="W401" s="17"/>
      <x:c r="X401" s="17"/>
      <x:c r="Y401" s="17"/>
      <x:c r="Z401" s="17"/>
    </x:row>
    <x:row r="402">
      <x:c r="A402" s="17" t="str">
        <x:v>Mistral 7B</x:v>
      </x:c>
      <x:c r="B402" s="17" t="str">
        <x:v>Mistral-7B-Instruct-v0.1</x:v>
      </x:c>
      <x:c r="C402" s="17"/>
      <x:c r="D402" s="17" t="str">
        <x:v>Mistral AI</x:v>
      </x:c>
      <x:c r="E402" s="17" t="str">
        <x:v>France</x:v>
      </x:c>
      <x:c r="F402" s="17" t="n">
        <x:v>45196</x:v>
      </x:c>
      <x:c r="G402" s="17" t="str">
        <x:v>Open weights (unrestricted)</x:v>
      </x:c>
      <x:c r="H402" s="17" t="n">
        <x:v>45209</x:v>
      </x:c>
      <x:c r="I402" s="17"/>
      <x:c r="J402" s="17" t="str">
        <x:v>Confident</x:v>
      </x:c>
      <x:c r="K402" s="17"/>
      <x:c r="L402" s="17"/>
      <x:c r="M402" s="17" t="str">
        <x:v>Mistral 7B v0.1</x:v>
      </x:c>
      <x:c r="N402" s="17" t="str">
        <x:v>Mistral 7B v0.1</x:v>
      </x:c>
      <x:c r="O402" s="17" t="str">
        <x:v>mistral-7b-v0-1</x:v>
      </x:c>
      <x:c r="P402" s="17" t="n">
        <x:v>111.98</x:v>
      </x:c>
      <x:c r="Q402" s="17" t="n">
        <x:v>102.38</x:v>
      </x:c>
      <x:c r="R402" s="17" t="n">
        <x:v>115.99</x:v>
      </x:c>
      <x:c r="S402" s="17"/>
      <x:c r="T402" s="17"/>
      <x:c r="U402" s="17"/>
      <x:c r="V402" s="17"/>
      <x:c r="W402" s="17"/>
      <x:c r="X402" s="17"/>
      <x:c r="Y402" s="17"/>
      <x:c r="Z402" s="17"/>
    </x:row>
    <x:row r="403">
      <x:c r="A403" s="17" t="str">
        <x:v>Mixtral 8x7B</x:v>
      </x:c>
      <x:c r="B403" s="17" t="str">
        <x:v>Mixtral-8x7B-v0.1</x:v>
      </x:c>
      <x:c r="C403" s="17"/>
      <x:c r="D403" s="17" t="str">
        <x:v>Mistral AI</x:v>
      </x:c>
      <x:c r="E403" s="17" t="str">
        <x:v>France</x:v>
      </x:c>
      <x:c r="F403" s="17" t="n">
        <x:v>45271</x:v>
      </x:c>
      <x:c r="G403" s="17" t="str">
        <x:v>Open weights (unrestricted)</x:v>
      </x:c>
      <x:c r="H403" s="17" t="n">
        <x:v>45271</x:v>
      </x:c>
      <x:c r="I403" s="17" t="n">
        <x:v>7.74e+23</x:v>
      </x:c>
      <x:c r="J403" s="17" t="str">
        <x:v>Speculative</x:v>
      </x:c>
      <x:c r="K403" s="17"/>
      <x:c r="L403" s="17"/>
      <x:c r="M403" s="17"/>
      <x:c r="N403" s="17" t="str">
        <x:v>Mixtral 8x7B</x:v>
      </x:c>
      <x:c r="O403" s="17" t="str">
        <x:v>mixtral-8x7b</x:v>
      </x:c>
      <x:c r="P403" s="17" t="n">
        <x:v>118.13</x:v>
      </x:c>
      <x:c r="Q403" s="17" t="n">
        <x:v>109.36</x:v>
      </x:c>
      <x:c r="R403" s="17" t="n">
        <x:v>120.78</x:v>
      </x:c>
      <x:c r="S403" s="17"/>
      <x:c r="T403" s="17"/>
      <x:c r="U403" s="17"/>
      <x:c r="V403" s="17"/>
      <x:c r="W403" s="17"/>
      <x:c r="X403" s="17"/>
      <x:c r="Y403" s="17"/>
      <x:c r="Z403" s="17"/>
    </x:row>
    <x:row r="404">
      <x:c r="A404" s="17" t="str">
        <x:v>Nemotron-4 15B</x:v>
      </x:c>
      <x:c r="B404" s="17" t="str">
        <x:v>Nemotron-4 15B</x:v>
      </x:c>
      <x:c r="C404" s="17"/>
      <x:c r="D404" s="17" t="str">
        <x:v>NVIDIA</x:v>
      </x:c>
      <x:c r="E404" s="17" t="str">
        <x:v>United States of America</x:v>
      </x:c>
      <x:c r="F404" s="17" t="n">
        <x:v>45348</x:v>
      </x:c>
      <x:c r="G404" s="17" t="str">
        <x:v>Unreleased</x:v>
      </x:c>
      <x:c r="H404" s="17" t="n">
        <x:v>45349</x:v>
      </x:c>
      <x:c r="I404" s="17" t="n">
        <x:v>7.5005116e+23</x:v>
      </x:c>
      <x:c r="J404" s="17" t="str">
        <x:v>Confident</x:v>
      </x:c>
      <x:c r="K404" s="17" t="str">
        <x:v>A 15 billion-parameter language model trained by Nvidia.</x:v>
      </x:c>
      <x:c r="L404" s="17"/>
      <x:c r="M404" s="17"/>
      <x:c r="N404" s="17" t="str">
        <x:v>Nemotron-4 15B</x:v>
      </x:c>
      <x:c r="O404" s="17" t="str">
        <x:v>nemotron-4-15b</x:v>
      </x:c>
      <x:c r="P404" s="17" t="n">
        <x:v>107.48</x:v>
      </x:c>
      <x:c r="Q404" s="17" t="n">
        <x:v>96.93</x:v>
      </x:c>
      <x:c r="R404" s="17" t="n">
        <x:v>113.63</x:v>
      </x:c>
      <x:c r="S404" s="17"/>
      <x:c r="T404" s="17"/>
      <x:c r="U404" s="17"/>
      <x:c r="V404" s="17"/>
      <x:c r="W404" s="17"/>
      <x:c r="X404" s="17"/>
      <x:c r="Y404" s="17"/>
      <x:c r="Z404" s="17"/>
    </x:row>
    <x:row r="405">
      <x:c r="A405" s="17"/>
      <x:c r="B405" s="17" t="str">
        <x:v>vicuna-13b-v1.1</x:v>
      </x:c>
      <x:c r="C405" s="17"/>
      <x:c r="D405" s="17"/>
      <x:c r="E405" s="17"/>
      <x:c r="F405" s="17" t="n">
        <x:v>45028</x:v>
      </x:c>
      <x:c r="G405" s="17"/>
      <x:c r="H405" s="17"/>
      <x:c r="I405" s="17"/>
      <x:c r="J405" s="17" t="str">
        <x:v>Unverified</x:v>
      </x:c>
      <x:c r="K405" s="17"/>
      <x:c r="L405" s="17"/>
      <x:c r="M405" s="17"/>
      <x:c r="N405" s="17"/>
      <x:c r="O405" s="17" t="str">
        <x:v>vicuna-13b-v1-1</x:v>
      </x:c>
      <x:c r="P405" s="17"/>
      <x:c r="Q405" s="17"/>
      <x:c r="R405" s="17"/>
      <x:c r="S405" s="17"/>
      <x:c r="T405" s="17"/>
      <x:c r="U405" s="17"/>
      <x:c r="V405" s="17"/>
      <x:c r="W405" s="17"/>
      <x:c r="X405" s="17"/>
      <x:c r="Y405" s="17"/>
      <x:c r="Z405" s="17"/>
    </x:row>
    <x:row r="406">
      <x:c r="A406" s="17" t="str">
        <x:v>OPT-1.3B</x:v>
      </x:c>
      <x:c r="B406" s="17" t="str">
        <x:v>opt-1.3b</x:v>
      </x:c>
      <x:c r="C406" s="17"/>
      <x:c r="D406" s="17" t="str">
        <x:v>Meta AI</x:v>
      </x:c>
      <x:c r="E406" s="17" t="str">
        <x:v>United States of America</x:v>
      </x:c>
      <x:c r="F406" s="17" t="n">
        <x:v>44692</x:v>
      </x:c>
      <x:c r="G406" s="17" t="str">
        <x:v>Open weights (non-commercial)</x:v>
      </x:c>
      <x:c r="H406" s="17" t="n">
        <x:v>44733</x:v>
      </x:c>
      <x:c r="I406" s="17"/>
      <x:c r="J406" s="17" t="str">
        <x:v>Confident</x:v>
      </x:c>
      <x:c r="K406" s="17"/>
      <x:c r="L406" s="17"/>
      <x:c r="M406" s="17"/>
      <x:c r="N406" s="17" t="str">
        <x:v>OPT-1.3B</x:v>
      </x:c>
      <x:c r="O406" s="17" t="str">
        <x:v>opt-1-3b</x:v>
      </x:c>
      <x:c r="P406" s="17"/>
      <x:c r="Q406" s="17"/>
      <x:c r="R406" s="17"/>
      <x:c r="S406" s="17"/>
      <x:c r="T406" s="17"/>
      <x:c r="U406" s="17"/>
      <x:c r="V406" s="17"/>
      <x:c r="W406" s="17"/>
      <x:c r="X406" s="17"/>
      <x:c r="Y406" s="17"/>
      <x:c r="Z406" s="17"/>
    </x:row>
    <x:row r="407">
      <x:c r="A407" s="17" t="str">
        <x:v>GPT-Neo-2.7B</x:v>
      </x:c>
      <x:c r="B407" s="17" t="str">
        <x:v>gpt-neo-2.7B</x:v>
      </x:c>
      <x:c r="C407" s="17"/>
      <x:c r="D407" s="17" t="str">
        <x:v>EleutherAI</x:v>
      </x:c>
      <x:c r="E407" s="17" t="str">
        <x:v>United States of America</x:v>
      </x:c>
      <x:c r="F407" s="17" t="n">
        <x:v>45015</x:v>
      </x:c>
      <x:c r="G407" s="17" t="str">
        <x:v>Open weights (unrestricted)</x:v>
      </x:c>
      <x:c r="H407" s="17" t="n">
        <x:v>44276</x:v>
      </x:c>
      <x:c r="I407" s="17" t="n">
        <x:v>7.9e+21</x:v>
      </x:c>
      <x:c r="J407" s="17" t="str">
        <x:v>Confident</x:v>
      </x:c>
      <x:c r="K407" s="17"/>
      <x:c r="L407" s="17"/>
      <x:c r="M407" s="17"/>
      <x:c r="N407" s="17" t="str">
        <x:v>GPT-Neo-2.7B</x:v>
      </x:c>
      <x:c r="O407" s="17" t="str">
        <x:v>gpt-neo-2-7b</x:v>
      </x:c>
      <x:c r="P407" s="17"/>
      <x:c r="Q407" s="17"/>
      <x:c r="R407" s="17"/>
      <x:c r="S407" s="17"/>
      <x:c r="T407" s="17"/>
      <x:c r="U407" s="17"/>
      <x:c r="V407" s="17"/>
      <x:c r="W407" s="17"/>
      <x:c r="X407" s="17"/>
      <x:c r="Y407" s="17"/>
      <x:c r="Z407" s="17"/>
    </x:row>
    <x:row r="408">
      <x:c r="A408" s="17" t="str">
        <x:v>Inflection-1</x:v>
      </x:c>
      <x:c r="B408" s="17" t="str">
        <x:v>Inflection-1</x:v>
      </x:c>
      <x:c r="C408" s="17"/>
      <x:c r="D408" s="17" t="str">
        <x:v>Inflection AI</x:v>
      </x:c>
      <x:c r="E408" s="17" t="str">
        <x:v>United States of America</x:v>
      </x:c>
      <x:c r="F408" s="17" t="n">
        <x:v>45099</x:v>
      </x:c>
      <x:c r="G408" s="17" t="str">
        <x:v>Hosted access (no API)</x:v>
      </x:c>
      <x:c r="H408" s="17" t="n">
        <x:v>45100</x:v>
      </x:c>
      <x:c r="I408" s="17" t="n">
        <x:v>1.0001e+24</x:v>
      </x:c>
      <x:c r="J408" s="17" t="str">
        <x:v>Speculative</x:v>
      </x:c>
      <x:c r="K408" s="17"/>
      <x:c r="L408" s="17"/>
      <x:c r="M408" s="17"/>
      <x:c r="N408" s="17" t="str">
        <x:v>Inflection-1</x:v>
      </x:c>
      <x:c r="O408" s="17" t="str">
        <x:v>inflection-1</x:v>
      </x:c>
      <x:c r="P408" s="17"/>
      <x:c r="Q408" s="17"/>
      <x:c r="R408" s="17"/>
      <x:c r="S408" s="17"/>
      <x:c r="T408" s="17"/>
      <x:c r="U408" s="17"/>
      <x:c r="V408" s="17"/>
      <x:c r="W408" s="17"/>
      <x:c r="X408" s="17"/>
      <x:c r="Y408" s="17"/>
      <x:c r="Z408" s="17"/>
    </x:row>
    <x:row r="409">
      <x:c r="A409" s="17" t="str">
        <x:v>Falcon-180B</x:v>
      </x:c>
      <x:c r="B409" s="17" t="str">
        <x:v>falcon-180B</x:v>
      </x:c>
      <x:c r="C409" s="17"/>
      <x:c r="D409" s="17" t="str">
        <x:v>Technology Innovation Institute</x:v>
      </x:c>
      <x:c r="E409" s="17" t="str">
        <x:v>United Arab Emirates</x:v>
      </x:c>
      <x:c r="F409" s="17" t="n">
        <x:v>45175</x:v>
      </x:c>
      <x:c r="G409" s="17" t="str">
        <x:v>Open weights (restricted use)</x:v>
      </x:c>
      <x:c r="H409" s="17" t="n">
        <x:v>45175</x:v>
      </x:c>
      <x:c r="I409" s="17" t="n">
        <x:v>3.76e+24</x:v>
      </x:c>
      <x:c r="J409" s="17" t="str">
        <x:v>Confident</x:v>
      </x:c>
      <x:c r="K409" s="17" t="str">
        <x:v>The 180 billion-parameter model in the Falcon series.</x:v>
      </x:c>
      <x:c r="L409" s="17"/>
      <x:c r="M409" s="17"/>
      <x:c r="N409" s="17" t="str">
        <x:v>Falcon-180B</x:v>
      </x:c>
      <x:c r="O409" s="17" t="str">
        <x:v>falcon-180b</x:v>
      </x:c>
      <x:c r="P409" s="17" t="n">
        <x:v>111.92</x:v>
      </x:c>
      <x:c r="Q409" s="17" t="n">
        <x:v>102.04</x:v>
      </x:c>
      <x:c r="R409" s="17" t="n">
        <x:v>119.45</x:v>
      </x:c>
      <x:c r="S409" s="17"/>
      <x:c r="T409" s="17"/>
      <x:c r="U409" s="17"/>
      <x:c r="V409" s="17"/>
      <x:c r="W409" s="17"/>
      <x:c r="X409" s="17"/>
      <x:c r="Y409" s="17"/>
      <x:c r="Z409" s="17"/>
    </x:row>
    <x:row r="410">
      <x:c r="A410" s="17" t="str">
        <x:v>XGen-7B</x:v>
      </x:c>
      <x:c r="B410" s="17" t="str">
        <x:v>xgen-7b-8k-base</x:v>
      </x:c>
      <x:c r="C410" s="17"/>
      <x:c r="D410" s="17" t="str">
        <x:v>Salesforce</x:v>
      </x:c>
      <x:c r="E410" s="17" t="str">
        <x:v>United States of America</x:v>
      </x:c>
      <x:c r="F410" s="17" t="n">
        <x:v>45104</x:v>
      </x:c>
      <x:c r="G410" s="17" t="str">
        <x:v>Open weights (unrestricted)</x:v>
      </x:c>
      <x:c r="H410" s="17" t="n">
        <x:v>45176</x:v>
      </x:c>
      <x:c r="I410" s="17" t="n">
        <x:v>8.02e+22</x:v>
      </x:c>
      <x:c r="J410" s="17" t="str">
        <x:v>Confident</x:v>
      </x:c>
      <x:c r="K410" s="17"/>
      <x:c r="L410" s="17" t="str">
        <x:v>XGen-7B</x:v>
      </x:c>
      <x:c r="M410" s="17"/>
      <x:c r="N410" s="17" t="str">
        <x:v>XGen-7B</x:v>
      </x:c>
      <x:c r="O410" s="17" t="str">
        <x:v>xgen-7b</x:v>
      </x:c>
      <x:c r="P410" s="17" t="n">
        <x:v>93.11</x:v>
      </x:c>
      <x:c r="Q410" s="17" t="n">
        <x:v>79.82</x:v>
      </x:c>
      <x:c r="R410" s="17" t="n">
        <x:v>101.25</x:v>
      </x:c>
      <x:c r="S410" s="17"/>
      <x:c r="T410" s="17"/>
      <x:c r="U410" s="17"/>
      <x:c r="V410" s="17"/>
      <x:c r="W410" s="17"/>
      <x:c r="X410" s="17"/>
      <x:c r="Y410" s="17"/>
      <x:c r="Z410" s="17"/>
    </x:row>
    <x:row r="411">
      <x:c r="A411" s="17"/>
      <x:c r="B411" s="17" t="str">
        <x:v>open_llama_7b</x:v>
      </x:c>
      <x:c r="C411" s="17"/>
      <x:c r="D411" s="17"/>
      <x:c r="E411" s="17"/>
      <x:c r="F411" s="17" t="n">
        <x:v>45084</x:v>
      </x:c>
      <x:c r="G411" s="17"/>
      <x:c r="H411" s="17"/>
      <x:c r="I411" s="17"/>
      <x:c r="J411" s="17" t="str">
        <x:v>Unverified</x:v>
      </x:c>
      <x:c r="K411" s="17"/>
      <x:c r="L411" s="17"/>
      <x:c r="M411" s="17"/>
      <x:c r="N411" s="17"/>
      <x:c r="O411" s="17" t="str">
        <x:v>open-llama-7b</x:v>
      </x:c>
      <x:c r="P411" s="17"/>
      <x:c r="Q411" s="17"/>
      <x:c r="R411" s="17"/>
      <x:c r="S411" s="17"/>
      <x:c r="T411" s="17"/>
      <x:c r="U411" s="17"/>
      <x:c r="V411" s="17"/>
      <x:c r="W411" s="17"/>
      <x:c r="X411" s="17"/>
      <x:c r="Y411" s="17"/>
      <x:c r="Z411" s="17"/>
    </x:row>
    <x:row r="412">
      <x:c r="A412" s="17"/>
      <x:c r="B412" s="17" t="str">
        <x:v>RedPajama-INCITE-7B-Base</x:v>
      </x:c>
      <x:c r="C412" s="17"/>
      <x:c r="D412" s="17"/>
      <x:c r="E412" s="17"/>
      <x:c r="F412" s="17" t="n">
        <x:v>45050</x:v>
      </x:c>
      <x:c r="G412" s="17"/>
      <x:c r="H412" s="17"/>
      <x:c r="I412" s="17"/>
      <x:c r="J412" s="17" t="str">
        <x:v>Unverified</x:v>
      </x:c>
      <x:c r="K412" s="17"/>
      <x:c r="L412" s="17"/>
      <x:c r="M412" s="17"/>
      <x:c r="N412" s="17"/>
      <x:c r="O412" s="17" t="str">
        <x:v>redpajama-incite-7b-base</x:v>
      </x:c>
      <x:c r="P412" s="17"/>
      <x:c r="Q412" s="17"/>
      <x:c r="R412" s="17"/>
      <x:c r="S412" s="17"/>
      <x:c r="T412" s="17"/>
      <x:c r="U412" s="17"/>
      <x:c r="V412" s="17"/>
      <x:c r="W412" s="17"/>
      <x:c r="X412" s="17"/>
      <x:c r="Y412" s="17"/>
      <x:c r="Z412" s="17"/>
    </x:row>
    <x:row r="413">
      <x:c r="A413" s="17" t="str">
        <x:v>GPT-NeoX-20B</x:v>
      </x:c>
      <x:c r="B413" s="17" t="str">
        <x:v>gpt-neox-20b</x:v>
      </x:c>
      <x:c r="C413" s="17"/>
      <x:c r="D413" s="17" t="str">
        <x:v>EleutherAI</x:v>
      </x:c>
      <x:c r="E413" s="17" t="str">
        <x:v>United States of America</x:v>
      </x:c>
      <x:c r="F413" s="17" t="n">
        <x:v>44658</x:v>
      </x:c>
      <x:c r="G413" s="17" t="str">
        <x:v>Open weights (unrestricted)</x:v>
      </x:c>
      <x:c r="H413" s="17" t="n">
        <x:v>44601</x:v>
      </x:c>
      <x:c r="I413" s="17" t="n">
        <x:v>9.31627008e+22</x:v>
      </x:c>
      <x:c r="J413" s="17" t="str">
        <x:v>Confident</x:v>
      </x:c>
      <x:c r="K413" s="17"/>
      <x:c r="L413" s="17"/>
      <x:c r="M413" s="17"/>
      <x:c r="N413" s="17" t="str">
        <x:v>GPT-NeoX-20B</x:v>
      </x:c>
      <x:c r="O413" s="17" t="str">
        <x:v>gpt-neox-20b</x:v>
      </x:c>
      <x:c r="P413" s="17"/>
      <x:c r="Q413" s="17"/>
      <x:c r="R413" s="17"/>
      <x:c r="S413" s="17"/>
      <x:c r="T413" s="17"/>
      <x:c r="U413" s="17"/>
      <x:c r="V413" s="17"/>
      <x:c r="W413" s="17"/>
      <x:c r="X413" s="17"/>
      <x:c r="Y413" s="17"/>
      <x:c r="Z413" s="17"/>
    </x:row>
    <x:row r="414">
      <x:c r="A414" s="17"/>
      <x:c r="B414" s="17" t="str">
        <x:v>opt-13b</x:v>
      </x:c>
      <x:c r="C414" s="17"/>
      <x:c r="D414" s="17"/>
      <x:c r="E414" s="17"/>
      <x:c r="F414" s="17" t="n">
        <x:v>44692</x:v>
      </x:c>
      <x:c r="G414" s="17"/>
      <x:c r="H414" s="17"/>
      <x:c r="I414" s="17"/>
      <x:c r="J414" s="17" t="str">
        <x:v>Unverified</x:v>
      </x:c>
      <x:c r="K414" s="17"/>
      <x:c r="L414" s="17"/>
      <x:c r="M414" s="17"/>
      <x:c r="N414" s="17"/>
      <x:c r="O414" s="17" t="str">
        <x:v>opt-13b</x:v>
      </x:c>
      <x:c r="P414" s="17"/>
      <x:c r="Q414" s="17"/>
      <x:c r="R414" s="17"/>
      <x:c r="S414" s="17"/>
      <x:c r="T414" s="17"/>
      <x:c r="U414" s="17"/>
      <x:c r="V414" s="17"/>
      <x:c r="W414" s="17"/>
      <x:c r="X414" s="17"/>
      <x:c r="Y414" s="17"/>
      <x:c r="Z414" s="17"/>
    </x:row>
    <x:row r="415">
      <x:c r="A415" s="17" t="str">
        <x:v>GPT-J-6B</x:v>
      </x:c>
      <x:c r="B415" s="17" t="str">
        <x:v>gpt-j-6b</x:v>
      </x:c>
      <x:c r="C415" s="17"/>
      <x:c r="D415" s="17" t="str">
        <x:v>EleutherAI,LAION</x:v>
      </x:c>
      <x:c r="E415" s="17" t="str">
        <x:v>United States of America,Germany</x:v>
      </x:c>
      <x:c r="F415" s="17" t="n">
        <x:v>44413</x:v>
      </x:c>
      <x:c r="G415" s="17" t="str">
        <x:v>Open weights (unrestricted)</x:v>
      </x:c>
      <x:c r="H415" s="17" t="n">
        <x:v>44317</x:v>
      </x:c>
      <x:c r="I415" s="17" t="n">
        <x:v>1.5e+22</x:v>
      </x:c>
      <x:c r="J415" s="17" t="str">
        <x:v>Confident</x:v>
      </x:c>
      <x:c r="K415" s="17"/>
      <x:c r="L415" s="17"/>
      <x:c r="M415" s="17"/>
      <x:c r="N415" s="17" t="str">
        <x:v>GPT-J-6B</x:v>
      </x:c>
      <x:c r="O415" s="17" t="str">
        <x:v>gpt-j-6b</x:v>
      </x:c>
      <x:c r="P415" s="17"/>
      <x:c r="Q415" s="17"/>
      <x:c r="R415" s="17"/>
      <x:c r="S415" s="17"/>
      <x:c r="T415" s="17"/>
      <x:c r="U415" s="17"/>
      <x:c r="V415" s="17"/>
      <x:c r="W415" s="17"/>
      <x:c r="X415" s="17"/>
      <x:c r="Y415" s="17"/>
      <x:c r="Z415" s="17"/>
    </x:row>
    <x:row r="416">
      <x:c r="A416" s="17" t="str">
        <x:v>Dolly 2.0-12b</x:v>
      </x:c>
      <x:c r="B416" s="17" t="str">
        <x:v>dolly-v2-12b</x:v>
      </x:c>
      <x:c r="C416" s="17"/>
      <x:c r="D416" s="17" t="str">
        <x:v>Databricks</x:v>
      </x:c>
      <x:c r="E416" s="17" t="str">
        <x:v>United States of America</x:v>
      </x:c>
      <x:c r="F416" s="17" t="n">
        <x:v>45027</x:v>
      </x:c>
      <x:c r="G416" s="17" t="str">
        <x:v>Open weights (unrestricted)</x:v>
      </x:c>
      <x:c r="H416" s="17" t="n">
        <x:v>45028</x:v>
      </x:c>
      <x:c r="I416" s="17"/>
      <x:c r="J416" s="17" t="str">
        <x:v>Confident</x:v>
      </x:c>
      <x:c r="K416" s="17"/>
      <x:c r="L416" s="17"/>
      <x:c r="M416" s="17"/>
      <x:c r="N416" s="17" t="str">
        <x:v>Dolly 2.0-12b</x:v>
      </x:c>
      <x:c r="O416" s="17" t="str">
        <x:v>dolly-2-0-12b</x:v>
      </x:c>
      <x:c r="P416" s="17" t="n">
        <x:v>89.37</x:v>
      </x:c>
      <x:c r="Q416" s="17" t="n">
        <x:v>74.42</x:v>
      </x:c>
      <x:c r="R416" s="17" t="n">
        <x:v>98.45</x:v>
      </x:c>
      <x:c r="S416" s="17"/>
      <x:c r="T416" s="17"/>
      <x:c r="U416" s="17"/>
      <x:c r="V416" s="17"/>
      <x:c r="W416" s="17"/>
      <x:c r="X416" s="17"/>
      <x:c r="Y416" s="17"/>
      <x:c r="Z416" s="17"/>
    </x:row>
    <x:row r="417">
      <x:c r="A417" s="17" t="str">
        <x:v>Cerebras-GPT-13B</x:v>
      </x:c>
      <x:c r="B417" s="17" t="str">
        <x:v>Cerebras-GPT-13B</x:v>
      </x:c>
      <x:c r="C417" s="17"/>
      <x:c r="D417" s="17" t="str">
        <x:v>Cerebras Systems</x:v>
      </x:c>
      <x:c r="E417" s="17" t="str">
        <x:v>United States of America</x:v>
      </x:c>
      <x:c r="F417" s="17" t="n">
        <x:v>45005</x:v>
      </x:c>
      <x:c r="G417" s="17" t="str">
        <x:v>Open weights (unrestricted)</x:v>
      </x:c>
      <x:c r="H417" s="17" t="n">
        <x:v>45022</x:v>
      </x:c>
      <x:c r="I417" s="17" t="n">
        <x:v>2.3e+22</x:v>
      </x:c>
      <x:c r="J417" s="17" t="str">
        <x:v>Confident</x:v>
      </x:c>
      <x:c r="K417" s="17"/>
      <x:c r="L417" s="17"/>
      <x:c r="M417" s="17"/>
      <x:c r="N417" s="17" t="str">
        <x:v>Cerebras-GPT-13B</x:v>
      </x:c>
      <x:c r="O417" s="17" t="str">
        <x:v>cerebras-gpt-13b</x:v>
      </x:c>
      <x:c r="P417" s="17" t="n">
        <x:v>82.95</x:v>
      </x:c>
      <x:c r="Q417" s="17" t="n">
        <x:v>67.22</x:v>
      </x:c>
      <x:c r="R417" s="17" t="n">
        <x:v>92.99</x:v>
      </x:c>
      <x:c r="S417" s="17"/>
      <x:c r="T417" s="17"/>
      <x:c r="U417" s="17"/>
      <x:c r="V417" s="17"/>
      <x:c r="W417" s="17"/>
      <x:c r="X417" s="17"/>
      <x:c r="Y417" s="17"/>
      <x:c r="Z417" s="17"/>
    </x:row>
    <x:row r="418">
      <x:c r="A418" s="17"/>
      <x:c r="B418" s="17" t="str">
        <x:v>stablelm-tuned-alpha-7b</x:v>
      </x:c>
      <x:c r="C418" s="17"/>
      <x:c r="D418" s="17"/>
      <x:c r="E418" s="17"/>
      <x:c r="F418" s="17" t="n">
        <x:v>45035</x:v>
      </x:c>
      <x:c r="G418" s="17"/>
      <x:c r="H418" s="17"/>
      <x:c r="I418" s="17"/>
      <x:c r="J418" s="17" t="str">
        <x:v>Unverified</x:v>
      </x:c>
      <x:c r="K418" s="17"/>
      <x:c r="L418" s="17"/>
      <x:c r="M418" s="17"/>
      <x:c r="N418" s="17"/>
      <x:c r="O418" s="17" t="str">
        <x:v>stablelm-tuned-alpha-7b</x:v>
      </x:c>
      <x:c r="P418" s="17"/>
      <x:c r="Q418" s="17"/>
      <x:c r="R418" s="17"/>
      <x:c r="S418" s="17"/>
      <x:c r="T418" s="17"/>
      <x:c r="U418" s="17"/>
      <x:c r="V418" s="17"/>
      <x:c r="W418" s="17"/>
      <x:c r="X418" s="17"/>
      <x:c r="Y418" s="17"/>
      <x:c r="Z418" s="17"/>
    </x:row>
    <x:row r="419">
      <x:c r="A419" s="17" t="str">
        <x:v>Claude Sonnet 5</x:v>
      </x:c>
      <x:c r="B419" s="17" t="str">
        <x:v>claude-sonnet-5_high</x:v>
      </x:c>
      <x:c r="C419" s="17" t="str">
        <x:v>Claude Sonnet 5 (high)</x:v>
      </x:c>
      <x:c r="D419" s="17" t="str">
        <x:v>Anthropic</x:v>
      </x:c>
      <x:c r="E419" s="17" t="str">
        <x:v>United States of America</x:v>
      </x:c>
      <x:c r="F419" s="17" t="n">
        <x:v>46203</x:v>
      </x:c>
      <x:c r="G419" s="17" t="str">
        <x:v>API access</x:v>
      </x:c>
      <x:c r="H419" s="17" t="n">
        <x:v>46203</x:v>
      </x:c>
      <x:c r="I419" s="17"/>
      <x:c r="J419" s="17" t="str">
        <x:v>Confident</x:v>
      </x:c>
      <x:c r="K419" s="17"/>
      <x:c r="L419" s="17" t="str">
        <x:v>Claude Sonnet 5 (high)</x:v>
      </x:c>
      <x:c r="M419" s="17"/>
      <x:c r="N419" s="17" t="str">
        <x:v>Claude Sonnet 5</x:v>
      </x:c>
      <x:c r="O419" s="17" t="str">
        <x:v>claude-sonnet-5</x:v>
      </x:c>
      <x:c r="P419" s="17" t="n">
        <x:v>153.2</x:v>
      </x:c>
      <x:c r="Q419" s="17" t="n">
        <x:v>150.47</x:v>
      </x:c>
      <x:c r="R419" s="17" t="n">
        <x:v>155.24</x:v>
      </x:c>
      <x:c r="S419" s="17"/>
      <x:c r="T419" s="17"/>
      <x:c r="U419" s="17"/>
      <x:c r="V419" s="17"/>
      <x:c r="W419" s="17"/>
      <x:c r="X419" s="17"/>
      <x:c r="Y419" s="17"/>
      <x:c r="Z419" s="17"/>
    </x:row>
    <x:row r="420">
      <x:c r="A420" s="17" t="str">
        <x:v>o3-pro</x:v>
      </x:c>
      <x:c r="B420" s="17" t="str">
        <x:v>o3-pro-2025-06-10_high</x:v>
      </x:c>
      <x:c r="C420" s="17"/>
      <x:c r="D420" s="17" t="str">
        <x:v>OpenAI</x:v>
      </x:c>
      <x:c r="E420" s="17" t="str">
        <x:v>United States of America</x:v>
      </x:c>
      <x:c r="F420" s="17" t="n">
        <x:v>45818</x:v>
      </x:c>
      <x:c r="G420" s="17"/>
      <x:c r="H420" s="17" t="n">
        <x:v>45818</x:v>
      </x:c>
      <x:c r="I420" s="17"/>
      <x:c r="J420" s="17" t="str">
        <x:v>Unknown</x:v>
      </x:c>
      <x:c r="K420" s="17" t="str">
        <x:v>An enhanced version of OpenAI's previous flagship reasoning model o3, evaluated with high reasoning effort.</x:v>
      </x:c>
      <x:c r="L420" s="17"/>
      <x:c r="M420" s="17"/>
      <x:c r="N420" s="17" t="str">
        <x:v>o3-pro</x:v>
      </x:c>
      <x:c r="O420" s="17" t="str">
        <x:v>o3-pro</x:v>
      </x:c>
      <x:c r="P420" s="17" t="n">
        <x:v>147.92</x:v>
      </x:c>
      <x:c r="Q420" s="17" t="n">
        <x:v>146.24</x:v>
      </x:c>
      <x:c r="R420" s="17" t="n">
        <x:v>150.45</x:v>
      </x:c>
      <x:c r="S420" s="17"/>
      <x:c r="T420" s="17"/>
      <x:c r="U420" s="17"/>
      <x:c r="V420" s="17"/>
      <x:c r="W420" s="17"/>
      <x:c r="X420" s="17"/>
      <x:c r="Y420" s="17"/>
      <x:c r="Z420" s="17"/>
    </x:row>
    <x:row r="421">
      <x:c r="A421" s="17" t="str">
        <x:v>GPT-5.4 Pro</x:v>
      </x:c>
      <x:c r="B421" s="17" t="str">
        <x:v>gpt-5.4-pro-2026-03-05_none</x:v>
      </x:c>
      <x:c r="C421" s="17" t="str">
        <x:v>GPT-5.4 Pro (no thinking)</x:v>
      </x:c>
      <x:c r="D421" s="17" t="str">
        <x:v>OpenAI</x:v>
      </x:c>
      <x:c r="E421" s="17" t="str">
        <x:v>United States of America</x:v>
      </x:c>
      <x:c r="F421" s="17" t="n">
        <x:v>46086</x:v>
      </x:c>
      <x:c r="G421" s="17" t="str">
        <x:v>API access</x:v>
      </x:c>
      <x:c r="H421" s="17" t="n">
        <x:v>46086</x:v>
      </x:c>
      <x:c r="I421" s="17"/>
      <x:c r="J421" s="17" t="str">
        <x:v>Likely</x:v>
      </x:c>
      <x:c r="K421" s="17"/>
      <x:c r="L421" s="17" t="str">
        <x:v>GPT-5.4 Pro (no thinking)</x:v>
      </x:c>
      <x:c r="M421" s="17"/>
      <x:c r="N421" s="17" t="str">
        <x:v>GPT-5.4 Pro</x:v>
      </x:c>
      <x:c r="O421" s="17" t="str">
        <x:v>gpt-5-4-pro</x:v>
      </x:c>
      <x:c r="P421" s="17" t="n">
        <x:v>157.83</x:v>
      </x:c>
      <x:c r="Q421" s="17" t="n">
        <x:v>155.96</x:v>
      </x:c>
      <x:c r="R421" s="17" t="n">
        <x:v>160.88</x:v>
      </x:c>
      <x:c r="S421" s="17"/>
      <x:c r="T421" s="17"/>
      <x:c r="U421" s="17"/>
      <x:c r="V421" s="17"/>
      <x:c r="W421" s="17"/>
      <x:c r="X421" s="17"/>
      <x:c r="Y421" s="17"/>
      <x:c r="Z421" s="17"/>
    </x:row>
    <x:row r="422">
      <x:c r="A422" s="17" t="str">
        <x:v>GPT‑5-Codex</x:v>
      </x:c>
      <x:c r="B422" s="17" t="str">
        <x:v>gpt-5-codex</x:v>
      </x:c>
      <x:c r="C422" s="17" t="str">
        <x:v>GPT-5-codex</x:v>
      </x:c>
      <x:c r="D422" s="17" t="str">
        <x:v>OpenAI</x:v>
      </x:c>
      <x:c r="E422" s="17" t="str">
        <x:v>United States of America</x:v>
      </x:c>
      <x:c r="F422" s="17" t="n">
        <x:v>45915</x:v>
      </x:c>
      <x:c r="G422" s="17" t="str">
        <x:v>API access</x:v>
      </x:c>
      <x:c r="H422" s="17" t="n">
        <x:v>45915</x:v>
      </x:c>
      <x:c r="I422" s="17"/>
      <x:c r="J422" s="17" t="str">
        <x:v>Unknown</x:v>
      </x:c>
      <x:c r="K422" s="17"/>
      <x:c r="L422" s="17" t="str">
        <x:v>GPT-5-codex</x:v>
      </x:c>
      <x:c r="M422" s="17"/>
      <x:c r="N422" s="17" t="str">
        <x:v>GPT‑5-Codex</x:v>
      </x:c>
      <x:c r="O422" s="17" t="str">
        <x:v>gpt5-codex</x:v>
      </x:c>
      <x:c r="P422" s="17"/>
      <x:c r="Q422" s="17"/>
      <x:c r="R422" s="17"/>
      <x:c r="S422" s="17"/>
      <x:c r="T422" s="17"/>
      <x:c r="U422" s="17"/>
      <x:c r="V422" s="17"/>
      <x:c r="W422" s="17"/>
      <x:c r="X422" s="17"/>
      <x:c r="Y422" s="17"/>
      <x:c r="Z422" s="17"/>
    </x:row>
    <x:row r="423">
      <x:c r="A423" s="17" t="str">
        <x:v>GPT‑5-Codex</x:v>
      </x:c>
      <x:c r="B423" s="17" t="str">
        <x:v>gpt-5-codex_high</x:v>
      </x:c>
      <x:c r="C423" s="17" t="str">
        <x:v>GPT-5-codex (high)</x:v>
      </x:c>
      <x:c r="D423" s="17" t="str">
        <x:v>OpenAI</x:v>
      </x:c>
      <x:c r="E423" s="17" t="str">
        <x:v>United States of America</x:v>
      </x:c>
      <x:c r="F423" s="17" t="n">
        <x:v>45915</x:v>
      </x:c>
      <x:c r="G423" s="17" t="str">
        <x:v>API access</x:v>
      </x:c>
      <x:c r="H423" s="17" t="n">
        <x:v>45915</x:v>
      </x:c>
      <x:c r="I423" s="17"/>
      <x:c r="J423" s="17" t="str">
        <x:v>Unknown</x:v>
      </x:c>
      <x:c r="K423" s="17"/>
      <x:c r="L423" s="17" t="str">
        <x:v>GPT-5-codex</x:v>
      </x:c>
      <x:c r="M423" s="17"/>
      <x:c r="N423" s="17" t="str">
        <x:v>GPT‑5-Codex</x:v>
      </x:c>
      <x:c r="O423" s="17" t="str">
        <x:v>gpt5-codex</x:v>
      </x:c>
      <x:c r="P423" s="17"/>
      <x:c r="Q423" s="17"/>
      <x:c r="R423" s="17"/>
      <x:c r="S423" s="17"/>
      <x:c r="T423" s="17"/>
      <x:c r="U423" s="17"/>
      <x:c r="V423" s="17"/>
      <x:c r="W423" s="17"/>
      <x:c r="X423" s="17"/>
      <x:c r="Y423" s="17"/>
      <x:c r="Z423" s="17"/>
    </x:row>
    <x:row r="424">
      <x:c r="A424" s="17" t="str">
        <x:v>Gemini 2.5 Pro (Jun 2025)</x:v>
      </x:c>
      <x:c r="B424" s="17" t="str">
        <x:v>gemini-2.5-pro_16K</x:v>
      </x:c>
      <x:c r="C424" s="17"/>
      <x:c r="D424" s="17" t="str">
        <x:v>Google DeepMind</x:v>
      </x:c>
      <x:c r="E424" s="17" t="str">
        <x:v>United States of America</x:v>
      </x:c>
      <x:c r="F424" s="17" t="n">
        <x:v>45825</x:v>
      </x:c>
      <x:c r="G424" s="17" t="str">
        <x:v>API access</x:v>
      </x:c>
      <x:c r="H424" s="17" t="n">
        <x:v>45813</x:v>
      </x:c>
      <x:c r="I424" s="17"/>
      <x:c r="J424" s="17" t="str">
        <x:v>Unknown</x:v>
      </x:c>
      <x:c r="K424" s="17" t="str">
        <x:v>Google’s general-purpose frontier reasoning model, evaluated with up to 16,000 reasoning tokens.</x:v>
      </x:c>
      <x:c r="L424" s="17" t="str">
        <x:v>Gemini 2.5 Pro (16k thinking)</x:v>
      </x:c>
      <x:c r="M424" s="17" t="str">
        <x:v>Gemini 2.5 Pro (Jun 2025)</x:v>
      </x:c>
      <x:c r="N424" s="17" t="str">
        <x:v>Gemini 2.5 Pro (Jun 2025)</x:v>
      </x:c>
      <x:c r="O424" s="17" t="str">
        <x:v>gemini-2-5-pro-jun-2025</x:v>
      </x:c>
      <x:c r="P424" s="17" t="n">
        <x:v>146.08</x:v>
      </x:c>
      <x:c r="Q424" s="17" t="n">
        <x:v>144.33</x:v>
      </x:c>
      <x:c r="R424" s="17" t="n">
        <x:v>147.72</x:v>
      </x:c>
      <x:c r="S424" s="17"/>
      <x:c r="T424" s="17"/>
      <x:c r="U424" s="17"/>
      <x:c r="V424" s="17"/>
      <x:c r="W424" s="17"/>
      <x:c r="X424" s="17"/>
      <x:c r="Y424" s="17"/>
      <x:c r="Z424" s="17"/>
    </x:row>
    <x:row r="425">
      <x:c r="A425" s="17" t="str">
        <x:v>gpt-oss-120b</x:v>
      </x:c>
      <x:c r="B425" s="17" t="str">
        <x:v>gpt-oss-120b_high</x:v>
      </x:c>
      <x:c r="C425" s="17"/>
      <x:c r="D425" s="17" t="str">
        <x:v>OpenAI</x:v>
      </x:c>
      <x:c r="E425" s="17" t="str">
        <x:v>United States of America</x:v>
      </x:c>
      <x:c r="F425" s="17" t="n">
        <x:v>45874</x:v>
      </x:c>
      <x:c r="G425" s="17" t="str">
        <x:v>Open weights (unrestricted)</x:v>
      </x:c>
      <x:c r="H425" s="17" t="n">
        <x:v>45874</x:v>
      </x:c>
      <x:c r="I425" s="17" t="n">
        <x:v>4.94e+24</x:v>
      </x:c>
      <x:c r="J425" s="17" t="str">
        <x:v>Confident</x:v>
      </x:c>
      <x:c r="K425" s="17" t="str">
        <x:v>The larger one of OpenAI's two latest open source language models, evaluated with high reasoning effort.</x:v>
      </x:c>
      <x:c r="L425" s="17"/>
      <x:c r="M425" s="17"/>
      <x:c r="N425" s="17" t="str">
        <x:v>gpt-oss-120b</x:v>
      </x:c>
      <x:c r="O425" s="17" t="str">
        <x:v>gpt-oss-120b</x:v>
      </x:c>
      <x:c r="P425" s="17" t="n">
        <x:v>140.57</x:v>
      </x:c>
      <x:c r="Q425" s="17" t="n">
        <x:v>136.18</x:v>
      </x:c>
      <x:c r="R425" s="17" t="n">
        <x:v>143.08</x:v>
      </x:c>
      <x:c r="S425" s="17"/>
      <x:c r="T425" s="17"/>
      <x:c r="U425" s="17"/>
      <x:c r="V425" s="17"/>
      <x:c r="W425" s="17"/>
      <x:c r="X425" s="17"/>
      <x:c r="Y425" s="17"/>
      <x:c r="Z425" s="17"/>
    </x:row>
    <x:row r="426">
      <x:c r="A426" s="17" t="str">
        <x:v>DeepSeek-V3.2</x:v>
      </x:c>
      <x:c r="B426" s="17" t="str">
        <x:v>DeepSeek-V3.2-Speciale</x:v>
      </x:c>
      <x:c r="C426" s="17"/>
      <x:c r="D426" s="17" t="str">
        <x:v>DeepSeek</x:v>
      </x:c>
      <x:c r="E426" s="17" t="str">
        <x:v>China</x:v>
      </x:c>
      <x:c r="F426" s="17" t="n">
        <x:v>45992</x:v>
      </x:c>
      <x:c r="G426" s="17" t="str">
        <x:v>Open weights (unrestricted)</x:v>
      </x:c>
      <x:c r="H426" s="17" t="n">
        <x:v>45992</x:v>
      </x:c>
      <x:c r="I426" s="17" t="n">
        <x:v>4.1999999999999997e+24</x:v>
      </x:c>
      <x:c r="J426" s="17" t="str">
        <x:v>Likely</x:v>
      </x:c>
      <x:c r="K426" s="17"/>
      <x:c r="L426" s="17"/>
      <x:c r="M426" s="17" t="str">
        <x:v>DeepSeek-V3.2-Speciale</x:v>
      </x:c>
      <x:c r="N426" s="17" t="str">
        <x:v>DeepSeek-V3.2-Speciale</x:v>
      </x:c>
      <x:c r="O426" s="17" t="str">
        <x:v>deepseek-v3-2-speciale</x:v>
      </x:c>
      <x:c r="P426" s="17"/>
      <x:c r="Q426" s="17"/>
      <x:c r="R426" s="17"/>
      <x:c r="S426" s="17"/>
      <x:c r="T426" s="17"/>
      <x:c r="U426" s="17"/>
      <x:c r="V426" s="17"/>
      <x:c r="W426" s="17"/>
      <x:c r="X426" s="17"/>
      <x:c r="Y426" s="17"/>
      <x:c r="Z426" s="17"/>
    </x:row>
    <x:row r="427">
      <x:c r="A427" s="17" t="str">
        <x:v>DeepSeek-V4-Flash</x:v>
      </x:c>
      <x:c r="B427" s="17" t="str">
        <x:v>deepseek-v4-flash_max</x:v>
      </x:c>
      <x:c r="C427" s="17" t="str">
        <x:v>DeepSeek v4 Flash (max)</x:v>
      </x:c>
      <x:c r="D427" s="17" t="str">
        <x:v>DeepSeek</x:v>
      </x:c>
      <x:c r="E427" s="17" t="str">
        <x:v>China</x:v>
      </x:c>
      <x:c r="F427" s="17" t="n">
        <x:v>46136</x:v>
      </x:c>
      <x:c r="G427" s="17" t="str">
        <x:v>Open weights (unrestricted)</x:v>
      </x:c>
      <x:c r="H427" s="17" t="n">
        <x:v>46136</x:v>
      </x:c>
      <x:c r="I427" s="17" t="n">
        <x:v>2.496e+24</x:v>
      </x:c>
      <x:c r="J427" s="17" t="str">
        <x:v>Likely</x:v>
      </x:c>
      <x:c r="K427" s="17"/>
      <x:c r="L427" s="17" t="str">
        <x:v>DeepSeek v4 (max)</x:v>
      </x:c>
      <x:c r="M427" s="17"/>
      <x:c r="N427" s="17" t="str">
        <x:v>DeepSeek-V4-Flash</x:v>
      </x:c>
      <x:c r="O427" s="17" t="str">
        <x:v>deepseek-v4-flash</x:v>
      </x:c>
      <x:c r="P427" s="17"/>
      <x:c r="Q427" s="17"/>
      <x:c r="R427" s="17"/>
      <x:c r="S427" s="17"/>
      <x:c r="T427" s="17"/>
      <x:c r="U427" s="17"/>
      <x:c r="V427" s="17"/>
      <x:c r="W427" s="17"/>
      <x:c r="X427" s="17"/>
      <x:c r="Y427" s="17"/>
      <x:c r="Z427" s="17"/>
    </x:row>
    <x:row r="428">
      <x:c r="A428" s="17" t="str">
        <x:v>Claude Haiku 4.5</x:v>
      </x:c>
      <x:c r="B428" s="17" t="str">
        <x:v>claude-haiku-4-5-20251001_16K</x:v>
      </x:c>
      <x:c r="C428" s="17"/>
      <x:c r="D428" s="17" t="str">
        <x:v>Anthropic</x:v>
      </x:c>
      <x:c r="E428" s="17" t="str">
        <x:v>United States of America</x:v>
      </x:c>
      <x:c r="F428" s="17" t="n">
        <x:v>45945</x:v>
      </x:c>
      <x:c r="G428" s="17" t="str">
        <x:v>API access</x:v>
      </x:c>
      <x:c r="H428" s="17" t="n">
        <x:v>45945</x:v>
      </x:c>
      <x:c r="I428" s="17"/>
      <x:c r="J428" s="17" t="str">
        <x:v>Unknown</x:v>
      </x:c>
      <x:c r="K428" s="17"/>
      <x:c r="L428" s="17" t="str">
        <x:v>Claude Haiku 4.5 (16k thinking)</x:v>
      </x:c>
      <x:c r="M428" s="17"/>
      <x:c r="N428" s="17" t="str">
        <x:v>Claude Haiku 4.5</x:v>
      </x:c>
      <x:c r="O428" s="17" t="str">
        <x:v>claude-haiku-4-5</x:v>
      </x:c>
      <x:c r="P428" s="17" t="n">
        <x:v>142.86</x:v>
      </x:c>
      <x:c r="Q428" s="17" t="n">
        <x:v>139.6</x:v>
      </x:c>
      <x:c r="R428" s="17" t="n">
        <x:v>144.62</x:v>
      </x:c>
      <x:c r="S428" s="17"/>
      <x:c r="T428" s="17"/>
      <x:c r="U428" s="17"/>
      <x:c r="V428" s="17"/>
      <x:c r="W428" s="17"/>
      <x:c r="X428" s="17"/>
      <x:c r="Y428" s="17"/>
      <x:c r="Z428" s="17"/>
    </x:row>
    <x:row r="429">
      <x:c r="A429" s="17" t="str">
        <x:v>Nemotron 3 Ultra</x:v>
      </x:c>
      <x:c r="B429" s="17" t="str">
        <x:v>nemotron-3-ultra</x:v>
      </x:c>
      <x:c r="C429" s="17"/>
      <x:c r="D429" s="17" t="str">
        <x:v>NVIDIA</x:v>
      </x:c>
      <x:c r="E429" s="17" t="str">
        <x:v>United States of America</x:v>
      </x:c>
      <x:c r="F429" s="17" t="n">
        <x:v>46177</x:v>
      </x:c>
      <x:c r="G429" s="17" t="str">
        <x:v>Open weights (unrestricted)</x:v>
      </x:c>
      <x:c r="H429" s="17" t="n">
        <x:v>46177</x:v>
      </x:c>
      <x:c r="I429" s="17" t="n">
        <x:v>6.6e+24</x:v>
      </x:c>
      <x:c r="J429" s="17" t="str">
        <x:v>Likely</x:v>
      </x:c>
      <x:c r="K429" s="17"/>
      <x:c r="L429" s="17"/>
      <x:c r="M429" s="17"/>
      <x:c r="N429" s="17" t="str">
        <x:v>Nemotron 3 Ultra</x:v>
      </x:c>
      <x:c r="O429" s="17" t="str">
        <x:v>nemotron-3-ultra</x:v>
      </x:c>
      <x:c r="P429" s="17"/>
      <x:c r="Q429" s="17"/>
      <x:c r="R429" s="17"/>
      <x:c r="S429" s="17"/>
      <x:c r="T429" s="17"/>
      <x:c r="U429" s="17"/>
      <x:c r="V429" s="17"/>
      <x:c r="W429" s="17"/>
      <x:c r="X429" s="17"/>
      <x:c r="Y429" s="17"/>
      <x:c r="Z429" s="17"/>
    </x:row>
    <x:row r="430">
      <x:c r="A430" s="17" t="str">
        <x:v>Grok-3 mini</x:v>
      </x:c>
      <x:c r="B430" s="17" t="str">
        <x:v>grok-3-mini_high</x:v>
      </x:c>
      <x:c r="C430" s="17" t="str">
        <x:v>Grok 3 mini</x:v>
      </x:c>
      <x:c r="D430" s="17" t="str">
        <x:v>xAI</x:v>
      </x:c>
      <x:c r="E430" s="17" t="str">
        <x:v>United States of America</x:v>
      </x:c>
      <x:c r="F430" s="17" t="n">
        <x:v>45832</x:v>
      </x:c>
      <x:c r="G430" s="17" t="str">
        <x:v>API access</x:v>
      </x:c>
      <x:c r="H430" s="17" t="n">
        <x:v>45707</x:v>
      </x:c>
      <x:c r="I430" s="17"/>
      <x:c r="J430" s="17" t="str">
        <x:v>Unknown</x:v>
      </x:c>
      <x:c r="K430" s="17"/>
      <x:c r="L430" s="17" t="str">
        <x:v>Grok 3 mini (high)</x:v>
      </x:c>
      <x:c r="M430" s="17"/>
      <x:c r="N430" s="17" t="str">
        <x:v>Grok-3 mini</x:v>
      </x:c>
      <x:c r="O430" s="17" t="str">
        <x:v>grok-3-mini</x:v>
      </x:c>
      <x:c r="P430" s="17" t="n">
        <x:v>141.01</x:v>
      </x:c>
      <x:c r="Q430" s="17" t="n">
        <x:v>137.89</x:v>
      </x:c>
      <x:c r="R430" s="17" t="n">
        <x:v>142.63</x:v>
      </x:c>
      <x:c r="S430" s="17"/>
      <x:c r="T430" s="17"/>
      <x:c r="U430" s="17"/>
      <x:c r="V430" s="17"/>
      <x:c r="W430" s="17"/>
      <x:c r="X430" s="17"/>
      <x:c r="Y430" s="17"/>
      <x:c r="Z430" s="17"/>
    </x:row>
    <x:row r="431">
      <x:c r="A431" s="17" t="str">
        <x:v>Gemini 2.5 Flash</x:v>
      </x:c>
      <x:c r="B431" s="17" t="str">
        <x:v>gemini-2.5-flash-preview-09-2025_16k</x:v>
      </x:c>
      <x:c r="C431" s="17"/>
      <x:c r="D431" s="17" t="str">
        <x:v>Google DeepMind</x:v>
      </x:c>
      <x:c r="E431" s="17" t="str">
        <x:v>United States of America</x:v>
      </x:c>
      <x:c r="F431" s="17" t="n">
        <x:v>45925</x:v>
      </x:c>
      <x:c r="G431" s="17" t="str">
        <x:v>API access</x:v>
      </x:c>
      <x:c r="H431" s="17" t="n">
        <x:v>45764</x:v>
      </x:c>
      <x:c r="I431" s="17"/>
      <x:c r="J431" s="17" t="str">
        <x:v>Unknown</x:v>
      </x:c>
      <x:c r="K431" s="17"/>
      <x:c r="L431" s="17" t="str">
        <x:v>Gemini 2.5 Flash-Lite (Sep 2025, 16k thinking)</x:v>
      </x:c>
      <x:c r="M431" s="17" t="str">
        <x:v>Gemini 2.5 Flash (Sep 2025)</x:v>
      </x:c>
      <x:c r="N431" s="17" t="str">
        <x:v>Gemini 2.5 Flash (Sep 2025)</x:v>
      </x:c>
      <x:c r="O431" s="17" t="str">
        <x:v>gemini-2-5-flash-sep-2025</x:v>
      </x:c>
      <x:c r="P431" s="17" t="n">
        <x:v>143.1</x:v>
      </x:c>
      <x:c r="Q431" s="17" t="n">
        <x:v>138.81</x:v>
      </x:c>
      <x:c r="R431" s="17" t="n">
        <x:v>146.24</x:v>
      </x:c>
      <x:c r="S431" s="17"/>
      <x:c r="T431" s="17"/>
      <x:c r="U431" s="17"/>
      <x:c r="V431" s="17"/>
      <x:c r="W431" s="17"/>
      <x:c r="X431" s="17"/>
      <x:c r="Y431" s="17"/>
      <x:c r="Z431" s="17"/>
    </x:row>
    <x:row r="432">
      <x:c r="A432" s="17" t="str">
        <x:v>gpt-oss-120b</x:v>
      </x:c>
      <x:c r="B432" s="17" t="str">
        <x:v>gpt-oss-120b_medium</x:v>
      </x:c>
      <x:c r="C432" s="17"/>
      <x:c r="D432" s="17" t="str">
        <x:v>OpenAI</x:v>
      </x:c>
      <x:c r="E432" s="17" t="str">
        <x:v>United States of America</x:v>
      </x:c>
      <x:c r="F432" s="17" t="n">
        <x:v>45874</x:v>
      </x:c>
      <x:c r="G432" s="17" t="str">
        <x:v>Open weights (unrestricted)</x:v>
      </x:c>
      <x:c r="H432" s="17" t="n">
        <x:v>45874</x:v>
      </x:c>
      <x:c r="I432" s="17" t="n">
        <x:v>4.94e+24</x:v>
      </x:c>
      <x:c r="J432" s="17" t="str">
        <x:v>Confident</x:v>
      </x:c>
      <x:c r="K432" s="17" t="str">
        <x:v>The larger one of OpenAI's two latest open source language models, evaluated with medium reasoning effort.</x:v>
      </x:c>
      <x:c r="L432" s="17"/>
      <x:c r="M432" s="17"/>
      <x:c r="N432" s="17" t="str">
        <x:v>gpt-oss-120b</x:v>
      </x:c>
      <x:c r="O432" s="17" t="str">
        <x:v>gpt-oss-120b</x:v>
      </x:c>
      <x:c r="P432" s="17" t="n">
        <x:v>140.57</x:v>
      </x:c>
      <x:c r="Q432" s="17" t="n">
        <x:v>136.18</x:v>
      </x:c>
      <x:c r="R432" s="17" t="n">
        <x:v>143.08</x:v>
      </x:c>
      <x:c r="S432" s="17"/>
      <x:c r="T432" s="17"/>
      <x:c r="U432" s="17"/>
      <x:c r="V432" s="17"/>
      <x:c r="W432" s="17"/>
      <x:c r="X432" s="17"/>
      <x:c r="Y432" s="17"/>
      <x:c r="Z432" s="17"/>
    </x:row>
    <x:row r="433">
      <x:c r="A433" s="17" t="str">
        <x:v>Gemini 2.5 Flash</x:v>
      </x:c>
      <x:c r="B433" s="17" t="str">
        <x:v>gemini-2.5-flash-preview-04-17 (16K thinking)</x:v>
      </x:c>
      <x:c r="C433" s="17"/>
      <x:c r="D433" s="17" t="str">
        <x:v>Google DeepMind</x:v>
      </x:c>
      <x:c r="E433" s="17" t="str">
        <x:v>United States of America</x:v>
      </x:c>
      <x:c r="F433" s="17" t="n">
        <x:v>45764</x:v>
      </x:c>
      <x:c r="G433" s="17" t="str">
        <x:v>API access</x:v>
      </x:c>
      <x:c r="H433" s="17" t="n">
        <x:v>45764</x:v>
      </x:c>
      <x:c r="I433" s="17"/>
      <x:c r="J433" s="17" t="str">
        <x:v>Unknown</x:v>
      </x:c>
      <x:c r="K433" s="17" t="str">
        <x:v>An April 2025 preview version of Gemini 2.5 Flash, a small reasoning model in the Gemini 2.5 series from DeepMind, evaluated with up to 16,000 reasoning tokens.</x:v>
      </x:c>
      <x:c r="L433" s="17"/>
      <x:c r="M433" s="17" t="str">
        <x:v>Gemini 2.5 Flash (Apr 2025)</x:v>
      </x:c>
      <x:c r="N433" s="17" t="str">
        <x:v>Gemini 2.5 Flash (Apr 2025)</x:v>
      </x:c>
      <x:c r="O433" s="17" t="str">
        <x:v>gemini-2-5-flash-apr-2025</x:v>
      </x:c>
      <x:c r="P433" s="17" t="n">
        <x:v>140.61</x:v>
      </x:c>
      <x:c r="Q433" s="17" t="n">
        <x:v>135.95</x:v>
      </x:c>
      <x:c r="R433" s="17" t="n">
        <x:v>142.64</x:v>
      </x:c>
      <x:c r="S433" s="17"/>
      <x:c r="T433" s="17"/>
      <x:c r="U433" s="17"/>
      <x:c r="V433" s="17"/>
      <x:c r="W433" s="17"/>
      <x:c r="X433" s="17"/>
      <x:c r="Y433" s="17"/>
      <x:c r="Z433" s="17"/>
    </x:row>
    <x:row r="434">
      <x:c r="A434" s="17" t="str">
        <x:v>Gemini 2.5 Flash</x:v>
      </x:c>
      <x:c r="B434" s="17" t="str">
        <x:v>gemini-2.5-flash-preview-05-20_16K</x:v>
      </x:c>
      <x:c r="C434" s="17"/>
      <x:c r="D434" s="17" t="str">
        <x:v>Google DeepMind</x:v>
      </x:c>
      <x:c r="E434" s="17" t="str">
        <x:v>United States of America</x:v>
      </x:c>
      <x:c r="F434" s="17" t="n">
        <x:v>45797</x:v>
      </x:c>
      <x:c r="G434" s="17" t="str">
        <x:v>API access</x:v>
      </x:c>
      <x:c r="H434" s="17" t="n">
        <x:v>45764</x:v>
      </x:c>
      <x:c r="I434" s="17"/>
      <x:c r="J434" s="17" t="str">
        <x:v>Unknown</x:v>
      </x:c>
      <x:c r="K434" s="17" t="str">
        <x:v>An April 2025 preview version of Gemini 2.5 Flash, a small reasoning model in the Gemini 2.5 series from DeepMind, evaluated with up to 16,000 reasoning tokens.</x:v>
      </x:c>
      <x:c r="L434" s="17"/>
      <x:c r="M434" s="17" t="str">
        <x:v>Gemini 2.5 Flash (May 2025)</x:v>
      </x:c>
      <x:c r="N434" s="17" t="str">
        <x:v>Gemini 2.5 Flash (May 2025)</x:v>
      </x:c>
      <x:c r="O434" s="17" t="str">
        <x:v>gemini-2-5-flash-may-2025</x:v>
      </x:c>
      <x:c r="P434" s="17" t="n">
        <x:v>142.24</x:v>
      </x:c>
      <x:c r="Q434" s="17" t="n">
        <x:v>139.89</x:v>
      </x:c>
      <x:c r="R434" s="17" t="n">
        <x:v>143.54</x:v>
      </x:c>
      <x:c r="S434" s="17"/>
      <x:c r="T434" s="17"/>
      <x:c r="U434" s="17"/>
      <x:c r="V434" s="17"/>
      <x:c r="W434" s="17"/>
      <x:c r="X434" s="17"/>
      <x:c r="Y434" s="17"/>
      <x:c r="Z434" s="17"/>
    </x:row>
    <x:row r="435">
      <x:c r="A435" s="17" t="str">
        <x:v>gpt-oss-20b</x:v>
      </x:c>
      <x:c r="B435" s="17" t="str">
        <x:v>gpt-oss-20b_high</x:v>
      </x:c>
      <x:c r="C435" s="17"/>
      <x:c r="D435" s="17" t="str">
        <x:v>OpenAI</x:v>
      </x:c>
      <x:c r="E435" s="17" t="str">
        <x:v>United States of America</x:v>
      </x:c>
      <x:c r="F435" s="17" t="n">
        <x:v>45874</x:v>
      </x:c>
      <x:c r="G435" s="17" t="str">
        <x:v>Open weights (unrestricted)</x:v>
      </x:c>
      <x:c r="H435" s="17" t="n">
        <x:v>45874</x:v>
      </x:c>
      <x:c r="I435" s="17" t="n">
        <x:v>5.49e+23</x:v>
      </x:c>
      <x:c r="J435" s="17" t="str">
        <x:v>Confident</x:v>
      </x:c>
      <x:c r="K435" s="17" t="str">
        <x:v>The smaller one of OpenAI's two latest open source language models, evaluated with high reasoning effort.</x:v>
      </x:c>
      <x:c r="L435" s="17"/>
      <x:c r="M435" s="17"/>
      <x:c r="N435" s="17" t="str">
        <x:v>gpt-oss-20b</x:v>
      </x:c>
      <x:c r="O435" s="17" t="str">
        <x:v>gpt-oss-20b</x:v>
      </x:c>
      <x:c r="P435" s="17"/>
      <x:c r="Q435" s="17"/>
      <x:c r="R435" s="17"/>
      <x:c r="S435" s="17"/>
      <x:c r="T435" s="17"/>
      <x:c r="U435" s="17"/>
      <x:c r="V435" s="17"/>
      <x:c r="W435" s="17"/>
      <x:c r="X435" s="17"/>
      <x:c r="Y435" s="17"/>
      <x:c r="Z435" s="17"/>
    </x:row>
    <x:row r="436">
      <x:c r="A436" s="17" t="str">
        <x:v>GLM-4.5</x:v>
      </x:c>
      <x:c r="B436" s="17" t="str">
        <x:v>glm-4.5_thinking</x:v>
      </x:c>
      <x:c r="C436" s="17" t="str">
        <x:v>GLM-4.5 Thinking</x:v>
      </x:c>
      <x:c r="D436" s="17" t="str">
        <x:v>Z.ai (Zhipu AI),Tsinghua University</x:v>
      </x:c>
      <x:c r="E436" s="17" t="str">
        <x:v>China</x:v>
      </x:c>
      <x:c r="F436" s="17" t="n">
        <x:v>45874</x:v>
      </x:c>
      <x:c r="G436" s="17" t="str">
        <x:v>Open weights (unrestricted)</x:v>
      </x:c>
      <x:c r="H436" s="17" t="n">
        <x:v>45874</x:v>
      </x:c>
      <x:c r="I436" s="17" t="n">
        <x:v>4.42e+24</x:v>
      </x:c>
      <x:c r="J436" s="17" t="str">
        <x:v>Confident</x:v>
      </x:c>
      <x:c r="K436" s="17"/>
      <x:c r="L436" s="17"/>
      <x:c r="M436" s="17"/>
      <x:c r="N436" s="17" t="str">
        <x:v>GLM-4.5</x:v>
      </x:c>
      <x:c r="O436" s="17" t="str">
        <x:v>glm-4-5</x:v>
      </x:c>
      <x:c r="P436" s="17"/>
      <x:c r="Q436" s="17"/>
      <x:c r="R436" s="17"/>
      <x:c r="S436" s="17"/>
      <x:c r="T436" s="17"/>
      <x:c r="U436" s="17"/>
      <x:c r="V436" s="17"/>
      <x:c r="W436" s="17"/>
      <x:c r="X436" s="17"/>
      <x:c r="Y436" s="17"/>
      <x:c r="Z436" s="17"/>
    </x:row>
    <x:row r="437">
      <x:c r="A437" s="17" t="str">
        <x:v>GPT-5</x:v>
      </x:c>
      <x:c r="B437" s="17" t="str">
        <x:v>gpt-5-chat</x:v>
      </x:c>
      <x:c r="C437" s="17"/>
      <x:c r="D437" s="17" t="str">
        <x:v>OpenAI</x:v>
      </x:c>
      <x:c r="E437" s="17" t="str">
        <x:v>United States of America</x:v>
      </x:c>
      <x:c r="F437" s="17"/>
      <x:c r="G437" s="17" t="str">
        <x:v>API access</x:v>
      </x:c>
      <x:c r="H437" s="17" t="n">
        <x:v>45876</x:v>
      </x:c>
      <x:c r="I437" s="17" t="n">
        <x:v>6.6e+25</x:v>
      </x:c>
      <x:c r="J437" s="17" t="str">
        <x:v>Speculative</x:v>
      </x:c>
      <x:c r="K437" s="17"/>
      <x:c r="L437" s="17"/>
      <x:c r="M437" s="17"/>
      <x:c r="N437" s="17" t="str">
        <x:v>GPT-5</x:v>
      </x:c>
      <x:c r="O437" s="17" t="str">
        <x:v>gpt-5</x:v>
      </x:c>
      <x:c r="P437" s="17" t="n">
        <x:v>150</x:v>
      </x:c>
      <x:c r="Q437" s="17"/>
      <x:c r="R437" s="17"/>
      <x:c r="S437" s="17"/>
      <x:c r="T437" s="17"/>
      <x:c r="U437" s="17"/>
      <x:c r="V437" s="17"/>
      <x:c r="W437" s="17"/>
      <x:c r="X437" s="17"/>
      <x:c r="Y437" s="17"/>
      <x:c r="Z437" s="17"/>
    </x:row>
    <x:row r="438">
      <x:c r="A438" s="17" t="str">
        <x:v>Kimi K2</x:v>
      </x:c>
      <x:c r="B438" s="17" t="str">
        <x:v>kimi-k2-0711-preview</x:v>
      </x:c>
      <x:c r="C438" s="17"/>
      <x:c r="D438" s="17" t="str">
        <x:v>Moonshot</x:v>
      </x:c>
      <x:c r="E438" s="17" t="str">
        <x:v>China</x:v>
      </x:c>
      <x:c r="F438" s="17" t="n">
        <x:v>45850</x:v>
      </x:c>
      <x:c r="G438" s="17" t="str">
        <x:v>Open weights (restricted use)</x:v>
      </x:c>
      <x:c r="H438" s="17" t="n">
        <x:v>45849</x:v>
      </x:c>
      <x:c r="I438" s="17" t="n">
        <x:v>2.976e+24</x:v>
      </x:c>
      <x:c r="J438" s="17" t="str">
        <x:v>Confident</x:v>
      </x:c>
      <x:c r="K438" s="17" t="str">
        <x:v>A preview of an updated version of Kimi K2.</x:v>
      </x:c>
      <x:c r="L438" s="17"/>
      <x:c r="M438" s="17" t="str">
        <x:v>Kimi K2 (Jul 2025)</x:v>
      </x:c>
      <x:c r="N438" s="17" t="str">
        <x:v>Kimi K2 (Jul 2025)</x:v>
      </x:c>
      <x:c r="O438" s="17" t="str">
        <x:v>kimi-k2-jul-2025</x:v>
      </x:c>
      <x:c r="P438" s="17" t="n">
        <x:v>140.45</x:v>
      </x:c>
      <x:c r="Q438" s="17" t="n">
        <x:v>137</x:v>
      </x:c>
      <x:c r="R438" s="17" t="n">
        <x:v>142.06</x:v>
      </x:c>
      <x:c r="S438" s="17"/>
      <x:c r="T438" s="17"/>
      <x:c r="U438" s="17"/>
      <x:c r="V438" s="17"/>
      <x:c r="W438" s="17"/>
      <x:c r="X438" s="17"/>
      <x:c r="Y438" s="17"/>
      <x:c r="Z438" s="17"/>
    </x:row>
    <x:row r="439">
      <x:c r="A439" s="17" t="str">
        <x:v>Qwen3-235B-A22B (Jul 2025)</x:v>
      </x:c>
      <x:c r="B439" s="17" t="str">
        <x:v>Qwen3-235B-A22B-Instruct-2507</x:v>
      </x:c>
      <x:c r="C439" s="17"/>
      <x:c r="D439" s="17" t="str">
        <x:v>Alibaba</x:v>
      </x:c>
      <x:c r="E439" s="17" t="str">
        <x:v>China</x:v>
      </x:c>
      <x:c r="F439" s="17" t="n">
        <x:v>45863</x:v>
      </x:c>
      <x:c r="G439" s="17" t="str">
        <x:v>Open weights (unrestricted)</x:v>
      </x:c>
      <x:c r="H439" s="17" t="n">
        <x:v>45863</x:v>
      </x:c>
      <x:c r="I439" s="17" t="n">
        <x:v>4.752e+24</x:v>
      </x:c>
      <x:c r="J439" s="17" t="str">
        <x:v>Likely</x:v>
      </x:c>
      <x:c r="K439" s="17" t="str">
        <x:v>A 22 billion active (235 billion total)-parameter mixture-of-experts instruction-tuned model in the Qwen 3 series.</x:v>
      </x:c>
      <x:c r="L439" s="17" t="str">
        <x:v>Qwen3 Non-thinking (Jul 2025)</x:v>
      </x:c>
      <x:c r="M439" s="17" t="str">
        <x:v>Qwen3-235B-A22B-Instruct (Jul 2025)</x:v>
      </x:c>
      <x:c r="N439" s="17" t="str">
        <x:v>Qwen3-235B-A22B-Instruct (Jul 2025)</x:v>
      </x:c>
      <x:c r="O439" s="17" t="str">
        <x:v>qwen3-235b-a22b-instruct-jul-2025</x:v>
      </x:c>
      <x:c r="P439" s="17" t="n">
        <x:v>138.96</x:v>
      </x:c>
      <x:c r="Q439" s="17" t="n">
        <x:v>135.35</x:v>
      </x:c>
      <x:c r="R439" s="17" t="n">
        <x:v>140.84</x:v>
      </x:c>
      <x:c r="S439" s="17"/>
      <x:c r="T439" s="17"/>
      <x:c r="U439" s="17"/>
      <x:c r="V439" s="17"/>
      <x:c r="W439" s="17"/>
      <x:c r="X439" s="17"/>
      <x:c r="Y439" s="17"/>
      <x:c r="Z439" s="17"/>
    </x:row>
    <x:row r="440">
      <x:c r="A440" s="17" t="str">
        <x:v>Qwen3-235B-A22B (Jul 2025)</x:v>
      </x:c>
      <x:c r="B440" s="17" t="str">
        <x:v>qwen/qwen3-235b-a22b-thinking-2507</x:v>
      </x:c>
      <x:c r="C440" s="17" t="str">
        <x:v>Qwen3-235B-A22B-Thinking-2507</x:v>
      </x:c>
      <x:c r="D440" s="17" t="str">
        <x:v>Alibaba</x:v>
      </x:c>
      <x:c r="E440" s="17" t="str">
        <x:v>China</x:v>
      </x:c>
      <x:c r="F440" s="17" t="n">
        <x:v>45863</x:v>
      </x:c>
      <x:c r="G440" s="17" t="str">
        <x:v>Open weights (unrestricted)</x:v>
      </x:c>
      <x:c r="H440" s="17" t="n">
        <x:v>45863</x:v>
      </x:c>
      <x:c r="I440" s="17" t="n">
        <x:v>4.752e+24</x:v>
      </x:c>
      <x:c r="J440" s="17" t="str">
        <x:v>Likely</x:v>
      </x:c>
      <x:c r="K440" s="17"/>
      <x:c r="L440" s="17"/>
      <x:c r="M440" s="17" t="str">
        <x:v>Qwen3-235B-A22B-Thinking (Jul 2025)</x:v>
      </x:c>
      <x:c r="N440" s="17" t="str">
        <x:v>Qwen3-235B-A22B-Thinking (Jul 2025)</x:v>
      </x:c>
      <x:c r="O440" s="17" t="str">
        <x:v>qwen3-235b-a22b-thinking-jul-2025</x:v>
      </x:c>
      <x:c r="P440" s="17" t="n">
        <x:v>144.78</x:v>
      </x:c>
      <x:c r="Q440" s="17" t="n">
        <x:v>142.35</x:v>
      </x:c>
      <x:c r="R440" s="17" t="n">
        <x:v>147.4</x:v>
      </x:c>
      <x:c r="S440" s="17"/>
      <x:c r="T440" s="17"/>
      <x:c r="U440" s="17"/>
      <x:c r="V440" s="17"/>
      <x:c r="W440" s="17"/>
      <x:c r="X440" s="17"/>
      <x:c r="Y440" s="17"/>
      <x:c r="Z440" s="17"/>
    </x:row>
    <x:row r="441">
      <x:c r="A441" s="17" t="str">
        <x:v>DeepSeek-V3.1</x:v>
      </x:c>
      <x:c r="B441" s="17" t="str">
        <x:v>DeepSeek-V3.1_thinking</x:v>
      </x:c>
      <x:c r="C441" s="17"/>
      <x:c r="D441" s="17" t="str">
        <x:v>DeepSeek</x:v>
      </x:c>
      <x:c r="E441" s="17" t="str">
        <x:v>China</x:v>
      </x:c>
      <x:c r="F441" s="17" t="n">
        <x:v>45890</x:v>
      </x:c>
      <x:c r="G441" s="17" t="str">
        <x:v>Open weights (unrestricted)</x:v>
      </x:c>
      <x:c r="H441" s="17" t="n">
        <x:v>45890</x:v>
      </x:c>
      <x:c r="I441" s="17" t="n">
        <x:v>3.594058e+24</x:v>
      </x:c>
      <x:c r="J441" s="17" t="str">
        <x:v>Confident</x:v>
      </x:c>
      <x:c r="K441" s="17"/>
      <x:c r="L441" s="17" t="str">
        <x:v>DeepSeek-V3.1 (thinking)</x:v>
      </x:c>
      <x:c r="M441" s="17"/>
      <x:c r="N441" s="17" t="str">
        <x:v>DeepSeek-V3.1</x:v>
      </x:c>
      <x:c r="O441" s="17" t="str">
        <x:v>deepseek-v3-1</x:v>
      </x:c>
      <x:c r="P441" s="17" t="n">
        <x:v>138.68</x:v>
      </x:c>
      <x:c r="Q441" s="17" t="n">
        <x:v>135.73</x:v>
      </x:c>
      <x:c r="R441" s="17" t="n">
        <x:v>142.57</x:v>
      </x:c>
      <x:c r="S441" s="17"/>
      <x:c r="T441" s="17"/>
      <x:c r="U441" s="17"/>
      <x:c r="V441" s="17"/>
      <x:c r="W441" s="17"/>
      <x:c r="X441" s="17"/>
      <x:c r="Y441" s="17"/>
      <x:c r="Z441" s="17"/>
    </x:row>
    <x:row r="442">
      <x:c r="A442" s="17" t="str">
        <x:v>GPT-5.4 Nano</x:v>
      </x:c>
      <x:c r="B442" s="17" t="str">
        <x:v>gpt-5.4-nano-2026-03-17_none</x:v>
      </x:c>
      <x:c r="C442" s="17" t="str">
        <x:v>GPT-5.4 nano (no thinking)</x:v>
      </x:c>
      <x:c r="D442" s="17" t="str">
        <x:v>OpenAI</x:v>
      </x:c>
      <x:c r="E442" s="17" t="str">
        <x:v>United States of America</x:v>
      </x:c>
      <x:c r="F442" s="17" t="n">
        <x:v>46098</x:v>
      </x:c>
      <x:c r="G442" s="17" t="str">
        <x:v>API access</x:v>
      </x:c>
      <x:c r="H442" s="17" t="n">
        <x:v>46098</x:v>
      </x:c>
      <x:c r="I442" s="17"/>
      <x:c r="J442" s="17" t="str">
        <x:v>Likely</x:v>
      </x:c>
      <x:c r="K442" s="17"/>
      <x:c r="L442" s="17" t="str">
        <x:v>GPT-5.4 nano (no thinking)</x:v>
      </x:c>
      <x:c r="M442" s="17"/>
      <x:c r="N442" s="17" t="str">
        <x:v>GPT-5.4 Nano</x:v>
      </x:c>
      <x:c r="O442" s="17" t="str">
        <x:v>gpt-5-4-nano</x:v>
      </x:c>
      <x:c r="P442" s="17" t="n">
        <x:v>146.64</x:v>
      </x:c>
      <x:c r="Q442" s="17" t="n">
        <x:v>144.07</x:v>
      </x:c>
      <x:c r="R442" s="17" t="n">
        <x:v>148.4</x:v>
      </x:c>
      <x:c r="S442" s="17"/>
      <x:c r="T442" s="17"/>
      <x:c r="U442" s="17"/>
      <x:c r="V442" s="17"/>
      <x:c r="W442" s="17"/>
      <x:c r="X442" s="17"/>
      <x:c r="Y442" s="17"/>
      <x:c r="Z442" s="17"/>
    </x:row>
    <x:row r="443">
      <x:c r="A443" s="17" t="str">
        <x:v>GPT-5.4 Mini</x:v>
      </x:c>
      <x:c r="B443" s="17" t="str">
        <x:v>gpt-5.4-mini-2026-03-17_none</x:v>
      </x:c>
      <x:c r="C443" s="17" t="str">
        <x:v>GPT-5.4 mini (none)</x:v>
      </x:c>
      <x:c r="D443" s="17" t="str">
        <x:v>OpenAI</x:v>
      </x:c>
      <x:c r="E443" s="17" t="str">
        <x:v>United States of America</x:v>
      </x:c>
      <x:c r="F443" s="17" t="n">
        <x:v>46098</x:v>
      </x:c>
      <x:c r="G443" s="17" t="str">
        <x:v>API access</x:v>
      </x:c>
      <x:c r="H443" s="17" t="n">
        <x:v>46098</x:v>
      </x:c>
      <x:c r="I443" s="17"/>
      <x:c r="J443" s="17" t="str">
        <x:v>Likely</x:v>
      </x:c>
      <x:c r="K443" s="17"/>
      <x:c r="L443" s="17" t="str">
        <x:v>GPT-5.4 mini (none)</x:v>
      </x:c>
      <x:c r="M443" s="17"/>
      <x:c r="N443" s="17" t="str">
        <x:v>GPT-5.4 Mini</x:v>
      </x:c>
      <x:c r="O443" s="17" t="str">
        <x:v>gpt-5-4-mini</x:v>
      </x:c>
      <x:c r="P443" s="17" t="n">
        <x:v>148.9</x:v>
      </x:c>
      <x:c r="Q443" s="17" t="n">
        <x:v>147.11</x:v>
      </x:c>
      <x:c r="R443" s="17" t="n">
        <x:v>150.06</x:v>
      </x:c>
      <x:c r="S443" s="17"/>
      <x:c r="T443" s="17"/>
      <x:c r="U443" s="17"/>
      <x:c r="V443" s="17"/>
      <x:c r="W443" s="17"/>
      <x:c r="X443" s="17"/>
      <x:c r="Y443" s="17"/>
      <x:c r="Z443" s="17"/>
    </x:row>
    <x:row r="444">
      <x:c r="A444" s="17" t="str">
        <x:v>Qwen3-235B-A22B</x:v>
      </x:c>
      <x:c r="B444" s="17" t="str">
        <x:v>Qwen3-235B-A22B</x:v>
      </x:c>
      <x:c r="C444" s="17"/>
      <x:c r="D444" s="17" t="str">
        <x:v>Alibaba</x:v>
      </x:c>
      <x:c r="E444" s="17" t="str">
        <x:v>China</x:v>
      </x:c>
      <x:c r="F444" s="17" t="n">
        <x:v>45776</x:v>
      </x:c>
      <x:c r="G444" s="17" t="str">
        <x:v>Open weights (unrestricted)</x:v>
      </x:c>
      <x:c r="H444" s="17" t="n">
        <x:v>45776</x:v>
      </x:c>
      <x:c r="I444" s="17" t="n">
        <x:v>4.752e+24</x:v>
      </x:c>
      <x:c r="J444" s="17" t="str">
        <x:v>Likely</x:v>
      </x:c>
      <x:c r="K444" s="17"/>
      <x:c r="L444" s="17" t="str">
        <x:v>Qwen3 (Apr 2025)</x:v>
      </x:c>
      <x:c r="M444" s="17"/>
      <x:c r="N444" s="17" t="str">
        <x:v>Qwen3-235B-A22B</x:v>
      </x:c>
      <x:c r="O444" s="17" t="str">
        <x:v>qwen3-235b-a22b</x:v>
      </x:c>
      <x:c r="P444" s="17" t="n">
        <x:v>139.58</x:v>
      </x:c>
      <x:c r="Q444" s="17" t="n">
        <x:v>134.79</x:v>
      </x:c>
      <x:c r="R444" s="17" t="n">
        <x:v>141.08</x:v>
      </x:c>
      <x:c r="S444" s="17"/>
      <x:c r="T444" s="17"/>
      <x:c r="U444" s="17"/>
      <x:c r="V444" s="17"/>
      <x:c r="W444" s="17"/>
      <x:c r="X444" s="17"/>
      <x:c r="Y444" s="17"/>
      <x:c r="Z444" s="17"/>
    </x:row>
    <x:row r="445">
      <x:c r="A445" s="17" t="str">
        <x:v>Grok 3</x:v>
      </x:c>
      <x:c r="B445" s="17" t="str">
        <x:v>grok-3</x:v>
      </x:c>
      <x:c r="C445" s="17"/>
      <x:c r="D445" s="17" t="str">
        <x:v>xAI</x:v>
      </x:c>
      <x:c r="E445" s="17" t="str">
        <x:v>United States of America</x:v>
      </x:c>
      <x:c r="F445" s="17" t="n">
        <x:v>45756</x:v>
      </x:c>
      <x:c r="G445" s="17" t="str">
        <x:v>API access</x:v>
      </x:c>
      <x:c r="H445" s="17" t="n">
        <x:v>45705</x:v>
      </x:c>
      <x:c r="I445" s="17" t="n">
        <x:v>3.5000000000000006e+26</x:v>
      </x:c>
      <x:c r="J445" s="17" t="str">
        <x:v>Likely</x:v>
      </x:c>
      <x:c r="K445" s="17" t="str">
        <x:v>XAI's third generation flagship model.</x:v>
      </x:c>
      <x:c r="L445" s="17" t="str">
        <x:v>Grok 3</x:v>
      </x:c>
      <x:c r="M445" s="17"/>
      <x:c r="N445" s="17" t="str">
        <x:v>Grok 3</x:v>
      </x:c>
      <x:c r="O445" s="17" t="str">
        <x:v>grok-3</x:v>
      </x:c>
      <x:c r="P445" s="17" t="n">
        <x:v>139.02</x:v>
      </x:c>
      <x:c r="Q445" s="17" t="n">
        <x:v>136.17</x:v>
      </x:c>
      <x:c r="R445" s="17" t="n">
        <x:v>140.24</x:v>
      </x:c>
      <x:c r="S445" s="17"/>
      <x:c r="T445" s="17"/>
      <x:c r="U445" s="17"/>
      <x:c r="V445" s="17"/>
      <x:c r="W445" s="17"/>
      <x:c r="X445" s="17"/>
      <x:c r="Y445" s="17"/>
      <x:c r="Z445" s="17"/>
    </x:row>
    <x:row r="446">
      <x:c r="A446" s="17" t="str">
        <x:v>gpt-oss-20b</x:v>
      </x:c>
      <x:c r="B446" s="17" t="str">
        <x:v>gpt-oss-20b_medium</x:v>
      </x:c>
      <x:c r="C446" s="17"/>
      <x:c r="D446" s="17" t="str">
        <x:v>OpenAI</x:v>
      </x:c>
      <x:c r="E446" s="17" t="str">
        <x:v>United States of America</x:v>
      </x:c>
      <x:c r="F446" s="17" t="n">
        <x:v>45874</x:v>
      </x:c>
      <x:c r="G446" s="17" t="str">
        <x:v>Open weights (unrestricted)</x:v>
      </x:c>
      <x:c r="H446" s="17" t="n">
        <x:v>45874</x:v>
      </x:c>
      <x:c r="I446" s="17" t="n">
        <x:v>5.49e+23</x:v>
      </x:c>
      <x:c r="J446" s="17" t="str">
        <x:v>Confident</x:v>
      </x:c>
      <x:c r="K446" s="17" t="str">
        <x:v>The smaller one of OpenAI's two latest open source language models, evaluated with medium reasoning effort.</x:v>
      </x:c>
      <x:c r="L446" s="17"/>
      <x:c r="M446" s="17"/>
      <x:c r="N446" s="17" t="str">
        <x:v>gpt-oss-20b</x:v>
      </x:c>
      <x:c r="O446" s="17" t="str">
        <x:v>gpt-oss-20b</x:v>
      </x:c>
      <x:c r="P446" s="17"/>
      <x:c r="Q446" s="17"/>
      <x:c r="R446" s="17"/>
      <x:c r="S446" s="17"/>
      <x:c r="T446" s="17"/>
      <x:c r="U446" s="17"/>
      <x:c r="V446" s="17"/>
      <x:c r="W446" s="17"/>
      <x:c r="X446" s="17"/>
      <x:c r="Y446" s="17"/>
      <x:c r="Z446" s="17"/>
    </x:row>
    <x:row r="447">
      <x:c r="A447" s="17" t="str">
        <x:v>Kimi K2</x:v>
      </x:c>
      <x:c r="B447" s="17" t="str">
        <x:v>Kimi-K2-Instruct-0905</x:v>
      </x:c>
      <x:c r="C447" s="17"/>
      <x:c r="D447" s="17" t="str">
        <x:v>Moonshot</x:v>
      </x:c>
      <x:c r="E447" s="17" t="str">
        <x:v>China</x:v>
      </x:c>
      <x:c r="F447" s="17" t="n">
        <x:v>45905</x:v>
      </x:c>
      <x:c r="G447" s="17" t="str">
        <x:v>Open weights (restricted use)</x:v>
      </x:c>
      <x:c r="H447" s="17" t="n">
        <x:v>45849</x:v>
      </x:c>
      <x:c r="I447" s="17" t="n">
        <x:v>2.976e+24</x:v>
      </x:c>
      <x:c r="J447" s="17" t="str">
        <x:v>Confident</x:v>
      </x:c>
      <x:c r="K447" s="17"/>
      <x:c r="L447" s="17"/>
      <x:c r="M447" s="17" t="str">
        <x:v>Kimi K2 (Sep 2025)</x:v>
      </x:c>
      <x:c r="N447" s="17" t="str">
        <x:v>Kimi K2 (Sep 2025)</x:v>
      </x:c>
      <x:c r="O447" s="17" t="str">
        <x:v>kimi-k2-sep-2025</x:v>
      </x:c>
      <x:c r="P447" s="17" t="n">
        <x:v>140.98</x:v>
      </x:c>
      <x:c r="Q447" s="17" t="n">
        <x:v>138.39</x:v>
      </x:c>
      <x:c r="R447" s="17" t="n">
        <x:v>142.27</x:v>
      </x:c>
      <x:c r="S447" s="17"/>
      <x:c r="T447" s="17"/>
      <x:c r="U447" s="17"/>
      <x:c r="V447" s="17"/>
      <x:c r="W447" s="17"/>
      <x:c r="X447" s="17"/>
      <x:c r="Y447" s="17"/>
      <x:c r="Z447" s="17"/>
    </x:row>
    <x:row r="448">
      <x:c r="A448" s="17" t="str">
        <x:v>Gemini 2.5 Flash-Lite</x:v>
      </x:c>
      <x:c r="B448" s="17" t="str">
        <x:v>gemini-2.5-flash-lite-preview-06-17_16K</x:v>
      </x:c>
      <x:c r="C448" s="17"/>
      <x:c r="D448" s="17" t="str">
        <x:v>Google DeepMind</x:v>
      </x:c>
      <x:c r="E448" s="17" t="str">
        <x:v>United States of America</x:v>
      </x:c>
      <x:c r="F448" s="17" t="n">
        <x:v>45825</x:v>
      </x:c>
      <x:c r="G448" s="17" t="str">
        <x:v>API access</x:v>
      </x:c>
      <x:c r="H448" s="17" t="n">
        <x:v>45823</x:v>
      </x:c>
      <x:c r="I448" s="17"/>
      <x:c r="J448" s="17" t="str">
        <x:v>Unknown</x:v>
      </x:c>
      <x:c r="K448" s="17" t="str">
        <x:v>A June 2025 preview of Gemini 2.5 Flash Lite, evaluated with up to 16,000 reasoning tokens.</x:v>
      </x:c>
      <x:c r="L448" s="17" t="str">
        <x:v>Gemini 2.5 Flash-Lite (Jun 2025, 16k thinking)</x:v>
      </x:c>
      <x:c r="M448" s="17" t="str">
        <x:v>Gemini 2.5 Flash-Lite (Jun 2025)</x:v>
      </x:c>
      <x:c r="N448" s="17" t="str">
        <x:v>Gemini 2.5 Flash-Lite (Jun 2025)</x:v>
      </x:c>
      <x:c r="O448" s="17" t="str">
        <x:v>gemini-2-5-flash-lite-jun-2025</x:v>
      </x:c>
      <x:c r="P448" s="17"/>
      <x:c r="Q448" s="17"/>
      <x:c r="R448" s="17"/>
      <x:c r="S448" s="17"/>
      <x:c r="T448" s="17"/>
      <x:c r="U448" s="17"/>
      <x:c r="V448" s="17"/>
      <x:c r="W448" s="17"/>
      <x:c r="X448" s="17"/>
      <x:c r="Y448" s="17"/>
      <x:c r="Z448" s="17"/>
    </x:row>
    <x:row r="449">
      <x:c r="A449" s="17" t="str">
        <x:v>Qwen 3.6 35B-A3B</x:v>
      </x:c>
      <x:c r="B449" s="17" t="str">
        <x:v>qwen3.6-35b-a3b</x:v>
      </x:c>
      <x:c r="C449" s="17"/>
      <x:c r="D449" s="17" t="str">
        <x:v>Alibaba</x:v>
      </x:c>
      <x:c r="E449" s="17" t="str">
        <x:v>China</x:v>
      </x:c>
      <x:c r="F449" s="17" t="n">
        <x:v>46126</x:v>
      </x:c>
      <x:c r="G449" s="17" t="str">
        <x:v>Open weights (unrestricted)</x:v>
      </x:c>
      <x:c r="H449" s="17" t="n">
        <x:v>46126</x:v>
      </x:c>
      <x:c r="I449" s="17"/>
      <x:c r="J449" s="17" t="str">
        <x:v>Unverified</x:v>
      </x:c>
      <x:c r="K449" s="17"/>
      <x:c r="L449" s="17"/>
      <x:c r="M449" s="17"/>
      <x:c r="N449" s="17" t="str">
        <x:v>Qwen 3.6 35B-A3B</x:v>
      </x:c>
      <x:c r="O449" s="17" t="str">
        <x:v>qwen-3-6-35b-a3b</x:v>
      </x:c>
      <x:c r="P449" s="17"/>
      <x:c r="Q449" s="17"/>
      <x:c r="R449" s="17"/>
      <x:c r="S449" s="17"/>
      <x:c r="T449" s="17"/>
      <x:c r="U449" s="17"/>
      <x:c r="V449" s="17"/>
      <x:c r="W449" s="17"/>
      <x:c r="X449" s="17"/>
      <x:c r="Y449" s="17"/>
      <x:c r="Z449" s="17"/>
    </x:row>
    <x:row r="450">
      <x:c r="A450" s="17"/>
      <x:c r="B450" s="17" t="str">
        <x:v>qwen3-coder-next</x:v>
      </x:c>
      <x:c r="C450" s="17"/>
      <x:c r="D450" s="17"/>
      <x:c r="E450" s="17"/>
      <x:c r="F450" s="17" t="n">
        <x:v>46055</x:v>
      </x:c>
      <x:c r="G450" s="17"/>
      <x:c r="H450" s="17"/>
      <x:c r="I450" s="17"/>
      <x:c r="J450" s="17" t="str">
        <x:v>Unverified</x:v>
      </x:c>
      <x:c r="K450" s="17"/>
      <x:c r="L450" s="17"/>
      <x:c r="M450" s="17"/>
      <x:c r="N450" s="17"/>
      <x:c r="O450" s="17" t="str">
        <x:v>qwen3-coder-next</x:v>
      </x:c>
      <x:c r="P450" s="17"/>
      <x:c r="Q450" s="17"/>
      <x:c r="R450" s="17"/>
      <x:c r="S450" s="17"/>
      <x:c r="T450" s="17"/>
      <x:c r="U450" s="17"/>
      <x:c r="V450" s="17"/>
      <x:c r="W450" s="17"/>
      <x:c r="X450" s="17"/>
      <x:c r="Y450" s="17"/>
      <x:c r="Z450" s="17"/>
    </x:row>
    <x:row r="451">
      <x:c r="A451" s="17" t="str">
        <x:v>Qwen3-30B-A3B</x:v>
      </x:c>
      <x:c r="B451" s="17" t="str">
        <x:v>Qwen3-30B-A3B</x:v>
      </x:c>
      <x:c r="C451" s="17"/>
      <x:c r="D451" s="17" t="str">
        <x:v>Alibaba</x:v>
      </x:c>
      <x:c r="E451" s="17" t="str">
        <x:v>China</x:v>
      </x:c>
      <x:c r="F451" s="17" t="n">
        <x:v>45776</x:v>
      </x:c>
      <x:c r="G451" s="17" t="str">
        <x:v>Open weights (unrestricted)</x:v>
      </x:c>
      <x:c r="H451" s="17" t="n">
        <x:v>45776</x:v>
      </x:c>
      <x:c r="I451" s="17" t="n">
        <x:v>6.48e+23</x:v>
      </x:c>
      <x:c r="J451" s="17" t="str">
        <x:v>Likely</x:v>
      </x:c>
      <x:c r="K451" s="17"/>
      <x:c r="L451" s="17" t="str">
        <x:v>Qwen3-30B-A3B</x:v>
      </x:c>
      <x:c r="M451" s="17"/>
      <x:c r="N451" s="17" t="str">
        <x:v>Qwen3-30B-A3B</x:v>
      </x:c>
      <x:c r="O451" s="17" t="str">
        <x:v>qwen3-30b-a3b</x:v>
      </x:c>
      <x:c r="P451" s="17"/>
      <x:c r="Q451" s="17"/>
      <x:c r="R451" s="17"/>
      <x:c r="S451" s="17"/>
      <x:c r="T451" s="17"/>
      <x:c r="U451" s="17"/>
      <x:c r="V451" s="17"/>
      <x:c r="W451" s="17"/>
      <x:c r="X451" s="17"/>
      <x:c r="Y451" s="17"/>
      <x:c r="Z451" s="17"/>
    </x:row>
    <x:row r="452">
      <x:c r="A452" s="17" t="str">
        <x:v>GPT-5 nano</x:v>
      </x:c>
      <x:c r="B452" s="17" t="str">
        <x:v>gpt-5-nano-2025-08-07_low</x:v>
      </x:c>
      <x:c r="C452" s="17" t="str">
        <x:v>GPT-5 nano (low)</x:v>
      </x:c>
      <x:c r="D452" s="17" t="str">
        <x:v>OpenAI</x:v>
      </x:c>
      <x:c r="E452" s="17" t="str">
        <x:v>United States of America</x:v>
      </x:c>
      <x:c r="F452" s="17" t="n">
        <x:v>45876</x:v>
      </x:c>
      <x:c r="G452" s="17" t="str">
        <x:v>API access</x:v>
      </x:c>
      <x:c r="H452" s="17" t="n">
        <x:v>45876</x:v>
      </x:c>
      <x:c r="I452" s="17"/>
      <x:c r="J452" s="17" t="str">
        <x:v>Unknown</x:v>
      </x:c>
      <x:c r="K452" s="17" t="str">
        <x:v>The smallest version of OpenAI's latest flagship frontier model, benchmarked using medium reasoning effort.</x:v>
      </x:c>
      <x:c r="L452" s="17" t="str">
        <x:v>GPT-5 nano (low)</x:v>
      </x:c>
      <x:c r="M452" s="17"/>
      <x:c r="N452" s="17" t="str">
        <x:v>GPT-5 nano</x:v>
      </x:c>
      <x:c r="O452" s="17" t="str">
        <x:v>gpt-5-nano</x:v>
      </x:c>
      <x:c r="P452" s="17" t="n">
        <x:v>140.85</x:v>
      </x:c>
      <x:c r="Q452" s="17" t="n">
        <x:v>136.43</x:v>
      </x:c>
      <x:c r="R452" s="17" t="n">
        <x:v>142.54</x:v>
      </x:c>
      <x:c r="S452" s="17"/>
      <x:c r="T452" s="17"/>
      <x:c r="U452" s="17"/>
      <x:c r="V452" s="17"/>
      <x:c r="W452" s="17"/>
      <x:c r="X452" s="17"/>
      <x:c r="Y452" s="17"/>
      <x:c r="Z452" s="17"/>
    </x:row>
    <x:row r="453">
      <x:c r="A453" s="17" t="str">
        <x:v>Mixtral 8x22B</x:v>
      </x:c>
      <x:c r="B453" s="17" t="str">
        <x:v>Mixtral-8x22B-Instruct-v0.1</x:v>
      </x:c>
      <x:c r="C453" s="17"/>
      <x:c r="D453" s="17" t="str">
        <x:v>Mistral AI</x:v>
      </x:c>
      <x:c r="E453" s="17" t="str">
        <x:v>France</x:v>
      </x:c>
      <x:c r="F453" s="17" t="n">
        <x:v>45399</x:v>
      </x:c>
      <x:c r="G453" s="17" t="str">
        <x:v>Open weights (unrestricted)</x:v>
      </x:c>
      <x:c r="H453" s="17" t="n">
        <x:v>45399</x:v>
      </x:c>
      <x:c r="I453" s="17" t="n">
        <x:v>2.34e+24</x:v>
      </x:c>
      <x:c r="J453" s="17" t="str">
        <x:v>Speculative</x:v>
      </x:c>
      <x:c r="K453" s="17" t="str">
        <x:v>An instruction-tuned version of Mistral's 8 billion active (176 billion total)-parameter mixture-of-experts model</x:v>
      </x:c>
      <x:c r="L453" s="17"/>
      <x:c r="M453" s="17"/>
      <x:c r="N453" s="17" t="str">
        <x:v>Mixtral 8x22B</x:v>
      </x:c>
      <x:c r="O453" s="17" t="str">
        <x:v>mixtral-8x22b</x:v>
      </x:c>
      <x:c r="P453" s="17" t="n">
        <x:v>121.28</x:v>
      </x:c>
      <x:c r="Q453" s="17" t="n">
        <x:v>112.48</x:v>
      </x:c>
      <x:c r="R453" s="17" t="n">
        <x:v>123.4</x:v>
      </x:c>
      <x:c r="S453" s="17"/>
      <x:c r="T453" s="17"/>
      <x:c r="U453" s="17"/>
      <x:c r="V453" s="17"/>
      <x:c r="W453" s="17"/>
      <x:c r="X453" s="17"/>
      <x:c r="Y453" s="17"/>
      <x:c r="Z453" s="17"/>
    </x:row>
    <x:row r="454">
      <x:c r="A454" s="17" t="str">
        <x:v>Yi 6B</x:v>
      </x:c>
      <x:c r="B454" s="17" t="str">
        <x:v>Yi-6B</x:v>
      </x:c>
      <x:c r="C454" s="17"/>
      <x:c r="D454" s="17" t="str">
        <x:v>01.AI</x:v>
      </x:c>
      <x:c r="E454" s="17" t="str">
        <x:v>China</x:v>
      </x:c>
      <x:c r="F454" s="17" t="n">
        <x:v>45232</x:v>
      </x:c>
      <x:c r="G454" s="17" t="str">
        <x:v>Open weights (restricted use)</x:v>
      </x:c>
      <x:c r="H454" s="17" t="n">
        <x:v>45232</x:v>
      </x:c>
      <x:c r="I454" s="17" t="n">
        <x:v>1.26e+23</x:v>
      </x:c>
      <x:c r="J454" s="17" t="str">
        <x:v>Confident</x:v>
      </x:c>
      <x:c r="K454" s="17"/>
      <x:c r="L454" s="17" t="str">
        <x:v>Yi-6B (chat)</x:v>
      </x:c>
      <x:c r="M454" s="17"/>
      <x:c r="N454" s="17" t="str">
        <x:v>Yi 6B</x:v>
      </x:c>
      <x:c r="O454" s="17" t="str">
        <x:v>yi-6b</x:v>
      </x:c>
      <x:c r="P454" s="17" t="n">
        <x:v>104.51</x:v>
      </x:c>
      <x:c r="Q454" s="17" t="n">
        <x:v>93.1</x:v>
      </x:c>
      <x:c r="R454" s="17" t="n">
        <x:v>110.55</x:v>
      </x:c>
      <x:c r="S454" s="17"/>
      <x:c r="T454" s="17"/>
      <x:c r="U454" s="17"/>
      <x:c r="V454" s="17"/>
      <x:c r="W454" s="17"/>
      <x:c r="X454" s="17"/>
      <x:c r="Y454" s="17"/>
      <x:c r="Z454" s="17"/>
    </x:row>
    <x:row r="455">
      <x:c r="A455" s="17"/>
      <x:c r="B455" s="17" t="str">
        <x:v>Yi-9B</x:v>
      </x:c>
      <x:c r="C455" s="17"/>
      <x:c r="D455" s="17"/>
      <x:c r="E455" s="17"/>
      <x:c r="F455" s="17" t="n">
        <x:v>45352</x:v>
      </x:c>
      <x:c r="G455" s="17"/>
      <x:c r="H455" s="17"/>
      <x:c r="I455" s="17"/>
      <x:c r="J455" s="17" t="str">
        <x:v>Unverified</x:v>
      </x:c>
      <x:c r="K455" s="17"/>
      <x:c r="L455" s="17"/>
      <x:c r="M455" s="17"/>
      <x:c r="N455" s="17"/>
      <x:c r="O455" s="17" t="str">
        <x:v>yi-9b</x:v>
      </x:c>
      <x:c r="P455" s="17"/>
      <x:c r="Q455" s="17"/>
      <x:c r="R455" s="17"/>
      <x:c r="S455" s="17"/>
      <x:c r="T455" s="17"/>
      <x:c r="U455" s="17"/>
      <x:c r="V455" s="17"/>
      <x:c r="W455" s="17"/>
      <x:c r="X455" s="17"/>
      <x:c r="Y455" s="17"/>
      <x:c r="Z455" s="17"/>
    </x:row>
    <x:row r="456">
      <x:c r="A456" s="17"/>
      <x:c r="B456" s="17" t="str">
        <x:v>PaLM 2-S</x:v>
      </x:c>
      <x:c r="C456" s="17"/>
      <x:c r="D456" s="17"/>
      <x:c r="E456" s="17"/>
      <x:c r="F456" s="17" t="n">
        <x:v>45063</x:v>
      </x:c>
      <x:c r="G456" s="17"/>
      <x:c r="H456" s="17"/>
      <x:c r="I456" s="17"/>
      <x:c r="J456" s="17" t="str">
        <x:v>Unverified</x:v>
      </x:c>
      <x:c r="K456" s="17" t="str">
        <x:v>DeepMind's smallest model in the PaLM 2 series.</x:v>
      </x:c>
      <x:c r="L456" s="17"/>
      <x:c r="M456" s="17"/>
      <x:c r="N456" s="17"/>
      <x:c r="O456" s="17" t="str">
        <x:v>palm-2-s</x:v>
      </x:c>
      <x:c r="P456" s="17"/>
      <x:c r="Q456" s="17"/>
      <x:c r="R456" s="17"/>
      <x:c r="S456" s="17"/>
      <x:c r="T456" s="17"/>
      <x:c r="U456" s="17"/>
      <x:c r="V456" s="17"/>
      <x:c r="W456" s="17"/>
      <x:c r="X456" s="17"/>
      <x:c r="Y456" s="17"/>
      <x:c r="Z456" s="17"/>
    </x:row>
    <x:row r="457">
      <x:c r="A457" s="17"/>
      <x:c r="B457" s="17" t="str">
        <x:v>PaLM 2-M</x:v>
      </x:c>
      <x:c r="C457" s="17"/>
      <x:c r="D457" s="17"/>
      <x:c r="E457" s="17"/>
      <x:c r="F457" s="17" t="n">
        <x:v>45063</x:v>
      </x:c>
      <x:c r="G457" s="17"/>
      <x:c r="H457" s="17"/>
      <x:c r="I457" s="17"/>
      <x:c r="J457" s="17" t="str">
        <x:v>Unverified</x:v>
      </x:c>
      <x:c r="K457" s="17" t="str">
        <x:v>DeepMind's mid-sized model in the PaLM 2 series.</x:v>
      </x:c>
      <x:c r="L457" s="17"/>
      <x:c r="M457" s="17"/>
      <x:c r="N457" s="17"/>
      <x:c r="O457" s="17" t="str">
        <x:v>palm-2-m</x:v>
      </x:c>
      <x:c r="P457" s="17"/>
      <x:c r="Q457" s="17"/>
      <x:c r="R457" s="17"/>
      <x:c r="S457" s="17"/>
      <x:c r="T457" s="17"/>
      <x:c r="U457" s="17"/>
      <x:c r="V457" s="17"/>
      <x:c r="W457" s="17"/>
      <x:c r="X457" s="17"/>
      <x:c r="Y457" s="17"/>
      <x:c r="Z457" s="17"/>
    </x:row>
    <x:row r="458">
      <x:c r="A458" s="17"/>
      <x:c r="B458" s="17" t="str">
        <x:v>PaLM 2-L</x:v>
      </x:c>
      <x:c r="C458" s="17"/>
      <x:c r="D458" s="17"/>
      <x:c r="E458" s="17"/>
      <x:c r="F458" s="17" t="n">
        <x:v>45063</x:v>
      </x:c>
      <x:c r="G458" s="17"/>
      <x:c r="H458" s="17"/>
      <x:c r="I458" s="17"/>
      <x:c r="J458" s="17" t="str">
        <x:v>Unverified</x:v>
      </x:c>
      <x:c r="K458" s="17" t="str">
        <x:v>DeepMind's largest model in the PaLM 2 series.</x:v>
      </x:c>
      <x:c r="L458" s="17"/>
      <x:c r="M458" s="17"/>
      <x:c r="N458" s="17"/>
      <x:c r="O458" s="17" t="str">
        <x:v>palm-2-l</x:v>
      </x:c>
      <x:c r="P458" s="17"/>
      <x:c r="Q458" s="17"/>
      <x:c r="R458" s="17"/>
      <x:c r="S458" s="17"/>
      <x:c r="T458" s="17"/>
      <x:c r="U458" s="17"/>
      <x:c r="V458" s="17"/>
      <x:c r="W458" s="17"/>
      <x:c r="X458" s="17"/>
      <x:c r="Y458" s="17"/>
      <x:c r="Z458" s="17"/>
    </x:row>
    <x:row r="459">
      <x:c r="A459" s="17" t="str">
        <x:v>Baichuan 2-7B</x:v>
      </x:c>
      <x:c r="B459" s="17" t="str">
        <x:v>Baichuan-2-7B-Base</x:v>
      </x:c>
      <x:c r="C459" s="17"/>
      <x:c r="D459" s="17" t="str">
        <x:v>Baichuan</x:v>
      </x:c>
      <x:c r="E459" s="17" t="str">
        <x:v>China</x:v>
      </x:c>
      <x:c r="F459" s="17" t="n">
        <x:v>45189</x:v>
      </x:c>
      <x:c r="G459" s="17" t="str">
        <x:v>Open weights (restricted use)</x:v>
      </x:c>
      <x:c r="H459" s="17" t="n">
        <x:v>45189</x:v>
      </x:c>
      <x:c r="I459" s="17" t="n">
        <x:v>1.092e+23</x:v>
      </x:c>
      <x:c r="J459" s="17" t="str">
        <x:v>Confident</x:v>
      </x:c>
      <x:c r="K459" s="17"/>
      <x:c r="L459" s="17"/>
      <x:c r="M459" s="17"/>
      <x:c r="N459" s="17" t="str">
        <x:v>Baichuan 2-7B</x:v>
      </x:c>
      <x:c r="O459" s="17" t="str">
        <x:v>baichuan-2-7b</x:v>
      </x:c>
      <x:c r="P459" s="17" t="n">
        <x:v>96.04</x:v>
      </x:c>
      <x:c r="Q459" s="17" t="n">
        <x:v>84.33</x:v>
      </x:c>
      <x:c r="R459" s="17" t="n">
        <x:v>104.53</x:v>
      </x:c>
      <x:c r="S459" s="17"/>
      <x:c r="T459" s="17"/>
      <x:c r="U459" s="17"/>
      <x:c r="V459" s="17"/>
      <x:c r="W459" s="17"/>
      <x:c r="X459" s="17"/>
      <x:c r="Y459" s="17"/>
      <x:c r="Z459" s="17"/>
    </x:row>
    <x:row r="460">
      <x:c r="A460" s="17" t="str">
        <x:v>phi-3-mini 3.8B</x:v>
      </x:c>
      <x:c r="B460" s="17" t="str">
        <x:v>Phi-3-mini-4k-instruct</x:v>
      </x:c>
      <x:c r="C460" s="17"/>
      <x:c r="D460" s="17" t="str">
        <x:v>Microsoft</x:v>
      </x:c>
      <x:c r="E460" s="17" t="str">
        <x:v>United States of America</x:v>
      </x:c>
      <x:c r="F460" s="17" t="n">
        <x:v>45405</x:v>
      </x:c>
      <x:c r="G460" s="17" t="str">
        <x:v>Open weights (unrestricted)</x:v>
      </x:c>
      <x:c r="H460" s="17" t="n">
        <x:v>45405</x:v>
      </x:c>
      <x:c r="I460" s="17" t="n">
        <x:v>7.524e+22</x:v>
      </x:c>
      <x:c r="J460" s="17" t="str">
        <x:v>Confident</x:v>
      </x:c>
      <x:c r="K460" s="17" t="str">
        <x:v>A 4 billion-parameter model in Microsoft's Phi-3 open source model series with a 4000-token context length.</x:v>
      </x:c>
      <x:c r="L460" s="17"/>
      <x:c r="M460" s="17"/>
      <x:c r="N460" s="17" t="str">
        <x:v>phi-3-mini 3.8B</x:v>
      </x:c>
      <x:c r="O460" s="17" t="str">
        <x:v>phi-3-mini-3-8b</x:v>
      </x:c>
      <x:c r="P460" s="17" t="n">
        <x:v>117.14</x:v>
      </x:c>
      <x:c r="Q460" s="17" t="n">
        <x:v>107.43</x:v>
      </x:c>
      <x:c r="R460" s="17" t="n">
        <x:v>120.17</x:v>
      </x:c>
      <x:c r="S460" s="17"/>
      <x:c r="T460" s="17"/>
      <x:c r="U460" s="17"/>
      <x:c r="V460" s="17"/>
      <x:c r="W460" s="17"/>
      <x:c r="X460" s="17"/>
      <x:c r="Y460" s="17"/>
      <x:c r="Z460" s="17"/>
    </x:row>
    <x:row r="461">
      <x:c r="A461" s="17" t="str">
        <x:v>phi-3-small 7.4B</x:v>
      </x:c>
      <x:c r="B461" s="17" t="str">
        <x:v>Phi-3-small-8k-instruct</x:v>
      </x:c>
      <x:c r="C461" s="17"/>
      <x:c r="D461" s="17" t="str">
        <x:v>Microsoft</x:v>
      </x:c>
      <x:c r="E461" s="17" t="str">
        <x:v>United States of America</x:v>
      </x:c>
      <x:c r="F461" s="17" t="n">
        <x:v>45405</x:v>
      </x:c>
      <x:c r="G461" s="17" t="str">
        <x:v>Open weights (unrestricted)</x:v>
      </x:c>
      <x:c r="H461" s="17" t="n">
        <x:v>45405</x:v>
      </x:c>
      <x:c r="I461" s="17" t="n">
        <x:v>2.1312e+23</x:v>
      </x:c>
      <x:c r="J461" s="17" t="str">
        <x:v>Confident</x:v>
      </x:c>
      <x:c r="K461" s="17" t="str">
        <x:v>A 7 billion-parameter model in Microsoft's Phi-3 open source model series with a 8000-token context length.</x:v>
      </x:c>
      <x:c r="L461" s="17"/>
      <x:c r="M461" s="17"/>
      <x:c r="N461" s="17" t="str">
        <x:v>phi-3-small 7.4B</x:v>
      </x:c>
      <x:c r="O461" s="17" t="str">
        <x:v>phi-3-small-7-4b</x:v>
      </x:c>
      <x:c r="P461" s="17" t="n">
        <x:v>121.64</x:v>
      </x:c>
      <x:c r="Q461" s="17" t="n">
        <x:v>113.57</x:v>
      </x:c>
      <x:c r="R461" s="17" t="n">
        <x:v>124.38</x:v>
      </x:c>
      <x:c r="S461" s="17"/>
      <x:c r="T461" s="17"/>
      <x:c r="U461" s="17"/>
      <x:c r="V461" s="17"/>
      <x:c r="W461" s="17"/>
      <x:c r="X461" s="17"/>
      <x:c r="Y461" s="17"/>
      <x:c r="Z461" s="17"/>
    </x:row>
    <x:row r="462">
      <x:c r="A462" s="17" t="str">
        <x:v>Phi-2</x:v>
      </x:c>
      <x:c r="B462" s="17" t="str">
        <x:v>phi-2</x:v>
      </x:c>
      <x:c r="C462" s="17"/>
      <x:c r="D462" s="17" t="str">
        <x:v>Microsoft</x:v>
      </x:c>
      <x:c r="E462" s="17" t="str">
        <x:v>United States of America</x:v>
      </x:c>
      <x:c r="F462" s="17" t="n">
        <x:v>45272</x:v>
      </x:c>
      <x:c r="G462" s="17" t="str">
        <x:v>Open weights (unrestricted)</x:v>
      </x:c>
      <x:c r="H462" s="17" t="n">
        <x:v>45272</x:v>
      </x:c>
      <x:c r="I462" s="17" t="n">
        <x:v>2.27e+22</x:v>
      </x:c>
      <x:c r="J462" s="17" t="str">
        <x:v>Confident</x:v>
      </x:c>
      <x:c r="K462" s="17"/>
      <x:c r="L462" s="17"/>
      <x:c r="M462" s="17"/>
      <x:c r="N462" s="17" t="str">
        <x:v>Phi-2</x:v>
      </x:c>
      <x:c r="O462" s="17" t="str">
        <x:v>phi-2</x:v>
      </x:c>
      <x:c r="P462" s="17" t="n">
        <x:v>107.66</x:v>
      </x:c>
      <x:c r="Q462" s="17" t="n">
        <x:v>85.19</x:v>
      </x:c>
      <x:c r="R462" s="17" t="n">
        <x:v>113.86</x:v>
      </x:c>
      <x:c r="S462" s="17"/>
      <x:c r="T462" s="17"/>
      <x:c r="U462" s="17"/>
      <x:c r="V462" s="17"/>
      <x:c r="W462" s="17"/>
      <x:c r="X462" s="17"/>
      <x:c r="Y462" s="17"/>
      <x:c r="Z462" s="17"/>
    </x:row>
    <x:row r="463">
      <x:c r="A463" s="17"/>
      <x:c r="B463" s="17" t="str">
        <x:v>Qwen2.5-Coder-0.5B</x:v>
      </x:c>
      <x:c r="C463" s="17"/>
      <x:c r="D463" s="17"/>
      <x:c r="E463" s="17"/>
      <x:c r="F463" s="17" t="n">
        <x:v>45553</x:v>
      </x:c>
      <x:c r="G463" s="17"/>
      <x:c r="H463" s="17"/>
      <x:c r="I463" s="17"/>
      <x:c r="J463" s="17" t="str">
        <x:v>Unverified</x:v>
      </x:c>
      <x:c r="K463" s="17" t="str">
        <x:v>Qwen's 500 million-parameter model in the Qwen 2.5 Coder series of open source models.</x:v>
      </x:c>
      <x:c r="L463" s="17"/>
      <x:c r="M463" s="17"/>
      <x:c r="N463" s="17"/>
      <x:c r="O463" s="17" t="str">
        <x:v>qwen2-5-coder-0-5b</x:v>
      </x:c>
      <x:c r="P463" s="17"/>
      <x:c r="Q463" s="17"/>
      <x:c r="R463" s="17"/>
      <x:c r="S463" s="17"/>
      <x:c r="T463" s="17"/>
      <x:c r="U463" s="17"/>
      <x:c r="V463" s="17"/>
      <x:c r="W463" s="17"/>
      <x:c r="X463" s="17"/>
      <x:c r="Y463" s="17"/>
      <x:c r="Z463" s="17"/>
    </x:row>
    <x:row r="464">
      <x:c r="A464" s="17" t="str">
        <x:v>DeepSeek Coder 1.3B</x:v>
      </x:c>
      <x:c r="B464" s="17" t="str">
        <x:v>deepseek-coder-1.3b-base</x:v>
      </x:c>
      <x:c r="C464" s="17"/>
      <x:c r="D464" s="17" t="str">
        <x:v>DeepSeek,Peking University</x:v>
      </x:c>
      <x:c r="E464" s="17" t="str">
        <x:v>China</x:v>
      </x:c>
      <x:c r="F464" s="17" t="n">
        <x:v>45232</x:v>
      </x:c>
      <x:c r="G464" s="17" t="str">
        <x:v>Open weights (restricted use)</x:v>
      </x:c>
      <x:c r="H464" s="17" t="n">
        <x:v>45316</x:v>
      </x:c>
      <x:c r="I464" s="17" t="n">
        <x:v>1.56e+22</x:v>
      </x:c>
      <x:c r="J464" s="17" t="str">
        <x:v>Likely</x:v>
      </x:c>
      <x:c r="K464" s="17"/>
      <x:c r="L464" s="17" t="str">
        <x:v>DeepSeek Coder 1.3B (base)</x:v>
      </x:c>
      <x:c r="M464" s="17"/>
      <x:c r="N464" s="17" t="str">
        <x:v>DeepSeek Coder 1.3B</x:v>
      </x:c>
      <x:c r="O464" s="17" t="str">
        <x:v>deepseek-coder-1-3b</x:v>
      </x:c>
      <x:c r="P464" s="17" t="n">
        <x:v>64.01</x:v>
      </x:c>
      <x:c r="Q464" s="17" t="n">
        <x:v>44.11</x:v>
      </x:c>
      <x:c r="R464" s="17" t="n">
        <x:v>79.87</x:v>
      </x:c>
      <x:c r="S464" s="17"/>
      <x:c r="T464" s="17"/>
      <x:c r="U464" s="17"/>
      <x:c r="V464" s="17"/>
      <x:c r="W464" s="17"/>
      <x:c r="X464" s="17"/>
      <x:c r="Y464" s="17"/>
      <x:c r="Z464" s="17"/>
    </x:row>
    <x:row r="465">
      <x:c r="A465" s="17" t="str">
        <x:v>Qwen2.5-Coder (1.5B)</x:v>
      </x:c>
      <x:c r="B465" s="17" t="str">
        <x:v>Qwen2.5-Coder-1.5B</x:v>
      </x:c>
      <x:c r="C465" s="17"/>
      <x:c r="D465" s="17" t="str">
        <x:v>Alibaba</x:v>
      </x:c>
      <x:c r="E465" s="17" t="str">
        <x:v>China</x:v>
      </x:c>
      <x:c r="F465" s="17" t="n">
        <x:v>45553</x:v>
      </x:c>
      <x:c r="G465" s="17" t="str">
        <x:v>Open weights (unrestricted)</x:v>
      </x:c>
      <x:c r="H465" s="17" t="n">
        <x:v>45553</x:v>
      </x:c>
      <x:c r="I465" s="17" t="n">
        <x:v>5.082e+22</x:v>
      </x:c>
      <x:c r="J465" s="17" t="str">
        <x:v>Confident</x:v>
      </x:c>
      <x:c r="K465" s="17" t="str">
        <x:v>Qwen's 1.5 billion-parameter model in the Qwen 2.5 Coder series of open source models.</x:v>
      </x:c>
      <x:c r="L465" s="17" t="str">
        <x:v>Qwen2.5-Coder-1.5B</x:v>
      </x:c>
      <x:c r="M465" s="17"/>
      <x:c r="N465" s="17" t="str">
        <x:v>Qwen2.5-Coder (1.5B)</x:v>
      </x:c>
      <x:c r="O465" s="17" t="str">
        <x:v>qwen2-5-coder-1-5b</x:v>
      </x:c>
      <x:c r="P465" s="17" t="n">
        <x:v>102.72</x:v>
      </x:c>
      <x:c r="Q465" s="17" t="n">
        <x:v>86.18</x:v>
      </x:c>
      <x:c r="R465" s="17" t="n">
        <x:v>110.55</x:v>
      </x:c>
      <x:c r="S465" s="17"/>
      <x:c r="T465" s="17"/>
      <x:c r="U465" s="17"/>
      <x:c r="V465" s="17"/>
      <x:c r="W465" s="17"/>
      <x:c r="X465" s="17"/>
      <x:c r="Y465" s="17"/>
      <x:c r="Z465" s="17"/>
    </x:row>
    <x:row r="466">
      <x:c r="A466" s="17" t="str">
        <x:v>StarCoder 2 3B</x:v>
      </x:c>
      <x:c r="B466" s="17" t="str">
        <x:v>starcoder2-3b</x:v>
      </x:c>
      <x:c r="C466" s="17"/>
      <x:c r="D466" s="17" t="str">
        <x:v>Hugging Face,ServiceNow,NVIDIA,BigCode</x:v>
      </x:c>
      <x:c r="E466" s="17" t="str">
        <x:v>United States of America</x:v>
      </x:c>
      <x:c r="F466" s="17" t="n">
        <x:v>45344</x:v>
      </x:c>
      <x:c r="G466" s="17" t="str">
        <x:v>Open weights (restricted use)</x:v>
      </x:c>
      <x:c r="H466" s="17" t="n">
        <x:v>45351</x:v>
      </x:c>
      <x:c r="I466" s="17" t="n">
        <x:v>5.94e+22</x:v>
      </x:c>
      <x:c r="J466" s="17" t="str">
        <x:v>Confident</x:v>
      </x:c>
      <x:c r="K466" s="17"/>
      <x:c r="L466" s="17" t="str">
        <x:v>StarCoder 2 3B</x:v>
      </x:c>
      <x:c r="M466" s="17"/>
      <x:c r="N466" s="17" t="str">
        <x:v>StarCoder 2 3B</x:v>
      </x:c>
      <x:c r="O466" s="17" t="str">
        <x:v>starcoder-2-3b</x:v>
      </x:c>
      <x:c r="P466" s="17" t="n">
        <x:v>88.47</x:v>
      </x:c>
      <x:c r="Q466" s="17" t="n">
        <x:v>73.81</x:v>
      </x:c>
      <x:c r="R466" s="17" t="n">
        <x:v>98.03</x:v>
      </x:c>
      <x:c r="S466" s="17"/>
      <x:c r="T466" s="17"/>
      <x:c r="U466" s="17"/>
      <x:c r="V466" s="17"/>
      <x:c r="W466" s="17"/>
      <x:c r="X466" s="17"/>
      <x:c r="Y466" s="17"/>
      <x:c r="Z466" s="17"/>
    </x:row>
    <x:row r="467">
      <x:c r="A467" s="17"/>
      <x:c r="B467" s="17" t="str">
        <x:v>Qwen2.5-Coder-3B</x:v>
      </x:c>
      <x:c r="C467" s="17"/>
      <x:c r="D467" s="17"/>
      <x:c r="E467" s="17"/>
      <x:c r="F467" s="17" t="n">
        <x:v>45553</x:v>
      </x:c>
      <x:c r="G467" s="17"/>
      <x:c r="H467" s="17"/>
      <x:c r="I467" s="17"/>
      <x:c r="J467" s="17" t="str">
        <x:v>Unverified</x:v>
      </x:c>
      <x:c r="K467" s="17" t="str">
        <x:v>Qwen's 3 billion-parameter model in the Qwen 2.5 Coder series of open source models.</x:v>
      </x:c>
      <x:c r="L467" s="17"/>
      <x:c r="M467" s="17"/>
      <x:c r="N467" s="17"/>
      <x:c r="O467" s="17" t="str">
        <x:v>qwen2-5-coder-3b</x:v>
      </x:c>
      <x:c r="P467" s="17"/>
      <x:c r="Q467" s="17"/>
      <x:c r="R467" s="17"/>
      <x:c r="S467" s="17"/>
      <x:c r="T467" s="17"/>
      <x:c r="U467" s="17"/>
      <x:c r="V467" s="17"/>
      <x:c r="W467" s="17"/>
      <x:c r="X467" s="17"/>
      <x:c r="Y467" s="17"/>
      <x:c r="Z467" s="17"/>
    </x:row>
    <x:row r="468">
      <x:c r="A468" s="17" t="str">
        <x:v>StarCoder 2 7B</x:v>
      </x:c>
      <x:c r="B468" s="17" t="str">
        <x:v>starcoder2-7b</x:v>
      </x:c>
      <x:c r="C468" s="17"/>
      <x:c r="D468" s="17" t="str">
        <x:v>Hugging Face,ServiceNow,NVIDIA,BigCode</x:v>
      </x:c>
      <x:c r="E468" s="17" t="str">
        <x:v>United States of America</x:v>
      </x:c>
      <x:c r="F468" s="17" t="n">
        <x:v>45342</x:v>
      </x:c>
      <x:c r="G468" s="17" t="str">
        <x:v>Open weights (restricted use)</x:v>
      </x:c>
      <x:c r="H468" s="17" t="n">
        <x:v>45351</x:v>
      </x:c>
      <x:c r="I468" s="17" t="n">
        <x:v>1.55e+23</x:v>
      </x:c>
      <x:c r="J468" s="17" t="str">
        <x:v>Confident</x:v>
      </x:c>
      <x:c r="K468" s="17"/>
      <x:c r="L468" s="17" t="str">
        <x:v>StarCoder 2 7B</x:v>
      </x:c>
      <x:c r="M468" s="17"/>
      <x:c r="N468" s="17" t="str">
        <x:v>StarCoder 2 7B</x:v>
      </x:c>
      <x:c r="O468" s="17" t="str">
        <x:v>starcoder-2-7b</x:v>
      </x:c>
      <x:c r="P468" s="17" t="n">
        <x:v>93.25</x:v>
      </x:c>
      <x:c r="Q468" s="17" t="n">
        <x:v>76.05</x:v>
      </x:c>
      <x:c r="R468" s="17" t="n">
        <x:v>102.02</x:v>
      </x:c>
      <x:c r="S468" s="17"/>
      <x:c r="T468" s="17"/>
      <x:c r="U468" s="17"/>
      <x:c r="V468" s="17"/>
      <x:c r="W468" s="17"/>
      <x:c r="X468" s="17"/>
      <x:c r="Y468" s="17"/>
      <x:c r="Z468" s="17"/>
    </x:row>
    <x:row r="469">
      <x:c r="A469" s="17" t="str">
        <x:v>DeepSeek Coder 6.7B</x:v>
      </x:c>
      <x:c r="B469" s="17" t="str">
        <x:v>deepseek-coder-6.7b-base</x:v>
      </x:c>
      <x:c r="C469" s="17"/>
      <x:c r="D469" s="17" t="str">
        <x:v>DeepSeek,Peking University</x:v>
      </x:c>
      <x:c r="E469" s="17" t="str">
        <x:v>China</x:v>
      </x:c>
      <x:c r="F469" s="17" t="n">
        <x:v>45232</x:v>
      </x:c>
      <x:c r="G469" s="17" t="str">
        <x:v>Open weights (restricted use)</x:v>
      </x:c>
      <x:c r="H469" s="17" t="n">
        <x:v>45316</x:v>
      </x:c>
      <x:c r="I469" s="17" t="n">
        <x:v>8.04e+22</x:v>
      </x:c>
      <x:c r="J469" s="17" t="str">
        <x:v>Likely</x:v>
      </x:c>
      <x:c r="K469" s="17"/>
      <x:c r="L469" s="17" t="str">
        <x:v>DeepSeek Coder 6.7B (base)</x:v>
      </x:c>
      <x:c r="M469" s="17"/>
      <x:c r="N469" s="17" t="str">
        <x:v>DeepSeek Coder 6.7B</x:v>
      </x:c>
      <x:c r="O469" s="17" t="str">
        <x:v>deepseek-coder-6-7b</x:v>
      </x:c>
      <x:c r="P469" s="17" t="n">
        <x:v>89.32</x:v>
      </x:c>
      <x:c r="Q469" s="17" t="n">
        <x:v>72.08</x:v>
      </x:c>
      <x:c r="R469" s="17" t="n">
        <x:v>98.6</x:v>
      </x:c>
      <x:c r="S469" s="17"/>
      <x:c r="T469" s="17"/>
      <x:c r="U469" s="17"/>
      <x:c r="V469" s="17"/>
      <x:c r="W469" s="17"/>
      <x:c r="X469" s="17"/>
      <x:c r="Y469" s="17"/>
      <x:c r="Z469" s="17"/>
    </x:row>
    <x:row r="470">
      <x:c r="A470" s="17"/>
      <x:c r="B470" s="17" t="str">
        <x:v>DeepSeek-Coder-V2-Lite-Base</x:v>
      </x:c>
      <x:c r="C470" s="17"/>
      <x:c r="D470" s="17"/>
      <x:c r="E470" s="17"/>
      <x:c r="F470" s="17" t="n">
        <x:v>45456</x:v>
      </x:c>
      <x:c r="G470" s="17"/>
      <x:c r="H470" s="17"/>
      <x:c r="I470" s="17"/>
      <x:c r="J470" s="17" t="str">
        <x:v>Unverified</x:v>
      </x:c>
      <x:c r="K470" s="17"/>
      <x:c r="L470" s="17"/>
      <x:c r="M470" s="17"/>
      <x:c r="N470" s="17"/>
      <x:c r="O470" s="17" t="str">
        <x:v>deepseek-coder-v2-lite-base</x:v>
      </x:c>
      <x:c r="P470" s="17"/>
      <x:c r="Q470" s="17"/>
      <x:c r="R470" s="17"/>
      <x:c r="S470" s="17"/>
      <x:c r="T470" s="17"/>
      <x:c r="U470" s="17"/>
      <x:c r="V470" s="17"/>
      <x:c r="W470" s="17"/>
      <x:c r="X470" s="17"/>
      <x:c r="Y470" s="17"/>
      <x:c r="Z470" s="17"/>
    </x:row>
    <x:row r="471">
      <x:c r="A471" s="17"/>
      <x:c r="B471" s="17" t="str">
        <x:v>CodeQwen1.5-7B</x:v>
      </x:c>
      <x:c r="C471" s="17"/>
      <x:c r="D471" s="17"/>
      <x:c r="E471" s="17"/>
      <x:c r="F471" s="17" t="n">
        <x:v>45397</x:v>
      </x:c>
      <x:c r="G471" s="17"/>
      <x:c r="H471" s="17"/>
      <x:c r="I471" s="17"/>
      <x:c r="J471" s="17" t="str">
        <x:v>Unverified</x:v>
      </x:c>
      <x:c r="K471" s="17"/>
      <x:c r="L471" s="17"/>
      <x:c r="M471" s="17"/>
      <x:c r="N471" s="17"/>
      <x:c r="O471" s="17" t="str">
        <x:v>codeqwen1-5-7b</x:v>
      </x:c>
      <x:c r="P471" s="17"/>
      <x:c r="Q471" s="17"/>
      <x:c r="R471" s="17"/>
      <x:c r="S471" s="17"/>
      <x:c r="T471" s="17"/>
      <x:c r="U471" s="17"/>
      <x:c r="V471" s="17"/>
      <x:c r="W471" s="17"/>
      <x:c r="X471" s="17"/>
      <x:c r="Y471" s="17"/>
      <x:c r="Z471" s="17"/>
    </x:row>
    <x:row r="472">
      <x:c r="A472" s="17" t="str">
        <x:v>Qwen2.5-Coder (7B)</x:v>
      </x:c>
      <x:c r="B472" s="17" t="str">
        <x:v>Qwen2.5-Coder-7B</x:v>
      </x:c>
      <x:c r="C472" s="17"/>
      <x:c r="D472" s="17" t="str">
        <x:v>Alibaba</x:v>
      </x:c>
      <x:c r="E472" s="17" t="str">
        <x:v>China</x:v>
      </x:c>
      <x:c r="F472" s="17" t="n">
        <x:v>45553</x:v>
      </x:c>
      <x:c r="G472" s="17" t="str">
        <x:v>Open weights (unrestricted)</x:v>
      </x:c>
      <x:c r="H472" s="17" t="n">
        <x:v>45553</x:v>
      </x:c>
      <x:c r="I472" s="17" t="n">
        <x:v>2.5113e+23</x:v>
      </x:c>
      <x:c r="J472" s="17" t="str">
        <x:v>Confident</x:v>
      </x:c>
      <x:c r="K472" s="17" t="str">
        <x:v>Qwen's 7 billion-parameter model in the Qwen 2.5 Coder series of open source models.</x:v>
      </x:c>
      <x:c r="L472" s="17" t="str">
        <x:v>Qwen2.5-Coder-7B</x:v>
      </x:c>
      <x:c r="M472" s="17"/>
      <x:c r="N472" s="17" t="str">
        <x:v>Qwen2.5-Coder (7B)</x:v>
      </x:c>
      <x:c r="O472" s="17" t="str">
        <x:v>qwen2-5-coder-7b</x:v>
      </x:c>
      <x:c r="P472" s="17" t="n">
        <x:v>112.91</x:v>
      </x:c>
      <x:c r="Q472" s="17" t="n">
        <x:v>102.1</x:v>
      </x:c>
      <x:c r="R472" s="17" t="n">
        <x:v>118.64</x:v>
      </x:c>
      <x:c r="S472" s="17"/>
      <x:c r="T472" s="17"/>
      <x:c r="U472" s="17"/>
      <x:c r="V472" s="17"/>
      <x:c r="W472" s="17"/>
      <x:c r="X472" s="17"/>
      <x:c r="Y472" s="17"/>
      <x:c r="Z472" s="17"/>
    </x:row>
    <x:row r="473">
      <x:c r="A473" s="17" t="str">
        <x:v>StarCoder 2 15B</x:v>
      </x:c>
      <x:c r="B473" s="17" t="str">
        <x:v>starcoder2-15b</x:v>
      </x:c>
      <x:c r="C473" s="17"/>
      <x:c r="D473" s="17" t="str">
        <x:v>Hugging Face,ServiceNow,NVIDIA,BigCode</x:v>
      </x:c>
      <x:c r="E473" s="17" t="str">
        <x:v>United States of America</x:v>
      </x:c>
      <x:c r="F473" s="17" t="n">
        <x:v>45342</x:v>
      </x:c>
      <x:c r="G473" s="17" t="str">
        <x:v>Open weights (restricted use)</x:v>
      </x:c>
      <x:c r="H473" s="17" t="n">
        <x:v>45351</x:v>
      </x:c>
      <x:c r="I473" s="17" t="n">
        <x:v>3.87e+23</x:v>
      </x:c>
      <x:c r="J473" s="17" t="str">
        <x:v>Confident</x:v>
      </x:c>
      <x:c r="K473" s="17"/>
      <x:c r="L473" s="17" t="str">
        <x:v>StarCoder 2 15B</x:v>
      </x:c>
      <x:c r="M473" s="17"/>
      <x:c r="N473" s="17" t="str">
        <x:v>StarCoder 2 15B</x:v>
      </x:c>
      <x:c r="O473" s="17" t="str">
        <x:v>starcoder-2-15b</x:v>
      </x:c>
      <x:c r="P473" s="17" t="n">
        <x:v>104.74</x:v>
      </x:c>
      <x:c r="Q473" s="17" t="n">
        <x:v>92.4</x:v>
      </x:c>
      <x:c r="R473" s="17" t="n">
        <x:v>112.13</x:v>
      </x:c>
      <x:c r="S473" s="17"/>
      <x:c r="T473" s="17"/>
      <x:c r="U473" s="17"/>
      <x:c r="V473" s="17"/>
      <x:c r="W473" s="17"/>
      <x:c r="X473" s="17"/>
      <x:c r="Y473" s="17"/>
      <x:c r="Z473" s="17"/>
    </x:row>
    <x:row r="474">
      <x:c r="A474" s="17"/>
      <x:c r="B474" s="17" t="str">
        <x:v>Qwen2.5-Coder-14B</x:v>
      </x:c>
      <x:c r="C474" s="17"/>
      <x:c r="D474" s="17"/>
      <x:c r="E474" s="17"/>
      <x:c r="F474" s="17" t="n">
        <x:v>45553</x:v>
      </x:c>
      <x:c r="G474" s="17"/>
      <x:c r="H474" s="17"/>
      <x:c r="I474" s="17"/>
      <x:c r="J474" s="17" t="str">
        <x:v>Unverified</x:v>
      </x:c>
      <x:c r="K474" s="17" t="str">
        <x:v>Qwen's 14 billion-parameter model in the Qwen 2.5 Coder series of open source models.</x:v>
      </x:c>
      <x:c r="L474" s="17"/>
      <x:c r="M474" s="17"/>
      <x:c r="N474" s="17"/>
      <x:c r="O474" s="17" t="str">
        <x:v>qwen2-5-coder-14b</x:v>
      </x:c>
      <x:c r="P474" s="17"/>
      <x:c r="Q474" s="17"/>
      <x:c r="R474" s="17"/>
      <x:c r="S474" s="17"/>
      <x:c r="T474" s="17"/>
      <x:c r="U474" s="17"/>
      <x:c r="V474" s="17"/>
      <x:c r="W474" s="17"/>
      <x:c r="X474" s="17"/>
      <x:c r="Y474" s="17"/>
      <x:c r="Z474" s="17"/>
    </x:row>
    <x:row r="475">
      <x:c r="A475" s="17" t="str">
        <x:v>DeepSeek Coder 33B</x:v>
      </x:c>
      <x:c r="B475" s="17" t="str">
        <x:v>deepseek-coder-33b-base</x:v>
      </x:c>
      <x:c r="C475" s="17"/>
      <x:c r="D475" s="17" t="str">
        <x:v>DeepSeek,Peking University</x:v>
      </x:c>
      <x:c r="E475" s="17" t="str">
        <x:v>China</x:v>
      </x:c>
      <x:c r="F475" s="17" t="n">
        <x:v>45232</x:v>
      </x:c>
      <x:c r="G475" s="17" t="str">
        <x:v>Open weights (restricted use)</x:v>
      </x:c>
      <x:c r="H475" s="17" t="n">
        <x:v>45316</x:v>
      </x:c>
      <x:c r="I475" s="17" t="n">
        <x:v>3.96e+23</x:v>
      </x:c>
      <x:c r="J475" s="17" t="str">
        <x:v>Likely</x:v>
      </x:c>
      <x:c r="K475" s="17"/>
      <x:c r="L475" s="17" t="str">
        <x:v>DeepSeek Coder 33B (base)</x:v>
      </x:c>
      <x:c r="M475" s="17"/>
      <x:c r="N475" s="17" t="str">
        <x:v>DeepSeek Coder 33B</x:v>
      </x:c>
      <x:c r="O475" s="17" t="str">
        <x:v>deepseek-coder-33b</x:v>
      </x:c>
      <x:c r="P475" s="17" t="n">
        <x:v>96.02</x:v>
      </x:c>
      <x:c r="Q475" s="17" t="n">
        <x:v>82.39</x:v>
      </x:c>
      <x:c r="R475" s="17" t="n">
        <x:v>103.58</x:v>
      </x:c>
      <x:c r="S475" s="17"/>
      <x:c r="T475" s="17"/>
      <x:c r="U475" s="17"/>
      <x:c r="V475" s="17"/>
      <x:c r="W475" s="17"/>
      <x:c r="X475" s="17"/>
      <x:c r="Y475" s="17"/>
      <x:c r="Z475" s="17"/>
    </x:row>
    <x:row r="476">
      <x:c r="A476" s="17" t="str">
        <x:v>DeepSeek-Coder-V2 236B</x:v>
      </x:c>
      <x:c r="B476" s="17" t="str">
        <x:v>DeepSeek-Coder-V2-Base</x:v>
      </x:c>
      <x:c r="C476" s="17"/>
      <x:c r="D476" s="17" t="str">
        <x:v>DeepSeek</x:v>
      </x:c>
      <x:c r="E476" s="17" t="str">
        <x:v>China</x:v>
      </x:c>
      <x:c r="F476" s="17" t="n">
        <x:v>45460</x:v>
      </x:c>
      <x:c r="G476" s="17" t="str">
        <x:v>Open weights (restricted use)</x:v>
      </x:c>
      <x:c r="H476" s="17" t="n">
        <x:v>45460</x:v>
      </x:c>
      <x:c r="I476" s="17" t="n">
        <x:v>1.2852e+24</x:v>
      </x:c>
      <x:c r="J476" s="17" t="str">
        <x:v>Confident</x:v>
      </x:c>
      <x:c r="K476" s="17"/>
      <x:c r="L476" s="17" t="str">
        <x:v>DeepSeek-Coder-V2 (base)</x:v>
      </x:c>
      <x:c r="M476" s="17"/>
      <x:c r="N476" s="17" t="str">
        <x:v>DeepSeek-Coder-V2 236B</x:v>
      </x:c>
      <x:c r="O476" s="17" t="str">
        <x:v>deepseek-coder-v2-236b</x:v>
      </x:c>
      <x:c r="P476" s="17"/>
      <x:c r="Q476" s="17"/>
      <x:c r="R476" s="17"/>
      <x:c r="S476" s="17"/>
      <x:c r="T476" s="17"/>
      <x:c r="U476" s="17"/>
      <x:c r="V476" s="17"/>
      <x:c r="W476" s="17"/>
      <x:c r="X476" s="17"/>
      <x:c r="Y476" s="17"/>
      <x:c r="Z476" s="17"/>
    </x:row>
    <x:row r="477">
      <x:c r="A477" s="17" t="str">
        <x:v>Qwen2.5-Coder (32B)</x:v>
      </x:c>
      <x:c r="B477" s="17" t="str">
        <x:v>Qwen2.5-Coder-32B</x:v>
      </x:c>
      <x:c r="C477" s="17"/>
      <x:c r="D477" s="17" t="str">
        <x:v>Alibaba</x:v>
      </x:c>
      <x:c r="E477" s="17" t="str">
        <x:v>China</x:v>
      </x:c>
      <x:c r="F477" s="17" t="n">
        <x:v>45553</x:v>
      </x:c>
      <x:c r="G477" s="17" t="str">
        <x:v>Open weights (unrestricted)</x:v>
      </x:c>
      <x:c r="H477" s="17" t="n">
        <x:v>45608</x:v>
      </x:c>
      <x:c r="I477" s="17" t="n">
        <x:v>1.0725e+24</x:v>
      </x:c>
      <x:c r="J477" s="17" t="str">
        <x:v>Confident</x:v>
      </x:c>
      <x:c r="K477" s="17" t="str">
        <x:v>Qwen's 32 billion-parameter model in the Qwen 2.5 Coder series of open source models.</x:v>
      </x:c>
      <x:c r="L477" s="17" t="str">
        <x:v>Qwen2.5-Coder-32B</x:v>
      </x:c>
      <x:c r="M477" s="17" t="str">
        <x:v>Qwen2.5-Coder-32B</x:v>
      </x:c>
      <x:c r="N477" s="17" t="str">
        <x:v>Qwen2.5-Coder-32B</x:v>
      </x:c>
      <x:c r="O477" s="17" t="str">
        <x:v>qwen2-5-coder-32b</x:v>
      </x:c>
      <x:c r="P477" s="17" t="n">
        <x:v>119.27</x:v>
      </x:c>
      <x:c r="Q477" s="17" t="n">
        <x:v>110.01</x:v>
      </x:c>
      <x:c r="R477" s="17" t="n">
        <x:v>124.64</x:v>
      </x:c>
      <x:c r="S477" s="17"/>
      <x:c r="T477" s="17"/>
      <x:c r="U477" s="17"/>
      <x:c r="V477" s="17"/>
      <x:c r="W477" s="17"/>
      <x:c r="X477" s="17"/>
      <x:c r="Y477" s="17"/>
      <x:c r="Z477" s="17"/>
    </x:row>
    <x:row r="478">
      <x:c r="A478" s="17" t="str">
        <x:v>Phi-1.5</x:v>
      </x:c>
      <x:c r="B478" s="17" t="str">
        <x:v>phi-1_5</x:v>
      </x:c>
      <x:c r="C478" s="17"/>
      <x:c r="D478" s="17" t="str">
        <x:v>Microsoft</x:v>
      </x:c>
      <x:c r="E478" s="17" t="str">
        <x:v>United States of America</x:v>
      </x:c>
      <x:c r="F478" s="17" t="n">
        <x:v>45180</x:v>
      </x:c>
      <x:c r="G478" s="17" t="str">
        <x:v>Open weights (unrestricted)</x:v>
      </x:c>
      <x:c r="H478" s="17" t="n">
        <x:v>45180</x:v>
      </x:c>
      <x:c r="I478" s="17" t="n">
        <x:v>1.17e+21</x:v>
      </x:c>
      <x:c r="J478" s="17" t="str">
        <x:v>Confident</x:v>
      </x:c>
      <x:c r="K478" s="17"/>
      <x:c r="L478" s="17"/>
      <x:c r="M478" s="17"/>
      <x:c r="N478" s="17" t="str">
        <x:v>Phi-1.5</x:v>
      </x:c>
      <x:c r="O478" s="17" t="str">
        <x:v>phi-1-5</x:v>
      </x:c>
      <x:c r="P478" s="17" t="n">
        <x:v>91.26</x:v>
      </x:c>
      <x:c r="Q478" s="17" t="n">
        <x:v>72.29</x:v>
      </x:c>
      <x:c r="R478" s="17" t="n">
        <x:v>101.39</x:v>
      </x:c>
      <x:c r="S478" s="17"/>
      <x:c r="T478" s="17"/>
      <x:c r="U478" s="17"/>
      <x:c r="V478" s="17"/>
      <x:c r="W478" s="17"/>
      <x:c r="X478" s="17"/>
      <x:c r="Y478" s="17"/>
      <x:c r="Z478" s="17"/>
    </x:row>
    <x:row r="479">
      <x:c r="A479" s="17" t="str">
        <x:v>GPT-3.5 (davinci-002)
</x:v>
      </x:c>
      <x:c r="B479" s="17" t="str">
        <x:v>text-davinci-002</x:v>
      </x:c>
      <x:c r="C479" s="17"/>
      <x:c r="D479" s="17" t="str">
        <x:v>OpenAI</x:v>
      </x:c>
      <x:c r="E479" s="17" t="str">
        <x:v>United States of America</x:v>
      </x:c>
      <x:c r="F479" s="17" t="n">
        <x:v>44635</x:v>
      </x:c>
      <x:c r="G479" s="17" t="str">
        <x:v>API access</x:v>
      </x:c>
      <x:c r="H479" s="17" t="n">
        <x:v>44635</x:v>
      </x:c>
      <x:c r="I479" s="17" t="n">
        <x:v>2.578e+24</x:v>
      </x:c>
      <x:c r="J479" s="17" t="str">
        <x:v>Speculative</x:v>
      </x:c>
      <x:c r="K479" s="17"/>
      <x:c r="L479" s="17"/>
      <x:c r="M479" s="17" t="str">
        <x:v>davinci-002</x:v>
      </x:c>
      <x:c r="N479" s="17" t="str">
        <x:v>davinci-002</x:v>
      </x:c>
      <x:c r="O479" s="17" t="str">
        <x:v>davinci-002</x:v>
      </x:c>
      <x:c r="P479" s="17"/>
      <x:c r="Q479" s="17"/>
      <x:c r="R479" s="17"/>
      <x:c r="S479" s="17"/>
      <x:c r="T479" s="17"/>
      <x:c r="U479" s="17"/>
      <x:c r="V479" s="17"/>
      <x:c r="W479" s="17"/>
      <x:c r="X479" s="17"/>
      <x:c r="Y479" s="17"/>
      <x:c r="Z479" s="17"/>
    </x:row>
    <x:row r="480">
      <x:c r="A480" s="17" t="str">
        <x:v>Claude Instant</x:v>
      </x:c>
      <x:c r="B480" s="17" t="str">
        <x:v>claude-instant-1.1</x:v>
      </x:c>
      <x:c r="C480" s="17"/>
      <x:c r="D480" s="17" t="str">
        <x:v>Anthropic</x:v>
      </x:c>
      <x:c r="E480" s="17" t="str">
        <x:v>United States of America</x:v>
      </x:c>
      <x:c r="F480" s="17"/>
      <x:c r="G480" s="17" t="str">
        <x:v>API access</x:v>
      </x:c>
      <x:c r="H480" s="17" t="n">
        <x:v>45147</x:v>
      </x:c>
      <x:c r="I480" s="17"/>
      <x:c r="J480" s="17" t="str">
        <x:v>Unknown</x:v>
      </x:c>
      <x:c r="K480" s="17"/>
      <x:c r="L480" s="17"/>
      <x:c r="M480" s="17"/>
      <x:c r="N480" s="17" t="str">
        <x:v>Claude Instant</x:v>
      </x:c>
      <x:c r="O480" s="17" t="str">
        <x:v>claude-instant</x:v>
      </x:c>
      <x:c r="P480" s="17" t="n">
        <x:v>121.11</x:v>
      </x:c>
      <x:c r="Q480" s="17" t="n">
        <x:v>113.87</x:v>
      </x:c>
      <x:c r="R480" s="17" t="n">
        <x:v>123.96</x:v>
      </x:c>
      <x:c r="S480" s="17"/>
      <x:c r="T480" s="17"/>
      <x:c r="U480" s="17"/>
      <x:c r="V480" s="17"/>
      <x:c r="W480" s="17"/>
      <x:c r="X480" s="17"/>
      <x:c r="Y480" s="17"/>
      <x:c r="Z480" s="17"/>
    </x:row>
    <x:row r="481">
      <x:c r="A481" s="17" t="str">
        <x:v>Claude Instant</x:v>
      </x:c>
      <x:c r="B481" s="17" t="str">
        <x:v>claude-instant-1.2</x:v>
      </x:c>
      <x:c r="C481" s="17"/>
      <x:c r="D481" s="17" t="str">
        <x:v>Anthropic</x:v>
      </x:c>
      <x:c r="E481" s="17" t="str">
        <x:v>United States of America</x:v>
      </x:c>
      <x:c r="F481" s="17" t="n">
        <x:v>45147</x:v>
      </x:c>
      <x:c r="G481" s="17" t="str">
        <x:v>API access</x:v>
      </x:c>
      <x:c r="H481" s="17" t="n">
        <x:v>45147</x:v>
      </x:c>
      <x:c r="I481" s="17"/>
      <x:c r="J481" s="17" t="str">
        <x:v>Unknown</x:v>
      </x:c>
      <x:c r="K481" s="17"/>
      <x:c r="L481" s="17"/>
      <x:c r="M481" s="17"/>
      <x:c r="N481" s="17" t="str">
        <x:v>Claude Instant</x:v>
      </x:c>
      <x:c r="O481" s="17" t="str">
        <x:v>claude-instant</x:v>
      </x:c>
      <x:c r="P481" s="17" t="n">
        <x:v>121.11</x:v>
      </x:c>
      <x:c r="Q481" s="17" t="n">
        <x:v>113.87</x:v>
      </x:c>
      <x:c r="R481" s="17" t="n">
        <x:v>123.96</x:v>
      </x:c>
      <x:c r="S481" s="17"/>
      <x:c r="T481" s="17"/>
      <x:c r="U481" s="17"/>
      <x:c r="V481" s="17"/>
      <x:c r="W481" s="17"/>
      <x:c r="X481" s="17"/>
      <x:c r="Y481" s="17"/>
      <x:c r="Z481" s="17"/>
    </x:row>
    <x:row r="482">
      <x:c r="A482" s="17" t="str">
        <x:v>INTELLECT-1</x:v>
      </x:c>
      <x:c r="B482" s="17" t="str">
        <x:v>INTELLECT-1-Instruct</x:v>
      </x:c>
      <x:c r="C482" s="17"/>
      <x:c r="D482" s="17" t="str">
        <x:v>Prime Intellect,Hugging Face,Arcee AI</x:v>
      </x:c>
      <x:c r="E482" s="17" t="str">
        <x:v>United States of America</x:v>
      </x:c>
      <x:c r="F482" s="17" t="n">
        <x:v>45625</x:v>
      </x:c>
      <x:c r="G482" s="17"/>
      <x:c r="H482" s="17" t="n">
        <x:v>45625</x:v>
      </x:c>
      <x:c r="I482" s="17" t="n">
        <x:v>6.000001e+22</x:v>
      </x:c>
      <x:c r="J482" s="17" t="str">
        <x:v>Confident</x:v>
      </x:c>
      <x:c r="K482" s="17"/>
      <x:c r="L482" s="17"/>
      <x:c r="M482" s="17"/>
      <x:c r="N482" s="17" t="str">
        <x:v>INTELLECT-1</x:v>
      </x:c>
      <x:c r="O482" s="17" t="str">
        <x:v>intellect-1</x:v>
      </x:c>
      <x:c r="P482" s="17" t="n">
        <x:v>100.58</x:v>
      </x:c>
      <x:c r="Q482" s="17" t="n">
        <x:v>88.56</x:v>
      </x:c>
      <x:c r="R482" s="17" t="n">
        <x:v>107.05</x:v>
      </x:c>
      <x:c r="S482" s="17"/>
      <x:c r="T482" s="17"/>
      <x:c r="U482" s="17"/>
      <x:c r="V482" s="17"/>
      <x:c r="W482" s="17"/>
      <x:c r="X482" s="17"/>
      <x:c r="Y482" s="17"/>
      <x:c r="Z482" s="17"/>
    </x:row>
    <x:row r="483">
      <x:c r="A483" s="17" t="str">
        <x:v>GPT-5.6 Sol</x:v>
      </x:c>
      <x:c r="B483" s="17" t="str">
        <x:v>gpt-5.6-sol_xhigh</x:v>
      </x:c>
      <x:c r="C483" s="17" t="str">
        <x:v>GPT-5.6 Sol (xhigh)</x:v>
      </x:c>
      <x:c r="D483" s="17" t="str">
        <x:v>OpenAI</x:v>
      </x:c>
      <x:c r="E483" s="17" t="str">
        <x:v>United States of America</x:v>
      </x:c>
      <x:c r="F483" s="17" t="n">
        <x:v>46212</x:v>
      </x:c>
      <x:c r="G483" s="17" t="str">
        <x:v>API access</x:v>
      </x:c>
      <x:c r="H483" s="17" t="n">
        <x:v>46212</x:v>
      </x:c>
      <x:c r="I483" s="17"/>
      <x:c r="J483" s="17" t="str">
        <x:v>Unverified</x:v>
      </x:c>
      <x:c r="K483" s="17"/>
      <x:c r="L483" s="17" t="str">
        <x:v>GPT-5.6 Sol (xhigh)</x:v>
      </x:c>
      <x:c r="M483" s="17"/>
      <x:c r="N483" s="17" t="str">
        <x:v>GPT-5.6 Sol</x:v>
      </x:c>
      <x:c r="O483" s="17" t="str">
        <x:v>gpt-5-6-sol</x:v>
      </x:c>
      <x:c r="P483" s="17" t="n">
        <x:v>161.77</x:v>
      </x:c>
      <x:c r="Q483" s="17" t="n">
        <x:v>159.26</x:v>
      </x:c>
      <x:c r="R483" s="17" t="n">
        <x:v>166.01</x:v>
      </x:c>
      <x:c r="S483" s="17"/>
      <x:c r="T483" s="17"/>
      <x:c r="U483" s="17"/>
      <x:c r="V483" s="17"/>
      <x:c r="W483" s="17"/>
      <x:c r="X483" s="17"/>
      <x:c r="Y483" s="17"/>
      <x:c r="Z483" s="17"/>
    </x:row>
    <x:row r="484">
      <x:c r="A484" s="17" t="str">
        <x:v>GPT-5.6 Terra</x:v>
      </x:c>
      <x:c r="B484" s="17" t="str">
        <x:v>gpt-5.6-terra_xhigh</x:v>
      </x:c>
      <x:c r="C484" s="17" t="str">
        <x:v>GPT-5.6 Terra (xhigh)</x:v>
      </x:c>
      <x:c r="D484" s="17" t="str">
        <x:v>OpenAI</x:v>
      </x:c>
      <x:c r="E484" s="17" t="str">
        <x:v>United States of America</x:v>
      </x:c>
      <x:c r="F484" s="17" t="n">
        <x:v>46212</x:v>
      </x:c>
      <x:c r="G484" s="17" t="str">
        <x:v>API access</x:v>
      </x:c>
      <x:c r="H484" s="17" t="n">
        <x:v>46212</x:v>
      </x:c>
      <x:c r="I484" s="17"/>
      <x:c r="J484" s="17" t="str">
        <x:v>Unverified</x:v>
      </x:c>
      <x:c r="K484" s="17"/>
      <x:c r="L484" s="17" t="str">
        <x:v>GPT-5.6 Terra (xhigh)</x:v>
      </x:c>
      <x:c r="M484" s="17"/>
      <x:c r="N484" s="17" t="str">
        <x:v>GPT-5.6 Terra</x:v>
      </x:c>
      <x:c r="O484" s="17" t="str">
        <x:v>gpt-5-6-terra</x:v>
      </x:c>
      <x:c r="P484" s="17" t="n">
        <x:v>158.25</x:v>
      </x:c>
      <x:c r="Q484" s="17" t="n">
        <x:v>155.39</x:v>
      </x:c>
      <x:c r="R484" s="17" t="n">
        <x:v>161.26</x:v>
      </x:c>
      <x:c r="S484" s="17"/>
      <x:c r="T484" s="17"/>
      <x:c r="U484" s="17"/>
      <x:c r="V484" s="17"/>
      <x:c r="W484" s="17"/>
      <x:c r="X484" s="17"/>
      <x:c r="Y484" s="17"/>
      <x:c r="Z484" s="17"/>
    </x:row>
    <x:row r="485">
      <x:c r="A485" s="17" t="str">
        <x:v>GPT-5.6 Luna</x:v>
      </x:c>
      <x:c r="B485" s="17" t="str">
        <x:v>gpt-5.6-luna_medium</x:v>
      </x:c>
      <x:c r="C485" s="17" t="str">
        <x:v>GPT-5.6 Luna (medium)</x:v>
      </x:c>
      <x:c r="D485" s="17" t="str">
        <x:v>OpenAI</x:v>
      </x:c>
      <x:c r="E485" s="17" t="str">
        <x:v>United States of America</x:v>
      </x:c>
      <x:c r="F485" s="17" t="n">
        <x:v>46212</x:v>
      </x:c>
      <x:c r="G485" s="17" t="str">
        <x:v>API access</x:v>
      </x:c>
      <x:c r="H485" s="17" t="n">
        <x:v>46212</x:v>
      </x:c>
      <x:c r="I485" s="17"/>
      <x:c r="J485" s="17" t="str">
        <x:v>Unverified</x:v>
      </x:c>
      <x:c r="K485" s="17"/>
      <x:c r="L485" s="17" t="str">
        <x:v>GPT-5.6 Luna (medium)</x:v>
      </x:c>
      <x:c r="M485" s="17"/>
      <x:c r="N485" s="17" t="str">
        <x:v>GPT-5.6 Luna</x:v>
      </x:c>
      <x:c r="O485" s="17" t="str">
        <x:v>gpt-5-6-luna</x:v>
      </x:c>
      <x:c r="P485" s="17" t="n">
        <x:v>155.62</x:v>
      </x:c>
      <x:c r="Q485" s="17" t="n">
        <x:v>152.89</x:v>
      </x:c>
      <x:c r="R485" s="17" t="n">
        <x:v>158.51</x:v>
      </x:c>
      <x:c r="S485" s="17"/>
      <x:c r="T485" s="17"/>
      <x:c r="U485" s="17"/>
      <x:c r="V485" s="17"/>
      <x:c r="W485" s="17"/>
      <x:c r="X485" s="17"/>
      <x:c r="Y485" s="17"/>
      <x:c r="Z485" s="17"/>
    </x:row>
    <x:row r="486">
      <x:c r="A486" s="17" t="str">
        <x:v>GLaM</x:v>
      </x:c>
      <x:c r="B486" s="17" t="str">
        <x:v>GLaM (MoE)</x:v>
      </x:c>
      <x:c r="C486" s="17"/>
      <x:c r="D486" s="17" t="str">
        <x:v>Google</x:v>
      </x:c>
      <x:c r="E486" s="17" t="str">
        <x:v>United States of America</x:v>
      </x:c>
      <x:c r="F486" s="17" t="n">
        <x:v>44543</x:v>
      </x:c>
      <x:c r="G486" s="17" t="str">
        <x:v>Unreleased</x:v>
      </x:c>
      <x:c r="H486" s="17" t="n">
        <x:v>44543</x:v>
      </x:c>
      <x:c r="I486" s="17" t="n">
        <x:v>3.6363112434e+23</x:v>
      </x:c>
      <x:c r="J486" s="17" t="str">
        <x:v>Confident</x:v>
      </x:c>
      <x:c r="K486" s="17"/>
      <x:c r="L486" s="17"/>
      <x:c r="M486" s="17"/>
      <x:c r="N486" s="17" t="str">
        <x:v>GLaM</x:v>
      </x:c>
      <x:c r="O486" s="17" t="str">
        <x:v>glam</x:v>
      </x:c>
      <x:c r="P486" s="17"/>
      <x:c r="Q486" s="17"/>
      <x:c r="R486" s="17"/>
      <x:c r="S486" s="17"/>
      <x:c r="T486" s="17"/>
      <x:c r="U486" s="17"/>
      <x:c r="V486" s="17"/>
      <x:c r="W486" s="17"/>
      <x:c r="X486" s="17"/>
      <x:c r="Y486" s="17"/>
      <x:c r="Z486" s="17"/>
    </x:row>
    <x:row r="487">
      <x:c r="A487" s="17" t="str">
        <x:v>GPT-5.6 Sol</x:v>
      </x:c>
      <x:c r="B487" s="17" t="str">
        <x:v>gpt-5.6-sol_medium</x:v>
      </x:c>
      <x:c r="C487" s="17" t="str">
        <x:v>GPT-5.6 Sol (medium)</x:v>
      </x:c>
      <x:c r="D487" s="17" t="str">
        <x:v>OpenAI</x:v>
      </x:c>
      <x:c r="E487" s="17" t="str">
        <x:v>United States of America</x:v>
      </x:c>
      <x:c r="F487" s="17" t="n">
        <x:v>46212</x:v>
      </x:c>
      <x:c r="G487" s="17" t="str">
        <x:v>API access</x:v>
      </x:c>
      <x:c r="H487" s="17" t="n">
        <x:v>46212</x:v>
      </x:c>
      <x:c r="I487" s="17"/>
      <x:c r="J487" s="17" t="str">
        <x:v>Unverified</x:v>
      </x:c>
      <x:c r="K487" s="17"/>
      <x:c r="L487" s="17" t="str">
        <x:v>GPT-5.6 Sol (medium)</x:v>
      </x:c>
      <x:c r="M487" s="17"/>
      <x:c r="N487" s="17" t="str">
        <x:v>GPT-5.6 Sol</x:v>
      </x:c>
      <x:c r="O487" s="17" t="str">
        <x:v>gpt-5-6-sol</x:v>
      </x:c>
      <x:c r="P487" s="17" t="n">
        <x:v>161.77</x:v>
      </x:c>
      <x:c r="Q487" s="17" t="n">
        <x:v>159.26</x:v>
      </x:c>
      <x:c r="R487" s="17" t="n">
        <x:v>166.01</x:v>
      </x:c>
      <x:c r="S487" s="17"/>
      <x:c r="T487" s="17"/>
      <x:c r="U487" s="17"/>
      <x:c r="V487" s="17"/>
      <x:c r="W487" s="17"/>
      <x:c r="X487" s="17"/>
      <x:c r="Y487" s="17"/>
      <x:c r="Z487" s="17"/>
    </x:row>
    <x:row r="488">
      <x:c r="A488" s="17" t="str">
        <x:v>GPT-5.6 Luna</x:v>
      </x:c>
      <x:c r="B488" s="17" t="str">
        <x:v>gpt-5.6-luna_xhigh</x:v>
      </x:c>
      <x:c r="C488" s="17" t="str">
        <x:v>GPT-5.6 Luna (xhigh)</x:v>
      </x:c>
      <x:c r="D488" s="17" t="str">
        <x:v>OpenAI</x:v>
      </x:c>
      <x:c r="E488" s="17" t="str">
        <x:v>United States of America</x:v>
      </x:c>
      <x:c r="F488" s="17" t="n">
        <x:v>46212</x:v>
      </x:c>
      <x:c r="G488" s="17" t="str">
        <x:v>API access</x:v>
      </x:c>
      <x:c r="H488" s="17" t="n">
        <x:v>46212</x:v>
      </x:c>
      <x:c r="I488" s="17"/>
      <x:c r="J488" s="17" t="str">
        <x:v>Unverified</x:v>
      </x:c>
      <x:c r="K488" s="17"/>
      <x:c r="L488" s="17" t="str">
        <x:v>GPT-5.6 Luna (xhigh)</x:v>
      </x:c>
      <x:c r="M488" s="17"/>
      <x:c r="N488" s="17" t="str">
        <x:v>GPT-5.6 Luna</x:v>
      </x:c>
      <x:c r="O488" s="17" t="str">
        <x:v>gpt-5-6-luna</x:v>
      </x:c>
      <x:c r="P488" s="17" t="n">
        <x:v>155.62</x:v>
      </x:c>
      <x:c r="Q488" s="17" t="n">
        <x:v>152.89</x:v>
      </x:c>
      <x:c r="R488" s="17" t="n">
        <x:v>158.51</x:v>
      </x:c>
      <x:c r="S488" s="17"/>
      <x:c r="T488" s="17"/>
      <x:c r="U488" s="17"/>
      <x:c r="V488" s="17"/>
      <x:c r="W488" s="17"/>
      <x:c r="X488" s="17"/>
      <x:c r="Y488" s="17"/>
      <x:c r="Z488" s="17"/>
    </x:row>
    <x:row r="489">
      <x:c r="A489" s="17" t="str">
        <x:v>GPT-5.6 Terra</x:v>
      </x:c>
      <x:c r="B489" s="17" t="str">
        <x:v>gpt-5.6-terra_high</x:v>
      </x:c>
      <x:c r="C489" s="17" t="str">
        <x:v>GPT-5.6 Terra (high)</x:v>
      </x:c>
      <x:c r="D489" s="17" t="str">
        <x:v>OpenAI</x:v>
      </x:c>
      <x:c r="E489" s="17" t="str">
        <x:v>United States of America</x:v>
      </x:c>
      <x:c r="F489" s="17" t="n">
        <x:v>46212</x:v>
      </x:c>
      <x:c r="G489" s="17" t="str">
        <x:v>API access</x:v>
      </x:c>
      <x:c r="H489" s="17" t="n">
        <x:v>46212</x:v>
      </x:c>
      <x:c r="I489" s="17"/>
      <x:c r="J489" s="17" t="str">
        <x:v>Unverified</x:v>
      </x:c>
      <x:c r="K489" s="17"/>
      <x:c r="L489" s="17" t="str">
        <x:v>GPT-5.6 Terra (high)</x:v>
      </x:c>
      <x:c r="M489" s="17"/>
      <x:c r="N489" s="17" t="str">
        <x:v>GPT-5.6 Terra</x:v>
      </x:c>
      <x:c r="O489" s="17" t="str">
        <x:v>gpt-5-6-terra</x:v>
      </x:c>
      <x:c r="P489" s="17" t="n">
        <x:v>158.25</x:v>
      </x:c>
      <x:c r="Q489" s="17" t="n">
        <x:v>155.39</x:v>
      </x:c>
      <x:c r="R489" s="17" t="n">
        <x:v>161.26</x:v>
      </x:c>
      <x:c r="S489" s="17"/>
      <x:c r="T489" s="17"/>
      <x:c r="U489" s="17"/>
      <x:c r="V489" s="17"/>
      <x:c r="W489" s="17"/>
      <x:c r="X489" s="17"/>
      <x:c r="Y489" s="17"/>
      <x:c r="Z489" s="17"/>
    </x:row>
    <x:row r="490">
      <x:c r="A490" s="17" t="str">
        <x:v>Muse Spark 1.1</x:v>
      </x:c>
      <x:c r="B490" s="17" t="str">
        <x:v>muse-spark-1.1</x:v>
      </x:c>
      <x:c r="C490" s="17" t="str">
        <x:v>Muse Spark 1.1</x:v>
      </x:c>
      <x:c r="D490" s="17" t="str">
        <x:v>Meta AI</x:v>
      </x:c>
      <x:c r="E490" s="17" t="str">
        <x:v>United States of America</x:v>
      </x:c>
      <x:c r="F490" s="17" t="n">
        <x:v>46212</x:v>
      </x:c>
      <x:c r="G490" s="17" t="str">
        <x:v>API access</x:v>
      </x:c>
      <x:c r="H490" s="17" t="n">
        <x:v>46212</x:v>
      </x:c>
      <x:c r="I490" s="17"/>
      <x:c r="J490" s="17" t="str">
        <x:v>Unverified</x:v>
      </x:c>
      <x:c r="K490" s="17"/>
      <x:c r="L490" s="17" t="str">
        <x:v>Muse Spark 1.1</x:v>
      </x:c>
      <x:c r="M490" s="17"/>
      <x:c r="N490" s="17" t="str">
        <x:v>Muse Spark 1.1</x:v>
      </x:c>
      <x:c r="O490" s="17" t="str">
        <x:v>muse-spark-1-1</x:v>
      </x:c>
      <x:c r="P490" s="17"/>
      <x:c r="Q490" s="17"/>
      <x:c r="R490" s="17"/>
      <x:c r="S490" s="17"/>
      <x:c r="T490" s="17"/>
      <x:c r="U490" s="17"/>
      <x:c r="V490" s="17"/>
      <x:c r="W490" s="17"/>
      <x:c r="X490" s="17"/>
      <x:c r="Y490" s="17"/>
      <x:c r="Z490" s="17"/>
    </x:row>
    <x:row r="491">
      <x:c r="A491" s="17" t="str">
        <x:v>GPT-5.6 Sol</x:v>
      </x:c>
      <x:c r="B491" s="17" t="str">
        <x:v>gpt-5.6-sol_low</x:v>
      </x:c>
      <x:c r="C491" s="17" t="str">
        <x:v>GPT-5.6 Sol (low)</x:v>
      </x:c>
      <x:c r="D491" s="17" t="str">
        <x:v>OpenAI</x:v>
      </x:c>
      <x:c r="E491" s="17" t="str">
        <x:v>United States of America</x:v>
      </x:c>
      <x:c r="F491" s="17" t="n">
        <x:v>46212</x:v>
      </x:c>
      <x:c r="G491" s="17" t="str">
        <x:v>API access</x:v>
      </x:c>
      <x:c r="H491" s="17" t="n">
        <x:v>46212</x:v>
      </x:c>
      <x:c r="I491" s="17"/>
      <x:c r="J491" s="17" t="str">
        <x:v>Unverified</x:v>
      </x:c>
      <x:c r="K491" s="17"/>
      <x:c r="L491" s="17" t="str">
        <x:v>GPT-5.6 Sol (low)</x:v>
      </x:c>
      <x:c r="M491" s="17"/>
      <x:c r="N491" s="17" t="str">
        <x:v>GPT-5.6 Sol</x:v>
      </x:c>
      <x:c r="O491" s="17" t="str">
        <x:v>gpt-5-6-sol</x:v>
      </x:c>
      <x:c r="P491" s="17" t="n">
        <x:v>161.77</x:v>
      </x:c>
      <x:c r="Q491" s="17" t="n">
        <x:v>159.26</x:v>
      </x:c>
      <x:c r="R491" s="17" t="n">
        <x:v>166.01</x:v>
      </x:c>
      <x:c r="S491" s="17"/>
      <x:c r="T491" s="17"/>
      <x:c r="U491" s="17"/>
      <x:c r="V491" s="17"/>
      <x:c r="W491" s="17"/>
      <x:c r="X491" s="17"/>
      <x:c r="Y491" s="17"/>
      <x:c r="Z491" s="17"/>
    </x:row>
    <x:row r="492">
      <x:c r="A492" s="17" t="str">
        <x:v>GPT-5.6 Luna</x:v>
      </x:c>
      <x:c r="B492" s="17" t="str">
        <x:v>gpt-5.6-luna_high</x:v>
      </x:c>
      <x:c r="C492" s="17" t="str">
        <x:v>GPT-5.6 Luna (high)</x:v>
      </x:c>
      <x:c r="D492" s="17" t="str">
        <x:v>OpenAI</x:v>
      </x:c>
      <x:c r="E492" s="17" t="str">
        <x:v>United States of America</x:v>
      </x:c>
      <x:c r="F492" s="17" t="n">
        <x:v>46212</x:v>
      </x:c>
      <x:c r="G492" s="17" t="str">
        <x:v>API access</x:v>
      </x:c>
      <x:c r="H492" s="17" t="n">
        <x:v>46212</x:v>
      </x:c>
      <x:c r="I492" s="17"/>
      <x:c r="J492" s="17" t="str">
        <x:v>Unverified</x:v>
      </x:c>
      <x:c r="K492" s="17"/>
      <x:c r="L492" s="17" t="str">
        <x:v>GPT-5.6 Luna (high)</x:v>
      </x:c>
      <x:c r="M492" s="17"/>
      <x:c r="N492" s="17" t="str">
        <x:v>GPT-5.6 Luna</x:v>
      </x:c>
      <x:c r="O492" s="17" t="str">
        <x:v>gpt-5-6-luna</x:v>
      </x:c>
      <x:c r="P492" s="17" t="n">
        <x:v>155.62</x:v>
      </x:c>
      <x:c r="Q492" s="17" t="n">
        <x:v>152.89</x:v>
      </x:c>
      <x:c r="R492" s="17" t="n">
        <x:v>158.51</x:v>
      </x:c>
      <x:c r="S492" s="17"/>
      <x:c r="T492" s="17"/>
      <x:c r="U492" s="17"/>
      <x:c r="V492" s="17"/>
      <x:c r="W492" s="17"/>
      <x:c r="X492" s="17"/>
      <x:c r="Y492" s="17"/>
      <x:c r="Z492" s="17"/>
    </x:row>
    <x:row r="493">
      <x:c r="A493" s="17" t="str">
        <x:v>GPT-5.6 Terra</x:v>
      </x:c>
      <x:c r="B493" s="17" t="str">
        <x:v>gpt-5.6-terra_medium</x:v>
      </x:c>
      <x:c r="C493" s="17" t="str">
        <x:v>GPT-5.6 Terra (medium)</x:v>
      </x:c>
      <x:c r="D493" s="17" t="str">
        <x:v>OpenAI</x:v>
      </x:c>
      <x:c r="E493" s="17" t="str">
        <x:v>United States of America</x:v>
      </x:c>
      <x:c r="F493" s="17" t="n">
        <x:v>46212</x:v>
      </x:c>
      <x:c r="G493" s="17" t="str">
        <x:v>API access</x:v>
      </x:c>
      <x:c r="H493" s="17" t="n">
        <x:v>46212</x:v>
      </x:c>
      <x:c r="I493" s="17"/>
      <x:c r="J493" s="17" t="str">
        <x:v>Unverified</x:v>
      </x:c>
      <x:c r="K493" s="17"/>
      <x:c r="L493" s="17" t="str">
        <x:v>GPT-5.6 Terra (medium)</x:v>
      </x:c>
      <x:c r="M493" s="17"/>
      <x:c r="N493" s="17" t="str">
        <x:v>GPT-5.6 Terra</x:v>
      </x:c>
      <x:c r="O493" s="17" t="str">
        <x:v>gpt-5-6-terra</x:v>
      </x:c>
      <x:c r="P493" s="17" t="n">
        <x:v>158.25</x:v>
      </x:c>
      <x:c r="Q493" s="17" t="n">
        <x:v>155.39</x:v>
      </x:c>
      <x:c r="R493" s="17" t="n">
        <x:v>161.26</x:v>
      </x:c>
      <x:c r="S493" s="17"/>
      <x:c r="T493" s="17"/>
      <x:c r="U493" s="17"/>
      <x:c r="V493" s="17"/>
      <x:c r="W493" s="17"/>
      <x:c r="X493" s="17"/>
      <x:c r="Y493" s="17"/>
      <x:c r="Z493" s="17"/>
    </x:row>
    <x:row r="494">
      <x:c r="A494" s="17" t="str">
        <x:v>GPT-5.6 Terra</x:v>
      </x:c>
      <x:c r="B494" s="17" t="str">
        <x:v>gpt-5.6-terra_low</x:v>
      </x:c>
      <x:c r="C494" s="17" t="str">
        <x:v>GPT-5.6 Terra (low)</x:v>
      </x:c>
      <x:c r="D494" s="17" t="str">
        <x:v>OpenAI</x:v>
      </x:c>
      <x:c r="E494" s="17" t="str">
        <x:v>United States of America</x:v>
      </x:c>
      <x:c r="F494" s="17" t="n">
        <x:v>46212</x:v>
      </x:c>
      <x:c r="G494" s="17" t="str">
        <x:v>API access</x:v>
      </x:c>
      <x:c r="H494" s="17" t="n">
        <x:v>46212</x:v>
      </x:c>
      <x:c r="I494" s="17"/>
      <x:c r="J494" s="17" t="str">
        <x:v>Unverified</x:v>
      </x:c>
      <x:c r="K494" s="17"/>
      <x:c r="L494" s="17" t="str">
        <x:v>GPT-5.6 Terra (low)</x:v>
      </x:c>
      <x:c r="M494" s="17"/>
      <x:c r="N494" s="17" t="str">
        <x:v>GPT-5.6 Terra</x:v>
      </x:c>
      <x:c r="O494" s="17" t="str">
        <x:v>gpt-5-6-terra</x:v>
      </x:c>
      <x:c r="P494" s="17" t="n">
        <x:v>158.25</x:v>
      </x:c>
      <x:c r="Q494" s="17" t="n">
        <x:v>155.39</x:v>
      </x:c>
      <x:c r="R494" s="17" t="n">
        <x:v>161.26</x:v>
      </x:c>
      <x:c r="S494" s="17"/>
      <x:c r="T494" s="17"/>
      <x:c r="U494" s="17"/>
      <x:c r="V494" s="17"/>
      <x:c r="W494" s="17"/>
      <x:c r="X494" s="17"/>
      <x:c r="Y494" s="17"/>
      <x:c r="Z494" s="17"/>
    </x:row>
    <x:row r="495">
      <x:c r="A495" s="17" t="str">
        <x:v>GPT-5.6 Luna</x:v>
      </x:c>
      <x:c r="B495" s="17" t="str">
        <x:v>gpt-5.6-luna_low</x:v>
      </x:c>
      <x:c r="C495" s="17" t="str">
        <x:v>GPT-5.6 Luna (low)</x:v>
      </x:c>
      <x:c r="D495" s="17" t="str">
        <x:v>OpenAI</x:v>
      </x:c>
      <x:c r="E495" s="17" t="str">
        <x:v>United States of America</x:v>
      </x:c>
      <x:c r="F495" s="17" t="n">
        <x:v>46212</x:v>
      </x:c>
      <x:c r="G495" s="17" t="str">
        <x:v>API access</x:v>
      </x:c>
      <x:c r="H495" s="17" t="n">
        <x:v>46212</x:v>
      </x:c>
      <x:c r="I495" s="17"/>
      <x:c r="J495" s="17" t="str">
        <x:v>Unverified</x:v>
      </x:c>
      <x:c r="K495" s="17"/>
      <x:c r="L495" s="17" t="str">
        <x:v>GPT-5.6 Luna (low)</x:v>
      </x:c>
      <x:c r="M495" s="17"/>
      <x:c r="N495" s="17" t="str">
        <x:v>GPT-5.6 Luna</x:v>
      </x:c>
      <x:c r="O495" s="17" t="str">
        <x:v>gpt-5-6-luna</x:v>
      </x:c>
      <x:c r="P495" s="17" t="n">
        <x:v>155.62</x:v>
      </x:c>
      <x:c r="Q495" s="17" t="n">
        <x:v>152.89</x:v>
      </x:c>
      <x:c r="R495" s="17" t="n">
        <x:v>158.51</x:v>
      </x:c>
      <x:c r="S495" s="17"/>
      <x:c r="T495" s="17"/>
      <x:c r="U495" s="17"/>
      <x:c r="V495" s="17"/>
      <x:c r="W495" s="17"/>
      <x:c r="X495" s="17"/>
      <x:c r="Y495" s="17"/>
      <x:c r="Z495" s="17"/>
    </x:row>
    <x:row r="496">
      <x:c r="A496" s="17" t="str">
        <x:v>Gemma 3 12B</x:v>
      </x:c>
      <x:c r="B496" s="17" t="str">
        <x:v>gemma-3-12b-it</x:v>
      </x:c>
      <x:c r="C496" s="17"/>
      <x:c r="D496" s="17" t="str">
        <x:v>Google DeepMind</x:v>
      </x:c>
      <x:c r="E496" s="17" t="str">
        <x:v>United States of America</x:v>
      </x:c>
      <x:c r="F496" s="17" t="n">
        <x:v>45728</x:v>
      </x:c>
      <x:c r="G496" s="17" t="str">
        <x:v>Open weights (restricted use)</x:v>
      </x:c>
      <x:c r="H496" s="17" t="n">
        <x:v>45728</x:v>
      </x:c>
      <x:c r="I496" s="17" t="n">
        <x:v>8.64e+23</x:v>
      </x:c>
      <x:c r="J496" s="17" t="str">
        <x:v>Confident</x:v>
      </x:c>
      <x:c r="K496" s="17" t="str">
        <x:v>An instruction-tuned version of the 12 billion-parameter model Google DeepMind's Gemma 3 series.</x:v>
      </x:c>
      <x:c r="L496" s="17"/>
      <x:c r="M496" s="17"/>
      <x:c r="N496" s="17" t="str">
        <x:v>Gemma 3 12B</x:v>
      </x:c>
      <x:c r="O496" s="17" t="str">
        <x:v>gemma-3-12b</x:v>
      </x:c>
      <x:c r="P496" s="17"/>
      <x:c r="Q496" s="17"/>
      <x:c r="R496" s="17"/>
      <x:c r="S496" s="17"/>
      <x:c r="T496" s="17"/>
      <x:c r="U496" s="17"/>
      <x:c r="V496" s="17"/>
      <x:c r="W496" s="17"/>
      <x:c r="X496" s="17"/>
      <x:c r="Y496" s="17"/>
      <x:c r="Z496" s="17"/>
    </x:row>
    <x:row r="497">
      <x:c r="A497" s="17"/>
      <x:c r="B497" s="17" t="str">
        <x:v>mPLUG-Owl3-7B-241101</x:v>
      </x:c>
      <x:c r="C497" s="17"/>
      <x:c r="D497" s="17"/>
      <x:c r="E497" s="17"/>
      <x:c r="F497" s="17" t="n">
        <x:v>45622</x:v>
      </x:c>
      <x:c r="G497" s="17"/>
      <x:c r="H497" s="17"/>
      <x:c r="I497" s="17"/>
      <x:c r="J497" s="17" t="str">
        <x:v>Unverified</x:v>
      </x:c>
      <x:c r="K497" s="17"/>
      <x:c r="L497" s="17"/>
      <x:c r="M497" s="17"/>
      <x:c r="N497" s="17"/>
      <x:c r="O497" s="17" t="str">
        <x:v>mplug-owl3-7b-241101</x:v>
      </x:c>
      <x:c r="P497" s="17"/>
      <x:c r="Q497" s="17"/>
      <x:c r="R497" s="17"/>
      <x:c r="S497" s="17"/>
      <x:c r="T497" s="17"/>
      <x:c r="U497" s="17"/>
      <x:c r="V497" s="17"/>
      <x:c r="W497" s="17"/>
      <x:c r="X497" s="17"/>
      <x:c r="Y497" s="17"/>
      <x:c r="Z497" s="17"/>
    </x:row>
    <x:row r="498">
      <x:c r="A498" s="17"/>
      <x:c r="B498" s="17" t="str">
        <x:v>LLaVA-Video-7B-Qwen2</x:v>
      </x:c>
      <x:c r="C498" s="17"/>
      <x:c r="D498" s="17"/>
      <x:c r="E498" s="17"/>
      <x:c r="F498" s="17" t="n">
        <x:v>45537</x:v>
      </x:c>
      <x:c r="G498" s="17"/>
      <x:c r="H498" s="17"/>
      <x:c r="I498" s="17"/>
      <x:c r="J498" s="17" t="str">
        <x:v>Unverified</x:v>
      </x:c>
      <x:c r="K498" s="17"/>
      <x:c r="L498" s="17"/>
      <x:c r="M498" s="17"/>
      <x:c r="N498" s="17"/>
      <x:c r="O498" s="17" t="str">
        <x:v>llava-video-7b-qwen2</x:v>
      </x:c>
      <x:c r="P498" s="17"/>
      <x:c r="Q498" s="17"/>
      <x:c r="R498" s="17"/>
      <x:c r="S498" s="17"/>
      <x:c r="T498" s="17"/>
      <x:c r="U498" s="17"/>
      <x:c r="V498" s="17"/>
      <x:c r="W498" s="17"/>
      <x:c r="X498" s="17"/>
      <x:c r="Y498" s="17"/>
      <x:c r="Z498" s="17"/>
    </x:row>
    <x:row r="499">
      <x:c r="A499" s="17"/>
      <x:c r="B499" s="17" t="str">
        <x:v>LongVA-7B</x:v>
      </x:c>
      <x:c r="C499" s="17"/>
      <x:c r="D499" s="17"/>
      <x:c r="E499" s="17"/>
      <x:c r="F499" s="17" t="n">
        <x:v>45456</x:v>
      </x:c>
      <x:c r="G499" s="17"/>
      <x:c r="H499" s="17"/>
      <x:c r="I499" s="17"/>
      <x:c r="J499" s="17" t="str">
        <x:v>Unverified</x:v>
      </x:c>
      <x:c r="K499" s="17"/>
      <x:c r="L499" s="17"/>
      <x:c r="M499" s="17"/>
      <x:c r="N499" s="17"/>
      <x:c r="O499" s="17" t="str">
        <x:v>longva-7b</x:v>
      </x:c>
      <x:c r="P499" s="17"/>
      <x:c r="Q499" s="17"/>
      <x:c r="R499" s="17"/>
      <x:c r="S499" s="17"/>
      <x:c r="T499" s="17"/>
      <x:c r="U499" s="17"/>
      <x:c r="V499" s="17"/>
      <x:c r="W499" s="17"/>
      <x:c r="X499" s="17"/>
      <x:c r="Y499" s="17"/>
      <x:c r="Z499" s="17"/>
    </x:row>
    <x:row r="500">
      <x:c r="A500" s="17"/>
      <x:c r="B500" s="17" t="str">
        <x:v>gemini-3-deep-think-preview</x:v>
      </x:c>
      <x:c r="C500" s="17"/>
      <x:c r="D500" s="17"/>
      <x:c r="E500" s="17"/>
      <x:c r="F500" s="17" t="n">
        <x:v>46065</x:v>
      </x:c>
      <x:c r="G500" s="17"/>
      <x:c r="H500" s="17"/>
      <x:c r="I500" s="17"/>
      <x:c r="J500" s="17" t="str">
        <x:v>Unverified</x:v>
      </x:c>
      <x:c r="K500" s="17"/>
      <x:c r="L500" s="17"/>
      <x:c r="M500" s="17"/>
      <x:c r="N500" s="17"/>
      <x:c r="O500" s="17" t="str">
        <x:v>gemini-3-deep-think-preview</x:v>
      </x:c>
      <x:c r="P500" s="17"/>
      <x:c r="Q500" s="17"/>
      <x:c r="R500" s="17"/>
      <x:c r="S500" s="17"/>
      <x:c r="T500" s="17"/>
      <x:c r="U500" s="17"/>
      <x:c r="V500" s="17"/>
      <x:c r="W500" s="17"/>
      <x:c r="X500" s="17"/>
      <x:c r="Y500" s="17"/>
      <x:c r="Z500" s="17"/>
    </x:row>
    <x:row r="501">
      <x:c r="A501" s="17" t="str">
        <x:v>GPT-5.5 Pro</x:v>
      </x:c>
      <x:c r="B501" s="17" t="str">
        <x:v>gpt-5.5-pro_high</x:v>
      </x:c>
      <x:c r="C501" s="17" t="str">
        <x:v>GPT-5.5 Pro (high)</x:v>
      </x:c>
      <x:c r="D501" s="17" t="str">
        <x:v>OpenAI</x:v>
      </x:c>
      <x:c r="E501" s="17" t="str">
        <x:v>United States of America</x:v>
      </x:c>
      <x:c r="F501" s="17" t="n">
        <x:v>46135</x:v>
      </x:c>
      <x:c r="G501" s="17" t="str">
        <x:v>API access</x:v>
      </x:c>
      <x:c r="H501" s="17" t="n">
        <x:v>46135</x:v>
      </x:c>
      <x:c r="I501" s="17"/>
      <x:c r="J501" s="17" t="str">
        <x:v>Likely</x:v>
      </x:c>
      <x:c r="K501" s="17"/>
      <x:c r="L501" s="17"/>
      <x:c r="M501" s="17"/>
      <x:c r="N501" s="17" t="str">
        <x:v>GPT-5.5 Pro</x:v>
      </x:c>
      <x:c r="O501" s="17" t="str">
        <x:v>gpt-5-5-pro</x:v>
      </x:c>
      <x:c r="P501" s="17" t="n">
        <x:v>160.73</x:v>
      </x:c>
      <x:c r="Q501" s="17" t="n">
        <x:v>158.24</x:v>
      </x:c>
      <x:c r="R501" s="17" t="n">
        <x:v>164.36</x:v>
      </x:c>
      <x:c r="S501" s="17"/>
      <x:c r="T501" s="17"/>
      <x:c r="U501" s="17"/>
      <x:c r="V501" s="17"/>
      <x:c r="W501" s="17"/>
      <x:c r="X501" s="17"/>
      <x:c r="Y501" s="17"/>
      <x:c r="Z501" s="17"/>
    </x:row>
    <x:row r="502">
      <x:c r="A502" s="17" t="str">
        <x:v>GPT-5.2 Pro</x:v>
      </x:c>
      <x:c r="B502" s="17" t="str">
        <x:v>gpt-5.2-pro-2025-12-11_high</x:v>
      </x:c>
      <x:c r="C502" s="17" t="str">
        <x:v>GPT-5.2 Pro</x:v>
      </x:c>
      <x:c r="D502" s="17" t="str">
        <x:v>OpenAI</x:v>
      </x:c>
      <x:c r="E502" s="17" t="str">
        <x:v>United States of America</x:v>
      </x:c>
      <x:c r="F502" s="17" t="n">
        <x:v>46002</x:v>
      </x:c>
      <x:c r="G502" s="17" t="str">
        <x:v>API access</x:v>
      </x:c>
      <x:c r="H502" s="17" t="n">
        <x:v>46002</x:v>
      </x:c>
      <x:c r="I502" s="17"/>
      <x:c r="J502" s="17" t="str">
        <x:v>Likely</x:v>
      </x:c>
      <x:c r="K502" s="17"/>
      <x:c r="L502" s="17" t="str">
        <x:v>GPT-5.2 Pro (high)</x:v>
      </x:c>
      <x:c r="M502" s="17"/>
      <x:c r="N502" s="17" t="str">
        <x:v>GPT-5.2 Pro</x:v>
      </x:c>
      <x:c r="O502" s="17" t="str">
        <x:v>gpt-5-2-pro</x:v>
      </x:c>
      <x:c r="P502" s="17" t="n">
        <x:v>154.65</x:v>
      </x:c>
      <x:c r="Q502" s="17" t="n">
        <x:v>152.88</x:v>
      </x:c>
      <x:c r="R502" s="17" t="n">
        <x:v>157.03</x:v>
      </x:c>
      <x:c r="S502" s="17"/>
      <x:c r="T502" s="17"/>
      <x:c r="U502" s="17"/>
      <x:c r="V502" s="17"/>
      <x:c r="W502" s="17"/>
      <x:c r="X502" s="17"/>
      <x:c r="Y502" s="17"/>
      <x:c r="Z502" s="17"/>
    </x:row>
    <x:row r="503">
      <x:c r="A503" s="17" t="str">
        <x:v>GPT-5.2 Pro</x:v>
      </x:c>
      <x:c r="B503" s="17" t="str">
        <x:v>gpt-5.2-pro-2025-12-11_medium</x:v>
      </x:c>
      <x:c r="C503" s="17" t="str">
        <x:v>GPT-5.2 Pro</x:v>
      </x:c>
      <x:c r="D503" s="17" t="str">
        <x:v>OpenAI</x:v>
      </x:c>
      <x:c r="E503" s="17" t="str">
        <x:v>United States of America</x:v>
      </x:c>
      <x:c r="F503" s="17" t="n">
        <x:v>46002</x:v>
      </x:c>
      <x:c r="G503" s="17" t="str">
        <x:v>API access</x:v>
      </x:c>
      <x:c r="H503" s="17" t="n">
        <x:v>46002</x:v>
      </x:c>
      <x:c r="I503" s="17"/>
      <x:c r="J503" s="17" t="str">
        <x:v>Likely</x:v>
      </x:c>
      <x:c r="K503" s="17"/>
      <x:c r="L503" s="17" t="str">
        <x:v>GPT-5.2 Pro (medium)</x:v>
      </x:c>
      <x:c r="M503" s="17"/>
      <x:c r="N503" s="17" t="str">
        <x:v>GPT-5.2 Pro</x:v>
      </x:c>
      <x:c r="O503" s="17" t="str">
        <x:v>gpt-5-2-pro</x:v>
      </x:c>
      <x:c r="P503" s="17" t="n">
        <x:v>154.65</x:v>
      </x:c>
      <x:c r="Q503" s="17" t="n">
        <x:v>152.88</x:v>
      </x:c>
      <x:c r="R503" s="17" t="n">
        <x:v>157.03</x:v>
      </x:c>
      <x:c r="S503" s="17"/>
      <x:c r="T503" s="17"/>
      <x:c r="U503" s="17"/>
      <x:c r="V503" s="17"/>
      <x:c r="W503" s="17"/>
      <x:c r="X503" s="17"/>
      <x:c r="Y503" s="17"/>
      <x:c r="Z503" s="17"/>
    </x:row>
    <x:row r="504">
      <x:c r="A504" s="17" t="str">
        <x:v>Claude Opus 4.5</x:v>
      </x:c>
      <x:c r="B504" s="17" t="str">
        <x:v>claude-opus-4-5-20251101_64K</x:v>
      </x:c>
      <x:c r="C504" s="17" t="str">
        <x:v>Claude Opus 4.5 (64k thinking)</x:v>
      </x:c>
      <x:c r="D504" s="17" t="str">
        <x:v>Anthropic</x:v>
      </x:c>
      <x:c r="E504" s="17" t="str">
        <x:v>United States of America</x:v>
      </x:c>
      <x:c r="F504" s="17" t="n">
        <x:v>45985</x:v>
      </x:c>
      <x:c r="G504" s="17" t="str">
        <x:v>API access</x:v>
      </x:c>
      <x:c r="H504" s="17" t="n">
        <x:v>45985</x:v>
      </x:c>
      <x:c r="I504" s="17"/>
      <x:c r="J504" s="17" t="str">
        <x:v>Unknown</x:v>
      </x:c>
      <x:c r="K504" s="17"/>
      <x:c r="L504" s="17" t="str">
        <x:v>Claude Opus 4.5 (64k thinking)</x:v>
      </x:c>
      <x:c r="M504" s="17"/>
      <x:c r="N504" s="17" t="str">
        <x:v>Claude Opus 4.5</x:v>
      </x:c>
      <x:c r="O504" s="17" t="str">
        <x:v>claude-opus-4-5</x:v>
      </x:c>
      <x:c r="P504" s="17" t="n">
        <x:v>149.53</x:v>
      </x:c>
      <x:c r="Q504" s="17" t="n">
        <x:v>147.66</x:v>
      </x:c>
      <x:c r="R504" s="17" t="n">
        <x:v>151.99</x:v>
      </x:c>
      <x:c r="S504" s="17"/>
      <x:c r="T504" s="17"/>
      <x:c r="U504" s="17"/>
      <x:c r="V504" s="17"/>
      <x:c r="W504" s="17"/>
      <x:c r="X504" s="17"/>
      <x:c r="Y504" s="17"/>
      <x:c r="Z504" s="17"/>
    </x:row>
    <x:row r="505">
      <x:c r="A505" s="17" t="str">
        <x:v>GPT-5.4</x:v>
      </x:c>
      <x:c r="B505" s="17" t="str">
        <x:v>gpt-5.4-2026-03-05_low</x:v>
      </x:c>
      <x:c r="C505" s="17" t="str">
        <x:v>GPT-5.4 (low)</x:v>
      </x:c>
      <x:c r="D505" s="17" t="str">
        <x:v>OpenAI</x:v>
      </x:c>
      <x:c r="E505" s="17" t="str">
        <x:v>United States of America</x:v>
      </x:c>
      <x:c r="F505" s="17" t="n">
        <x:v>46086</x:v>
      </x:c>
      <x:c r="G505" s="17" t="str">
        <x:v>API access</x:v>
      </x:c>
      <x:c r="H505" s="17" t="n">
        <x:v>46086</x:v>
      </x:c>
      <x:c r="I505" s="17"/>
      <x:c r="J505" s="17" t="str">
        <x:v>Likely</x:v>
      </x:c>
      <x:c r="K505" s="17"/>
      <x:c r="L505" s="17" t="str">
        <x:v>GPT-5.4 (low)</x:v>
      </x:c>
      <x:c r="M505" s="17"/>
      <x:c r="N505" s="17" t="str">
        <x:v>GPT-5.4</x:v>
      </x:c>
      <x:c r="O505" s="17" t="str">
        <x:v>gpt-5-4</x:v>
      </x:c>
      <x:c r="P505" s="17" t="n">
        <x:v>156.03</x:v>
      </x:c>
      <x:c r="Q505" s="17" t="n">
        <x:v>154.45</x:v>
      </x:c>
      <x:c r="R505" s="17" t="n">
        <x:v>158.37</x:v>
      </x:c>
      <x:c r="S505" s="17"/>
      <x:c r="T505" s="17"/>
      <x:c r="U505" s="17"/>
      <x:c r="V505" s="17"/>
      <x:c r="W505" s="17"/>
      <x:c r="X505" s="17"/>
      <x:c r="Y505" s="17"/>
      <x:c r="Z505" s="17"/>
    </x:row>
    <x:row r="506">
      <x:c r="A506" s="17" t="str">
        <x:v>Claude Opus 4.5</x:v>
      </x:c>
      <x:c r="B506" s="17" t="str">
        <x:v>claude-opus-4-5-20251101_8K</x:v>
      </x:c>
      <x:c r="C506" s="17" t="str">
        <x:v>Claude Opus 4.5 (8k thinking)</x:v>
      </x:c>
      <x:c r="D506" s="17" t="str">
        <x:v>Anthropic</x:v>
      </x:c>
      <x:c r="E506" s="17" t="str">
        <x:v>United States of America</x:v>
      </x:c>
      <x:c r="F506" s="17" t="n">
        <x:v>45985</x:v>
      </x:c>
      <x:c r="G506" s="17" t="str">
        <x:v>API access</x:v>
      </x:c>
      <x:c r="H506" s="17" t="n">
        <x:v>45985</x:v>
      </x:c>
      <x:c r="I506" s="17"/>
      <x:c r="J506" s="17" t="str">
        <x:v>Unknown</x:v>
      </x:c>
      <x:c r="K506" s="17"/>
      <x:c r="L506" s="17" t="str">
        <x:v>Claude Opus 4.5 (8k thinking)</x:v>
      </x:c>
      <x:c r="M506" s="17"/>
      <x:c r="N506" s="17" t="str">
        <x:v>Claude Opus 4.5</x:v>
      </x:c>
      <x:c r="O506" s="17" t="str">
        <x:v>claude-opus-4-5</x:v>
      </x:c>
      <x:c r="P506" s="17" t="n">
        <x:v>149.53</x:v>
      </x:c>
      <x:c r="Q506" s="17" t="n">
        <x:v>147.66</x:v>
      </x:c>
      <x:c r="R506" s="17" t="n">
        <x:v>151.99</x:v>
      </x:c>
      <x:c r="S506" s="17"/>
      <x:c r="T506" s="17"/>
      <x:c r="U506" s="17"/>
      <x:c r="V506" s="17"/>
      <x:c r="W506" s="17"/>
      <x:c r="X506" s="17"/>
      <x:c r="Y506" s="17"/>
      <x:c r="Z506" s="17"/>
    </x:row>
    <x:row r="507">
      <x:c r="A507" s="17" t="str">
        <x:v>Gemini 3.5 Flash</x:v>
      </x:c>
      <x:c r="B507" s="17" t="str">
        <x:v>gemini-3.5-flash_minimal</x:v>
      </x:c>
      <x:c r="C507" s="17" t="str">
        <x:v>Gemini 3.5 Flash (minimal)</x:v>
      </x:c>
      <x:c r="D507" s="17" t="str">
        <x:v>Google</x:v>
      </x:c>
      <x:c r="E507" s="17" t="str">
        <x:v>United States of America</x:v>
      </x:c>
      <x:c r="F507" s="17" t="n">
        <x:v>46161</x:v>
      </x:c>
      <x:c r="G507" s="17" t="str">
        <x:v>API access</x:v>
      </x:c>
      <x:c r="H507" s="17"/>
      <x:c r="I507" s="17"/>
      <x:c r="J507" s="17" t="str">
        <x:v>Confident</x:v>
      </x:c>
      <x:c r="K507" s="17"/>
      <x:c r="L507" s="17"/>
      <x:c r="M507" s="17"/>
      <x:c r="N507" s="17" t="str">
        <x:v>Gemini 3.5 Flash</x:v>
      </x:c>
      <x:c r="O507" s="17" t="str">
        <x:v>gemini-3-5-flash</x:v>
      </x:c>
      <x:c r="P507" s="17" t="n">
        <x:v>154.58</x:v>
      </x:c>
      <x:c r="Q507" s="17" t="n">
        <x:v>152.84</x:v>
      </x:c>
      <x:c r="R507" s="17" t="n">
        <x:v>157.2</x:v>
      </x:c>
      <x:c r="S507" s="17"/>
      <x:c r="T507" s="17"/>
      <x:c r="U507" s="17"/>
      <x:c r="V507" s="17"/>
      <x:c r="W507" s="17"/>
      <x:c r="X507" s="17"/>
      <x:c r="Y507" s="17"/>
      <x:c r="Z507" s="17"/>
    </x:row>
    <x:row r="508">
      <x:c r="A508" s="17" t="str">
        <x:v>Claude Sonnet 4.5</x:v>
      </x:c>
      <x:c r="B508" s="17" t="str">
        <x:v>claude-sonnet-4-5-20250929_8K</x:v>
      </x:c>
      <x:c r="C508" s="17" t="str">
        <x:v>Claude Sonnet 4.5 (8k thinking)</x:v>
      </x:c>
      <x:c r="D508" s="17" t="str">
        <x:v>Anthropic</x:v>
      </x:c>
      <x:c r="E508" s="17" t="str">
        <x:v>United States of America</x:v>
      </x:c>
      <x:c r="F508" s="17" t="n">
        <x:v>45929</x:v>
      </x:c>
      <x:c r="G508" s="17" t="str">
        <x:v>API access</x:v>
      </x:c>
      <x:c r="H508" s="17" t="n">
        <x:v>45929</x:v>
      </x:c>
      <x:c r="I508" s="17"/>
      <x:c r="J508" s="17" t="str">
        <x:v>Unknown</x:v>
      </x:c>
      <x:c r="K508" s="17"/>
      <x:c r="L508" s="17" t="str">
        <x:v>Claude Sonnet 4.5 (2k thinking)</x:v>
      </x:c>
      <x:c r="M508" s="17"/>
      <x:c r="N508" s="17" t="str">
        <x:v>Claude Sonnet 4.5</x:v>
      </x:c>
      <x:c r="O508" s="17" t="str">
        <x:v>claude-sonnet-4-5</x:v>
      </x:c>
      <x:c r="P508" s="17" t="n">
        <x:v>146.75</x:v>
      </x:c>
      <x:c r="Q508" s="17" t="n">
        <x:v>144.71</x:v>
      </x:c>
      <x:c r="R508" s="17" t="n">
        <x:v>148.07</x:v>
      </x:c>
      <x:c r="S508" s="17"/>
      <x:c r="T508" s="17"/>
      <x:c r="U508" s="17"/>
      <x:c r="V508" s="17"/>
      <x:c r="W508" s="17"/>
      <x:c r="X508" s="17"/>
      <x:c r="Y508" s="17"/>
      <x:c r="Z508" s="17"/>
    </x:row>
    <x:row r="509">
      <x:c r="A509" s="17"/>
      <x:c r="B509" s="17" t="str">
        <x:v>tiny-recursion-model</x:v>
      </x:c>
      <x:c r="C509" s="17"/>
      <x:c r="D509" s="17"/>
      <x:c r="E509" s="17"/>
      <x:c r="F509" s="17" t="n">
        <x:v>45936</x:v>
      </x:c>
      <x:c r="G509" s="17"/>
      <x:c r="H509" s="17"/>
      <x:c r="I509" s="17"/>
      <x:c r="J509" s="17" t="str">
        <x:v>Unverified</x:v>
      </x:c>
      <x:c r="K509" s="17"/>
      <x:c r="L509" s="17"/>
      <x:c r="M509" s="17"/>
      <x:c r="N509" s="17"/>
      <x:c r="O509" s="17" t="str">
        <x:v>tiny-recursion-model</x:v>
      </x:c>
      <x:c r="P509" s="17"/>
      <x:c r="Q509" s="17"/>
      <x:c r="R509" s="17"/>
      <x:c r="S509" s="17"/>
      <x:c r="T509" s="17"/>
      <x:c r="U509" s="17"/>
      <x:c r="V509" s="17"/>
      <x:c r="W509" s="17"/>
      <x:c r="X509" s="17"/>
      <x:c r="Y509" s="17"/>
      <x:c r="Z509" s="17"/>
    </x:row>
    <x:row r="510">
      <x:c r="A510" s="17" t="str">
        <x:v>Claude Sonnet 4.5</x:v>
      </x:c>
      <x:c r="B510" s="17" t="str">
        <x:v>claude-sonnet-4-5-20250929_1K</x:v>
      </x:c>
      <x:c r="C510" s="17" t="str">
        <x:v>Claude Sonnet 4.5 (1k thinking)</x:v>
      </x:c>
      <x:c r="D510" s="17" t="str">
        <x:v>Anthropic</x:v>
      </x:c>
      <x:c r="E510" s="17" t="str">
        <x:v>United States of America</x:v>
      </x:c>
      <x:c r="F510" s="17" t="n">
        <x:v>45929</x:v>
      </x:c>
      <x:c r="G510" s="17" t="str">
        <x:v>API access</x:v>
      </x:c>
      <x:c r="H510" s="17" t="n">
        <x:v>45929</x:v>
      </x:c>
      <x:c r="I510" s="17"/>
      <x:c r="J510" s="17" t="str">
        <x:v>Unknown</x:v>
      </x:c>
      <x:c r="K510" s="17"/>
      <x:c r="L510" s="17" t="str">
        <x:v>Claude Sonnet 4.5 (2k thinking)</x:v>
      </x:c>
      <x:c r="M510" s="17"/>
      <x:c r="N510" s="17" t="str">
        <x:v>Claude Sonnet 4.5</x:v>
      </x:c>
      <x:c r="O510" s="17" t="str">
        <x:v>claude-sonnet-4-5</x:v>
      </x:c>
      <x:c r="P510" s="17" t="n">
        <x:v>146.75</x:v>
      </x:c>
      <x:c r="Q510" s="17" t="n">
        <x:v>144.71</x:v>
      </x:c>
      <x:c r="R510" s="17" t="n">
        <x:v>148.07</x:v>
      </x:c>
      <x:c r="S510" s="17"/>
      <x:c r="T510" s="17"/>
      <x:c r="U510" s="17"/>
      <x:c r="V510" s="17"/>
      <x:c r="W510" s="17"/>
      <x:c r="X510" s="17"/>
      <x:c r="Y510" s="17"/>
      <x:c r="Z510" s="17"/>
    </x:row>
    <x:row r="511">
      <x:c r="A511" s="17" t="str">
        <x:v>GPT-5.4 Nano</x:v>
      </x:c>
      <x:c r="B511" s="17" t="str">
        <x:v>gpt-5.4-nano-2026-03-17_xhigh</x:v>
      </x:c>
      <x:c r="C511" s="17" t="str">
        <x:v>GPT-5.4 nano (xhigh)</x:v>
      </x:c>
      <x:c r="D511" s="17" t="str">
        <x:v>OpenAI</x:v>
      </x:c>
      <x:c r="E511" s="17" t="str">
        <x:v>United States of America</x:v>
      </x:c>
      <x:c r="F511" s="17" t="n">
        <x:v>46098</x:v>
      </x:c>
      <x:c r="G511" s="17" t="str">
        <x:v>API access</x:v>
      </x:c>
      <x:c r="H511" s="17" t="n">
        <x:v>46098</x:v>
      </x:c>
      <x:c r="I511" s="17"/>
      <x:c r="J511" s="17" t="str">
        <x:v>Likely</x:v>
      </x:c>
      <x:c r="K511" s="17"/>
      <x:c r="L511" s="17" t="str">
        <x:v>GPT-5.4 nano (xhigh)</x:v>
      </x:c>
      <x:c r="M511" s="17"/>
      <x:c r="N511" s="17" t="str">
        <x:v>GPT-5.4 Nano</x:v>
      </x:c>
      <x:c r="O511" s="17" t="str">
        <x:v>gpt-5-4-nano</x:v>
      </x:c>
      <x:c r="P511" s="17" t="n">
        <x:v>146.64</x:v>
      </x:c>
      <x:c r="Q511" s="17" t="n">
        <x:v>144.07</x:v>
      </x:c>
      <x:c r="R511" s="17" t="n">
        <x:v>148.4</x:v>
      </x:c>
      <x:c r="S511" s="17"/>
      <x:c r="T511" s="17"/>
      <x:c r="U511" s="17"/>
      <x:c r="V511" s="17"/>
      <x:c r="W511" s="17"/>
      <x:c r="X511" s="17"/>
      <x:c r="Y511" s="17"/>
      <x:c r="Z511" s="17"/>
    </x:row>
    <x:row r="512">
      <x:c r="A512" s="17" t="str">
        <x:v>Claude Opus 4</x:v>
      </x:c>
      <x:c r="B512" s="17" t="str">
        <x:v>claude-opus-4-20250514_8K</x:v>
      </x:c>
      <x:c r="C512" s="17" t="str">
        <x:v>Claude Opus 4</x:v>
      </x:c>
      <x:c r="D512" s="17" t="str">
        <x:v>Anthropic</x:v>
      </x:c>
      <x:c r="E512" s="17" t="str">
        <x:v>United States of America</x:v>
      </x:c>
      <x:c r="F512" s="17" t="n">
        <x:v>45799</x:v>
      </x:c>
      <x:c r="G512" s="17" t="str">
        <x:v>API access</x:v>
      </x:c>
      <x:c r="H512" s="17" t="n">
        <x:v>45799</x:v>
      </x:c>
      <x:c r="I512" s="17"/>
      <x:c r="J512" s="17" t="str">
        <x:v>Unknown</x:v>
      </x:c>
      <x:c r="K512" s="17" t="str">
        <x:v>Anthropic's largest model in the Claude 4 series (superseded by Claude Opus 4.1), benchmarked with up to 8,000 reasoning tokens.</x:v>
      </x:c>
      <x:c r="L512" s="17" t="str">
        <x:v>Claude Opus 4 (8k thinking)</x:v>
      </x:c>
      <x:c r="M512" s="17"/>
      <x:c r="N512" s="17" t="str">
        <x:v>Claude Opus 4</x:v>
      </x:c>
      <x:c r="O512" s="17" t="str">
        <x:v>claude-opus-4</x:v>
      </x:c>
      <x:c r="P512" s="17" t="n">
        <x:v>142.89</x:v>
      </x:c>
      <x:c r="Q512" s="17" t="n">
        <x:v>140.36</x:v>
      </x:c>
      <x:c r="R512" s="17" t="n">
        <x:v>144.3</x:v>
      </x:c>
      <x:c r="S512" s="17"/>
      <x:c r="T512" s="17"/>
      <x:c r="U512" s="17"/>
      <x:c r="V512" s="17"/>
      <x:c r="W512" s="17"/>
      <x:c r="X512" s="17"/>
      <x:c r="Y512" s="17"/>
      <x:c r="Z512" s="17"/>
    </x:row>
    <x:row r="513">
      <x:c r="A513" s="17" t="str">
        <x:v>GPT-5.4 Mini</x:v>
      </x:c>
      <x:c r="B513" s="17" t="str">
        <x:v>gpt-5.4-mini-2026-03-17_medium</x:v>
      </x:c>
      <x:c r="C513" s="17" t="str">
        <x:v>GPT-5.4 mini (medium)</x:v>
      </x:c>
      <x:c r="D513" s="17" t="str">
        <x:v>OpenAI</x:v>
      </x:c>
      <x:c r="E513" s="17" t="str">
        <x:v>United States of America</x:v>
      </x:c>
      <x:c r="F513" s="17" t="n">
        <x:v>46098</x:v>
      </x:c>
      <x:c r="G513" s="17" t="str">
        <x:v>API access</x:v>
      </x:c>
      <x:c r="H513" s="17" t="n">
        <x:v>46098</x:v>
      </x:c>
      <x:c r="I513" s="17"/>
      <x:c r="J513" s="17" t="str">
        <x:v>Likely</x:v>
      </x:c>
      <x:c r="K513" s="17"/>
      <x:c r="L513" s="17" t="str">
        <x:v>GPT-5.4 mini (medium)</x:v>
      </x:c>
      <x:c r="M513" s="17"/>
      <x:c r="N513" s="17" t="str">
        <x:v>GPT-5.4 Mini</x:v>
      </x:c>
      <x:c r="O513" s="17" t="str">
        <x:v>gpt-5-4-mini</x:v>
      </x:c>
      <x:c r="P513" s="17" t="n">
        <x:v>148.9</x:v>
      </x:c>
      <x:c r="Q513" s="17" t="n">
        <x:v>147.11</x:v>
      </x:c>
      <x:c r="R513" s="17" t="n">
        <x:v>150.06</x:v>
      </x:c>
      <x:c r="S513" s="17"/>
      <x:c r="T513" s="17"/>
      <x:c r="U513" s="17"/>
      <x:c r="V513" s="17"/>
      <x:c r="W513" s="17"/>
      <x:c r="X513" s="17"/>
      <x:c r="Y513" s="17"/>
      <x:c r="Z513" s="17"/>
    </x:row>
    <x:row r="514">
      <x:c r="A514" s="17" t="str">
        <x:v>Gemini 2.5 Pro (Jun 2025)</x:v>
      </x:c>
      <x:c r="B514" s="17" t="str">
        <x:v>gemini-2.5-pro_8K</x:v>
      </x:c>
      <x:c r="C514" s="17"/>
      <x:c r="D514" s="17" t="str">
        <x:v>Google DeepMind</x:v>
      </x:c>
      <x:c r="E514" s="17" t="str">
        <x:v>United States of America</x:v>
      </x:c>
      <x:c r="F514" s="17" t="n">
        <x:v>45825</x:v>
      </x:c>
      <x:c r="G514" s="17" t="str">
        <x:v>API access</x:v>
      </x:c>
      <x:c r="H514" s="17" t="n">
        <x:v>45813</x:v>
      </x:c>
      <x:c r="I514" s="17"/>
      <x:c r="J514" s="17" t="str">
        <x:v>Unknown</x:v>
      </x:c>
      <x:c r="K514" s="17" t="str">
        <x:v>Google’s general-purpose frontier reasoning model, evaluated with up to 8,000 reasoning tokens.</x:v>
      </x:c>
      <x:c r="L514" s="17" t="str">
        <x:v>Gemini 2.5 Pro (8k thinking)</x:v>
      </x:c>
      <x:c r="M514" s="17" t="str">
        <x:v>Gemini 2.5 Pro (Jun 2025)</x:v>
      </x:c>
      <x:c r="N514" s="17" t="str">
        <x:v>Gemini 2.5 Pro (Jun 2025)</x:v>
      </x:c>
      <x:c r="O514" s="17" t="str">
        <x:v>gemini-2-5-pro-jun-2025</x:v>
      </x:c>
      <x:c r="P514" s="17" t="n">
        <x:v>146.08</x:v>
      </x:c>
      <x:c r="Q514" s="17" t="n">
        <x:v>144.33</x:v>
      </x:c>
      <x:c r="R514" s="17" t="n">
        <x:v>147.72</x:v>
      </x:c>
      <x:c r="S514" s="17"/>
      <x:c r="T514" s="17"/>
      <x:c r="U514" s="17"/>
      <x:c r="V514" s="17"/>
      <x:c r="W514" s="17"/>
      <x:c r="X514" s="17"/>
      <x:c r="Y514" s="17"/>
      <x:c r="Z514" s="17"/>
    </x:row>
    <x:row r="515">
      <x:c r="A515" s="17" t="str">
        <x:v>Gemini 2.5 Flash</x:v>
      </x:c>
      <x:c r="B515" s="17" t="str">
        <x:v>gemini-2.5-flash-preview-05-20_23K</x:v>
      </x:c>
      <x:c r="C515" s="17"/>
      <x:c r="D515" s="17" t="str">
        <x:v>Google DeepMind</x:v>
      </x:c>
      <x:c r="E515" s="17" t="str">
        <x:v>United States of America</x:v>
      </x:c>
      <x:c r="F515" s="17" t="n">
        <x:v>45797</x:v>
      </x:c>
      <x:c r="G515" s="17" t="str">
        <x:v>API access</x:v>
      </x:c>
      <x:c r="H515" s="17" t="n">
        <x:v>45764</x:v>
      </x:c>
      <x:c r="I515" s="17"/>
      <x:c r="J515" s="17" t="str">
        <x:v>Unknown</x:v>
      </x:c>
      <x:c r="K515" s="17" t="str">
        <x:v>A May 2025 preview version of Gemini 2.5 Flash, a small model in Google DeepMind's Gemini 2.5 series, evaluated with up to 23,000 reasoning tokens.</x:v>
      </x:c>
      <x:c r="L515" s="17"/>
      <x:c r="M515" s="17" t="str">
        <x:v>Gemini 2.5 Flash (May 2025)</x:v>
      </x:c>
      <x:c r="N515" s="17" t="str">
        <x:v>Gemini 2.5 Flash (May 2025)</x:v>
      </x:c>
      <x:c r="O515" s="17" t="str">
        <x:v>gemini-2-5-flash-may-2025</x:v>
      </x:c>
      <x:c r="P515" s="17" t="n">
        <x:v>142.24</x:v>
      </x:c>
      <x:c r="Q515" s="17" t="n">
        <x:v>139.89</x:v>
      </x:c>
      <x:c r="R515" s="17" t="n">
        <x:v>143.54</x:v>
      </x:c>
      <x:c r="S515" s="17"/>
      <x:c r="T515" s="17"/>
      <x:c r="U515" s="17"/>
      <x:c r="V515" s="17"/>
      <x:c r="W515" s="17"/>
      <x:c r="X515" s="17"/>
      <x:c r="Y515" s="17"/>
      <x:c r="Z515" s="17"/>
    </x:row>
    <x:row r="516">
      <x:c r="A516" s="17" t="str">
        <x:v>Gemini 2.5 Flash</x:v>
      </x:c>
      <x:c r="B516" s="17" t="str">
        <x:v>gemini-2.5-flash-preview-05-20_1K</x:v>
      </x:c>
      <x:c r="C516" s="17"/>
      <x:c r="D516" s="17" t="str">
        <x:v>Google DeepMind</x:v>
      </x:c>
      <x:c r="E516" s="17" t="str">
        <x:v>United States of America</x:v>
      </x:c>
      <x:c r="F516" s="17" t="n">
        <x:v>45797</x:v>
      </x:c>
      <x:c r="G516" s="17" t="str">
        <x:v>API access</x:v>
      </x:c>
      <x:c r="H516" s="17" t="n">
        <x:v>45764</x:v>
      </x:c>
      <x:c r="I516" s="17"/>
      <x:c r="J516" s="17" t="str">
        <x:v>Unknown</x:v>
      </x:c>
      <x:c r="K516" s="17" t="str">
        <x:v>An April 2025 preview version of Gemini 2.5 Flash, a small reasoning model in the Gemini 2.5 series from DeepMind, evaluated with up to 1,000 reasoning tokens.</x:v>
      </x:c>
      <x:c r="L516" s="17"/>
      <x:c r="M516" s="17" t="str">
        <x:v>Gemini 2.5 Flash (May 2025)</x:v>
      </x:c>
      <x:c r="N516" s="17" t="str">
        <x:v>Gemini 2.5 Flash (May 2025)</x:v>
      </x:c>
      <x:c r="O516" s="17" t="str">
        <x:v>gemini-2-5-flash-may-2025</x:v>
      </x:c>
      <x:c r="P516" s="17" t="n">
        <x:v>142.24</x:v>
      </x:c>
      <x:c r="Q516" s="17" t="n">
        <x:v>139.89</x:v>
      </x:c>
      <x:c r="R516" s="17" t="n">
        <x:v>143.54</x:v>
      </x:c>
      <x:c r="S516" s="17"/>
      <x:c r="T516" s="17"/>
      <x:c r="U516" s="17"/>
      <x:c r="V516" s="17"/>
      <x:c r="W516" s="17"/>
      <x:c r="X516" s="17"/>
      <x:c r="Y516" s="17"/>
      <x:c r="Z516" s="17"/>
    </x:row>
    <x:row r="517">
      <x:c r="A517" s="17" t="str">
        <x:v>Gemini 2.5 Flash</x:v>
      </x:c>
      <x:c r="B517" s="17" t="str">
        <x:v>gemini-2.5-flash-preview-05-20_8K</x:v>
      </x:c>
      <x:c r="C517" s="17"/>
      <x:c r="D517" s="17" t="str">
        <x:v>Google DeepMind</x:v>
      </x:c>
      <x:c r="E517" s="17" t="str">
        <x:v>United States of America</x:v>
      </x:c>
      <x:c r="F517" s="17" t="n">
        <x:v>45797</x:v>
      </x:c>
      <x:c r="G517" s="17" t="str">
        <x:v>API access</x:v>
      </x:c>
      <x:c r="H517" s="17" t="n">
        <x:v>45764</x:v>
      </x:c>
      <x:c r="I517" s="17"/>
      <x:c r="J517" s="17" t="str">
        <x:v>Unknown</x:v>
      </x:c>
      <x:c r="K517" s="17" t="str">
        <x:v>An April 2025 preview version of Gemini 2.5 Flash, a small reasoning model in the Gemini 2.5 series from DeepMind, evaluated with up to 8,000 reasoning tokens.</x:v>
      </x:c>
      <x:c r="L517" s="17"/>
      <x:c r="M517" s="17" t="str">
        <x:v>Gemini 2.5 Flash (May 2025)</x:v>
      </x:c>
      <x:c r="N517" s="17" t="str">
        <x:v>Gemini 2.5 Flash (May 2025)</x:v>
      </x:c>
      <x:c r="O517" s="17" t="str">
        <x:v>gemini-2-5-flash-may-2025</x:v>
      </x:c>
      <x:c r="P517" s="17" t="n">
        <x:v>142.24</x:v>
      </x:c>
      <x:c r="Q517" s="17" t="n">
        <x:v>139.89</x:v>
      </x:c>
      <x:c r="R517" s="17" t="n">
        <x:v>143.54</x:v>
      </x:c>
      <x:c r="S517" s="17"/>
      <x:c r="T517" s="17"/>
      <x:c r="U517" s="17"/>
      <x:c r="V517" s="17"/>
      <x:c r="W517" s="17"/>
      <x:c r="X517" s="17"/>
      <x:c r="Y517" s="17"/>
      <x:c r="Z517" s="17"/>
    </x:row>
    <x:row r="518">
      <x:c r="A518" s="17" t="str">
        <x:v>Claude Sonnet 4</x:v>
      </x:c>
      <x:c r="B518" s="17" t="str">
        <x:v>claude-sonnet-4-20250514_8K</x:v>
      </x:c>
      <x:c r="C518" s="17"/>
      <x:c r="D518" s="17" t="str">
        <x:v>Anthropic</x:v>
      </x:c>
      <x:c r="E518" s="17" t="str">
        <x:v>United States of America</x:v>
      </x:c>
      <x:c r="F518" s="17" t="n">
        <x:v>45799</x:v>
      </x:c>
      <x:c r="G518" s="17" t="str">
        <x:v>API access</x:v>
      </x:c>
      <x:c r="H518" s="17" t="n">
        <x:v>45799</x:v>
      </x:c>
      <x:c r="I518" s="17"/>
      <x:c r="J518" s="17" t="str">
        <x:v>Unknown</x:v>
      </x:c>
      <x:c r="K518" s="17"/>
      <x:c r="L518" s="17" t="str">
        <x:v>Claude Sonnet 4 (8k thinking)</x:v>
      </x:c>
      <x:c r="M518" s="17"/>
      <x:c r="N518" s="17" t="str">
        <x:v>Claude Sonnet 4</x:v>
      </x:c>
      <x:c r="O518" s="17" t="str">
        <x:v>claude-sonnet-4</x:v>
      </x:c>
      <x:c r="P518" s="17" t="n">
        <x:v>142.15</x:v>
      </x:c>
      <x:c r="Q518" s="17" t="n">
        <x:v>139.04</x:v>
      </x:c>
      <x:c r="R518" s="17" t="n">
        <x:v>143.61</x:v>
      </x:c>
      <x:c r="S518" s="17"/>
      <x:c r="T518" s="17"/>
      <x:c r="U518" s="17"/>
      <x:c r="V518" s="17"/>
      <x:c r="W518" s="17"/>
      <x:c r="X518" s="17"/>
      <x:c r="Y518" s="17"/>
      <x:c r="Z518" s="17"/>
    </x:row>
    <x:row r="519">
      <x:c r="A519" s="17" t="str">
        <x:v>o3-pro</x:v>
      </x:c>
      <x:c r="B519" s="17" t="str">
        <x:v>o3-pro-2025-06-10_low</x:v>
      </x:c>
      <x:c r="C519" s="17"/>
      <x:c r="D519" s="17" t="str">
        <x:v>OpenAI</x:v>
      </x:c>
      <x:c r="E519" s="17" t="str">
        <x:v>United States of America</x:v>
      </x:c>
      <x:c r="F519" s="17" t="n">
        <x:v>45818</x:v>
      </x:c>
      <x:c r="G519" s="17"/>
      <x:c r="H519" s="17" t="n">
        <x:v>45818</x:v>
      </x:c>
      <x:c r="I519" s="17"/>
      <x:c r="J519" s="17" t="str">
        <x:v>Unknown</x:v>
      </x:c>
      <x:c r="K519" s="17" t="str">
        <x:v>An enhanced version of OpenAI's previous flagship reasoning model o3, evaluated with low reasoning effort.</x:v>
      </x:c>
      <x:c r="L519" s="17"/>
      <x:c r="M519" s="17"/>
      <x:c r="N519" s="17" t="str">
        <x:v>o3-pro</x:v>
      </x:c>
      <x:c r="O519" s="17" t="str">
        <x:v>o3-pro</x:v>
      </x:c>
      <x:c r="P519" s="17" t="n">
        <x:v>147.92</x:v>
      </x:c>
      <x:c r="Q519" s="17" t="n">
        <x:v>146.24</x:v>
      </x:c>
      <x:c r="R519" s="17" t="n">
        <x:v>150.45</x:v>
      </x:c>
      <x:c r="S519" s="17"/>
      <x:c r="T519" s="17"/>
      <x:c r="U519" s="17"/>
      <x:c r="V519" s="17"/>
      <x:c r="W519" s="17"/>
      <x:c r="X519" s="17"/>
      <x:c r="Y519" s="17"/>
      <x:c r="Z519" s="17"/>
    </x:row>
    <x:row r="520">
      <x:c r="A520" s="17" t="str">
        <x:v>GPT-5</x:v>
      </x:c>
      <x:c r="B520" s="17" t="str">
        <x:v>gpt-5-2025-08-07_low</x:v>
      </x:c>
      <x:c r="C520" s="17" t="str">
        <x:v>GPT-5 (low)</x:v>
      </x:c>
      <x:c r="D520" s="17" t="str">
        <x:v>OpenAI</x:v>
      </x:c>
      <x:c r="E520" s="17" t="str">
        <x:v>United States of America</x:v>
      </x:c>
      <x:c r="F520" s="17" t="n">
        <x:v>45876</x:v>
      </x:c>
      <x:c r="G520" s="17" t="str">
        <x:v>API access</x:v>
      </x:c>
      <x:c r="H520" s="17" t="n">
        <x:v>45876</x:v>
      </x:c>
      <x:c r="I520" s="17" t="n">
        <x:v>6.6e+25</x:v>
      </x:c>
      <x:c r="J520" s="17" t="str">
        <x:v>Speculative</x:v>
      </x:c>
      <x:c r="K520" s="17" t="str">
        <x:v>OpenAI's latest flagship frontier model, benchmarked using low reasoning effort.</x:v>
      </x:c>
      <x:c r="L520" s="17" t="str">
        <x:v>GPT-5 (low)</x:v>
      </x:c>
      <x:c r="M520" s="17"/>
      <x:c r="N520" s="17" t="str">
        <x:v>GPT-5</x:v>
      </x:c>
      <x:c r="O520" s="17" t="str">
        <x:v>gpt-5</x:v>
      </x:c>
      <x:c r="P520" s="17" t="n">
        <x:v>150</x:v>
      </x:c>
      <x:c r="Q520" s="17"/>
      <x:c r="R520" s="17"/>
      <x:c r="S520" s="17"/>
      <x:c r="T520" s="17"/>
      <x:c r="U520" s="17"/>
      <x:c r="V520" s="17"/>
      <x:c r="W520" s="17"/>
      <x:c r="X520" s="17"/>
      <x:c r="Y520" s="17"/>
      <x:c r="Z520" s="17"/>
    </x:row>
    <x:row r="521">
      <x:c r="A521" s="17" t="str">
        <x:v>GPT-5.4 Nano</x:v>
      </x:c>
      <x:c r="B521" s="17" t="str">
        <x:v>gpt-5.4-nano-2026-03-17_medium</x:v>
      </x:c>
      <x:c r="C521" s="17" t="str">
        <x:v>GPT-5.4 nano (medium)</x:v>
      </x:c>
      <x:c r="D521" s="17" t="str">
        <x:v>OpenAI</x:v>
      </x:c>
      <x:c r="E521" s="17" t="str">
        <x:v>United States of America</x:v>
      </x:c>
      <x:c r="F521" s="17" t="n">
        <x:v>46098</x:v>
      </x:c>
      <x:c r="G521" s="17" t="str">
        <x:v>API access</x:v>
      </x:c>
      <x:c r="H521" s="17" t="n">
        <x:v>46098</x:v>
      </x:c>
      <x:c r="I521" s="17"/>
      <x:c r="J521" s="17" t="str">
        <x:v>Likely</x:v>
      </x:c>
      <x:c r="K521" s="17"/>
      <x:c r="L521" s="17" t="str">
        <x:v>GPT-5.4 nano (medium)</x:v>
      </x:c>
      <x:c r="M521" s="17"/>
      <x:c r="N521" s="17" t="str">
        <x:v>GPT-5.4 Nano</x:v>
      </x:c>
      <x:c r="O521" s="17" t="str">
        <x:v>gpt-5-4-nano</x:v>
      </x:c>
      <x:c r="P521" s="17" t="n">
        <x:v>146.64</x:v>
      </x:c>
      <x:c r="Q521" s="17" t="n">
        <x:v>144.07</x:v>
      </x:c>
      <x:c r="R521" s="17" t="n">
        <x:v>148.4</x:v>
      </x:c>
      <x:c r="S521" s="17"/>
      <x:c r="T521" s="17"/>
      <x:c r="U521" s="17"/>
      <x:c r="V521" s="17"/>
      <x:c r="W521" s="17"/>
      <x:c r="X521" s="17"/>
      <x:c r="Y521" s="17"/>
      <x:c r="Z521" s="17"/>
    </x:row>
    <x:row r="522">
      <x:c r="A522" s="17" t="str">
        <x:v>GPT-5 mini</x:v>
      </x:c>
      <x:c r="B522" s="17" t="str">
        <x:v>gpt-5-mini-2025-08-07_minimal</x:v>
      </x:c>
      <x:c r="C522" s="17" t="str">
        <x:v>GPT-5 mini (minimal)</x:v>
      </x:c>
      <x:c r="D522" s="17" t="str">
        <x:v>OpenAI</x:v>
      </x:c>
      <x:c r="E522" s="17" t="str">
        <x:v>United States of America</x:v>
      </x:c>
      <x:c r="F522" s="17" t="n">
        <x:v>45876</x:v>
      </x:c>
      <x:c r="G522" s="17" t="str">
        <x:v>API access</x:v>
      </x:c>
      <x:c r="H522" s="17" t="n">
        <x:v>45876</x:v>
      </x:c>
      <x:c r="I522" s="17"/>
      <x:c r="J522" s="17" t="str">
        <x:v>Unknown</x:v>
      </x:c>
      <x:c r="K522" s="17" t="str">
        <x:v>A smaller version of OpenAI's latest flagship frontier model, benchmarked using medium reasoning effort.</x:v>
      </x:c>
      <x:c r="L522" s="17" t="str">
        <x:v>GPT-5 mini (medium)</x:v>
      </x:c>
      <x:c r="M522" s="17"/>
      <x:c r="N522" s="17" t="str">
        <x:v>GPT-5 mini</x:v>
      </x:c>
      <x:c r="O522" s="17" t="str">
        <x:v>gpt-5-mini</x:v>
      </x:c>
      <x:c r="P522" s="17" t="n">
        <x:v>145.79</x:v>
      </x:c>
      <x:c r="Q522" s="17" t="n">
        <x:v>143.69</x:v>
      </x:c>
      <x:c r="R522" s="17" t="n">
        <x:v>147.21</x:v>
      </x:c>
      <x:c r="S522" s="17"/>
      <x:c r="T522" s="17"/>
      <x:c r="U522" s="17"/>
      <x:c r="V522" s="17"/>
      <x:c r="W522" s="17"/>
      <x:c r="X522" s="17"/>
      <x:c r="Y522" s="17"/>
      <x:c r="Z522" s="17"/>
    </x:row>
    <x:row r="523">
      <x:c r="A523" s="17" t="str">
        <x:v>Claude Haiku 4.5</x:v>
      </x:c>
      <x:c r="B523" s="17" t="str">
        <x:v>claude-haiku-4-5-20251001_8K</x:v>
      </x:c>
      <x:c r="C523" s="17"/>
      <x:c r="D523" s="17" t="str">
        <x:v>Anthropic</x:v>
      </x:c>
      <x:c r="E523" s="17" t="str">
        <x:v>United States of America</x:v>
      </x:c>
      <x:c r="F523" s="17" t="n">
        <x:v>45945</x:v>
      </x:c>
      <x:c r="G523" s="17" t="str">
        <x:v>API access</x:v>
      </x:c>
      <x:c r="H523" s="17" t="n">
        <x:v>45945</x:v>
      </x:c>
      <x:c r="I523" s="17"/>
      <x:c r="J523" s="17" t="str">
        <x:v>Unknown</x:v>
      </x:c>
      <x:c r="K523" s="17"/>
      <x:c r="L523" s="17" t="str">
        <x:v>Claude Haiku 4.5 (8k thinking)</x:v>
      </x:c>
      <x:c r="M523" s="17"/>
      <x:c r="N523" s="17" t="str">
        <x:v>Claude Haiku 4.5</x:v>
      </x:c>
      <x:c r="O523" s="17" t="str">
        <x:v>claude-haiku-4-5</x:v>
      </x:c>
      <x:c r="P523" s="17" t="n">
        <x:v>142.86</x:v>
      </x:c>
      <x:c r="Q523" s="17" t="n">
        <x:v>139.6</x:v>
      </x:c>
      <x:c r="R523" s="17" t="n">
        <x:v>144.62</x:v>
      </x:c>
      <x:c r="S523" s="17"/>
      <x:c r="T523" s="17"/>
      <x:c r="U523" s="17"/>
      <x:c r="V523" s="17"/>
      <x:c r="W523" s="17"/>
      <x:c r="X523" s="17"/>
      <x:c r="Y523" s="17"/>
      <x:c r="Z523" s="17"/>
    </x:row>
    <x:row r="524">
      <x:c r="A524" s="17" t="str">
        <x:v>GPT-5.4 Nano</x:v>
      </x:c>
      <x:c r="B524" s="17" t="str">
        <x:v>gpt-5.4-nano-2026-03-17_low</x:v>
      </x:c>
      <x:c r="C524" s="17" t="str">
        <x:v>GPT-5.4 nano (low)</x:v>
      </x:c>
      <x:c r="D524" s="17" t="str">
        <x:v>OpenAI</x:v>
      </x:c>
      <x:c r="E524" s="17" t="str">
        <x:v>United States of America</x:v>
      </x:c>
      <x:c r="F524" s="17" t="n">
        <x:v>46098</x:v>
      </x:c>
      <x:c r="G524" s="17" t="str">
        <x:v>API access</x:v>
      </x:c>
      <x:c r="H524" s="17" t="n">
        <x:v>46098</x:v>
      </x:c>
      <x:c r="I524" s="17"/>
      <x:c r="J524" s="17" t="str">
        <x:v>Likely</x:v>
      </x:c>
      <x:c r="K524" s="17"/>
      <x:c r="L524" s="17" t="str">
        <x:v>GPT-5.4 nano (low)</x:v>
      </x:c>
      <x:c r="M524" s="17"/>
      <x:c r="N524" s="17" t="str">
        <x:v>GPT-5.4 Nano</x:v>
      </x:c>
      <x:c r="O524" s="17" t="str">
        <x:v>gpt-5-4-nano</x:v>
      </x:c>
      <x:c r="P524" s="17" t="n">
        <x:v>146.64</x:v>
      </x:c>
      <x:c r="Q524" s="17" t="n">
        <x:v>144.07</x:v>
      </x:c>
      <x:c r="R524" s="17" t="n">
        <x:v>148.4</x:v>
      </x:c>
      <x:c r="S524" s="17"/>
      <x:c r="T524" s="17"/>
      <x:c r="U524" s="17"/>
      <x:c r="V524" s="17"/>
      <x:c r="W524" s="17"/>
      <x:c r="X524" s="17"/>
      <x:c r="Y524" s="17"/>
      <x:c r="Z524" s="17"/>
    </x:row>
    <x:row r="525">
      <x:c r="A525" s="17"/>
      <x:c r="B525" s="17" t="str">
        <x:v>codex-mini-2025-05-16</x:v>
      </x:c>
      <x:c r="C525" s="17"/>
      <x:c r="D525" s="17"/>
      <x:c r="E525" s="17"/>
      <x:c r="F525" s="17" t="n">
        <x:v>45793</x:v>
      </x:c>
      <x:c r="G525" s="17"/>
      <x:c r="H525" s="17"/>
      <x:c r="I525" s="17"/>
      <x:c r="J525" s="17" t="str">
        <x:v>Unverified</x:v>
      </x:c>
      <x:c r="K525" s="17"/>
      <x:c r="L525" s="17"/>
      <x:c r="M525" s="17"/>
      <x:c r="N525" s="17"/>
      <x:c r="O525" s="17" t="str">
        <x:v>codex-mini-2025-05-16</x:v>
      </x:c>
      <x:c r="P525" s="17"/>
      <x:c r="Q525" s="17"/>
      <x:c r="R525" s="17"/>
      <x:c r="S525" s="17"/>
      <x:c r="T525" s="17"/>
      <x:c r="U525" s="17"/>
      <x:c r="V525" s="17"/>
      <x:c r="W525" s="17"/>
      <x:c r="X525" s="17"/>
      <x:c r="Y525" s="17"/>
      <x:c r="Z525" s="17"/>
    </x:row>
    <x:row r="526">
      <x:c r="A526" s="17" t="str">
        <x:v>Claude Haiku 4.5</x:v>
      </x:c>
      <x:c r="B526" s="17" t="str">
        <x:v>claude-haiku-4-5-20251001_1K</x:v>
      </x:c>
      <x:c r="C526" s="17"/>
      <x:c r="D526" s="17" t="str">
        <x:v>Anthropic</x:v>
      </x:c>
      <x:c r="E526" s="17" t="str">
        <x:v>United States of America</x:v>
      </x:c>
      <x:c r="F526" s="17" t="n">
        <x:v>45945</x:v>
      </x:c>
      <x:c r="G526" s="17" t="str">
        <x:v>API access</x:v>
      </x:c>
      <x:c r="H526" s="17" t="n">
        <x:v>45945</x:v>
      </x:c>
      <x:c r="I526" s="17"/>
      <x:c r="J526" s="17" t="str">
        <x:v>Unknown</x:v>
      </x:c>
      <x:c r="K526" s="17"/>
      <x:c r="L526" s="17" t="str">
        <x:v>Claude Haiku 4.5 (1k thinking)</x:v>
      </x:c>
      <x:c r="M526" s="17"/>
      <x:c r="N526" s="17" t="str">
        <x:v>Claude Haiku 4.5</x:v>
      </x:c>
      <x:c r="O526" s="17" t="str">
        <x:v>claude-haiku-4-5</x:v>
      </x:c>
      <x:c r="P526" s="17" t="n">
        <x:v>142.86</x:v>
      </x:c>
      <x:c r="Q526" s="17" t="n">
        <x:v>139.6</x:v>
      </x:c>
      <x:c r="R526" s="17" t="n">
        <x:v>144.62</x:v>
      </x:c>
      <x:c r="S526" s="17"/>
      <x:c r="T526" s="17"/>
      <x:c r="U526" s="17"/>
      <x:c r="V526" s="17"/>
      <x:c r="W526" s="17"/>
      <x:c r="X526" s="17"/>
      <x:c r="Y526" s="17"/>
      <x:c r="Z526" s="17"/>
    </x:row>
    <x:row r="527">
      <x:c r="A527" s="17" t="str">
        <x:v>GPT-5.4 Mini</x:v>
      </x:c>
      <x:c r="B527" s="17" t="str">
        <x:v>gpt-5.4-mini-2026-03-17_low</x:v>
      </x:c>
      <x:c r="C527" s="17" t="str">
        <x:v>GPT-5.4 mini (low)</x:v>
      </x:c>
      <x:c r="D527" s="17" t="str">
        <x:v>OpenAI</x:v>
      </x:c>
      <x:c r="E527" s="17" t="str">
        <x:v>United States of America</x:v>
      </x:c>
      <x:c r="F527" s="17" t="n">
        <x:v>46098</x:v>
      </x:c>
      <x:c r="G527" s="17" t="str">
        <x:v>API access</x:v>
      </x:c>
      <x:c r="H527" s="17" t="n">
        <x:v>46098</x:v>
      </x:c>
      <x:c r="I527" s="17"/>
      <x:c r="J527" s="17" t="str">
        <x:v>Likely</x:v>
      </x:c>
      <x:c r="K527" s="17"/>
      <x:c r="L527" s="17" t="str">
        <x:v>GPT-5.4 mini (low)</x:v>
      </x:c>
      <x:c r="M527" s="17"/>
      <x:c r="N527" s="17" t="str">
        <x:v>GPT-5.4 Mini</x:v>
      </x:c>
      <x:c r="O527" s="17" t="str">
        <x:v>gpt-5-4-mini</x:v>
      </x:c>
      <x:c r="P527" s="17" t="n">
        <x:v>148.9</x:v>
      </x:c>
      <x:c r="Q527" s="17" t="n">
        <x:v>147.11</x:v>
      </x:c>
      <x:c r="R527" s="17" t="n">
        <x:v>150.06</x:v>
      </x:c>
      <x:c r="S527" s="17"/>
      <x:c r="T527" s="17"/>
      <x:c r="U527" s="17"/>
      <x:c r="V527" s="17"/>
      <x:c r="W527" s="17"/>
      <x:c r="X527" s="17"/>
      <x:c r="Y527" s="17"/>
      <x:c r="Z527" s="17"/>
    </x:row>
    <x:row r="528">
      <x:c r="A528" s="17" t="str">
        <x:v>Claude Sonnet 4</x:v>
      </x:c>
      <x:c r="B528" s="17" t="str">
        <x:v>claude-sonnet-4-20250514_1K</x:v>
      </x:c>
      <x:c r="C528" s="17"/>
      <x:c r="D528" s="17" t="str">
        <x:v>Anthropic</x:v>
      </x:c>
      <x:c r="E528" s="17" t="str">
        <x:v>United States of America</x:v>
      </x:c>
      <x:c r="F528" s="17" t="n">
        <x:v>45799</x:v>
      </x:c>
      <x:c r="G528" s="17" t="str">
        <x:v>API access</x:v>
      </x:c>
      <x:c r="H528" s="17" t="n">
        <x:v>45799</x:v>
      </x:c>
      <x:c r="I528" s="17"/>
      <x:c r="J528" s="17" t="str">
        <x:v>Unknown</x:v>
      </x:c>
      <x:c r="K528" s="17" t="str">
        <x:v>Anthropic's mid-sized Claude 4 series model, evaluated at up to 1,000 reasoning tokens.</x:v>
      </x:c>
      <x:c r="L528" s="17" t="str">
        <x:v>Claude Sonnet 4 (1k thinking)</x:v>
      </x:c>
      <x:c r="M528" s="17"/>
      <x:c r="N528" s="17" t="str">
        <x:v>Claude Sonnet 4</x:v>
      </x:c>
      <x:c r="O528" s="17" t="str">
        <x:v>claude-sonnet-4</x:v>
      </x:c>
      <x:c r="P528" s="17" t="n">
        <x:v>142.15</x:v>
      </x:c>
      <x:c r="Q528" s="17" t="n">
        <x:v>139.04</x:v>
      </x:c>
      <x:c r="R528" s="17" t="n">
        <x:v>143.61</x:v>
      </x:c>
      <x:c r="S528" s="17"/>
      <x:c r="T528" s="17"/>
      <x:c r="U528" s="17"/>
      <x:c r="V528" s="17"/>
      <x:c r="W528" s="17"/>
      <x:c r="X528" s="17"/>
      <x:c r="Y528" s="17"/>
      <x:c r="Z528" s="17"/>
    </x:row>
    <x:row r="529">
      <x:c r="A529" s="17" t="str">
        <x:v>o1-mini</x:v>
      </x:c>
      <x:c r="B529" s="17" t="str">
        <x:v>o1-mini-2024-09-12_unknown</x:v>
      </x:c>
      <x:c r="C529" s="17" t="str">
        <x:v>o1-mini (unknown thinking)</x:v>
      </x:c>
      <x:c r="D529" s="17" t="str">
        <x:v>OpenAI</x:v>
      </x:c>
      <x:c r="E529" s="17" t="str">
        <x:v>United States of America</x:v>
      </x:c>
      <x:c r="F529" s="17" t="n">
        <x:v>45547</x:v>
      </x:c>
      <x:c r="G529" s="17" t="str">
        <x:v>API access</x:v>
      </x:c>
      <x:c r="H529" s="17" t="n">
        <x:v>45547</x:v>
      </x:c>
      <x:c r="I529" s="17"/>
      <x:c r="J529" s="17" t="str">
        <x:v>Unknown</x:v>
      </x:c>
      <x:c r="K529" s="17" t="str">
        <x:v>A smaller version of OpenAI’s first reasoning model, o1, evaluated with high reasoning effort.</x:v>
      </x:c>
      <x:c r="L529" s="17"/>
      <x:c r="M529" s="17"/>
      <x:c r="N529" s="17" t="str">
        <x:v>o1-mini</x:v>
      </x:c>
      <x:c r="O529" s="17" t="str">
        <x:v>o1-mini</x:v>
      </x:c>
      <x:c r="P529" s="17" t="n">
        <x:v>136.56</x:v>
      </x:c>
      <x:c r="Q529" s="17" t="n">
        <x:v>132.78</x:v>
      </x:c>
      <x:c r="R529" s="17" t="n">
        <x:v>138</x:v>
      </x:c>
      <x:c r="S529" s="17"/>
      <x:c r="T529" s="17"/>
      <x:c r="U529" s="17"/>
      <x:c r="V529" s="17"/>
      <x:c r="W529" s="17"/>
      <x:c r="X529" s="17"/>
      <x:c r="Y529" s="17"/>
      <x:c r="Z529" s="17"/>
    </x:row>
    <x:row r="530">
      <x:c r="A530" s="17" t="str">
        <x:v>GPT-5 mini</x:v>
      </x:c>
      <x:c r="B530" s="17" t="str">
        <x:v>gpt-5-mini-2025-08-07_low</x:v>
      </x:c>
      <x:c r="C530" s="17" t="str">
        <x:v>GPT-5 mini (low)</x:v>
      </x:c>
      <x:c r="D530" s="17" t="str">
        <x:v>OpenAI</x:v>
      </x:c>
      <x:c r="E530" s="17" t="str">
        <x:v>United States of America</x:v>
      </x:c>
      <x:c r="F530" s="17" t="n">
        <x:v>45876</x:v>
      </x:c>
      <x:c r="G530" s="17" t="str">
        <x:v>API access</x:v>
      </x:c>
      <x:c r="H530" s="17" t="n">
        <x:v>45876</x:v>
      </x:c>
      <x:c r="I530" s="17"/>
      <x:c r="J530" s="17" t="str">
        <x:v>Unknown</x:v>
      </x:c>
      <x:c r="K530" s="17" t="str">
        <x:v>A smaller version of OpenAI's latest flagship frontier model, benchmarked using medium reasoning effort.</x:v>
      </x:c>
      <x:c r="L530" s="17" t="str">
        <x:v>GPT-5 mini (medium)</x:v>
      </x:c>
      <x:c r="M530" s="17"/>
      <x:c r="N530" s="17" t="str">
        <x:v>GPT-5 mini</x:v>
      </x:c>
      <x:c r="O530" s="17" t="str">
        <x:v>gpt-5-mini</x:v>
      </x:c>
      <x:c r="P530" s="17" t="n">
        <x:v>145.79</x:v>
      </x:c>
      <x:c r="Q530" s="17" t="n">
        <x:v>143.69</x:v>
      </x:c>
      <x:c r="R530" s="17" t="n">
        <x:v>147.21</x:v>
      </x:c>
      <x:c r="S530" s="17"/>
      <x:c r="T530" s="17"/>
      <x:c r="U530" s="17"/>
      <x:c r="V530" s="17"/>
      <x:c r="W530" s="17"/>
      <x:c r="X530" s="17"/>
      <x:c r="Y530" s="17"/>
      <x:c r="Z530" s="17"/>
    </x:row>
    <x:row r="531">
      <x:c r="A531" s="17" t="str">
        <x:v>Grok-3 mini</x:v>
      </x:c>
      <x:c r="B531" s="17" t="str">
        <x:v>grok-3-mini_low</x:v>
      </x:c>
      <x:c r="C531" s="17" t="str">
        <x:v>Grok 3 mini</x:v>
      </x:c>
      <x:c r="D531" s="17" t="str">
        <x:v>xAI</x:v>
      </x:c>
      <x:c r="E531" s="17" t="str">
        <x:v>United States of America</x:v>
      </x:c>
      <x:c r="F531" s="17" t="n">
        <x:v>45832</x:v>
      </x:c>
      <x:c r="G531" s="17" t="str">
        <x:v>API access</x:v>
      </x:c>
      <x:c r="H531" s="17" t="n">
        <x:v>45707</x:v>
      </x:c>
      <x:c r="I531" s="17"/>
      <x:c r="J531" s="17" t="str">
        <x:v>Unknown</x:v>
      </x:c>
      <x:c r="K531" s="17"/>
      <x:c r="L531" s="17" t="str">
        <x:v>Grok 3 mini (low)</x:v>
      </x:c>
      <x:c r="M531" s="17"/>
      <x:c r="N531" s="17" t="str">
        <x:v>Grok-3 mini</x:v>
      </x:c>
      <x:c r="O531" s="17" t="str">
        <x:v>grok-3-mini</x:v>
      </x:c>
      <x:c r="P531" s="17" t="n">
        <x:v>141.01</x:v>
      </x:c>
      <x:c r="Q531" s="17" t="n">
        <x:v>137.89</x:v>
      </x:c>
      <x:c r="R531" s="17" t="n">
        <x:v>142.63</x:v>
      </x:c>
      <x:c r="S531" s="17"/>
      <x:c r="T531" s="17"/>
      <x:c r="U531" s="17"/>
      <x:c r="V531" s="17"/>
      <x:c r="W531" s="17"/>
      <x:c r="X531" s="17"/>
      <x:c r="Y531" s="17"/>
      <x:c r="Z531" s="17"/>
    </x:row>
    <x:row r="532">
      <x:c r="A532" s="17" t="str">
        <x:v>Claude 3.7 Sonnet</x:v>
      </x:c>
      <x:c r="B532" s="17" t="str">
        <x:v>claude-3-7-sonnet-20250219_1K</x:v>
      </x:c>
      <x:c r="C532" s="17" t="str">
        <x:v>Claude 3.7 Sonnet (1k thinking)</x:v>
      </x:c>
      <x:c r="D532" s="17" t="str">
        <x:v>Anthropic</x:v>
      </x:c>
      <x:c r="E532" s="17" t="str">
        <x:v>United States of America</x:v>
      </x:c>
      <x:c r="F532" s="17" t="n">
        <x:v>45712</x:v>
      </x:c>
      <x:c r="G532" s="17" t="str">
        <x:v>API access</x:v>
      </x:c>
      <x:c r="H532" s="17" t="n">
        <x:v>45712</x:v>
      </x:c>
      <x:c r="I532" s="17" t="n">
        <x:v>3.3499999999999998e+25</x:v>
      </x:c>
      <x:c r="J532" s="17" t="str">
        <x:v>Likely</x:v>
      </x:c>
      <x:c r="K532" s="17" t="str">
        <x:v>A previous flagship reasoning model from Anthropic, benchmarked with up to 1,000 reasoning tokens allowed.</x:v>
      </x:c>
      <x:c r="L532" s="17" t="str">
        <x:v>Claude 3.7 Sonnet (1k thinking)</x:v>
      </x:c>
      <x:c r="M532" s="17"/>
      <x:c r="N532" s="17" t="str">
        <x:v>Claude 3.7 Sonnet</x:v>
      </x:c>
      <x:c r="O532" s="17" t="str">
        <x:v>claude-3-7-sonnet</x:v>
      </x:c>
      <x:c r="P532" s="17" t="n">
        <x:v>141.7</x:v>
      </x:c>
      <x:c r="Q532" s="17" t="n">
        <x:v>139.28</x:v>
      </x:c>
      <x:c r="R532" s="17" t="n">
        <x:v>143.27</x:v>
      </x:c>
      <x:c r="S532" s="17"/>
      <x:c r="T532" s="17"/>
      <x:c r="U532" s="17"/>
      <x:c r="V532" s="17"/>
      <x:c r="W532" s="17"/>
      <x:c r="X532" s="17"/>
      <x:c r="Y532" s="17"/>
      <x:c r="Z532" s="17"/>
    </x:row>
    <x:row r="533">
      <x:c r="A533" s="17" t="str">
        <x:v>Claude Opus 4</x:v>
      </x:c>
      <x:c r="B533" s="17" t="str">
        <x:v>claude-opus-4-20250514_1K</x:v>
      </x:c>
      <x:c r="C533" s="17" t="str">
        <x:v>Claude Opus 4</x:v>
      </x:c>
      <x:c r="D533" s="17" t="str">
        <x:v>Anthropic</x:v>
      </x:c>
      <x:c r="E533" s="17" t="str">
        <x:v>United States of America</x:v>
      </x:c>
      <x:c r="F533" s="17" t="n">
        <x:v>45799</x:v>
      </x:c>
      <x:c r="G533" s="17" t="str">
        <x:v>API access</x:v>
      </x:c>
      <x:c r="H533" s="17" t="n">
        <x:v>45799</x:v>
      </x:c>
      <x:c r="I533" s="17"/>
      <x:c r="J533" s="17" t="str">
        <x:v>Unknown</x:v>
      </x:c>
      <x:c r="K533" s="17" t="str">
        <x:v>Anthropic's largest model in the Claude 4 series (superseded by Claude Opus 4.1), benchmarked with up to 1,000 reasoning tokens.</x:v>
      </x:c>
      <x:c r="L533" s="17" t="str">
        <x:v>Claude Opus 4 (1k thinking)</x:v>
      </x:c>
      <x:c r="M533" s="17"/>
      <x:c r="N533" s="17" t="str">
        <x:v>Claude Opus 4</x:v>
      </x:c>
      <x:c r="O533" s="17" t="str">
        <x:v>claude-opus-4</x:v>
      </x:c>
      <x:c r="P533" s="17" t="n">
        <x:v>142.89</x:v>
      </x:c>
      <x:c r="Q533" s="17" t="n">
        <x:v>140.36</x:v>
      </x:c>
      <x:c r="R533" s="17" t="n">
        <x:v>144.3</x:v>
      </x:c>
      <x:c r="S533" s="17"/>
      <x:c r="T533" s="17"/>
      <x:c r="U533" s="17"/>
      <x:c r="V533" s="17"/>
      <x:c r="W533" s="17"/>
      <x:c r="X533" s="17"/>
      <x:c r="Y533" s="17"/>
      <x:c r="Z533" s="17"/>
    </x:row>
    <x:row r="534">
      <x:c r="A534" s="17" t="str">
        <x:v>Magistral Medium 1.1</x:v>
      </x:c>
      <x:c r="B534" s="17" t="str">
        <x:v>magistral-medium-2506</x:v>
      </x:c>
      <x:c r="C534" s="17"/>
      <x:c r="D534" s="17" t="str">
        <x:v>Mistral AI</x:v>
      </x:c>
      <x:c r="E534" s="17" t="str">
        <x:v>France</x:v>
      </x:c>
      <x:c r="F534" s="17" t="n">
        <x:v>45818</x:v>
      </x:c>
      <x:c r="G534" s="17" t="str">
        <x:v>API access</x:v>
      </x:c>
      <x:c r="H534" s="17" t="n">
        <x:v>45818</x:v>
      </x:c>
      <x:c r="I534" s="17"/>
      <x:c r="J534" s="17" t="str">
        <x:v>Unknown</x:v>
      </x:c>
      <x:c r="K534" s="17"/>
      <x:c r="L534" s="17"/>
      <x:c r="M534" s="17"/>
      <x:c r="N534" s="17" t="str">
        <x:v>Magistral Medium 1.1</x:v>
      </x:c>
      <x:c r="O534" s="17" t="str">
        <x:v>magistral-medium-1-1</x:v>
      </x:c>
      <x:c r="P534" s="17"/>
      <x:c r="Q534" s="17"/>
      <x:c r="R534" s="17"/>
      <x:c r="S534" s="17"/>
      <x:c r="T534" s="17"/>
      <x:c r="U534" s="17"/>
      <x:c r="V534" s="17"/>
      <x:c r="W534" s="17"/>
      <x:c r="X534" s="17"/>
      <x:c r="Y534" s="17"/>
      <x:c r="Z534" s="17"/>
    </x:row>
    <x:row r="535">
      <x:c r="A535" s="17" t="str">
        <x:v>Gemini 2.5 Pro (Jun 2025)</x:v>
      </x:c>
      <x:c r="B535" s="17" t="str">
        <x:v>gemini-2.5-pro-preview-06-05_1K</x:v>
      </x:c>
      <x:c r="C535" s="17" t="str">
        <x:v>Gemini 2.5 Pro Preview (Jun 2025)</x:v>
      </x:c>
      <x:c r="D535" s="17" t="str">
        <x:v>Google DeepMind</x:v>
      </x:c>
      <x:c r="E535" s="17" t="str">
        <x:v>United States of America</x:v>
      </x:c>
      <x:c r="F535" s="17" t="n">
        <x:v>45813</x:v>
      </x:c>
      <x:c r="G535" s="17" t="str">
        <x:v>API access</x:v>
      </x:c>
      <x:c r="H535" s="17" t="n">
        <x:v>45813</x:v>
      </x:c>
      <x:c r="I535" s="17"/>
      <x:c r="J535" s="17" t="str">
        <x:v>Unknown</x:v>
      </x:c>
      <x:c r="K535" s="17" t="str">
        <x:v>A June 2025 preview version of Gemini 2.5 Pro, Google DeepMind's flagship frontier model, evaluated with up to 1,000 reasoning tokens.</x:v>
      </x:c>
      <x:c r="L535" s="17" t="str">
        <x:v>Gemini 2.5 Pro Preview (Jun 2025, 1k thinking)</x:v>
      </x:c>
      <x:c r="M535" s="17" t="str">
        <x:v>Gemini 2.5 Pro (Jun 2025)</x:v>
      </x:c>
      <x:c r="N535" s="17" t="str">
        <x:v>Gemini 2.5 Pro (Jun 2025)</x:v>
      </x:c>
      <x:c r="O535" s="17" t="str">
        <x:v>gemini-2-5-pro-jun-2025</x:v>
      </x:c>
      <x:c r="P535" s="17" t="n">
        <x:v>146.08</x:v>
      </x:c>
      <x:c r="Q535" s="17" t="n">
        <x:v>144.33</x:v>
      </x:c>
      <x:c r="R535" s="17" t="n">
        <x:v>147.72</x:v>
      </x:c>
      <x:c r="S535" s="17"/>
      <x:c r="T535" s="17"/>
      <x:c r="U535" s="17"/>
      <x:c r="V535" s="17"/>
      <x:c r="W535" s="17"/>
      <x:c r="X535" s="17"/>
      <x:c r="Y535" s="17"/>
      <x:c r="Z535" s="17"/>
    </x:row>
    <x:row r="536">
      <x:c r="A536" s="17" t="str">
        <x:v>GPT-5 nano</x:v>
      </x:c>
      <x:c r="B536" s="17" t="str">
        <x:v>gpt-5-nano-2025-08-07_minimal</x:v>
      </x:c>
      <x:c r="C536" s="17" t="str">
        <x:v>GPT-5 nano (minimal)</x:v>
      </x:c>
      <x:c r="D536" s="17" t="str">
        <x:v>OpenAI</x:v>
      </x:c>
      <x:c r="E536" s="17" t="str">
        <x:v>United States of America</x:v>
      </x:c>
      <x:c r="F536" s="17" t="n">
        <x:v>45876</x:v>
      </x:c>
      <x:c r="G536" s="17" t="str">
        <x:v>API access</x:v>
      </x:c>
      <x:c r="H536" s="17" t="n">
        <x:v>45876</x:v>
      </x:c>
      <x:c r="I536" s="17"/>
      <x:c r="J536" s="17" t="str">
        <x:v>Unknown</x:v>
      </x:c>
      <x:c r="K536" s="17" t="str">
        <x:v>The smallest version of OpenAI's latest flagship frontier model, benchmarked using medium reasoning effort.</x:v>
      </x:c>
      <x:c r="L536" s="17" t="str">
        <x:v>GPT-5 nano (low)</x:v>
      </x:c>
      <x:c r="M536" s="17"/>
      <x:c r="N536" s="17" t="str">
        <x:v>GPT-5 nano</x:v>
      </x:c>
      <x:c r="O536" s="17" t="str">
        <x:v>gpt-5-nano</x:v>
      </x:c>
      <x:c r="P536" s="17" t="n">
        <x:v>140.85</x:v>
      </x:c>
      <x:c r="Q536" s="17" t="n">
        <x:v>136.43</x:v>
      </x:c>
      <x:c r="R536" s="17" t="n">
        <x:v>142.54</x:v>
      </x:c>
      <x:c r="S536" s="17"/>
      <x:c r="T536" s="17"/>
      <x:c r="U536" s="17"/>
      <x:c r="V536" s="17"/>
      <x:c r="W536" s="17"/>
      <x:c r="X536" s="17"/>
      <x:c r="Y536" s="17"/>
      <x:c r="Z536" s="17"/>
    </x:row>
    <x:row r="537">
      <x:c r="A537" s="17" t="str">
        <x:v>Yi-34B</x:v>
      </x:c>
      <x:c r="B537" s="17" t="str">
        <x:v>Yi-34B</x:v>
      </x:c>
      <x:c r="C537" s="17"/>
      <x:c r="D537" s="17" t="str">
        <x:v>01.AI</x:v>
      </x:c>
      <x:c r="E537" s="17" t="str">
        <x:v>China</x:v>
      </x:c>
      <x:c r="F537" s="17" t="n">
        <x:v>45232</x:v>
      </x:c>
      <x:c r="G537" s="17" t="str">
        <x:v>Open weights (restricted use)</x:v>
      </x:c>
      <x:c r="H537" s="17" t="n">
        <x:v>45232</x:v>
      </x:c>
      <x:c r="I537" s="17" t="n">
        <x:v>6.1e+23</x:v>
      </x:c>
      <x:c r="J537" s="17" t="str">
        <x:v>Confident</x:v>
      </x:c>
      <x:c r="K537" s="17"/>
      <x:c r="L537" s="17" t="str">
        <x:v>Yi-34B</x:v>
      </x:c>
      <x:c r="M537" s="17" t="str">
        <x:v>Yi-34B</x:v>
      </x:c>
      <x:c r="N537" s="17" t="str">
        <x:v>Yi-34B</x:v>
      </x:c>
      <x:c r="O537" s="17" t="str">
        <x:v>yi-34b</x:v>
      </x:c>
      <x:c r="P537" s="17" t="n">
        <x:v>117.14</x:v>
      </x:c>
      <x:c r="Q537" s="17" t="n">
        <x:v>109.02</x:v>
      </x:c>
      <x:c r="R537" s="17" t="n">
        <x:v>120.55</x:v>
      </x:c>
      <x:c r="S537" s="17"/>
      <x:c r="T537" s="17"/>
      <x:c r="U537" s="17"/>
      <x:c r="V537" s="17"/>
      <x:c r="W537" s="17"/>
      <x:c r="X537" s="17"/>
      <x:c r="Y537" s="17"/>
      <x:c r="Z537" s="17"/>
    </x:row>
    <x:row r="538">
      <x:c r="A538" s="17" t="str">
        <x:v>GPT-3.5 Turbo</x:v>
      </x:c>
      <x:c r="B538" s="17" t="str">
        <x:v>gpt-3.5-turbo-0613</x:v>
      </x:c>
      <x:c r="C538" s="17" t="str">
        <x:v>GPT-3.5 Turbo (June 2023)</x:v>
      </x:c>
      <x:c r="D538" s="17" t="str">
        <x:v>OpenAI</x:v>
      </x:c>
      <x:c r="E538" s="17" t="str">
        <x:v>United States of America</x:v>
      </x:c>
      <x:c r="F538" s="17" t="n">
        <x:v>45090</x:v>
      </x:c>
      <x:c r="G538" s="17" t="str">
        <x:v>API access</x:v>
      </x:c>
      <x:c r="H538" s="17" t="n">
        <x:v>45090</x:v>
      </x:c>
      <x:c r="I538" s="17"/>
      <x:c r="J538" s="17" t="str">
        <x:v>Likely</x:v>
      </x:c>
      <x:c r="K538" s="17"/>
      <x:c r="L538" s="17" t="str">
        <x:v>GPT-3.5 Turbo (June 2023)</x:v>
      </x:c>
      <x:c r="M538" s="17" t="str">
        <x:v>GPT-3.5 Turbo (Jun 2023)</x:v>
      </x:c>
      <x:c r="N538" s="17" t="str">
        <x:v>GPT-3.5 Turbo (Jun 2023)</x:v>
      </x:c>
      <x:c r="O538" s="17" t="str">
        <x:v>gpt-3-5-turbo-jun-2023</x:v>
      </x:c>
      <x:c r="P538" s="17" t="n">
        <x:v>113.13</x:v>
      </x:c>
      <x:c r="Q538" s="17" t="n">
        <x:v>104.69</x:v>
      </x:c>
      <x:c r="R538" s="17" t="n">
        <x:v>118.18</x:v>
      </x:c>
      <x:c r="S538" s="17"/>
      <x:c r="T538" s="17"/>
      <x:c r="U538" s="17"/>
      <x:c r="V538" s="17"/>
      <x:c r="W538" s="17"/>
      <x:c r="X538" s="17"/>
      <x:c r="Y538" s="17"/>
      <x:c r="Z538" s="17"/>
    </x:row>
    <x:row r="539">
      <x:c r="A539" s="17" t="str">
        <x:v>Baichuan 1-13B</x:v>
      </x:c>
      <x:c r="B539" s="17" t="str">
        <x:v>Baichuan-13B-Base</x:v>
      </x:c>
      <x:c r="C539" s="17"/>
      <x:c r="D539" s="17" t="str">
        <x:v>Baichuan</x:v>
      </x:c>
      <x:c r="E539" s="17" t="str">
        <x:v>China</x:v>
      </x:c>
      <x:c r="F539" s="17" t="n">
        <x:v>45118</x:v>
      </x:c>
      <x:c r="G539" s="17" t="str">
        <x:v>Open weights (restricted use)</x:v>
      </x:c>
      <x:c r="H539" s="17" t="n">
        <x:v>45118</x:v>
      </x:c>
      <x:c r="I539" s="17" t="n">
        <x:v>9.36e+22</x:v>
      </x:c>
      <x:c r="J539" s="17" t="str">
        <x:v>Confident</x:v>
      </x:c>
      <x:c r="K539" s="17"/>
      <x:c r="L539" s="17"/>
      <x:c r="M539" s="17"/>
      <x:c r="N539" s="17" t="str">
        <x:v>Baichuan 1-13B</x:v>
      </x:c>
      <x:c r="O539" s="17" t="str">
        <x:v>baichuan-1-13b</x:v>
      </x:c>
      <x:c r="P539" s="17"/>
      <x:c r="Q539" s="17"/>
      <x:c r="R539" s="17"/>
      <x:c r="S539" s="17"/>
      <x:c r="T539" s="17"/>
      <x:c r="U539" s="17"/>
      <x:c r="V539" s="17"/>
      <x:c r="W539" s="17"/>
      <x:c r="X539" s="17"/>
      <x:c r="Y539" s="17"/>
      <x:c r="Z539" s="17"/>
    </x:row>
    <x:row r="540">
      <x:c r="A540" s="17" t="str">
        <x:v>Llama 2-13B</x:v>
      </x:c>
      <x:c r="B540" s="17" t="str">
        <x:v>Llama-2-13b-chat</x:v>
      </x:c>
      <x:c r="C540" s="17"/>
      <x:c r="D540" s="17" t="str">
        <x:v>Meta AI</x:v>
      </x:c>
      <x:c r="E540" s="17" t="str">
        <x:v>United States of America</x:v>
      </x:c>
      <x:c r="F540" s="17" t="n">
        <x:v>45125</x:v>
      </x:c>
      <x:c r="G540" s="17" t="str">
        <x:v>Open weights (restricted use)</x:v>
      </x:c>
      <x:c r="H540" s="17" t="n">
        <x:v>45125</x:v>
      </x:c>
      <x:c r="I540" s="17" t="n">
        <x:v>1.6e+23</x:v>
      </x:c>
      <x:c r="J540" s="17" t="str">
        <x:v>Confident</x:v>
      </x:c>
      <x:c r="K540" s="17" t="str">
        <x:v>A chat-optimized version of Meta's 13 billion-parameter model in the Llama 2 series.</x:v>
      </x:c>
      <x:c r="L540" s="17"/>
      <x:c r="M540" s="17"/>
      <x:c r="N540" s="17" t="str">
        <x:v>Llama 2-13B</x:v>
      </x:c>
      <x:c r="O540" s="17" t="str">
        <x:v>llama-2-13b</x:v>
      </x:c>
      <x:c r="P540" s="17" t="n">
        <x:v>105.91</x:v>
      </x:c>
      <x:c r="Q540" s="17" t="n">
        <x:v>95.41</x:v>
      </x:c>
      <x:c r="R540" s="17" t="n">
        <x:v>111.37</x:v>
      </x:c>
      <x:c r="S540" s="17"/>
      <x:c r="T540" s="17"/>
      <x:c r="U540" s="17"/>
      <x:c r="V540" s="17"/>
      <x:c r="W540" s="17"/>
      <x:c r="X540" s="17"/>
      <x:c r="Y540" s="17"/>
      <x:c r="Z540" s="17"/>
    </x:row>
    <x:row r="541">
      <x:c r="A541" s="17" t="str">
        <x:v>Llama 2-70B</x:v>
      </x:c>
      <x:c r="B541" s="17" t="str">
        <x:v>Llama-2-70b-chat</x:v>
      </x:c>
      <x:c r="C541" s="17"/>
      <x:c r="D541" s="17" t="str">
        <x:v>Meta AI</x:v>
      </x:c>
      <x:c r="E541" s="17" t="str">
        <x:v>United States of America</x:v>
      </x:c>
      <x:c r="F541" s="17" t="n">
        <x:v>45125</x:v>
      </x:c>
      <x:c r="G541" s="17" t="str">
        <x:v>Open weights (restricted use)</x:v>
      </x:c>
      <x:c r="H541" s="17" t="n">
        <x:v>45125</x:v>
      </x:c>
      <x:c r="I541" s="17" t="n">
        <x:v>8.1e+23</x:v>
      </x:c>
      <x:c r="J541" s="17" t="str">
        <x:v>Confident</x:v>
      </x:c>
      <x:c r="K541" s="17" t="str">
        <x:v>A chat-optimized version of Meta's 70 billion-parameter model in the Llama 2 series.</x:v>
      </x:c>
      <x:c r="L541" s="17"/>
      <x:c r="M541" s="17"/>
      <x:c r="N541" s="17" t="str">
        <x:v>Llama 2-70B</x:v>
      </x:c>
      <x:c r="O541" s="17" t="str">
        <x:v>llama-2-70b</x:v>
      </x:c>
      <x:c r="P541" s="17" t="n">
        <x:v>113.72</x:v>
      </x:c>
      <x:c r="Q541" s="17" t="n">
        <x:v>104.07</x:v>
      </x:c>
      <x:c r="R541" s="17" t="n">
        <x:v>117.82</x:v>
      </x:c>
      <x:c r="S541" s="17"/>
      <x:c r="T541" s="17"/>
      <x:c r="U541" s="17"/>
      <x:c r="V541" s="17"/>
      <x:c r="W541" s="17"/>
      <x:c r="X541" s="17"/>
      <x:c r="Y541" s="17"/>
      <x:c r="Z541" s="17"/>
    </x:row>
    <x:row r="542">
      <x:c r="A542" s="17"/>
      <x:c r="B542" s="17" t="str">
        <x:v>Baichuan2-13B-Chat</x:v>
      </x:c>
      <x:c r="C542" s="17"/>
      <x:c r="D542" s="17"/>
      <x:c r="E542" s="17"/>
      <x:c r="F542" s="17" t="n">
        <x:v>45175</x:v>
      </x:c>
      <x:c r="G542" s="17"/>
      <x:c r="H542" s="17"/>
      <x:c r="I542" s="17"/>
      <x:c r="J542" s="17" t="str">
        <x:v>Unverified</x:v>
      </x:c>
      <x:c r="K542" s="17" t="str">
        <x:v>A chat-optimized version of Baichuan's 13 billion-parameter model in the Baichuan 2 series.</x:v>
      </x:c>
      <x:c r="L542" s="17"/>
      <x:c r="M542" s="17"/>
      <x:c r="N542" s="17"/>
      <x:c r="O542" s="17" t="str">
        <x:v>baichuan2-13b-chat</x:v>
      </x:c>
      <x:c r="P542" s="17"/>
      <x:c r="Q542" s="17"/>
      <x:c r="R542" s="17"/>
      <x:c r="S542" s="17"/>
      <x:c r="T542" s="17"/>
      <x:c r="U542" s="17"/>
      <x:c r="V542" s="17"/>
      <x:c r="W542" s="17"/>
      <x:c r="X542" s="17"/>
      <x:c r="Y542" s="17"/>
      <x:c r="Z542" s="17"/>
    </x:row>
    <x:row r="543">
      <x:c r="A543" s="17" t="str">
        <x:v>Qwen-14B</x:v>
      </x:c>
      <x:c r="B543" s="17" t="str">
        <x:v>Qwen-14B-Chat</x:v>
      </x:c>
      <x:c r="C543" s="17"/>
      <x:c r="D543" s="17" t="str">
        <x:v>Alibaba</x:v>
      </x:c>
      <x:c r="E543" s="17" t="str">
        <x:v>China</x:v>
      </x:c>
      <x:c r="F543" s="17" t="n">
        <x:v>45193</x:v>
      </x:c>
      <x:c r="G543" s="17" t="str">
        <x:v>Open weights (restricted use)</x:v>
      </x:c>
      <x:c r="H543" s="17" t="n">
        <x:v>45197</x:v>
      </x:c>
      <x:c r="I543" s="17" t="n">
        <x:v>2.5e+23</x:v>
      </x:c>
      <x:c r="J543" s="17" t="str">
        <x:v>Confident</x:v>
      </x:c>
      <x:c r="K543" s="17" t="str">
        <x:v>A chat-optimized version of Qwen's first-generation 14 billion-parameter model.</x:v>
      </x:c>
      <x:c r="L543" s="17" t="str">
        <x:v>Qwen-14B (chat)</x:v>
      </x:c>
      <x:c r="M543" s="17"/>
      <x:c r="N543" s="17" t="str">
        <x:v>Qwen-14B</x:v>
      </x:c>
      <x:c r="O543" s="17" t="str">
        <x:v>qwen-14b</x:v>
      </x:c>
      <x:c r="P543" s="17" t="n">
        <x:v>112.8</x:v>
      </x:c>
      <x:c r="Q543" s="17" t="n">
        <x:v>103.39</x:v>
      </x:c>
      <x:c r="R543" s="17" t="n">
        <x:v>117.54</x:v>
      </x:c>
      <x:c r="S543" s="17"/>
      <x:c r="T543" s="17"/>
      <x:c r="U543" s="17"/>
      <x:c r="V543" s="17"/>
      <x:c r="W543" s="17"/>
      <x:c r="X543" s="17"/>
      <x:c r="Y543" s="17"/>
      <x:c r="Z543" s="17"/>
    </x:row>
    <x:row r="544">
      <x:c r="A544" s="17"/>
      <x:c r="B544" s="17" t="str">
        <x:v>internlm-chat-20b</x:v>
      </x:c>
      <x:c r="C544" s="17"/>
      <x:c r="D544" s="17"/>
      <x:c r="E544" s="17"/>
      <x:c r="F544" s="17" t="n">
        <x:v>45186</x:v>
      </x:c>
      <x:c r="G544" s="17"/>
      <x:c r="H544" s="17"/>
      <x:c r="I544" s="17"/>
      <x:c r="J544" s="17" t="str">
        <x:v>Unverified</x:v>
      </x:c>
      <x:c r="K544" s="17"/>
      <x:c r="L544" s="17"/>
      <x:c r="M544" s="17"/>
      <x:c r="N544" s="17"/>
      <x:c r="O544" s="17" t="str">
        <x:v>internlm-chat-20b</x:v>
      </x:c>
      <x:c r="P544" s="17"/>
      <x:c r="Q544" s="17"/>
      <x:c r="R544" s="17"/>
      <x:c r="S544" s="17"/>
      <x:c r="T544" s="17"/>
      <x:c r="U544" s="17"/>
      <x:c r="V544" s="17"/>
      <x:c r="W544" s="17"/>
      <x:c r="X544" s="17"/>
      <x:c r="Y544" s="17"/>
      <x:c r="Z544" s="17"/>
    </x:row>
    <x:row r="545">
      <x:c r="A545" s="17" t="str">
        <x:v>Yi 6B</x:v>
      </x:c>
      <x:c r="B545" s="17" t="str">
        <x:v>Yi-6B-Chat</x:v>
      </x:c>
      <x:c r="C545" s="17"/>
      <x:c r="D545" s="17" t="str">
        <x:v>01.AI</x:v>
      </x:c>
      <x:c r="E545" s="17" t="str">
        <x:v>China</x:v>
      </x:c>
      <x:c r="F545" s="17" t="n">
        <x:v>45252</x:v>
      </x:c>
      <x:c r="G545" s="17" t="str">
        <x:v>Open weights (restricted use)</x:v>
      </x:c>
      <x:c r="H545" s="17" t="n">
        <x:v>45232</x:v>
      </x:c>
      <x:c r="I545" s="17" t="n">
        <x:v>1.26e+23</x:v>
      </x:c>
      <x:c r="J545" s="17" t="str">
        <x:v>Confident</x:v>
      </x:c>
      <x:c r="K545" s="17"/>
      <x:c r="L545" s="17" t="str">
        <x:v>Yi-6B</x:v>
      </x:c>
      <x:c r="M545" s="17"/>
      <x:c r="N545" s="17" t="str">
        <x:v>Yi 6B</x:v>
      </x:c>
      <x:c r="O545" s="17" t="str">
        <x:v>yi-6b</x:v>
      </x:c>
      <x:c r="P545" s="17" t="n">
        <x:v>104.51</x:v>
      </x:c>
      <x:c r="Q545" s="17" t="n">
        <x:v>93.1</x:v>
      </x:c>
      <x:c r="R545" s="17" t="n">
        <x:v>110.55</x:v>
      </x:c>
      <x:c r="S545" s="17"/>
      <x:c r="T545" s="17"/>
      <x:c r="U545" s="17"/>
      <x:c r="V545" s="17"/>
      <x:c r="W545" s="17"/>
      <x:c r="X545" s="17"/>
      <x:c r="Y545" s="17"/>
      <x:c r="Z545" s="17"/>
    </x:row>
    <x:row r="546">
      <x:c r="A546" s="17" t="str">
        <x:v>Gemini 1.5 Pro</x:v>
      </x:c>
      <x:c r="B546" s="17" t="str">
        <x:v>gemini-1.5-pro-001-feb24</x:v>
      </x:c>
      <x:c r="C546" s="17"/>
      <x:c r="D546" s="17" t="str">
        <x:v>Google DeepMind</x:v>
      </x:c>
      <x:c r="E546" s="17" t="str">
        <x:v>United States of America</x:v>
      </x:c>
      <x:c r="F546" s="17" t="n">
        <x:v>45337</x:v>
      </x:c>
      <x:c r="G546" s="17" t="str">
        <x:v>API access</x:v>
      </x:c>
      <x:c r="H546" s="17" t="n">
        <x:v>45337</x:v>
      </x:c>
      <x:c r="I546" s="17"/>
      <x:c r="J546" s="17" t="str">
        <x:v>Speculative</x:v>
      </x:c>
      <x:c r="K546" s="17" t="str">
        <x:v>The first of two versions of a previous flagship model from Google DeepMind, Gemini 1.5 Pro.</x:v>
      </x:c>
      <x:c r="L546" s="17"/>
      <x:c r="M546" s="17" t="str">
        <x:v>Gemini 1.5 Pro (Feb 2024)</x:v>
      </x:c>
      <x:c r="N546" s="17" t="str">
        <x:v>Gemini 1.5 Pro (Feb 2024)</x:v>
      </x:c>
      <x:c r="O546" s="17" t="str">
        <x:v>gemini-1-5-pro-feb-2024</x:v>
      </x:c>
      <x:c r="P546" s="17"/>
      <x:c r="Q546" s="17"/>
      <x:c r="R546" s="17"/>
      <x:c r="S546" s="17"/>
      <x:c r="T546" s="17"/>
      <x:c r="U546" s="17"/>
      <x:c r="V546" s="17"/>
      <x:c r="W546" s="17"/>
      <x:c r="X546" s="17"/>
      <x:c r="Y546" s="17"/>
      <x:c r="Z546" s="17"/>
    </x:row>
    <x:row r="547">
      <x:c r="A547" s="17" t="str">
        <x:v>Amazon Nova Pro</x:v>
      </x:c>
      <x:c r="B547" s="17" t="str">
        <x:v>amazon.nova-pro-v1:0</x:v>
      </x:c>
      <x:c r="C547" s="17"/>
      <x:c r="D547" s="17" t="str">
        <x:v>Amazon</x:v>
      </x:c>
      <x:c r="E547" s="17" t="str">
        <x:v>United States of America</x:v>
      </x:c>
      <x:c r="F547" s="17" t="n">
        <x:v>45629</x:v>
      </x:c>
      <x:c r="G547" s="17" t="str">
        <x:v>API access</x:v>
      </x:c>
      <x:c r="H547" s="17" t="n">
        <x:v>45629</x:v>
      </x:c>
      <x:c r="I547" s="17" t="n">
        <x:v>6.000010000000001e+24</x:v>
      </x:c>
      <x:c r="J547" s="17" t="str">
        <x:v>Speculative</x:v>
      </x:c>
      <x:c r="K547" s="17"/>
      <x:c r="L547" s="17"/>
      <x:c r="M547" s="17"/>
      <x:c r="N547" s="17" t="str">
        <x:v>Amazon Nova Pro</x:v>
      </x:c>
      <x:c r="O547" s="17" t="str">
        <x:v>amazon-nova-pro</x:v>
      </x:c>
      <x:c r="P547" s="17" t="n">
        <x:v>123.88</x:v>
      </x:c>
      <x:c r="Q547" s="17" t="n">
        <x:v>110.76</x:v>
      </x:c>
      <x:c r="R547" s="17" t="n">
        <x:v>126.58</x:v>
      </x:c>
      <x:c r="S547" s="17"/>
      <x:c r="T547" s="17"/>
      <x:c r="U547" s="17"/>
      <x:c r="V547" s="17"/>
      <x:c r="W547" s="17"/>
      <x:c r="X547" s="17"/>
      <x:c r="Y547" s="17"/>
      <x:c r="Z547" s="17"/>
    </x:row>
    <x:row r="548">
      <x:c r="A548" s="17" t="str">
        <x:v>Gemini 2.5 Flash</x:v>
      </x:c>
      <x:c r="B548" s="17" t="str">
        <x:v>gemini-2.5-flash-preview-09-2025</x:v>
      </x:c>
      <x:c r="C548" s="17"/>
      <x:c r="D548" s="17" t="str">
        <x:v>Google DeepMind</x:v>
      </x:c>
      <x:c r="E548" s="17" t="str">
        <x:v>United States of America</x:v>
      </x:c>
      <x:c r="F548" s="17" t="n">
        <x:v>45925</x:v>
      </x:c>
      <x:c r="G548" s="17" t="str">
        <x:v>API access</x:v>
      </x:c>
      <x:c r="H548" s="17" t="n">
        <x:v>45764</x:v>
      </x:c>
      <x:c r="I548" s="17"/>
      <x:c r="J548" s="17" t="str">
        <x:v>Unknown</x:v>
      </x:c>
      <x:c r="K548" s="17"/>
      <x:c r="L548" s="17" t="str">
        <x:v>Gemini 2.5 Flash (Sep 2025)</x:v>
      </x:c>
      <x:c r="M548" s="17" t="str">
        <x:v>Gemini 2.5 Flash (Sep 2025)</x:v>
      </x:c>
      <x:c r="N548" s="17" t="str">
        <x:v>Gemini 2.5 Flash (Sep 2025)</x:v>
      </x:c>
      <x:c r="O548" s="17" t="str">
        <x:v>gemini-2-5-flash-sep-2025</x:v>
      </x:c>
      <x:c r="P548" s="17" t="n">
        <x:v>143.1</x:v>
      </x:c>
      <x:c r="Q548" s="17" t="n">
        <x:v>138.81</x:v>
      </x:c>
      <x:c r="R548" s="17" t="n">
        <x:v>146.24</x:v>
      </x:c>
      <x:c r="S548" s="17"/>
      <x:c r="T548" s="17"/>
      <x:c r="U548" s="17"/>
      <x:c r="V548" s="17"/>
      <x:c r="W548" s="17"/>
      <x:c r="X548" s="17"/>
      <x:c r="Y548" s="17"/>
      <x:c r="Z548" s="17"/>
    </x:row>
    <x:row r="549">
      <x:c r="A549" s="17" t="str">
        <x:v>BLIP-2 (Q-Former)</x:v>
      </x:c>
      <x:c r="B549" s="17" t="str">
        <x:v>blip2-opt-2.7b</x:v>
      </x:c>
      <x:c r="C549" s="17"/>
      <x:c r="D549" s="17" t="str">
        <x:v>Salesforce Research</x:v>
      </x:c>
      <x:c r="E549" s="17" t="str">
        <x:v>United States of America</x:v>
      </x:c>
      <x:c r="F549" s="17" t="n">
        <x:v>44963</x:v>
      </x:c>
      <x:c r="G549" s="17" t="str">
        <x:v>Open weights (unrestricted)</x:v>
      </x:c>
      <x:c r="H549" s="17" t="n">
        <x:v>44956</x:v>
      </x:c>
      <x:c r="I549" s="17" t="n">
        <x:v>1.20000000001e+21</x:v>
      </x:c>
      <x:c r="J549" s="17" t="str">
        <x:v>Confident</x:v>
      </x:c>
      <x:c r="K549" s="17"/>
      <x:c r="L549" s="17"/>
      <x:c r="M549" s="17"/>
      <x:c r="N549" s="17" t="str">
        <x:v>BLIP-2 (Q-Former)</x:v>
      </x:c>
      <x:c r="O549" s="17" t="str">
        <x:v>blip-2-q-former</x:v>
      </x:c>
      <x:c r="P549" s="17"/>
      <x:c r="Q549" s="17"/>
      <x:c r="R549" s="17"/>
      <x:c r="S549" s="17"/>
      <x:c r="T549" s="17"/>
      <x:c r="U549" s="17"/>
      <x:c r="V549" s="17"/>
      <x:c r="W549" s="17"/>
      <x:c r="X549" s="17"/>
      <x:c r="Y549" s="17"/>
      <x:c r="Z549" s="17"/>
    </x:row>
    <x:row r="550">
      <x:c r="A550" s="17"/>
      <x:c r="B550" s="17" t="str">
        <x:v>Phi-3.5-vision-instruct</x:v>
      </x:c>
      <x:c r="C550" s="17"/>
      <x:c r="D550" s="17"/>
      <x:c r="E550" s="17"/>
      <x:c r="F550" s="17" t="n">
        <x:v>45520</x:v>
      </x:c>
      <x:c r="G550" s="17"/>
      <x:c r="H550" s="17"/>
      <x:c r="I550" s="17"/>
      <x:c r="J550" s="17" t="str">
        <x:v>Unverified</x:v>
      </x:c>
      <x:c r="K550" s="17" t="str">
        <x:v>An multimodal version in Microsoft's Phi-3.5 series of open source models.</x:v>
      </x:c>
      <x:c r="L550" s="17"/>
      <x:c r="M550" s="17"/>
      <x:c r="N550" s="17"/>
      <x:c r="O550" s="17" t="str">
        <x:v>phi-3-5-vision-instruct</x:v>
      </x:c>
      <x:c r="P550" s="17"/>
      <x:c r="Q550" s="17"/>
      <x:c r="R550" s="17"/>
      <x:c r="S550" s="17"/>
      <x:c r="T550" s="17"/>
      <x:c r="U550" s="17"/>
      <x:c r="V550" s="17"/>
      <x:c r="W550" s="17"/>
      <x:c r="X550" s="17"/>
      <x:c r="Y550" s="17"/>
      <x:c r="Z550" s="17"/>
    </x:row>
    <x:row r="551">
      <x:c r="A551" s="17"/>
      <x:c r="B551" s="17" t="str">
        <x:v>MM1-3B-Chat</x:v>
      </x:c>
      <x:c r="C551" s="17"/>
      <x:c r="D551" s="17"/>
      <x:c r="E551" s="17"/>
      <x:c r="F551" s="17" t="n">
        <x:v>45365</x:v>
      </x:c>
      <x:c r="G551" s="17"/>
      <x:c r="H551" s="17"/>
      <x:c r="I551" s="17"/>
      <x:c r="J551" s="17" t="str">
        <x:v>Unverified</x:v>
      </x:c>
      <x:c r="K551" s="17"/>
      <x:c r="L551" s="17"/>
      <x:c r="M551" s="17"/>
      <x:c r="N551" s="17"/>
      <x:c r="O551" s="17" t="str">
        <x:v>mm1-3b-chat</x:v>
      </x:c>
      <x:c r="P551" s="17"/>
      <x:c r="Q551" s="17"/>
      <x:c r="R551" s="17"/>
      <x:c r="S551" s="17"/>
      <x:c r="T551" s="17"/>
      <x:c r="U551" s="17"/>
      <x:c r="V551" s="17"/>
      <x:c r="W551" s="17"/>
      <x:c r="X551" s="17"/>
      <x:c r="Y551" s="17"/>
      <x:c r="Z551" s="17"/>
    </x:row>
    <x:row r="552">
      <x:c r="A552" s="17"/>
      <x:c r="B552" s="17" t="str">
        <x:v>MM1-7B-Chat</x:v>
      </x:c>
      <x:c r="C552" s="17"/>
      <x:c r="D552" s="17"/>
      <x:c r="E552" s="17"/>
      <x:c r="F552" s="17" t="n">
        <x:v>45365</x:v>
      </x:c>
      <x:c r="G552" s="17"/>
      <x:c r="H552" s="17"/>
      <x:c r="I552" s="17"/>
      <x:c r="J552" s="17" t="str">
        <x:v>Unverified</x:v>
      </x:c>
      <x:c r="K552" s="17"/>
      <x:c r="L552" s="17"/>
      <x:c r="M552" s="17"/>
      <x:c r="N552" s="17"/>
      <x:c r="O552" s="17" t="str">
        <x:v>mm1-7b-chat</x:v>
      </x:c>
      <x:c r="P552" s="17"/>
      <x:c r="Q552" s="17"/>
      <x:c r="R552" s="17"/>
      <x:c r="S552" s="17"/>
      <x:c r="T552" s="17"/>
      <x:c r="U552" s="17"/>
      <x:c r="V552" s="17"/>
      <x:c r="W552" s="17"/>
      <x:c r="X552" s="17"/>
      <x:c r="Y552" s="17"/>
      <x:c r="Z552" s="17"/>
    </x:row>
    <x:row r="553">
      <x:c r="A553" s="17"/>
      <x:c r="B553" s="17" t="str">
        <x:v>llava-v1.6-vicuna-7b</x:v>
      </x:c>
      <x:c r="C553" s="17"/>
      <x:c r="D553" s="17"/>
      <x:c r="E553" s="17"/>
      <x:c r="F553" s="17" t="n">
        <x:v>45322</x:v>
      </x:c>
      <x:c r="G553" s="17"/>
      <x:c r="H553" s="17"/>
      <x:c r="I553" s="17"/>
      <x:c r="J553" s="17" t="str">
        <x:v>Unverified</x:v>
      </x:c>
      <x:c r="K553" s="17"/>
      <x:c r="L553" s="17"/>
      <x:c r="M553" s="17"/>
      <x:c r="N553" s="17"/>
      <x:c r="O553" s="17" t="str">
        <x:v>llava-v1-6-vicuna-7b</x:v>
      </x:c>
      <x:c r="P553" s="17"/>
      <x:c r="Q553" s="17"/>
      <x:c r="R553" s="17"/>
      <x:c r="S553" s="17"/>
      <x:c r="T553" s="17"/>
      <x:c r="U553" s="17"/>
      <x:c r="V553" s="17"/>
      <x:c r="W553" s="17"/>
      <x:c r="X553" s="17"/>
      <x:c r="Y553" s="17"/>
      <x:c r="Z553" s="17"/>
    </x:row>
    <x:row r="554">
      <x:c r="A554" s="17"/>
      <x:c r="B554" s="17" t="str">
        <x:v>llama3-llava-next-8b</x:v>
      </x:c>
      <x:c r="C554" s="17"/>
      <x:c r="D554" s="17"/>
      <x:c r="E554" s="17"/>
      <x:c r="F554" s="17" t="n">
        <x:v>45402</x:v>
      </x:c>
      <x:c r="G554" s="17"/>
      <x:c r="H554" s="17"/>
      <x:c r="I554" s="17"/>
      <x:c r="J554" s="17" t="str">
        <x:v>Unverified</x:v>
      </x:c>
      <x:c r="K554" s="17"/>
      <x:c r="L554" s="17"/>
      <x:c r="M554" s="17"/>
      <x:c r="N554" s="17"/>
      <x:c r="O554" s="17" t="str">
        <x:v>llama3-llava-next-8b</x:v>
      </x:c>
      <x:c r="P554" s="17"/>
      <x:c r="Q554" s="17"/>
      <x:c r="R554" s="17"/>
      <x:c r="S554" s="17"/>
      <x:c r="T554" s="17"/>
      <x:c r="U554" s="17"/>
      <x:c r="V554" s="17"/>
      <x:c r="W554" s="17"/>
      <x:c r="X554" s="17"/>
      <x:c r="Y554" s="17"/>
      <x:c r="Z554" s="17"/>
    </x:row>
    <x:row r="555">
      <x:c r="A555" s="17"/>
      <x:c r="B555" s="17" t="str">
        <x:v>Qwen-VL-Chat</x:v>
      </x:c>
      <x:c r="C555" s="17"/>
      <x:c r="D555" s="17"/>
      <x:c r="E555" s="17"/>
      <x:c r="F555" s="17" t="n">
        <x:v>45158</x:v>
      </x:c>
      <x:c r="G555" s="17"/>
      <x:c r="H555" s="17"/>
      <x:c r="I555" s="17"/>
      <x:c r="J555" s="17" t="str">
        <x:v>Unverified</x:v>
      </x:c>
      <x:c r="K555" s="17"/>
      <x:c r="L555" s="17"/>
      <x:c r="M555" s="17"/>
      <x:c r="N555" s="17"/>
      <x:c r="O555" s="17" t="str">
        <x:v>qwen-vl-chat</x:v>
      </x:c>
      <x:c r="P555" s="17"/>
      <x:c r="Q555" s="17"/>
      <x:c r="R555" s="17"/>
      <x:c r="S555" s="17"/>
      <x:c r="T555" s="17"/>
      <x:c r="U555" s="17"/>
      <x:c r="V555" s="17"/>
      <x:c r="W555" s="17"/>
      <x:c r="X555" s="17"/>
      <x:c r="Y555" s="17"/>
      <x:c r="Z555" s="17"/>
    </x:row>
    <x:row r="556">
      <x:c r="A556" s="17" t="str">
        <x:v>Gemini 1.0 Pro Vision</x:v>
      </x:c>
      <x:c r="B556" s="17" t="str">
        <x:v>gemini-1.0-pro-vision</x:v>
      </x:c>
      <x:c r="C556" s="17"/>
      <x:c r="D556" s="17" t="str">
        <x:v>Google DeepMind</x:v>
      </x:c>
      <x:c r="E556" s="17" t="str">
        <x:v>United States of America</x:v>
      </x:c>
      <x:c r="F556" s="17" t="n">
        <x:v>45295</x:v>
      </x:c>
      <x:c r="G556" s="17" t="str">
        <x:v>API access</x:v>
      </x:c>
      <x:c r="H556" s="17" t="n">
        <x:v>45337</x:v>
      </x:c>
      <x:c r="I556" s="17"/>
      <x:c r="J556" s="17" t="str">
        <x:v>Unknown</x:v>
      </x:c>
      <x:c r="K556" s="17" t="str">
        <x:v>A vision language model from Google DeepMind.</x:v>
      </x:c>
      <x:c r="L556" s="17"/>
      <x:c r="M556" s="17"/>
      <x:c r="N556" s="17" t="str">
        <x:v>Gemini 1.0 Pro Vision</x:v>
      </x:c>
      <x:c r="O556" s="17" t="str">
        <x:v>gemini-1-0-pro-vision</x:v>
      </x:c>
      <x:c r="P556" s="17"/>
      <x:c r="Q556" s="17"/>
      <x:c r="R556" s="17"/>
      <x:c r="S556" s="17"/>
      <x:c r="T556" s="17"/>
      <x:c r="U556" s="17"/>
      <x:c r="V556" s="17"/>
      <x:c r="W556" s="17"/>
      <x:c r="X556" s="17"/>
      <x:c r="Y556" s="17"/>
      <x:c r="Z556" s="17"/>
    </x:row>
    <x:row r="557">
      <x:c r="A557" s="17"/>
      <x:c r="B557" s="17" t="str">
        <x:v>falcon-11B-vlm</x:v>
      </x:c>
      <x:c r="C557" s="17"/>
      <x:c r="D557" s="17"/>
      <x:c r="E557" s="17"/>
      <x:c r="F557" s="17" t="n">
        <x:v>45433</x:v>
      </x:c>
      <x:c r="G557" s="17"/>
      <x:c r="H557" s="17"/>
      <x:c r="I557" s="17"/>
      <x:c r="J557" s="17" t="str">
        <x:v>Unverified</x:v>
      </x:c>
      <x:c r="K557" s="17"/>
      <x:c r="L557" s="17"/>
      <x:c r="M557" s="17"/>
      <x:c r="N557" s="17"/>
      <x:c r="O557" s="17" t="str">
        <x:v>falcon-11b-vlm</x:v>
      </x:c>
      <x:c r="P557" s="17"/>
      <x:c r="Q557" s="17"/>
      <x:c r="R557" s="17"/>
      <x:c r="S557" s="17"/>
      <x:c r="T557" s="17"/>
      <x:c r="U557" s="17"/>
      <x:c r="V557" s="17"/>
      <x:c r="W557" s="17"/>
      <x:c r="X557" s="17"/>
      <x:c r="Y557" s="17"/>
      <x:c r="Z557" s="17"/>
    </x:row>
    <x:row r="558">
      <x:c r="A558" s="17"/>
      <x:c r="B558" s="17" t="str">
        <x:v>llava-v1.6-vicuna-13b</x:v>
      </x:c>
      <x:c r="C558" s="17"/>
      <x:c r="D558" s="17"/>
      <x:c r="E558" s="17"/>
      <x:c r="F558" s="17" t="n">
        <x:v>45322</x:v>
      </x:c>
      <x:c r="G558" s="17"/>
      <x:c r="H558" s="17"/>
      <x:c r="I558" s="17"/>
      <x:c r="J558" s="17" t="str">
        <x:v>Unverified</x:v>
      </x:c>
      <x:c r="K558" s="17"/>
      <x:c r="L558" s="17"/>
      <x:c r="M558" s="17"/>
      <x:c r="N558" s="17"/>
      <x:c r="O558" s="17" t="str">
        <x:v>llava-v1-6-vicuna-13b</x:v>
      </x:c>
      <x:c r="P558" s="17"/>
      <x:c r="Q558" s="17"/>
      <x:c r="R558" s="17"/>
      <x:c r="S558" s="17"/>
      <x:c r="T558" s="17"/>
      <x:c r="U558" s="17"/>
      <x:c r="V558" s="17"/>
      <x:c r="W558" s="17"/>
      <x:c r="X558" s="17"/>
      <x:c r="Y558" s="17"/>
      <x:c r="Z558" s="17"/>
    </x:row>
    <x:row r="559">
      <x:c r="A559" s="17"/>
      <x:c r="B559" s="17" t="str">
        <x:v>llava-v1.6-mistral-7b</x:v>
      </x:c>
      <x:c r="C559" s="17"/>
      <x:c r="D559" s="17"/>
      <x:c r="E559" s="17"/>
      <x:c r="F559" s="17" t="n">
        <x:v>45322</x:v>
      </x:c>
      <x:c r="G559" s="17"/>
      <x:c r="H559" s="17"/>
      <x:c r="I559" s="17"/>
      <x:c r="J559" s="17" t="str">
        <x:v>Unverified</x:v>
      </x:c>
      <x:c r="K559" s="17"/>
      <x:c r="L559" s="17"/>
      <x:c r="M559" s="17"/>
      <x:c r="N559" s="17"/>
      <x:c r="O559" s="17" t="str">
        <x:v>llava-v1-6-mistral-7b</x:v>
      </x:c>
      <x:c r="P559" s="17"/>
      <x:c r="Q559" s="17"/>
      <x:c r="R559" s="17"/>
      <x:c r="S559" s="17"/>
      <x:c r="T559" s="17"/>
      <x:c r="U559" s="17"/>
      <x:c r="V559" s="17"/>
      <x:c r="W559" s="17"/>
      <x:c r="X559" s="17"/>
      <x:c r="Y559" s="17"/>
      <x:c r="Z559" s="17"/>
    </x:row>
    <x:row r="560">
      <x:c r="A560" s="17"/>
      <x:c r="B560" s="17" t="str">
        <x:v>instructblip-vicuna-7b</x:v>
      </x:c>
      <x:c r="C560" s="17"/>
      <x:c r="D560" s="17"/>
      <x:c r="E560" s="17"/>
      <x:c r="F560" s="17" t="n">
        <x:v>45068</x:v>
      </x:c>
      <x:c r="G560" s="17"/>
      <x:c r="H560" s="17"/>
      <x:c r="I560" s="17"/>
      <x:c r="J560" s="17" t="str">
        <x:v>Unverified</x:v>
      </x:c>
      <x:c r="K560" s="17"/>
      <x:c r="L560" s="17"/>
      <x:c r="M560" s="17"/>
      <x:c r="N560" s="17"/>
      <x:c r="O560" s="17" t="str">
        <x:v>instructblip-vicuna-7b</x:v>
      </x:c>
      <x:c r="P560" s="17"/>
      <x:c r="Q560" s="17"/>
      <x:c r="R560" s="17"/>
      <x:c r="S560" s="17"/>
      <x:c r="T560" s="17"/>
      <x:c r="U560" s="17"/>
      <x:c r="V560" s="17"/>
      <x:c r="W560" s="17"/>
      <x:c r="X560" s="17"/>
      <x:c r="Y560" s="17"/>
      <x:c r="Z560" s="17"/>
    </x:row>
    <x:row r="561">
      <x:c r="A561" s="17"/>
      <x:c r="B561" s="17" t="str">
        <x:v>instructblip-vicuna-13b</x:v>
      </x:c>
      <x:c r="C561" s="17"/>
      <x:c r="D561" s="17"/>
      <x:c r="E561" s="17"/>
      <x:c r="F561" s="17" t="n">
        <x:v>45285</x:v>
      </x:c>
      <x:c r="G561" s="17"/>
      <x:c r="H561" s="17"/>
      <x:c r="I561" s="17"/>
      <x:c r="J561" s="17" t="str">
        <x:v>Unverified</x:v>
      </x:c>
      <x:c r="K561" s="17"/>
      <x:c r="L561" s="17"/>
      <x:c r="M561" s="17"/>
      <x:c r="N561" s="17"/>
      <x:c r="O561" s="17" t="str">
        <x:v>instructblip-vicuna-13b</x:v>
      </x:c>
      <x:c r="P561" s="17"/>
      <x:c r="Q561" s="17"/>
      <x:c r="R561" s="17"/>
      <x:c r="S561" s="17"/>
      <x:c r="T561" s="17"/>
      <x:c r="U561" s="17"/>
      <x:c r="V561" s="17"/>
      <x:c r="W561" s="17"/>
      <x:c r="X561" s="17"/>
      <x:c r="Y561" s="17"/>
      <x:c r="Z561" s="17"/>
    </x:row>
    <x:row r="562">
      <x:c r="A562" s="17"/>
      <x:c r="B562" s="17" t="str">
        <x:v>InternVL-Chat-ViT-6B-Vicuna-7B</x:v>
      </x:c>
      <x:c r="C562" s="17"/>
      <x:c r="D562" s="17"/>
      <x:c r="E562" s="17"/>
      <x:c r="F562" s="17" t="n">
        <x:v>45285</x:v>
      </x:c>
      <x:c r="G562" s="17"/>
      <x:c r="H562" s="17"/>
      <x:c r="I562" s="17"/>
      <x:c r="J562" s="17" t="str">
        <x:v>Unverified</x:v>
      </x:c>
      <x:c r="K562" s="17"/>
      <x:c r="L562" s="17"/>
      <x:c r="M562" s="17"/>
      <x:c r="N562" s="17"/>
      <x:c r="O562" s="17" t="str">
        <x:v>internvl-chat-vit-6b-vicuna-7b</x:v>
      </x:c>
      <x:c r="P562" s="17"/>
      <x:c r="Q562" s="17"/>
      <x:c r="R562" s="17"/>
      <x:c r="S562" s="17"/>
      <x:c r="T562" s="17"/>
      <x:c r="U562" s="17"/>
      <x:c r="V562" s="17"/>
      <x:c r="W562" s="17"/>
      <x:c r="X562" s="17"/>
      <x:c r="Y562" s="17"/>
      <x:c r="Z562" s="17"/>
    </x:row>
    <x:row r="563">
      <x:c r="A563" s="17"/>
      <x:c r="B563" s="17" t="str">
        <x:v>InternVL-Chat-ViT-6B-Vicuna-13B</x:v>
      </x:c>
      <x:c r="C563" s="17"/>
      <x:c r="D563" s="17"/>
      <x:c r="E563" s="17"/>
      <x:c r="F563" s="17" t="n">
        <x:v>45520</x:v>
      </x:c>
      <x:c r="G563" s="17"/>
      <x:c r="H563" s="17"/>
      <x:c r="I563" s="17"/>
      <x:c r="J563" s="17" t="str">
        <x:v>Unverified</x:v>
      </x:c>
      <x:c r="K563" s="17"/>
      <x:c r="L563" s="17"/>
      <x:c r="M563" s="17"/>
      <x:c r="N563" s="17"/>
      <x:c r="O563" s="17" t="str">
        <x:v>internvl-chat-vit-6b-vicuna-13b</x:v>
      </x:c>
      <x:c r="P563" s="17"/>
      <x:c r="Q563" s="17"/>
      <x:c r="R563" s="17"/>
      <x:c r="S563" s="17"/>
      <x:c r="T563" s="17"/>
      <x:c r="U563" s="17"/>
      <x:c r="V563" s="17"/>
      <x:c r="W563" s="17"/>
      <x:c r="X563" s="17"/>
      <x:c r="Y563" s="17"/>
      <x:c r="Z563" s="17"/>
    </x:row>
    <x:row r="564">
      <x:c r="A564" s="17"/>
      <x:c r="B564" s="17" t="str">
        <x:v>llava-v1.5-7b</x:v>
      </x:c>
      <x:c r="C564" s="17"/>
      <x:c r="D564" s="17"/>
      <x:c r="E564" s="17"/>
      <x:c r="F564" s="17" t="n">
        <x:v>45204</x:v>
      </x:c>
      <x:c r="G564" s="17"/>
      <x:c r="H564" s="17"/>
      <x:c r="I564" s="17"/>
      <x:c r="J564" s="17" t="str">
        <x:v>Unverified</x:v>
      </x:c>
      <x:c r="K564" s="17"/>
      <x:c r="L564" s="17"/>
      <x:c r="M564" s="17"/>
      <x:c r="N564" s="17"/>
      <x:c r="O564" s="17" t="str">
        <x:v>llava-v1-5-7b</x:v>
      </x:c>
      <x:c r="P564" s="17"/>
      <x:c r="Q564" s="17"/>
      <x:c r="R564" s="17"/>
      <x:c r="S564" s="17"/>
      <x:c r="T564" s="17"/>
      <x:c r="U564" s="17"/>
      <x:c r="V564" s="17"/>
      <x:c r="W564" s="17"/>
      <x:c r="X564" s="17"/>
      <x:c r="Y564" s="17"/>
      <x:c r="Z564" s="17"/>
    </x:row>
    <x:row r="565">
      <x:c r="A565" s="17" t="str">
        <x:v>Claude Fable 5</x:v>
      </x:c>
      <x:c r="B565" s="17" t="str">
        <x:v>claude-fable-5_unknown</x:v>
      </x:c>
      <x:c r="C565" s="17" t="str">
        <x:v>Claude Fable 5 (unknown)</x:v>
      </x:c>
      <x:c r="D565" s="17" t="str">
        <x:v>Anthropic</x:v>
      </x:c>
      <x:c r="E565" s="17" t="str">
        <x:v>United States of America</x:v>
      </x:c>
      <x:c r="F565" s="17" t="n">
        <x:v>46182</x:v>
      </x:c>
      <x:c r="G565" s="17" t="str">
        <x:v>API access</x:v>
      </x:c>
      <x:c r="H565" s="17" t="n">
        <x:v>46182</x:v>
      </x:c>
      <x:c r="I565" s="17"/>
      <x:c r="J565" s="17" t="str">
        <x:v>Confident</x:v>
      </x:c>
      <x:c r="K565" s="17"/>
      <x:c r="L565" s="17" t="str">
        <x:v>Claude Fable 5 (unknown)</x:v>
      </x:c>
      <x:c r="M565" s="17"/>
      <x:c r="N565" s="17" t="str">
        <x:v>Claude Fable 5</x:v>
      </x:c>
      <x:c r="O565" s="17" t="str">
        <x:v>claude-fable-5</x:v>
      </x:c>
      <x:c r="P565" s="17" t="n">
        <x:v>160.44</x:v>
      </x:c>
      <x:c r="Q565" s="17" t="n">
        <x:v>158.05</x:v>
      </x:c>
      <x:c r="R565" s="17" t="n">
        <x:v>164.61</x:v>
      </x:c>
      <x:c r="S565" s="17"/>
      <x:c r="T565" s="17"/>
      <x:c r="U565" s="17"/>
      <x:c r="V565" s="17"/>
      <x:c r="W565" s="17"/>
      <x:c r="X565" s="17"/>
      <x:c r="Y565" s="17"/>
      <x:c r="Z565" s="17"/>
    </x:row>
    <x:row r="566">
      <x:c r="A566" s="17"/>
      <x:c r="B566" s="17" t="str">
        <x:v>openhands-lm-32b-v0.1</x:v>
      </x:c>
      <x:c r="C566" s="17"/>
      <x:c r="D566" s="17"/>
      <x:c r="E566" s="17"/>
      <x:c r="F566" s="17" t="n">
        <x:v>45377</x:v>
      </x:c>
      <x:c r="G566" s="17"/>
      <x:c r="H566" s="17"/>
      <x:c r="I566" s="17"/>
      <x:c r="J566" s="17" t="str">
        <x:v>Unverified</x:v>
      </x:c>
      <x:c r="K566" s="17"/>
      <x:c r="L566" s="17"/>
      <x:c r="M566" s="17"/>
      <x:c r="N566" s="17"/>
      <x:c r="O566" s="17" t="str">
        <x:v>openhands-lm-32b-v0-1</x:v>
      </x:c>
      <x:c r="P566" s="17"/>
      <x:c r="Q566" s="17"/>
      <x:c r="R566" s="17"/>
      <x:c r="S566" s="17"/>
      <x:c r="T566" s="17"/>
      <x:c r="U566" s="17"/>
      <x:c r="V566" s="17"/>
      <x:c r="W566" s="17"/>
      <x:c r="X566" s="17"/>
      <x:c r="Y566" s="17"/>
      <x:c r="Z566" s="17"/>
    </x:row>
    <x:row r="567">
      <x:c r="A567" s="17" t="str">
        <x:v>Gemini 2.5 Pro (Jun 2025)</x:v>
      </x:c>
      <x:c r="B567" s="17" t="str">
        <x:v>gemini-2.5-pro-preview-06-05_32K</x:v>
      </x:c>
      <x:c r="C567" s="17" t="str">
        <x:v>Gemini 2.5 Pro Preview (Jun 2025)</x:v>
      </x:c>
      <x:c r="D567" s="17" t="str">
        <x:v>Google DeepMind</x:v>
      </x:c>
      <x:c r="E567" s="17" t="str">
        <x:v>United States of America</x:v>
      </x:c>
      <x:c r="F567" s="17" t="n">
        <x:v>45813</x:v>
      </x:c>
      <x:c r="G567" s="17" t="str">
        <x:v>API access</x:v>
      </x:c>
      <x:c r="H567" s="17" t="n">
        <x:v>45813</x:v>
      </x:c>
      <x:c r="I567" s="17"/>
      <x:c r="J567" s="17" t="str">
        <x:v>Unknown</x:v>
      </x:c>
      <x:c r="K567" s="17" t="str">
        <x:v>A June 2025 preview version of Gemini 2.5 Pro, Google DeepMind's flagship frontier model, evaluated with up to 32,000 reasoning tokens.</x:v>
      </x:c>
      <x:c r="L567" s="17" t="str">
        <x:v>Gemini 2.5 Pro Preview (Jun 2025, 32k thinking)</x:v>
      </x:c>
      <x:c r="M567" s="17" t="str">
        <x:v>Gemini 2.5 Pro (Jun 2025)</x:v>
      </x:c>
      <x:c r="N567" s="17" t="str">
        <x:v>Gemini 2.5 Pro (Jun 2025)</x:v>
      </x:c>
      <x:c r="O567" s="17" t="str">
        <x:v>gemini-2-5-pro-jun-2025</x:v>
      </x:c>
      <x:c r="P567" s="17" t="n">
        <x:v>146.08</x:v>
      </x:c>
      <x:c r="Q567" s="17" t="n">
        <x:v>144.33</x:v>
      </x:c>
      <x:c r="R567" s="17" t="n">
        <x:v>147.72</x:v>
      </x:c>
      <x:c r="S567" s="17"/>
      <x:c r="T567" s="17"/>
      <x:c r="U567" s="17"/>
      <x:c r="V567" s="17"/>
      <x:c r="W567" s="17"/>
      <x:c r="X567" s="17"/>
      <x:c r="Y567" s="17"/>
      <x:c r="Z567" s="17"/>
    </x:row>
    <x:row r="568">
      <x:c r="A568" s="17" t="str">
        <x:v>Claude Opus 4</x:v>
      </x:c>
      <x:c r="B568" s="17" t="str">
        <x:v>claude-opus-4-20250514_32K</x:v>
      </x:c>
      <x:c r="C568" s="17" t="str">
        <x:v>Claude Opus 4</x:v>
      </x:c>
      <x:c r="D568" s="17" t="str">
        <x:v>Anthropic</x:v>
      </x:c>
      <x:c r="E568" s="17" t="str">
        <x:v>United States of America</x:v>
      </x:c>
      <x:c r="F568" s="17" t="n">
        <x:v>45799</x:v>
      </x:c>
      <x:c r="G568" s="17" t="str">
        <x:v>API access</x:v>
      </x:c>
      <x:c r="H568" s="17" t="n">
        <x:v>45799</x:v>
      </x:c>
      <x:c r="I568" s="17"/>
      <x:c r="J568" s="17" t="str">
        <x:v>Unknown</x:v>
      </x:c>
      <x:c r="K568" s="17" t="str">
        <x:v>Anthropic's largest model in the Claude 4 series (superseded by Claude Opus 4.1), benchmarked with up to 32,000 reasoning tokens.</x:v>
      </x:c>
      <x:c r="L568" s="17" t="str">
        <x:v>Claude Opus 4 (32k thinking)</x:v>
      </x:c>
      <x:c r="M568" s="17"/>
      <x:c r="N568" s="17" t="str">
        <x:v>Claude Opus 4</x:v>
      </x:c>
      <x:c r="O568" s="17" t="str">
        <x:v>claude-opus-4</x:v>
      </x:c>
      <x:c r="P568" s="17" t="n">
        <x:v>142.89</x:v>
      </x:c>
      <x:c r="Q568" s="17" t="n">
        <x:v>140.36</x:v>
      </x:c>
      <x:c r="R568" s="17" t="n">
        <x:v>144.3</x:v>
      </x:c>
      <x:c r="S568" s="17"/>
      <x:c r="T568" s="17"/>
      <x:c r="U568" s="17"/>
      <x:c r="V568" s="17"/>
      <x:c r="W568" s="17"/>
      <x:c r="X568" s="17"/>
      <x:c r="Y568" s="17"/>
      <x:c r="Z568" s="17"/>
    </x:row>
    <x:row r="569">
      <x:c r="A569" s="17" t="str">
        <x:v>Qwen3-32B</x:v>
      </x:c>
      <x:c r="B569" s="17" t="str">
        <x:v>Qwen3-32B</x:v>
      </x:c>
      <x:c r="C569" s="17"/>
      <x:c r="D569" s="17" t="str">
        <x:v>Alibaba</x:v>
      </x:c>
      <x:c r="E569" s="17" t="str">
        <x:v>China</x:v>
      </x:c>
      <x:c r="F569" s="17" t="n">
        <x:v>45776</x:v>
      </x:c>
      <x:c r="G569" s="17" t="str">
        <x:v>Open weights (unrestricted)</x:v>
      </x:c>
      <x:c r="H569" s="17" t="n">
        <x:v>45776</x:v>
      </x:c>
      <x:c r="I569" s="17" t="n">
        <x:v>7.0848e+24</x:v>
      </x:c>
      <x:c r="J569" s="17" t="str">
        <x:v>Confident</x:v>
      </x:c>
      <x:c r="K569" s="17" t="str">
        <x:v>The 32 billion-parameter model in the Qwen 3 series.</x:v>
      </x:c>
      <x:c r="L569" s="17" t="str">
        <x:v>Qwen3 32B</x:v>
      </x:c>
      <x:c r="M569" s="17"/>
      <x:c r="N569" s="17" t="str">
        <x:v>Qwen3-32B</x:v>
      </x:c>
      <x:c r="O569" s="17" t="str">
        <x:v>qwen3-32b</x:v>
      </x:c>
      <x:c r="P569" s="17"/>
      <x:c r="Q569" s="17"/>
      <x:c r="R569" s="17"/>
      <x:c r="S569" s="17"/>
      <x:c r="T569" s="17"/>
      <x:c r="U569" s="17"/>
      <x:c r="V569" s="17"/>
      <x:c r="W569" s="17"/>
      <x:c r="X569" s="17"/>
      <x:c r="Y569" s="17"/>
      <x:c r="Z569" s="17"/>
    </x:row>
    <x:row r="570">
      <x:c r="A570" s="17" t="str">
        <x:v>GPT-4o</x:v>
      </x:c>
      <x:c r="B570" s="17" t="str">
        <x:v>chatgpt-4o-03-27-2025</x:v>
      </x:c>
      <x:c r="C570" s="17"/>
      <x:c r="D570" s="17" t="str">
        <x:v>OpenAI</x:v>
      </x:c>
      <x:c r="E570" s="17" t="str">
        <x:v>United States of America</x:v>
      </x:c>
      <x:c r="F570" s="17" t="n">
        <x:v>45743</x:v>
      </x:c>
      <x:c r="G570" s="17" t="str">
        <x:v>API access</x:v>
      </x:c>
      <x:c r="H570" s="17" t="n">
        <x:v>45425</x:v>
      </x:c>
      <x:c r="I570" s="17"/>
      <x:c r="J570" s="17" t="str">
        <x:v>Speculative</x:v>
      </x:c>
      <x:c r="K570" s="17" t="str">
        <x:v>A version of GPT-4o that was behind the ChatGPT interface, released in March 2025.</x:v>
      </x:c>
      <x:c r="L570" s="17" t="str">
        <x:v>ChatGPT-4o (Mar 2025)</x:v>
      </x:c>
      <x:c r="M570" s="17" t="str">
        <x:v>GPT-4o (Mar 2025)</x:v>
      </x:c>
      <x:c r="N570" s="17" t="str">
        <x:v>GPT-4o (Mar 2025)</x:v>
      </x:c>
      <x:c r="O570" s="17" t="str">
        <x:v>gpt-4o-mar-2025</x:v>
      </x:c>
      <x:c r="P570" s="17"/>
      <x:c r="Q570" s="17"/>
      <x:c r="R570" s="17"/>
      <x:c r="S570" s="17"/>
      <x:c r="T570" s="17"/>
      <x:c r="U570" s="17"/>
      <x:c r="V570" s="17"/>
      <x:c r="W570" s="17"/>
      <x:c r="X570" s="17"/>
      <x:c r="Y570" s="17"/>
      <x:c r="Z570" s="17"/>
    </x:row>
    <x:row r="571">
      <x:c r="A571" s="17" t="str">
        <x:v>Qwen2.5-Coder (32B)</x:v>
      </x:c>
      <x:c r="B571" s="17" t="str">
        <x:v>Qwen2.5-Coder-32B-Instruct</x:v>
      </x:c>
      <x:c r="C571" s="17"/>
      <x:c r="D571" s="17" t="str">
        <x:v>Alibaba</x:v>
      </x:c>
      <x:c r="E571" s="17" t="str">
        <x:v>China</x:v>
      </x:c>
      <x:c r="F571" s="17" t="n">
        <x:v>45617</x:v>
      </x:c>
      <x:c r="G571" s="17" t="str">
        <x:v>Open weights (unrestricted)</x:v>
      </x:c>
      <x:c r="H571" s="17" t="n">
        <x:v>45608</x:v>
      </x:c>
      <x:c r="I571" s="17" t="n">
        <x:v>1.0725e+24</x:v>
      </x:c>
      <x:c r="J571" s="17" t="str">
        <x:v>Confident</x:v>
      </x:c>
      <x:c r="K571" s="17" t="str">
        <x:v>An instruction-tuned and coding-optimized 32 billion-parameter model in the Qwen 2.5 series.</x:v>
      </x:c>
      <x:c r="L571" s="17" t="str">
        <x:v>Qwen2.5-Coder-32B (instruct)</x:v>
      </x:c>
      <x:c r="M571" s="17" t="str">
        <x:v>Qwen2.5-Coder-32B-Instruct</x:v>
      </x:c>
      <x:c r="N571" s="17" t="str">
        <x:v>Qwen2.5-Coder-32B-Instruct</x:v>
      </x:c>
      <x:c r="O571" s="17" t="str">
        <x:v>qwen2-5-coder-32b-instruct</x:v>
      </x:c>
      <x:c r="P571" s="17"/>
      <x:c r="Q571" s="17"/>
      <x:c r="R571" s="17"/>
      <x:c r="S571" s="17"/>
      <x:c r="T571" s="17"/>
      <x:c r="U571" s="17"/>
      <x:c r="V571" s="17"/>
      <x:c r="W571" s="17"/>
      <x:c r="X571" s="17"/>
      <x:c r="Y571" s="17"/>
      <x:c r="Z571" s="17"/>
    </x:row>
    <x:row r="572">
      <x:c r="A572" s="17" t="str">
        <x:v>Gemini 2.0 Flash</x:v>
      </x:c>
      <x:c r="B572" s="17" t="str">
        <x:v>gemini-exp-1206</x:v>
      </x:c>
      <x:c r="C572" s="17"/>
      <x:c r="D572" s="17" t="str">
        <x:v>Google DeepMind,Google</x:v>
      </x:c>
      <x:c r="E572" s="17" t="str">
        <x:v>United States of America</x:v>
      </x:c>
      <x:c r="F572" s="17" t="n">
        <x:v>45632</x:v>
      </x:c>
      <x:c r="G572" s="17" t="str">
        <x:v>API access</x:v>
      </x:c>
      <x:c r="H572" s="17" t="n">
        <x:v>45637</x:v>
      </x:c>
      <x:c r="I572" s="17"/>
      <x:c r="J572" s="17" t="str">
        <x:v>Unknown</x:v>
      </x:c>
      <x:c r="K572" s="17" t="str">
        <x:v>A December 2024 experimental version of Gemini 2.0 Flash, a small langauge model from Google DeepMind.</x:v>
      </x:c>
      <x:c r="L572" s="17"/>
      <x:c r="M572" s="17" t="str">
        <x:v>Gemini 2.0 Flash (Dec 2024)</x:v>
      </x:c>
      <x:c r="N572" s="17" t="str">
        <x:v>Gemini 2.0 Flash (Dec 2024)</x:v>
      </x:c>
      <x:c r="O572" s="17" t="str">
        <x:v>gemini-2-0-flash-dec-2024</x:v>
      </x:c>
      <x:c r="P572" s="17" t="n">
        <x:v>135.06</x:v>
      </x:c>
      <x:c r="Q572" s="17" t="n">
        <x:v>123.87</x:v>
      </x:c>
      <x:c r="R572" s="17" t="n">
        <x:v>136.77</x:v>
      </x:c>
      <x:c r="S572" s="17"/>
      <x:c r="T572" s="17"/>
      <x:c r="U572" s="17"/>
      <x:c r="V572" s="17"/>
      <x:c r="W572" s="17"/>
      <x:c r="X572" s="17"/>
      <x:c r="Y572" s="17"/>
      <x:c r="Z572" s="17"/>
    </x:row>
    <x:row r="573">
      <x:c r="A573" s="17" t="str">
        <x:v>QwQ-32B</x:v>
      </x:c>
      <x:c r="B573" s="17" t="str">
        <x:v>QwQ-32B</x:v>
      </x:c>
      <x:c r="C573" s="17"/>
      <x:c r="D573" s="17" t="str">
        <x:v>Alibaba</x:v>
      </x:c>
      <x:c r="E573" s="17" t="str">
        <x:v>China</x:v>
      </x:c>
      <x:c r="F573" s="17" t="n">
        <x:v>45721</x:v>
      </x:c>
      <x:c r="G573" s="17" t="str">
        <x:v>Open weights (unrestricted)</x:v>
      </x:c>
      <x:c r="H573" s="17" t="n">
        <x:v>45722</x:v>
      </x:c>
      <x:c r="I573" s="17" t="n">
        <x:v>3.51e+24</x:v>
      </x:c>
      <x:c r="J573" s="17" t="str">
        <x:v>Speculative</x:v>
      </x:c>
      <x:c r="K573" s="17"/>
      <x:c r="L573" s="17" t="str">
        <x:v>QwQ 32B</x:v>
      </x:c>
      <x:c r="M573" s="17" t="str">
        <x:v>QwQ-32B</x:v>
      </x:c>
      <x:c r="N573" s="17" t="str">
        <x:v>QwQ-32B</x:v>
      </x:c>
      <x:c r="O573" s="17" t="str">
        <x:v>qwq-32b</x:v>
      </x:c>
      <x:c r="P573" s="17"/>
      <x:c r="Q573" s="17"/>
      <x:c r="R573" s="17"/>
      <x:c r="S573" s="17"/>
      <x:c r="T573" s="17"/>
      <x:c r="U573" s="17"/>
      <x:c r="V573" s="17"/>
      <x:c r="W573" s="17"/>
      <x:c r="X573" s="17"/>
      <x:c r="Y573" s="17"/>
      <x:c r="Z573" s="17"/>
    </x:row>
    <x:row r="574">
      <x:c r="A574" s="17" t="str">
        <x:v>Cohere Command A</x:v>
      </x:c>
      <x:c r="B574" s="17" t="str">
        <x:v>c4ai-command-a-03-2025</x:v>
      </x:c>
      <x:c r="C574" s="17"/>
      <x:c r="D574" s="17" t="str">
        <x:v>Cohere</x:v>
      </x:c>
      <x:c r="E574" s="17" t="str">
        <x:v>Canada</x:v>
      </x:c>
      <x:c r="F574" s="17" t="n">
        <x:v>45729</x:v>
      </x:c>
      <x:c r="G574" s="17" t="str">
        <x:v>Open weights (non-commercial)</x:v>
      </x:c>
      <x:c r="H574" s="17" t="n">
        <x:v>45729</x:v>
      </x:c>
      <x:c r="I574" s="17"/>
      <x:c r="J574" s="17" t="str">
        <x:v>Confident</x:v>
      </x:c>
      <x:c r="K574" s="17"/>
      <x:c r="L574" s="17" t="str">
        <x:v>Command A</x:v>
      </x:c>
      <x:c r="M574" s="17"/>
      <x:c r="N574" s="17" t="str">
        <x:v>Cohere Command A</x:v>
      </x:c>
      <x:c r="O574" s="17" t="str">
        <x:v>cohere-command-a</x:v>
      </x:c>
      <x:c r="P574" s="17"/>
      <x:c r="Q574" s="17"/>
      <x:c r="R574" s="17"/>
      <x:c r="S574" s="17"/>
      <x:c r="T574" s="17"/>
      <x:c r="U574" s="17"/>
      <x:c r="V574" s="17"/>
      <x:c r="W574" s="17"/>
      <x:c r="X574" s="17"/>
      <x:c r="Y574" s="17"/>
      <x:c r="Z574" s="17"/>
    </x:row>
    <x:row r="575">
      <x:c r="A575" s="17" t="str">
        <x:v>Gemini 2.0 Flash</x:v>
      </x:c>
      <x:c r="B575" s="17" t="str">
        <x:v>gemini-2.0-flash-exp</x:v>
      </x:c>
      <x:c r="C575" s="17"/>
      <x:c r="D575" s="17" t="str">
        <x:v>Google DeepMind,Google</x:v>
      </x:c>
      <x:c r="E575" s="17" t="str">
        <x:v>United States of America</x:v>
      </x:c>
      <x:c r="F575" s="17" t="n">
        <x:v>45637</x:v>
      </x:c>
      <x:c r="G575" s="17" t="str">
        <x:v>API access</x:v>
      </x:c>
      <x:c r="H575" s="17" t="n">
        <x:v>45637</x:v>
      </x:c>
      <x:c r="I575" s="17"/>
      <x:c r="J575" s="17" t="str">
        <x:v>Unknown</x:v>
      </x:c>
      <x:c r="K575" s="17" t="str">
        <x:v>A December 2024 experimental version of Gemini 2.0 Flash, a small langauge model from Google DeepMind.</x:v>
      </x:c>
      <x:c r="L575" s="17"/>
      <x:c r="M575" s="17" t="str">
        <x:v>Gemini 2.0 Flash (Dec 2024)</x:v>
      </x:c>
      <x:c r="N575" s="17" t="str">
        <x:v>Gemini 2.0 Flash (Dec 2024)</x:v>
      </x:c>
      <x:c r="O575" s="17" t="str">
        <x:v>gemini-2-0-flash-dec-2024</x:v>
      </x:c>
      <x:c r="P575" s="17" t="n">
        <x:v>135.06</x:v>
      </x:c>
      <x:c r="Q575" s="17" t="n">
        <x:v>123.87</x:v>
      </x:c>
      <x:c r="R575" s="17" t="n">
        <x:v>136.77</x:v>
      </x:c>
      <x:c r="S575" s="17"/>
      <x:c r="T575" s="17"/>
      <x:c r="U575" s="17"/>
      <x:c r="V575" s="17"/>
      <x:c r="W575" s="17"/>
      <x:c r="X575" s="17"/>
      <x:c r="Y575" s="17"/>
      <x:c r="Z575" s="17"/>
    </x:row>
    <x:row r="576">
      <x:c r="A576" s="17" t="str">
        <x:v>DeepSeek-V2.5</x:v>
      </x:c>
      <x:c r="B576" s="17" t="str">
        <x:v>DeepSeek-V2.5</x:v>
      </x:c>
      <x:c r="C576" s="17"/>
      <x:c r="D576" s="17" t="str">
        <x:v>DeepSeek</x:v>
      </x:c>
      <x:c r="E576" s="17" t="str">
        <x:v>China</x:v>
      </x:c>
      <x:c r="F576" s="17" t="n">
        <x:v>45541</x:v>
      </x:c>
      <x:c r="G576" s="17" t="str">
        <x:v>Open weights (restricted use)</x:v>
      </x:c>
      <x:c r="H576" s="17" t="n">
        <x:v>45541</x:v>
      </x:c>
      <x:c r="I576" s="17" t="n">
        <x:v>1.7892e+24</x:v>
      </x:c>
      <x:c r="J576" s="17" t="str">
        <x:v>Confident</x:v>
      </x:c>
      <x:c r="K576" s="17"/>
      <x:c r="L576" s="17" t="str">
        <x:v>DeepSeek-V2.5 (Sept 2024)</x:v>
      </x:c>
      <x:c r="M576" s="17" t="str">
        <x:v>DeepSeek-V2.5 (Sep 2024)</x:v>
      </x:c>
      <x:c r="N576" s="17" t="str">
        <x:v>DeepSeek-V2.5 (Sep 2024)</x:v>
      </x:c>
      <x:c r="O576" s="17" t="str">
        <x:v>deepseek-v2-5-sep-2024</x:v>
      </x:c>
      <x:c r="P576" s="17"/>
      <x:c r="Q576" s="17"/>
      <x:c r="R576" s="17"/>
      <x:c r="S576" s="17"/>
      <x:c r="T576" s="17"/>
      <x:c r="U576" s="17"/>
      <x:c r="V576" s="17"/>
      <x:c r="W576" s="17"/>
      <x:c r="X576" s="17"/>
      <x:c r="Y576" s="17"/>
      <x:c r="Z576" s="17"/>
    </x:row>
    <x:row r="577">
      <x:c r="A577" s="17" t="str">
        <x:v>Codestral</x:v>
      </x:c>
      <x:c r="B577" s="17" t="str">
        <x:v>codestral-2501</x:v>
      </x:c>
      <x:c r="C577" s="17"/>
      <x:c r="D577" s="17" t="str">
        <x:v>Mistral AI</x:v>
      </x:c>
      <x:c r="E577" s="17" t="str">
        <x:v>France</x:v>
      </x:c>
      <x:c r="F577" s="17" t="n">
        <x:v>45670</x:v>
      </x:c>
      <x:c r="G577" s="17" t="str">
        <x:v>Open weights (non-commercial)</x:v>
      </x:c>
      <x:c r="H577" s="17" t="n">
        <x:v>45441</x:v>
      </x:c>
      <x:c r="I577" s="17"/>
      <x:c r="J577" s="17" t="str">
        <x:v>Confident</x:v>
      </x:c>
      <x:c r="K577" s="17" t="str">
        <x:v>A January 2025 version of a 2024 coding-optimized model from Mistral.</x:v>
      </x:c>
      <x:c r="L577" s="17"/>
      <x:c r="M577" s="17"/>
      <x:c r="N577" s="17" t="str">
        <x:v>Codestral</x:v>
      </x:c>
      <x:c r="O577" s="17" t="str">
        <x:v>codestral</x:v>
      </x:c>
      <x:c r="P577" s="17"/>
      <x:c r="Q577" s="17"/>
      <x:c r="R577" s="17"/>
      <x:c r="S577" s="17"/>
      <x:c r="T577" s="17"/>
      <x:c r="U577" s="17"/>
      <x:c r="V577" s="17"/>
      <x:c r="W577" s="17"/>
      <x:c r="X577" s="17"/>
      <x:c r="Y577" s="17"/>
      <x:c r="Z577" s="17"/>
    </x:row>
    <x:row r="578">
      <x:c r="A578" s="17" t="str">
        <x:v>Yi-Lightning</x:v>
      </x:c>
      <x:c r="B578" s="17" t="str">
        <x:v>yi-lightning</x:v>
      </x:c>
      <x:c r="C578" s="17"/>
      <x:c r="D578" s="17" t="str">
        <x:v>01.AI</x:v>
      </x:c>
      <x:c r="E578" s="17" t="str">
        <x:v>China</x:v>
      </x:c>
      <x:c r="F578" s="17" t="n">
        <x:v>45628</x:v>
      </x:c>
      <x:c r="G578" s="17" t="str">
        <x:v>API access</x:v>
      </x:c>
      <x:c r="H578" s="17" t="n">
        <x:v>45583</x:v>
      </x:c>
      <x:c r="I578" s="17" t="n">
        <x:v>1.5e+24</x:v>
      </x:c>
      <x:c r="J578" s="17" t="str">
        <x:v>Confident</x:v>
      </x:c>
      <x:c r="K578" s="17"/>
      <x:c r="L578" s="17" t="str">
        <x:v>Yi-Lightning</x:v>
      </x:c>
      <x:c r="M578" s="17"/>
      <x:c r="N578" s="17" t="str">
        <x:v>Yi-Lightning</x:v>
      </x:c>
      <x:c r="O578" s="17" t="str">
        <x:v>yi-lightning</x:v>
      </x:c>
      <x:c r="P578" s="17"/>
      <x:c r="Q578" s="17"/>
      <x:c r="R578" s="17"/>
      <x:c r="S578" s="17"/>
      <x:c r="T578" s="17"/>
      <x:c r="U578" s="17"/>
      <x:c r="V578" s="17"/>
      <x:c r="W578" s="17"/>
      <x:c r="X578" s="17"/>
      <x:c r="Y578" s="17"/>
      <x:c r="Z578" s="17"/>
    </x:row>
    <x:row r="579">
      <x:c r="A579" s="17" t="str">
        <x:v>Grok 4</x:v>
      </x:c>
      <x:c r="B579" s="17" t="str">
        <x:v>grok-4-0709_high</x:v>
      </x:c>
      <x:c r="C579" s="17"/>
      <x:c r="D579" s="17" t="str">
        <x:v>xAI</x:v>
      </x:c>
      <x:c r="E579" s="17" t="str">
        <x:v>United States of America</x:v>
      </x:c>
      <x:c r="F579" s="17" t="n">
        <x:v>45847</x:v>
      </x:c>
      <x:c r="G579" s="17" t="str">
        <x:v>API access</x:v>
      </x:c>
      <x:c r="H579" s="17" t="n">
        <x:v>45847</x:v>
      </x:c>
      <x:c r="I579" s="17" t="n">
        <x:v>5.0000000000001e+26</x:v>
      </x:c>
      <x:c r="J579" s="17" t="str">
        <x:v>Speculative</x:v>
      </x:c>
      <x:c r="K579" s="17"/>
      <x:c r="L579" s="17" t="str">
        <x:v>Grok 4</x:v>
      </x:c>
      <x:c r="M579" s="17"/>
      <x:c r="N579" s="17" t="str">
        <x:v>Grok 4</x:v>
      </x:c>
      <x:c r="O579" s="17" t="str">
        <x:v>grok-4</x:v>
      </x:c>
      <x:c r="P579" s="17" t="n">
        <x:v>147.04</x:v>
      </x:c>
      <x:c r="Q579" s="17" t="n">
        <x:v>144.92</x:v>
      </x:c>
      <x:c r="R579" s="17" t="n">
        <x:v>148.75</x:v>
      </x:c>
      <x:c r="S579" s="17"/>
      <x:c r="T579" s="17"/>
      <x:c r="U579" s="17"/>
      <x:c r="V579" s="17"/>
      <x:c r="W579" s="17"/>
      <x:c r="X579" s="17"/>
      <x:c r="Y579" s="17"/>
      <x:c r="Z579" s="17"/>
    </x:row>
    <x:row r="580">
      <x:c r="A580" s="17" t="str">
        <x:v>DeepSeek-V3.2</x:v>
      </x:c>
      <x:c r="B580" s="17" t="str">
        <x:v>deepseek-chat</x:v>
      </x:c>
      <x:c r="C580" s="17"/>
      <x:c r="D580" s="17" t="str">
        <x:v>DeepSeek</x:v>
      </x:c>
      <x:c r="E580" s="17" t="str">
        <x:v>China</x:v>
      </x:c>
      <x:c r="F580" s="17" t="n">
        <x:v>45992</x:v>
      </x:c>
      <x:c r="G580" s="17" t="str">
        <x:v>Open weights (unrestricted)</x:v>
      </x:c>
      <x:c r="H580" s="17" t="n">
        <x:v>45992</x:v>
      </x:c>
      <x:c r="I580" s="17" t="n">
        <x:v>4.1999999999999997e+24</x:v>
      </x:c>
      <x:c r="J580" s="17" t="str">
        <x:v>Likely</x:v>
      </x:c>
      <x:c r="K580" s="17"/>
      <x:c r="L580" s="17"/>
      <x:c r="M580" s="17"/>
      <x:c r="N580" s="17" t="str">
        <x:v>DeepSeek-V3.2</x:v>
      </x:c>
      <x:c r="O580" s="17" t="str">
        <x:v>deepseek-v3-2</x:v>
      </x:c>
      <x:c r="P580" s="17" t="n">
        <x:v>146.56</x:v>
      </x:c>
      <x:c r="Q580" s="17" t="n">
        <x:v>144.63</x:v>
      </x:c>
      <x:c r="R580" s="17" t="n">
        <x:v>147.62</x:v>
      </x:c>
      <x:c r="S580" s="17"/>
      <x:c r="T580" s="17"/>
      <x:c r="U580" s="17"/>
      <x:c r="V580" s="17"/>
      <x:c r="W580" s="17"/>
      <x:c r="X580" s="17"/>
      <x:c r="Y580" s="17"/>
      <x:c r="Z580" s="17"/>
    </x:row>
    <x:row r="581">
      <x:c r="A581" s="17"/>
      <x:c r="B581" s="17" t="str">
        <x:v>computer-use-preview-2025-03-11</x:v>
      </x:c>
      <x:c r="C581" s="17"/>
      <x:c r="D581" s="17"/>
      <x:c r="E581" s="17"/>
      <x:c r="F581" s="17" t="n">
        <x:v>45727</x:v>
      </x:c>
      <x:c r="G581" s="17"/>
      <x:c r="H581" s="17"/>
      <x:c r="I581" s="17"/>
      <x:c r="J581" s="17" t="str">
        <x:v>Unverified</x:v>
      </x:c>
      <x:c r="K581" s="17"/>
      <x:c r="L581" s="17"/>
      <x:c r="M581" s="17"/>
      <x:c r="N581" s="17"/>
      <x:c r="O581" s="17" t="str">
        <x:v>computer-use-preview-2025-03-11</x:v>
      </x:c>
      <x:c r="P581" s="17"/>
      <x:c r="Q581" s="17"/>
      <x:c r="R581" s="17"/>
      <x:c r="S581" s="17"/>
      <x:c r="T581" s="17"/>
      <x:c r="U581" s="17"/>
      <x:c r="V581" s="17"/>
      <x:c r="W581" s="17"/>
      <x:c r="X581" s="17"/>
      <x:c r="Y581" s="17"/>
      <x:c r="Z581" s="17"/>
    </x:row>
    <x:row r="582">
      <x:c r="A582" s="17" t="str">
        <x:v>Kimi K2.5</x:v>
      </x:c>
      <x:c r="B582" s="17" t="str">
        <x:v>kimi-k2.5_none</x:v>
      </x:c>
      <x:c r="C582" s="17" t="str">
        <x:v>Kimi K2.5 (instant)</x:v>
      </x:c>
      <x:c r="D582" s="17" t="str">
        <x:v>Moonshot</x:v>
      </x:c>
      <x:c r="E582" s="17" t="str">
        <x:v>China</x:v>
      </x:c>
      <x:c r="F582" s="17" t="n">
        <x:v>46049</x:v>
      </x:c>
      <x:c r="G582" s="17" t="str">
        <x:v>Open weights (unrestricted)</x:v>
      </x:c>
      <x:c r="H582" s="17" t="n">
        <x:v>46055</x:v>
      </x:c>
      <x:c r="I582" s="17" t="n">
        <x:v>5.8e+24</x:v>
      </x:c>
      <x:c r="J582" s="17" t="str">
        <x:v>Likely</x:v>
      </x:c>
      <x:c r="K582" s="17"/>
      <x:c r="L582" s="17"/>
      <x:c r="M582" s="17"/>
      <x:c r="N582" s="17" t="str">
        <x:v>Kimi K2.5</x:v>
      </x:c>
      <x:c r="O582" s="17" t="str">
        <x:v>kimi-k2-5</x:v>
      </x:c>
      <x:c r="P582" s="17" t="n">
        <x:v>148.24</x:v>
      </x:c>
      <x:c r="Q582" s="17" t="n">
        <x:v>146.58</x:v>
      </x:c>
      <x:c r="R582" s="17" t="n">
        <x:v>149.36</x:v>
      </x:c>
      <x:c r="S582" s="17"/>
      <x:c r="T582" s="17"/>
      <x:c r="U582" s="17"/>
      <x:c r="V582" s="17"/>
      <x:c r="W582" s="17"/>
      <x:c r="X582" s="17"/>
      <x:c r="Y582" s="17"/>
      <x:c r="Z582" s="17"/>
    </x:row>
    <x:row r="583">
      <x:c r="A583" s="17" t="str">
        <x:v>GPT-5.1-Codex-mini</x:v>
      </x:c>
      <x:c r="B583" s="17" t="str">
        <x:v>gpt-5.1-codex-mini</x:v>
      </x:c>
      <x:c r="C583" s="17" t="str">
        <x:v>GPT-5.1 Codex Mini</x:v>
      </x:c>
      <x:c r="D583" s="17" t="str">
        <x:v>OpenAI</x:v>
      </x:c>
      <x:c r="E583" s="17" t="str">
        <x:v>United States of America</x:v>
      </x:c>
      <x:c r="F583" s="17" t="n">
        <x:v>45973</x:v>
      </x:c>
      <x:c r="G583" s="17" t="str">
        <x:v>API access</x:v>
      </x:c>
      <x:c r="H583" s="17" t="n">
        <x:v>45973</x:v>
      </x:c>
      <x:c r="I583" s="17"/>
      <x:c r="J583" s="17" t="str">
        <x:v>Unknown</x:v>
      </x:c>
      <x:c r="K583" s="17"/>
      <x:c r="L583" s="17" t="str">
        <x:v>GPT-5.1-codex mini</x:v>
      </x:c>
      <x:c r="M583" s="17"/>
      <x:c r="N583" s="17" t="str">
        <x:v>GPT-5.1-Codex-mini</x:v>
      </x:c>
      <x:c r="O583" s="17" t="str">
        <x:v>gpt-5-1-codex-mini</x:v>
      </x:c>
      <x:c r="P583" s="17"/>
      <x:c r="Q583" s="17"/>
      <x:c r="R583" s="17"/>
      <x:c r="S583" s="17"/>
      <x:c r="T583" s="17"/>
      <x:c r="U583" s="17"/>
      <x:c r="V583" s="17"/>
      <x:c r="W583" s="17"/>
      <x:c r="X583" s="17"/>
      <x:c r="Y583" s="17"/>
      <x:c r="Z583" s="17"/>
    </x:row>
    <x:row r="584">
      <x:c r="A584" s="17" t="str">
        <x:v>Grok 4.1</x:v>
      </x:c>
      <x:c r="B584" s="17" t="str">
        <x:v>grok-4-1</x:v>
      </x:c>
      <x:c r="C584" s="17"/>
      <x:c r="D584" s="17" t="str">
        <x:v>xAI</x:v>
      </x:c>
      <x:c r="E584" s="17" t="str">
        <x:v>United States of America</x:v>
      </x:c>
      <x:c r="F584" s="17" t="n">
        <x:v>45978</x:v>
      </x:c>
      <x:c r="G584" s="17" t="str">
        <x:v>API access</x:v>
      </x:c>
      <x:c r="H584" s="17" t="n">
        <x:v>45978</x:v>
      </x:c>
      <x:c r="I584" s="17"/>
      <x:c r="J584" s="17" t="str">
        <x:v>Unknown</x:v>
      </x:c>
      <x:c r="K584" s="17"/>
      <x:c r="L584" s="17"/>
      <x:c r="M584" s="17"/>
      <x:c r="N584" s="17" t="str">
        <x:v>Grok 4.1</x:v>
      </x:c>
      <x:c r="O584" s="17" t="str">
        <x:v>grok-4-1</x:v>
      </x:c>
      <x:c r="P584" s="17"/>
      <x:c r="Q584" s="17"/>
      <x:c r="R584" s="17"/>
      <x:c r="S584" s="17"/>
      <x:c r="T584" s="17"/>
      <x:c r="U584" s="17"/>
      <x:c r="V584" s="17"/>
      <x:c r="W584" s="17"/>
      <x:c r="X584" s="17"/>
      <x:c r="Y584" s="17"/>
      <x:c r="Z584" s="17"/>
    </x:row>
    <x:row r="585">
      <x:c r="A585" s="17" t="str">
        <x:v>Claude 3.7 Sonnet</x:v>
      </x:c>
      <x:c r="B585" s="17" t="str">
        <x:v>claude-3-7-sonnet-20250219_15K</x:v>
      </x:c>
      <x:c r="C585" s="17" t="str">
        <x:v>Claude 3.7 Sonnet (15k thinking)</x:v>
      </x:c>
      <x:c r="D585" s="17" t="str">
        <x:v>Anthropic</x:v>
      </x:c>
      <x:c r="E585" s="17" t="str">
        <x:v>United States of America</x:v>
      </x:c>
      <x:c r="F585" s="17" t="n">
        <x:v>45712</x:v>
      </x:c>
      <x:c r="G585" s="17" t="str">
        <x:v>API access</x:v>
      </x:c>
      <x:c r="H585" s="17" t="n">
        <x:v>45712</x:v>
      </x:c>
      <x:c r="I585" s="17" t="n">
        <x:v>3.3499999999999998e+25</x:v>
      </x:c>
      <x:c r="J585" s="17" t="str">
        <x:v>Likely</x:v>
      </x:c>
      <x:c r="K585" s="17" t="str">
        <x:v>A previous flagship reasoning model from Anthropic, benchmarked with up to 15,000 reasoning tokens allowed.</x:v>
      </x:c>
      <x:c r="L585" s="17" t="str">
        <x:v>Claude 3.7 Sonnet (15k thinking)</x:v>
      </x:c>
      <x:c r="M585" s="17"/>
      <x:c r="N585" s="17" t="str">
        <x:v>Claude 3.7 Sonnet</x:v>
      </x:c>
      <x:c r="O585" s="17" t="str">
        <x:v>claude-3-7-sonnet</x:v>
      </x:c>
      <x:c r="P585" s="17" t="n">
        <x:v>141.7</x:v>
      </x:c>
      <x:c r="Q585" s="17" t="n">
        <x:v>139.28</x:v>
      </x:c>
      <x:c r="R585" s="17" t="n">
        <x:v>143.27</x:v>
      </x:c>
      <x:c r="S585" s="17"/>
      <x:c r="T585" s="17"/>
      <x:c r="U585" s="17"/>
      <x:c r="V585" s="17"/>
      <x:c r="W585" s="17"/>
      <x:c r="X585" s="17"/>
      <x:c r="Y585" s="17"/>
      <x:c r="Z585" s="17"/>
    </x:row>
    <x:row r="586">
      <x:c r="A586" s="17" t="str">
        <x:v>Pixtral 12B</x:v>
      </x:c>
      <x:c r="B586" s="17" t="str">
        <x:v>Pixtral-12B-2409</x:v>
      </x:c>
      <x:c r="C586" s="17"/>
      <x:c r="D586" s="17" t="str">
        <x:v>Mistral AI</x:v>
      </x:c>
      <x:c r="E586" s="17" t="str">
        <x:v>France</x:v>
      </x:c>
      <x:c r="F586" s="17" t="n">
        <x:v>45552</x:v>
      </x:c>
      <x:c r="G586" s="17" t="str">
        <x:v>Open weights (unrestricted)</x:v>
      </x:c>
      <x:c r="H586" s="17" t="n">
        <x:v>45552</x:v>
      </x:c>
      <x:c r="I586" s="17"/>
      <x:c r="J586" s="17" t="str">
        <x:v>Confident</x:v>
      </x:c>
      <x:c r="K586" s="17"/>
      <x:c r="L586" s="17"/>
      <x:c r="M586" s="17"/>
      <x:c r="N586" s="17" t="str">
        <x:v>Pixtral 12B</x:v>
      </x:c>
      <x:c r="O586" s="17" t="str">
        <x:v>pixtral-12b</x:v>
      </x:c>
      <x:c r="P586" s="17"/>
      <x:c r="Q586" s="17"/>
      <x:c r="R586" s="17"/>
      <x:c r="S586" s="17"/>
      <x:c r="T586" s="17"/>
      <x:c r="U586" s="17"/>
      <x:c r="V586" s="17"/>
      <x:c r="W586" s="17"/>
      <x:c r="X586" s="17"/>
      <x:c r="Y586" s="17"/>
      <x:c r="Z586" s="17"/>
    </x:row>
    <x:row r="587">
      <x:c r="A587" s="17" t="str">
        <x:v>video-SALMONN 2+</x:v>
      </x:c>
      <x:c r="B587" s="17" t="str">
        <x:v>video-SALMONN-2plus</x:v>
      </x:c>
      <x:c r="C587" s="17"/>
      <x:c r="D587" s="17" t="str">
        <x:v>ByteDance</x:v>
      </x:c>
      <x:c r="E587" s="17" t="str">
        <x:v>China</x:v>
      </x:c>
      <x:c r="F587" s="17" t="n">
        <x:v>45826</x:v>
      </x:c>
      <x:c r="G587" s="17"/>
      <x:c r="H587" s="17" t="n">
        <x:v>45826</x:v>
      </x:c>
      <x:c r="I587" s="17"/>
      <x:c r="J587" s="17" t="str">
        <x:v>Likely</x:v>
      </x:c>
      <x:c r="K587" s="17"/>
      <x:c r="L587" s="17"/>
      <x:c r="M587" s="17"/>
      <x:c r="N587" s="17" t="str">
        <x:v>video-SALMONN 2+</x:v>
      </x:c>
      <x:c r="O587" s="17" t="str">
        <x:v>video-salmonn-2</x:v>
      </x:c>
      <x:c r="P587" s="17"/>
      <x:c r="Q587" s="17"/>
      <x:c r="R587" s="17"/>
      <x:c r="S587" s="17"/>
      <x:c r="T587" s="17"/>
      <x:c r="U587" s="17"/>
      <x:c r="V587" s="17"/>
      <x:c r="W587" s="17"/>
      <x:c r="X587" s="17"/>
      <x:c r="Y587" s="17"/>
      <x:c r="Z587" s="17"/>
    </x:row>
    <x:row r="588">
      <x:c r="A588" s="17" t="str">
        <x:v>InternVL2_5-78B</x:v>
      </x:c>
      <x:c r="B588" s="17" t="str">
        <x:v>InternVL2_5-78B</x:v>
      </x:c>
      <x:c r="C588" s="17"/>
      <x:c r="D588" s="17" t="str">
        <x:v>Shanghai AI Lab,SenseTime,Tsinghua University,Nanjing University,Fudan University,Chinese University of Hong Kong (CUHK),Shanghai Jiao Tong University</x:v>
      </x:c>
      <x:c r="E588" s="17" t="str">
        <x:v>Hong Kong,China</x:v>
      </x:c>
      <x:c r="F588" s="17" t="n">
        <x:v>45632</x:v>
      </x:c>
      <x:c r="G588" s="17" t="str">
        <x:v>Open weights (restricted use)</x:v>
      </x:c>
      <x:c r="H588" s="17" t="n">
        <x:v>45632</x:v>
      </x:c>
      <x:c r="I588" s="17"/>
      <x:c r="J588" s="17" t="str">
        <x:v>Confident</x:v>
      </x:c>
      <x:c r="K588" s="17"/>
      <x:c r="L588" s="17"/>
      <x:c r="M588" s="17"/>
      <x:c r="N588" s="17" t="str">
        <x:v>InternVL2_5-78B</x:v>
      </x:c>
      <x:c r="O588" s="17" t="str">
        <x:v>internvl2-5-78b</x:v>
      </x:c>
      <x:c r="P588" s="17"/>
      <x:c r="Q588" s="17"/>
      <x:c r="R588" s="17"/>
      <x:c r="S588" s="17"/>
      <x:c r="T588" s="17"/>
      <x:c r="U588" s="17"/>
      <x:c r="V588" s="17"/>
      <x:c r="W588" s="17"/>
      <x:c r="X588" s="17"/>
      <x:c r="Y588" s="17"/>
      <x:c r="Z588" s="17"/>
    </x:row>
    <x:row r="589">
      <x:c r="A589" s="17"/>
      <x:c r="B589" s="17" t="str">
        <x:v>Qwen2-VL-72B-Instruct</x:v>
      </x:c>
      <x:c r="C589" s="17"/>
      <x:c r="D589" s="17"/>
      <x:c r="E589" s="17"/>
      <x:c r="F589" s="17" t="n">
        <x:v>45533</x:v>
      </x:c>
      <x:c r="G589" s="17"/>
      <x:c r="H589" s="17"/>
      <x:c r="I589" s="17"/>
      <x:c r="J589" s="17" t="str">
        <x:v>Unverified</x:v>
      </x:c>
      <x:c r="K589" s="17" t="str">
        <x:v>A 72 billion-parameter instruction-tuned vision language model in Qwen's Qwen 2 series.</x:v>
      </x:c>
      <x:c r="L589" s="17"/>
      <x:c r="M589" s="17"/>
      <x:c r="N589" s="17"/>
      <x:c r="O589" s="17" t="str">
        <x:v>qwen2-vl-72b-instruct</x:v>
      </x:c>
      <x:c r="P589" s="17"/>
      <x:c r="Q589" s="17"/>
      <x:c r="R589" s="17"/>
      <x:c r="S589" s="17"/>
      <x:c r="T589" s="17"/>
      <x:c r="U589" s="17"/>
      <x:c r="V589" s="17"/>
      <x:c r="W589" s="17"/>
      <x:c r="X589" s="17"/>
      <x:c r="Y589" s="17"/>
      <x:c r="Z589" s="17"/>
    </x:row>
    <x:row r="590">
      <x:c r="A590" s="17"/>
      <x:c r="B590" s="17" t="str">
        <x:v>LLaVA-Video-72B-Qwen2</x:v>
      </x:c>
      <x:c r="C590" s="17"/>
      <x:c r="D590" s="17"/>
      <x:c r="E590" s="17"/>
      <x:c r="F590" s="17" t="n">
        <x:v>45537</x:v>
      </x:c>
      <x:c r="G590" s="17"/>
      <x:c r="H590" s="17"/>
      <x:c r="I590" s="17"/>
      <x:c r="J590" s="17" t="str">
        <x:v>Unverified</x:v>
      </x:c>
      <x:c r="K590" s="17"/>
      <x:c r="L590" s="17"/>
      <x:c r="M590" s="17"/>
      <x:c r="N590" s="17"/>
      <x:c r="O590" s="17" t="str">
        <x:v>llava-video-72b-qwen2</x:v>
      </x:c>
      <x:c r="P590" s="17"/>
      <x:c r="Q590" s="17"/>
      <x:c r="R590" s="17"/>
      <x:c r="S590" s="17"/>
      <x:c r="T590" s="17"/>
      <x:c r="U590" s="17"/>
      <x:c r="V590" s="17"/>
      <x:c r="W590" s="17"/>
      <x:c r="X590" s="17"/>
      <x:c r="Y590" s="17"/>
      <x:c r="Z590" s="17"/>
    </x:row>
    <x:row r="591">
      <x:c r="A591" s="17"/>
      <x:c r="B591" s="17" t="str">
        <x:v>LinVT</x:v>
      </x:c>
      <x:c r="C591" s="17"/>
      <x:c r="D591" s="17"/>
      <x:c r="E591" s="17"/>
      <x:c r="F591" s="17" t="n">
        <x:v>45632</x:v>
      </x:c>
      <x:c r="G591" s="17"/>
      <x:c r="H591" s="17"/>
      <x:c r="I591" s="17"/>
      <x:c r="J591" s="17" t="str">
        <x:v>Unverified</x:v>
      </x:c>
      <x:c r="K591" s="17"/>
      <x:c r="L591" s="17"/>
      <x:c r="M591" s="17"/>
      <x:c r="N591" s="17"/>
      <x:c r="O591" s="17" t="str">
        <x:v>linvt</x:v>
      </x:c>
      <x:c r="P591" s="17"/>
      <x:c r="Q591" s="17"/>
      <x:c r="R591" s="17"/>
      <x:c r="S591" s="17"/>
      <x:c r="T591" s="17"/>
      <x:c r="U591" s="17"/>
      <x:c r="V591" s="17"/>
      <x:c r="W591" s="17"/>
      <x:c r="X591" s="17"/>
      <x:c r="Y591" s="17"/>
      <x:c r="Z591" s="17"/>
    </x:row>
    <x:row r="592">
      <x:c r="A592" s="17"/>
      <x:c r="B592" s="17" t="str">
        <x:v>Aria</x:v>
      </x:c>
      <x:c r="C592" s="17"/>
      <x:c r="D592" s="17"/>
      <x:c r="E592" s="17"/>
      <x:c r="F592" s="17" t="n">
        <x:v>45565</x:v>
      </x:c>
      <x:c r="G592" s="17"/>
      <x:c r="H592" s="17"/>
      <x:c r="I592" s="17"/>
      <x:c r="J592" s="17" t="str">
        <x:v>Unverified</x:v>
      </x:c>
      <x:c r="K592" s="17"/>
      <x:c r="L592" s="17"/>
      <x:c r="M592" s="17"/>
      <x:c r="N592" s="17"/>
      <x:c r="O592" s="17" t="str">
        <x:v>aria</x:v>
      </x:c>
      <x:c r="P592" s="17"/>
      <x:c r="Q592" s="17"/>
      <x:c r="R592" s="17"/>
      <x:c r="S592" s="17"/>
      <x:c r="T592" s="17"/>
      <x:c r="U592" s="17"/>
      <x:c r="V592" s="17"/>
      <x:c r="W592" s="17"/>
      <x:c r="X592" s="17"/>
      <x:c r="Y592" s="17"/>
      <x:c r="Z592" s="17"/>
    </x:row>
    <x:row r="593">
      <x:c r="A593" s="17"/>
      <x:c r="B593" s="17" t="str">
        <x:v>ViLAMP-llava-qwen</x:v>
      </x:c>
      <x:c r="C593" s="17"/>
      <x:c r="D593" s="17"/>
      <x:c r="E593" s="17"/>
      <x:c r="F593" s="17" t="n">
        <x:v>45778</x:v>
      </x:c>
      <x:c r="G593" s="17"/>
      <x:c r="H593" s="17"/>
      <x:c r="I593" s="17"/>
      <x:c r="J593" s="17" t="str">
        <x:v>Unverified</x:v>
      </x:c>
      <x:c r="K593" s="17"/>
      <x:c r="L593" s="17"/>
      <x:c r="M593" s="17"/>
      <x:c r="N593" s="17"/>
      <x:c r="O593" s="17" t="str">
        <x:v>vilamp-llava-qwen</x:v>
      </x:c>
      <x:c r="P593" s="17"/>
      <x:c r="Q593" s="17"/>
      <x:c r="R593" s="17"/>
      <x:c r="S593" s="17"/>
      <x:c r="T593" s="17"/>
      <x:c r="U593" s="17"/>
      <x:c r="V593" s="17"/>
      <x:c r="W593" s="17"/>
      <x:c r="X593" s="17"/>
      <x:c r="Y593" s="17"/>
      <x:c r="Z593" s="17"/>
    </x:row>
    <x:row r="594">
      <x:c r="A594" s="17"/>
      <x:c r="B594" s="17" t="str">
        <x:v>Oryx-1.5-32B</x:v>
      </x:c>
      <x:c r="C594" s="17"/>
      <x:c r="D594" s="17"/>
      <x:c r="E594" s="17"/>
      <x:c r="F594" s="17" t="n">
        <x:v>45587</x:v>
      </x:c>
      <x:c r="G594" s="17"/>
      <x:c r="H594" s="17"/>
      <x:c r="I594" s="17"/>
      <x:c r="J594" s="17" t="str">
        <x:v>Unverified</x:v>
      </x:c>
      <x:c r="K594" s="17"/>
      <x:c r="L594" s="17"/>
      <x:c r="M594" s="17"/>
      <x:c r="N594" s="17"/>
      <x:c r="O594" s="17" t="str">
        <x:v>oryx-1-5-32b</x:v>
      </x:c>
      <x:c r="P594" s="17"/>
      <x:c r="Q594" s="17"/>
      <x:c r="R594" s="17"/>
      <x:c r="S594" s="17"/>
      <x:c r="T594" s="17"/>
      <x:c r="U594" s="17"/>
      <x:c r="V594" s="17"/>
      <x:c r="W594" s="17"/>
      <x:c r="X594" s="17"/>
      <x:c r="Y594" s="17"/>
      <x:c r="Z594" s="17"/>
    </x:row>
    <x:row r="595">
      <x:c r="A595" s="17"/>
      <x:c r="B595" s="17" t="str">
        <x:v>LLaVA-OneVision 72B</x:v>
      </x:c>
      <x:c r="C595" s="17"/>
      <x:c r="D595" s="17"/>
      <x:c r="E595" s="17"/>
      <x:c r="F595" s="17" t="n">
        <x:v>45510</x:v>
      </x:c>
      <x:c r="G595" s="17"/>
      <x:c r="H595" s="17"/>
      <x:c r="I595" s="17"/>
      <x:c r="J595" s="17" t="str">
        <x:v>Unverified</x:v>
      </x:c>
      <x:c r="K595" s="17"/>
      <x:c r="L595" s="17"/>
      <x:c r="M595" s="17"/>
      <x:c r="N595" s="17"/>
      <x:c r="O595" s="17" t="str">
        <x:v>llava-onevision-72b</x:v>
      </x:c>
      <x:c r="P595" s="17"/>
      <x:c r="Q595" s="17"/>
      <x:c r="R595" s="17"/>
      <x:c r="S595" s="17"/>
      <x:c r="T595" s="17"/>
      <x:c r="U595" s="17"/>
      <x:c r="V595" s="17"/>
      <x:c r="W595" s="17"/>
      <x:c r="X595" s="17"/>
      <x:c r="Y595" s="17"/>
      <x:c r="Z595" s="17"/>
    </x:row>
    <x:row r="596">
      <x:c r="A596" s="17"/>
      <x:c r="B596" s="17" t="str">
        <x:v>VideoLLAMA3-7B</x:v>
      </x:c>
      <x:c r="C596" s="17"/>
      <x:c r="D596" s="17"/>
      <x:c r="E596" s="17"/>
      <x:c r="F596" s="17" t="n">
        <x:v>45313</x:v>
      </x:c>
      <x:c r="G596" s="17"/>
      <x:c r="H596" s="17"/>
      <x:c r="I596" s="17"/>
      <x:c r="J596" s="17" t="str">
        <x:v>Unverified</x:v>
      </x:c>
      <x:c r="K596" s="17"/>
      <x:c r="L596" s="17"/>
      <x:c r="M596" s="17"/>
      <x:c r="N596" s="17"/>
      <x:c r="O596" s="17" t="str">
        <x:v>videollama3-7b</x:v>
      </x:c>
      <x:c r="P596" s="17"/>
      <x:c r="Q596" s="17"/>
      <x:c r="R596" s="17"/>
      <x:c r="S596" s="17"/>
      <x:c r="T596" s="17"/>
      <x:c r="U596" s="17"/>
      <x:c r="V596" s="17"/>
      <x:c r="W596" s="17"/>
      <x:c r="X596" s="17"/>
      <x:c r="Y596" s="17"/>
      <x:c r="Z596" s="17"/>
    </x:row>
    <x:row r="597">
      <x:c r="A597" s="17"/>
      <x:c r="B597" s="17" t="str">
        <x:v>LLaVA-Video-7B-Qwen2-TPO</x:v>
      </x:c>
      <x:c r="C597" s="17"/>
      <x:c r="D597" s="17"/>
      <x:c r="E597" s="17"/>
      <x:c r="F597" s="17" t="n">
        <x:v>45676</x:v>
      </x:c>
      <x:c r="G597" s="17"/>
      <x:c r="H597" s="17"/>
      <x:c r="I597" s="17"/>
      <x:c r="J597" s="17" t="str">
        <x:v>Unverified</x:v>
      </x:c>
      <x:c r="K597" s="17"/>
      <x:c r="L597" s="17"/>
      <x:c r="M597" s="17"/>
      <x:c r="N597" s="17"/>
      <x:c r="O597" s="17" t="str">
        <x:v>llava-video-7b-qwen2-tpo</x:v>
      </x:c>
      <x:c r="P597" s="17"/>
      <x:c r="Q597" s="17"/>
      <x:c r="R597" s="17"/>
      <x:c r="S597" s="17"/>
      <x:c r="T597" s="17"/>
      <x:c r="U597" s="17"/>
      <x:c r="V597" s="17"/>
      <x:c r="W597" s="17"/>
      <x:c r="X597" s="17"/>
      <x:c r="Y597" s="17"/>
      <x:c r="Z597" s="17"/>
    </x:row>
    <x:row r="598">
      <x:c r="A598" s="17"/>
      <x:c r="B598" s="17" t="str">
        <x:v>VideoChat-Flash-Qwen2-7B_res448</x:v>
      </x:c>
      <x:c r="C598" s="17"/>
      <x:c r="D598" s="17"/>
      <x:c r="E598" s="17"/>
      <x:c r="F598" s="17" t="n">
        <x:v>45668</x:v>
      </x:c>
      <x:c r="G598" s="17"/>
      <x:c r="H598" s="17"/>
      <x:c r="I598" s="17"/>
      <x:c r="J598" s="17" t="str">
        <x:v>Unverified</x:v>
      </x:c>
      <x:c r="K598" s="17"/>
      <x:c r="L598" s="17"/>
      <x:c r="M598" s="17"/>
      <x:c r="N598" s="17"/>
      <x:c r="O598" s="17" t="str">
        <x:v>videochat-flash-qwen2-7b-res448</x:v>
      </x:c>
      <x:c r="P598" s="17"/>
      <x:c r="Q598" s="17"/>
      <x:c r="R598" s="17"/>
      <x:c r="S598" s="17"/>
      <x:c r="T598" s="17"/>
      <x:c r="U598" s="17"/>
      <x:c r="V598" s="17"/>
      <x:c r="W598" s="17"/>
      <x:c r="X598" s="17"/>
      <x:c r="Y598" s="17"/>
      <x:c r="Z598" s="17"/>
    </x:row>
    <x:row r="599">
      <x:c r="A599" s="17"/>
      <x:c r="B599" s="17" t="str">
        <x:v>ByteVideoLLM-14B</x:v>
      </x:c>
      <x:c r="C599" s="17"/>
      <x:c r="D599" s="17"/>
      <x:c r="E599" s="17"/>
      <x:c r="F599" s="17" t="n">
        <x:v>45578</x:v>
      </x:c>
      <x:c r="G599" s="17"/>
      <x:c r="H599" s="17"/>
      <x:c r="I599" s="17"/>
      <x:c r="J599" s="17" t="str">
        <x:v>Unverified</x:v>
      </x:c>
      <x:c r="K599" s="17"/>
      <x:c r="L599" s="17"/>
      <x:c r="M599" s="17"/>
      <x:c r="N599" s="17"/>
      <x:c r="O599" s="17" t="str">
        <x:v>bytevideollm-14b</x:v>
      </x:c>
      <x:c r="P599" s="17"/>
      <x:c r="Q599" s="17"/>
      <x:c r="R599" s="17"/>
      <x:c r="S599" s="17"/>
      <x:c r="T599" s="17"/>
      <x:c r="U599" s="17"/>
      <x:c r="V599" s="17"/>
      <x:c r="W599" s="17"/>
      <x:c r="X599" s="17"/>
      <x:c r="Y599" s="17"/>
      <x:c r="Z599" s="17"/>
    </x:row>
    <x:row r="600">
      <x:c r="A600" s="17" t="str">
        <x:v>NVILA 8B</x:v>
      </x:c>
      <x:c r="B600" s="17" t="str">
        <x:v>NVILA-8B</x:v>
      </x:c>
      <x:c r="C600" s="17"/>
      <x:c r="D600" s="17" t="str">
        <x:v>NVIDIA,Massachusetts Institute of Technology (MIT),University of California (UC) Berkeley,University of California San Diego,University of Washington,Tsinghua University</x:v>
      </x:c>
      <x:c r="E600" s="17" t="str">
        <x:v>United States of America,China</x:v>
      </x:c>
      <x:c r="F600" s="17" t="n">
        <x:v>45636</x:v>
      </x:c>
      <x:c r="G600" s="17" t="str">
        <x:v>Open weights (non-commercial)</x:v>
      </x:c>
      <x:c r="H600" s="17" t="n">
        <x:v>45631</x:v>
      </x:c>
      <x:c r="I600" s="17" t="n">
        <x:v>2.2794518e+21</x:v>
      </x:c>
      <x:c r="J600" s="17" t="str">
        <x:v>Likely</x:v>
      </x:c>
      <x:c r="K600" s="17"/>
      <x:c r="L600" s="17"/>
      <x:c r="M600" s="17"/>
      <x:c r="N600" s="17" t="str">
        <x:v>NVILA 8B</x:v>
      </x:c>
      <x:c r="O600" s="17" t="str">
        <x:v>nvila-8b</x:v>
      </x:c>
      <x:c r="P600" s="17"/>
      <x:c r="Q600" s="17"/>
      <x:c r="R600" s="17"/>
      <x:c r="S600" s="17"/>
      <x:c r="T600" s="17"/>
      <x:c r="U600" s="17"/>
      <x:c r="V600" s="17"/>
      <x:c r="W600" s="17"/>
      <x:c r="X600" s="17"/>
      <x:c r="Y600" s="17"/>
      <x:c r="Z600" s="17"/>
    </x:row>
    <x:row r="601">
      <x:c r="A601" s="17"/>
      <x:c r="B601" s="17" t="str">
        <x:v>LiveCC-7B-Instruct</x:v>
      </x:c>
      <x:c r="C601" s="17"/>
      <x:c r="D601" s="17"/>
      <x:c r="E601" s="17"/>
      <x:c r="F601" s="17" t="n">
        <x:v>45394</x:v>
      </x:c>
      <x:c r="G601" s="17"/>
      <x:c r="H601" s="17"/>
      <x:c r="I601" s="17"/>
      <x:c r="J601" s="17" t="str">
        <x:v>Unverified</x:v>
      </x:c>
      <x:c r="K601" s="17"/>
      <x:c r="L601" s="17"/>
      <x:c r="M601" s="17"/>
      <x:c r="N601" s="17"/>
      <x:c r="O601" s="17" t="str">
        <x:v>livecc-7b-instruct</x:v>
      </x:c>
      <x:c r="P601" s="17"/>
      <x:c r="Q601" s="17"/>
      <x:c r="R601" s="17"/>
      <x:c r="S601" s="17"/>
      <x:c r="T601" s="17"/>
      <x:c r="U601" s="17"/>
      <x:c r="V601" s="17"/>
      <x:c r="W601" s="17"/>
      <x:c r="X601" s="17"/>
      <x:c r="Y601" s="17"/>
      <x:c r="Z601" s="17"/>
    </x:row>
    <x:row r="602">
      <x:c r="A602" s="17"/>
      <x:c r="B602" s="17" t="str">
        <x:v>Qwen2-VL-7B-Instruct</x:v>
      </x:c>
      <x:c r="C602" s="17"/>
      <x:c r="D602" s="17"/>
      <x:c r="E602" s="17"/>
      <x:c r="F602" s="17" t="n">
        <x:v>45533</x:v>
      </x:c>
      <x:c r="G602" s="17"/>
      <x:c r="H602" s="17"/>
      <x:c r="I602" s="17"/>
      <x:c r="J602" s="17" t="str">
        <x:v>Unverified</x:v>
      </x:c>
      <x:c r="K602" s="17" t="str">
        <x:v>A 7 billion-parameter instruction-tuned vision language model in Qwen's Qwen 2 series.</x:v>
      </x:c>
      <x:c r="L602" s="17"/>
      <x:c r="M602" s="17"/>
      <x:c r="N602" s="17"/>
      <x:c r="O602" s="17" t="str">
        <x:v>qwen2-vl-7b-instruct</x:v>
      </x:c>
      <x:c r="P602" s="17"/>
      <x:c r="Q602" s="17"/>
      <x:c r="R602" s="17"/>
      <x:c r="S602" s="17"/>
      <x:c r="T602" s="17"/>
      <x:c r="U602" s="17"/>
      <x:c r="V602" s="17"/>
      <x:c r="W602" s="17"/>
      <x:c r="X602" s="17"/>
      <x:c r="Y602" s="17"/>
      <x:c r="Z602" s="17"/>
    </x:row>
    <x:row r="603">
      <x:c r="A603" s="17"/>
      <x:c r="B603" s="17" t="str">
        <x:v>MiniCPM-o-2_6</x:v>
      </x:c>
      <x:c r="C603" s="17"/>
      <x:c r="D603" s="17"/>
      <x:c r="E603" s="17"/>
      <x:c r="F603" s="17" t="n">
        <x:v>45669</x:v>
      </x:c>
      <x:c r="G603" s="17"/>
      <x:c r="H603" s="17"/>
      <x:c r="I603" s="17"/>
      <x:c r="J603" s="17" t="str">
        <x:v>Unverified</x:v>
      </x:c>
      <x:c r="K603" s="17"/>
      <x:c r="L603" s="17"/>
      <x:c r="M603" s="17"/>
      <x:c r="N603" s="17"/>
      <x:c r="O603" s="17" t="str">
        <x:v>minicpm-o-2-6</x:v>
      </x:c>
      <x:c r="P603" s="17"/>
      <x:c r="Q603" s="17"/>
      <x:c r="R603" s="17"/>
      <x:c r="S603" s="17"/>
      <x:c r="T603" s="17"/>
      <x:c r="U603" s="17"/>
      <x:c r="V603" s="17"/>
      <x:c r="W603" s="17"/>
      <x:c r="X603" s="17"/>
      <x:c r="Y603" s="17"/>
      <x:c r="Z603" s="17"/>
    </x:row>
    <x:row r="604">
      <x:c r="A604" s="17"/>
      <x:c r="B604" s="17" t="str">
        <x:v>VideoLLAMA2-7B</x:v>
      </x:c>
      <x:c r="C604" s="17"/>
      <x:c r="D604" s="17"/>
      <x:c r="E604" s="17"/>
      <x:c r="F604" s="17" t="n">
        <x:v>45455</x:v>
      </x:c>
      <x:c r="G604" s="17"/>
      <x:c r="H604" s="17"/>
      <x:c r="I604" s="17"/>
      <x:c r="J604" s="17" t="str">
        <x:v>Unverified</x:v>
      </x:c>
      <x:c r="K604" s="17"/>
      <x:c r="L604" s="17"/>
      <x:c r="M604" s="17"/>
      <x:c r="N604" s="17"/>
      <x:c r="O604" s="17" t="str">
        <x:v>videollama2-7b</x:v>
      </x:c>
      <x:c r="P604" s="17"/>
      <x:c r="Q604" s="17"/>
      <x:c r="R604" s="17"/>
      <x:c r="S604" s="17"/>
      <x:c r="T604" s="17"/>
      <x:c r="U604" s="17"/>
      <x:c r="V604" s="17"/>
      <x:c r="W604" s="17"/>
      <x:c r="X604" s="17"/>
      <x:c r="Y604" s="17"/>
      <x:c r="Z604" s="17"/>
    </x:row>
    <x:row r="605">
      <x:c r="A605" s="17" t="str">
        <x:v>InternVL2-40B</x:v>
      </x:c>
      <x:c r="B605" s="17" t="str">
        <x:v>InternVL2-40B</x:v>
      </x:c>
      <x:c r="C605" s="17"/>
      <x:c r="D605" s="17" t="str">
        <x:v>Shanghai AI Lab</x:v>
      </x:c>
      <x:c r="E605" s="17" t="str">
        <x:v>China</x:v>
      </x:c>
      <x:c r="F605" s="17" t="n">
        <x:v>45481</x:v>
      </x:c>
      <x:c r="G605" s="17" t="str">
        <x:v>Open weights (unrestricted)</x:v>
      </x:c>
      <x:c r="H605" s="17" t="n">
        <x:v>45477</x:v>
      </x:c>
      <x:c r="I605" s="17"/>
      <x:c r="J605" s="17" t="str">
        <x:v>Confident</x:v>
      </x:c>
      <x:c r="K605" s="17"/>
      <x:c r="L605" s="17"/>
      <x:c r="M605" s="17"/>
      <x:c r="N605" s="17" t="str">
        <x:v>InternVL2-40B</x:v>
      </x:c>
      <x:c r="O605" s="17" t="str">
        <x:v>internvl2-40b</x:v>
      </x:c>
      <x:c r="P605" s="17"/>
      <x:c r="Q605" s="17"/>
      <x:c r="R605" s="17"/>
      <x:c r="S605" s="17"/>
      <x:c r="T605" s="17"/>
      <x:c r="U605" s="17"/>
      <x:c r="V605" s="17"/>
      <x:c r="W605" s="17"/>
      <x:c r="X605" s="17"/>
      <x:c r="Y605" s="17"/>
      <x:c r="Z605" s="17"/>
    </x:row>
    <x:row r="606">
      <x:c r="A606" s="17"/>
      <x:c r="B606" s="17" t="str">
        <x:v>MiniCPM-V-2_6</x:v>
      </x:c>
      <x:c r="C606" s="17"/>
      <x:c r="D606" s="17"/>
      <x:c r="E606" s="17"/>
      <x:c r="F606" s="17" t="n">
        <x:v>45507</x:v>
      </x:c>
      <x:c r="G606" s="17"/>
      <x:c r="H606" s="17"/>
      <x:c r="I606" s="17"/>
      <x:c r="J606" s="17" t="str">
        <x:v>Unverified</x:v>
      </x:c>
      <x:c r="K606" s="17"/>
      <x:c r="L606" s="17"/>
      <x:c r="M606" s="17"/>
      <x:c r="N606" s="17"/>
      <x:c r="O606" s="17" t="str">
        <x:v>minicpm-v-2-6</x:v>
      </x:c>
      <x:c r="P606" s="17"/>
      <x:c r="Q606" s="17"/>
      <x:c r="R606" s="17"/>
      <x:c r="S606" s="17"/>
      <x:c r="T606" s="17"/>
      <x:c r="U606" s="17"/>
      <x:c r="V606" s="17"/>
      <x:c r="W606" s="17"/>
      <x:c r="X606" s="17"/>
      <x:c r="Y606" s="17"/>
      <x:c r="Z606" s="17"/>
    </x:row>
    <x:row r="607">
      <x:c r="A607" s="17" t="str">
        <x:v>GPT-4V</x:v>
      </x:c>
      <x:c r="B607" s="17" t="str">
        <x:v>gpt-4-1106-vision-preview</x:v>
      </x:c>
      <x:c r="C607" s="17"/>
      <x:c r="D607" s="17" t="str">
        <x:v>OpenAI</x:v>
      </x:c>
      <x:c r="E607" s="17" t="str">
        <x:v>United States of America</x:v>
      </x:c>
      <x:c r="F607" s="17" t="n">
        <x:v>45236</x:v>
      </x:c>
      <x:c r="G607" s="17" t="str">
        <x:v>API access</x:v>
      </x:c>
      <x:c r="H607" s="17" t="n">
        <x:v>45194</x:v>
      </x:c>
      <x:c r="I607" s="17"/>
      <x:c r="J607" s="17" t="str">
        <x:v>Unknown</x:v>
      </x:c>
      <x:c r="K607" s="17"/>
      <x:c r="L607" s="17"/>
      <x:c r="M607" s="17"/>
      <x:c r="N607" s="17" t="str">
        <x:v>GPT-4V</x:v>
      </x:c>
      <x:c r="O607" s="17" t="str">
        <x:v>gpt-4v</x:v>
      </x:c>
      <x:c r="P607" s="17"/>
      <x:c r="Q607" s="17"/>
      <x:c r="R607" s="17"/>
      <x:c r="S607" s="17"/>
      <x:c r="T607" s="17"/>
      <x:c r="U607" s="17"/>
      <x:c r="V607" s="17"/>
      <x:c r="W607" s="17"/>
      <x:c r="X607" s="17"/>
      <x:c r="Y607" s="17"/>
      <x:c r="Z607" s="17"/>
    </x:row>
    <x:row r="608">
      <x:c r="A608" s="17"/>
      <x:c r="B608" s="17" t="str">
        <x:v>TimeMarker</x:v>
      </x:c>
      <x:c r="C608" s="17"/>
      <x:c r="D608" s="17"/>
      <x:c r="E608" s="17"/>
      <x:c r="F608" s="17" t="n">
        <x:v>45623</x:v>
      </x:c>
      <x:c r="G608" s="17"/>
      <x:c r="H608" s="17"/>
      <x:c r="I608" s="17"/>
      <x:c r="J608" s="17" t="str">
        <x:v>Unverified</x:v>
      </x:c>
      <x:c r="K608" s="17"/>
      <x:c r="L608" s="17"/>
      <x:c r="M608" s="17"/>
      <x:c r="N608" s="17"/>
      <x:c r="O608" s="17" t="str">
        <x:v>timemarker</x:v>
      </x:c>
      <x:c r="P608" s="17"/>
      <x:c r="Q608" s="17"/>
      <x:c r="R608" s="17"/>
      <x:c r="S608" s="17"/>
      <x:c r="T608" s="17"/>
      <x:c r="U608" s="17"/>
      <x:c r="V608" s="17"/>
      <x:c r="W608" s="17"/>
      <x:c r="X608" s="17"/>
      <x:c r="Y608" s="17"/>
      <x:c r="Z608" s="17"/>
    </x:row>
    <x:row r="609">
      <x:c r="A609" s="17"/>
      <x:c r="B609" s="17" t="str">
        <x:v>VITA-1.5</x:v>
      </x:c>
      <x:c r="C609" s="17"/>
      <x:c r="D609" s="17"/>
      <x:c r="E609" s="17"/>
      <x:c r="F609" s="17" t="n">
        <x:v>45646</x:v>
      </x:c>
      <x:c r="G609" s="17"/>
      <x:c r="H609" s="17"/>
      <x:c r="I609" s="17"/>
      <x:c r="J609" s="17" t="str">
        <x:v>Unverified</x:v>
      </x:c>
      <x:c r="K609" s="17"/>
      <x:c r="L609" s="17"/>
      <x:c r="M609" s="17"/>
      <x:c r="N609" s="17"/>
      <x:c r="O609" s="17" t="str">
        <x:v>vita-1-5</x:v>
      </x:c>
      <x:c r="P609" s="17"/>
      <x:c r="Q609" s="17"/>
      <x:c r="R609" s="17"/>
      <x:c r="S609" s="17"/>
      <x:c r="T609" s="17"/>
      <x:c r="U609" s="17"/>
      <x:c r="V609" s="17"/>
      <x:c r="W609" s="17"/>
      <x:c r="X609" s="17"/>
      <x:c r="Y609" s="17"/>
      <x:c r="Z609" s="17"/>
    </x:row>
    <x:row r="610">
      <x:c r="A610" s="17"/>
      <x:c r="B610" s="17" t="str">
        <x:v>kangaroo</x:v>
      </x:c>
      <x:c r="C610" s="17"/>
      <x:c r="D610" s="17"/>
      <x:c r="E610" s="17"/>
      <x:c r="F610" s="17" t="n">
        <x:v>45609</x:v>
      </x:c>
      <x:c r="G610" s="17"/>
      <x:c r="H610" s="17"/>
      <x:c r="I610" s="17"/>
      <x:c r="J610" s="17" t="str">
        <x:v>Unverified</x:v>
      </x:c>
      <x:c r="K610" s="17"/>
      <x:c r="L610" s="17"/>
      <x:c r="M610" s="17"/>
      <x:c r="N610" s="17"/>
      <x:c r="O610" s="17" t="str">
        <x:v>kangaroo</x:v>
      </x:c>
      <x:c r="P610" s="17"/>
      <x:c r="Q610" s="17"/>
      <x:c r="R610" s="17"/>
      <x:c r="S610" s="17"/>
      <x:c r="T610" s="17"/>
      <x:c r="U610" s="17"/>
      <x:c r="V610" s="17"/>
      <x:c r="W610" s="17"/>
      <x:c r="X610" s="17"/>
      <x:c r="Y610" s="17"/>
      <x:c r="Z610" s="17"/>
    </x:row>
    <x:row r="611">
      <x:c r="A611" s="17"/>
      <x:c r="B611" s="17" t="str">
        <x:v>VITA</x:v>
      </x:c>
      <x:c r="C611" s="17"/>
      <x:c r="D611" s="17"/>
      <x:c r="E611" s="17"/>
      <x:c r="F611" s="17" t="n">
        <x:v>45516</x:v>
      </x:c>
      <x:c r="G611" s="17"/>
      <x:c r="H611" s="17"/>
      <x:c r="I611" s="17"/>
      <x:c r="J611" s="17" t="str">
        <x:v>Unverified</x:v>
      </x:c>
      <x:c r="K611" s="17"/>
      <x:c r="L611" s="17"/>
      <x:c r="M611" s="17"/>
      <x:c r="N611" s="17"/>
      <x:c r="O611" s="17" t="str">
        <x:v>vita</x:v>
      </x:c>
      <x:c r="P611" s="17"/>
      <x:c r="Q611" s="17"/>
      <x:c r="R611" s="17"/>
      <x:c r="S611" s="17"/>
      <x:c r="T611" s="17"/>
      <x:c r="U611" s="17"/>
      <x:c r="V611" s="17"/>
      <x:c r="W611" s="17"/>
      <x:c r="X611" s="17"/>
      <x:c r="Y611" s="17"/>
      <x:c r="Z611" s="17"/>
    </x:row>
    <x:row r="612">
      <x:c r="A612" s="17"/>
      <x:c r="B612" s="17" t="str">
        <x:v>Video-XL-7B</x:v>
      </x:c>
      <x:c r="C612" s="17"/>
      <x:c r="D612" s="17"/>
      <x:c r="E612" s="17"/>
      <x:c r="F612" s="17" t="n">
        <x:v>45582</x:v>
      </x:c>
      <x:c r="G612" s="17"/>
      <x:c r="H612" s="17"/>
      <x:c r="I612" s="17"/>
      <x:c r="J612" s="17" t="str">
        <x:v>Unverified</x:v>
      </x:c>
      <x:c r="K612" s="17"/>
      <x:c r="L612" s="17"/>
      <x:c r="M612" s="17"/>
      <x:c r="N612" s="17"/>
      <x:c r="O612" s="17" t="str">
        <x:v>video-xl-7b</x:v>
      </x:c>
      <x:c r="P612" s="17"/>
      <x:c r="Q612" s="17"/>
      <x:c r="R612" s="17"/>
      <x:c r="S612" s="17"/>
      <x:c r="T612" s="17"/>
      <x:c r="U612" s="17"/>
      <x:c r="V612" s="17"/>
      <x:c r="W612" s="17"/>
      <x:c r="X612" s="17"/>
      <x:c r="Y612" s="17"/>
      <x:c r="Z612" s="17"/>
    </x:row>
    <x:row r="613">
      <x:c r="A613" s="17"/>
      <x:c r="B613" s="17" t="str">
        <x:v>Video-CCAM-7B-v1.2</x:v>
      </x:c>
      <x:c r="C613" s="17"/>
      <x:c r="D613" s="17"/>
      <x:c r="E613" s="17"/>
      <x:c r="F613" s="17" t="n">
        <x:v>45564</x:v>
      </x:c>
      <x:c r="G613" s="17"/>
      <x:c r="H613" s="17"/>
      <x:c r="I613" s="17"/>
      <x:c r="J613" s="17" t="str">
        <x:v>Unverified</x:v>
      </x:c>
      <x:c r="K613" s="17"/>
      <x:c r="L613" s="17"/>
      <x:c r="M613" s="17"/>
      <x:c r="N613" s="17"/>
      <x:c r="O613" s="17" t="str">
        <x:v>video-ccam-7b-v1-2</x:v>
      </x:c>
      <x:c r="P613" s="17"/>
      <x:c r="Q613" s="17"/>
      <x:c r="R613" s="17"/>
      <x:c r="S613" s="17"/>
      <x:c r="T613" s="17"/>
      <x:c r="U613" s="17"/>
      <x:c r="V613" s="17"/>
      <x:c r="W613" s="17"/>
      <x:c r="X613" s="17"/>
      <x:c r="Y613" s="17"/>
      <x:c r="Z613" s="17"/>
    </x:row>
    <x:row r="614">
      <x:c r="A614" s="17"/>
      <x:c r="B614" s="17" t="str">
        <x:v>long-llava-qwen2-7b</x:v>
      </x:c>
      <x:c r="C614" s="17"/>
      <x:c r="D614" s="17"/>
      <x:c r="E614" s="17"/>
      <x:c r="F614" s="17" t="n">
        <x:v>45534</x:v>
      </x:c>
      <x:c r="G614" s="17"/>
      <x:c r="H614" s="17"/>
      <x:c r="I614" s="17"/>
      <x:c r="J614" s="17" t="str">
        <x:v>Unverified</x:v>
      </x:c>
      <x:c r="K614" s="17"/>
      <x:c r="L614" s="17"/>
      <x:c r="M614" s="17"/>
      <x:c r="N614" s="17"/>
      <x:c r="O614" s="17" t="str">
        <x:v>long-llava-qwen2-7b</x:v>
      </x:c>
      <x:c r="P614" s="17"/>
      <x:c r="Q614" s="17"/>
      <x:c r="R614" s="17"/>
      <x:c r="S614" s="17"/>
      <x:c r="T614" s="17"/>
      <x:c r="U614" s="17"/>
      <x:c r="V614" s="17"/>
      <x:c r="W614" s="17"/>
      <x:c r="X614" s="17"/>
      <x:c r="Y614" s="17"/>
      <x:c r="Z614" s="17"/>
    </x:row>
    <x:row r="615">
      <x:c r="A615" s="17"/>
      <x:c r="B615" s="17" t="str">
        <x:v>InternVL-Chat-V1-5</x:v>
      </x:c>
      <x:c r="C615" s="17"/>
      <x:c r="D615" s="17"/>
      <x:c r="E615" s="17"/>
      <x:c r="F615" s="17" t="n">
        <x:v>45400</x:v>
      </x:c>
      <x:c r="G615" s="17"/>
      <x:c r="H615" s="17"/>
      <x:c r="I615" s="17"/>
      <x:c r="J615" s="17" t="str">
        <x:v>Unverified</x:v>
      </x:c>
      <x:c r="K615" s="17"/>
      <x:c r="L615" s="17"/>
      <x:c r="M615" s="17"/>
      <x:c r="N615" s="17"/>
      <x:c r="O615" s="17" t="str">
        <x:v>internvl-chat-v1-5</x:v>
      </x:c>
      <x:c r="P615" s="17"/>
      <x:c r="Q615" s="17"/>
      <x:c r="R615" s="17"/>
      <x:c r="S615" s="17"/>
      <x:c r="T615" s="17"/>
      <x:c r="U615" s="17"/>
      <x:c r="V615" s="17"/>
      <x:c r="W615" s="17"/>
      <x:c r="X615" s="17"/>
      <x:c r="Y615" s="17"/>
      <x:c r="Z615" s="17"/>
    </x:row>
    <x:row r="616">
      <x:c r="A616" s="17"/>
      <x:c r="B616" s="17" t="str">
        <x:v>SliME-Llama3-8B</x:v>
      </x:c>
      <x:c r="C616" s="17"/>
      <x:c r="D616" s="17"/>
      <x:c r="E616" s="17"/>
      <x:c r="F616" s="17" t="n">
        <x:v>45445</x:v>
      </x:c>
      <x:c r="G616" s="17"/>
      <x:c r="H616" s="17"/>
      <x:c r="I616" s="17"/>
      <x:c r="J616" s="17" t="str">
        <x:v>Unverified</x:v>
      </x:c>
      <x:c r="K616" s="17"/>
      <x:c r="L616" s="17"/>
      <x:c r="M616" s="17"/>
      <x:c r="N616" s="17"/>
      <x:c r="O616" s="17" t="str">
        <x:v>slime-llama3-8b</x:v>
      </x:c>
      <x:c r="P616" s="17"/>
      <x:c r="Q616" s="17"/>
      <x:c r="R616" s="17"/>
      <x:c r="S616" s="17"/>
      <x:c r="T616" s="17"/>
      <x:c r="U616" s="17"/>
      <x:c r="V616" s="17"/>
      <x:c r="W616" s="17"/>
      <x:c r="X616" s="17"/>
      <x:c r="Y616" s="17"/>
      <x:c r="Z616" s="17"/>
    </x:row>
    <x:row r="617">
      <x:c r="A617" s="17"/>
      <x:c r="B617" s="17" t="str">
        <x:v>Chat-Uni-Vi-7B-v1.5 + 100k SG-WV</x:v>
      </x:c>
      <x:c r="C617" s="17"/>
      <x:c r="D617" s="17"/>
      <x:c r="E617" s="17"/>
      <x:c r="F617" s="17" t="n">
        <x:v>45463</x:v>
      </x:c>
      <x:c r="G617" s="17"/>
      <x:c r="H617" s="17"/>
      <x:c r="I617" s="17"/>
      <x:c r="J617" s="17" t="str">
        <x:v>Unverified</x:v>
      </x:c>
      <x:c r="K617" s="17"/>
      <x:c r="L617" s="17"/>
      <x:c r="M617" s="17"/>
      <x:c r="N617" s="17"/>
      <x:c r="O617" s="17" t="str">
        <x:v>chat-uni-vi-7b-v1-5--100k-sg-wv</x:v>
      </x:c>
      <x:c r="P617" s="17"/>
      <x:c r="Q617" s="17"/>
      <x:c r="R617" s="17"/>
      <x:c r="S617" s="17"/>
      <x:c r="T617" s="17"/>
      <x:c r="U617" s="17"/>
      <x:c r="V617" s="17"/>
      <x:c r="W617" s="17"/>
      <x:c r="X617" s="17"/>
      <x:c r="Y617" s="17"/>
      <x:c r="Z617" s="17"/>
    </x:row>
    <x:row r="618">
      <x:c r="A618" s="17"/>
      <x:c r="B618" s="17" t="str">
        <x:v>Chat-UniVi-7B-v1.5 </x:v>
      </x:c>
      <x:c r="C618" s="17"/>
      <x:c r="D618" s="17"/>
      <x:c r="E618" s="17"/>
      <x:c r="F618" s="17" t="n">
        <x:v>45405</x:v>
      </x:c>
      <x:c r="G618" s="17"/>
      <x:c r="H618" s="17"/>
      <x:c r="I618" s="17"/>
      <x:c r="J618" s="17" t="str">
        <x:v>Unverified</x:v>
      </x:c>
      <x:c r="K618" s="17"/>
      <x:c r="L618" s="17"/>
      <x:c r="M618" s="17"/>
      <x:c r="N618" s="17"/>
      <x:c r="O618" s="17" t="str">
        <x:v>chat-univi-7b-v1-5-</x:v>
      </x:c>
      <x:c r="P618" s="17"/>
      <x:c r="Q618" s="17"/>
      <x:c r="R618" s="17"/>
      <x:c r="S618" s="17"/>
      <x:c r="T618" s="17"/>
      <x:c r="U618" s="17"/>
      <x:c r="V618" s="17"/>
      <x:c r="W618" s="17"/>
      <x:c r="X618" s="17"/>
      <x:c r="Y618" s="17"/>
      <x:c r="Z618" s="17"/>
    </x:row>
    <x:row r="619">
      <x:c r="A619" s="17"/>
      <x:c r="B619" s="17" t="str">
        <x:v>sharegpt4video-8b</x:v>
      </x:c>
      <x:c r="C619" s="17"/>
      <x:c r="D619" s="17"/>
      <x:c r="E619" s="17"/>
      <x:c r="F619" s="17" t="n">
        <x:v>45439</x:v>
      </x:c>
      <x:c r="G619" s="17"/>
      <x:c r="H619" s="17"/>
      <x:c r="I619" s="17"/>
      <x:c r="J619" s="17" t="str">
        <x:v>Unverified</x:v>
      </x:c>
      <x:c r="K619" s="17"/>
      <x:c r="L619" s="17"/>
      <x:c r="M619" s="17"/>
      <x:c r="N619" s="17"/>
      <x:c r="O619" s="17" t="str">
        <x:v>sharegpt4video-8b</x:v>
      </x:c>
      <x:c r="P619" s="17"/>
      <x:c r="Q619" s="17"/>
      <x:c r="R619" s="17"/>
      <x:c r="S619" s="17"/>
      <x:c r="T619" s="17"/>
      <x:c r="U619" s="17"/>
      <x:c r="V619" s="17"/>
      <x:c r="W619" s="17"/>
      <x:c r="X619" s="17"/>
      <x:c r="Y619" s="17"/>
      <x:c r="Z619" s="17"/>
    </x:row>
    <x:row r="620">
      <x:c r="A620" s="17"/>
      <x:c r="B620" s="17" t="str">
        <x:v>Video-LLaVA-7B</x:v>
      </x:c>
      <x:c r="C620" s="17"/>
      <x:c r="D620" s="17"/>
      <x:c r="E620" s="17"/>
      <x:c r="F620" s="17" t="n">
        <x:v>45247</x:v>
      </x:c>
      <x:c r="G620" s="17"/>
      <x:c r="H620" s="17"/>
      <x:c r="I620" s="17"/>
      <x:c r="J620" s="17" t="str">
        <x:v>Unverified</x:v>
      </x:c>
      <x:c r="K620" s="17"/>
      <x:c r="L620" s="17"/>
      <x:c r="M620" s="17"/>
      <x:c r="N620" s="17"/>
      <x:c r="O620" s="17" t="str">
        <x:v>video-llava-7b</x:v>
      </x:c>
      <x:c r="P620" s="17"/>
      <x:c r="Q620" s="17"/>
      <x:c r="R620" s="17"/>
      <x:c r="S620" s="17"/>
      <x:c r="T620" s="17"/>
      <x:c r="U620" s="17"/>
      <x:c r="V620" s="17"/>
      <x:c r="W620" s="17"/>
      <x:c r="X620" s="17"/>
      <x:c r="Y620" s="17"/>
      <x:c r="Z620" s="17"/>
    </x:row>
    <x:row r="621">
      <x:c r="A621" s="17"/>
      <x:c r="B621" s="17" t="str">
        <x:v>video_chat2_mistral</x:v>
      </x:c>
      <x:c r="C621" s="17"/>
      <x:c r="D621" s="17"/>
      <x:c r="E621" s="17"/>
      <x:c r="F621" s="17" t="n">
        <x:v>45259</x:v>
      </x:c>
      <x:c r="G621" s="17"/>
      <x:c r="H621" s="17"/>
      <x:c r="I621" s="17"/>
      <x:c r="J621" s="17" t="str">
        <x:v>Unverified</x:v>
      </x:c>
      <x:c r="K621" s="17"/>
      <x:c r="L621" s="17"/>
      <x:c r="M621" s="17"/>
      <x:c r="N621" s="17"/>
      <x:c r="O621" s="17" t="str">
        <x:v>video-chat2-mistral</x:v>
      </x:c>
      <x:c r="P621" s="17"/>
      <x:c r="Q621" s="17"/>
      <x:c r="R621" s="17"/>
      <x:c r="S621" s="17"/>
      <x:c r="T621" s="17"/>
      <x:c r="U621" s="17"/>
      <x:c r="V621" s="17"/>
      <x:c r="W621" s="17"/>
      <x:c r="X621" s="17"/>
      <x:c r="Y621" s="17"/>
      <x:c r="Z621" s="17"/>
    </x:row>
    <x:row r="622">
      <x:c r="A622" s="17"/>
      <x:c r="B622" s="17" t="str">
        <x:v>ST-LLM</x:v>
      </x:c>
      <x:c r="C622" s="17"/>
      <x:c r="D622" s="17"/>
      <x:c r="E622" s="17"/>
      <x:c r="F622" s="17" t="n">
        <x:v>45379</x:v>
      </x:c>
      <x:c r="G622" s="17"/>
      <x:c r="H622" s="17"/>
      <x:c r="I622" s="17"/>
      <x:c r="J622" s="17" t="str">
        <x:v>Unverified</x:v>
      </x:c>
      <x:c r="K622" s="17"/>
      <x:c r="L622" s="17"/>
      <x:c r="M622" s="17"/>
      <x:c r="N622" s="17"/>
      <x:c r="O622" s="17" t="str">
        <x:v>st-llm</x:v>
      </x:c>
      <x:c r="P622" s="17"/>
      <x:c r="Q622" s="17"/>
      <x:c r="R622" s="17"/>
      <x:c r="S622" s="17"/>
      <x:c r="T622" s="17"/>
      <x:c r="U622" s="17"/>
      <x:c r="V622" s="17"/>
      <x:c r="W622" s="17"/>
      <x:c r="X622" s="17"/>
      <x:c r="Y622" s="17"/>
      <x:c r="Z622" s="17"/>
    </x:row>
    <x:row r="623">
      <x:c r="A623" s="17" t="str">
        <x:v>o4-mini</x:v>
      </x:c>
      <x:c r="B623" s="17" t="str">
        <x:v>o4-mini-2025-04-16_unknown</x:v>
      </x:c>
      <x:c r="C623" s="17" t="str">
        <x:v>o4-mini (unknown thinking)</x:v>
      </x:c>
      <x:c r="D623" s="17" t="str">
        <x:v>OpenAI</x:v>
      </x:c>
      <x:c r="E623" s="17" t="str">
        <x:v>United States of America</x:v>
      </x:c>
      <x:c r="F623" s="17" t="n">
        <x:v>45763</x:v>
      </x:c>
      <x:c r="G623" s="17" t="str">
        <x:v>API access</x:v>
      </x:c>
      <x:c r="H623" s="17" t="n">
        <x:v>45763</x:v>
      </x:c>
      <x:c r="I623" s="17"/>
      <x:c r="J623" s="17" t="str">
        <x:v>Unknown</x:v>
      </x:c>
      <x:c r="K623" s="17" t="str">
        <x:v>The latest smaller size o-series reasoning model from OpenAI, evaluated with high reasoning effort.</x:v>
      </x:c>
      <x:c r="L623" s="17"/>
      <x:c r="M623" s="17"/>
      <x:c r="N623" s="17" t="str">
        <x:v>o4-mini</x:v>
      </x:c>
      <x:c r="O623" s="17" t="str">
        <x:v>o4-mini</x:v>
      </x:c>
      <x:c r="P623" s="17" t="n">
        <x:v>146.54</x:v>
      </x:c>
      <x:c r="Q623" s="17" t="n">
        <x:v>144.05</x:v>
      </x:c>
      <x:c r="R623" s="17" t="n">
        <x:v>147.85</x:v>
      </x:c>
      <x:c r="S623" s="17"/>
      <x:c r="T623" s="17"/>
      <x:c r="U623" s="17"/>
      <x:c r="V623" s="17"/>
      <x:c r="W623" s="17"/>
      <x:c r="X623" s="17"/>
      <x:c r="Y623" s="17"/>
      <x:c r="Z623" s="17"/>
    </x:row>
    <x:row r="624">
      <x:c r="A624" s="17" t="str">
        <x:v>o3-mini</x:v>
      </x:c>
      <x:c r="B624" s="17" t="str">
        <x:v>o3-mini-2025-01-31_unknown</x:v>
      </x:c>
      <x:c r="C624" s="17" t="str">
        <x:v>o3-mini (unknown thinking)</x:v>
      </x:c>
      <x:c r="D624" s="17" t="str">
        <x:v>OpenAI</x:v>
      </x:c>
      <x:c r="E624" s="17" t="str">
        <x:v>United States of America</x:v>
      </x:c>
      <x:c r="F624" s="17" t="n">
        <x:v>45688</x:v>
      </x:c>
      <x:c r="G624" s="17" t="str">
        <x:v>API access</x:v>
      </x:c>
      <x:c r="H624" s="17" t="n">
        <x:v>45688</x:v>
      </x:c>
      <x:c r="I624" s="17"/>
      <x:c r="J624" s="17" t="str">
        <x:v>Unknown</x:v>
      </x:c>
      <x:c r="K624" s="17" t="str">
        <x:v>A smaller version of OpenAI's o3 reasoning model, evaluated with high reasoning effort.</x:v>
      </x:c>
      <x:c r="L624" s="17"/>
      <x:c r="M624" s="17"/>
      <x:c r="N624" s="17" t="str">
        <x:v>o3-mini</x:v>
      </x:c>
      <x:c r="O624" s="17" t="str">
        <x:v>o3-mini</x:v>
      </x:c>
      <x:c r="P624" s="17" t="n">
        <x:v>141.41</x:v>
      </x:c>
      <x:c r="Q624" s="17" t="n">
        <x:v>137.82</x:v>
      </x:c>
      <x:c r="R624" s="17" t="n">
        <x:v>142.81</x:v>
      </x:c>
      <x:c r="S624" s="17"/>
      <x:c r="T624" s="17"/>
      <x:c r="U624" s="17"/>
      <x:c r="V624" s="17"/>
      <x:c r="W624" s="17"/>
      <x:c r="X624" s="17"/>
      <x:c r="Y624" s="17"/>
      <x:c r="Z624" s="17"/>
    </x:row>
    <x:row r="625">
      <x:c r="A625" s="17" t="str">
        <x:v>GPT-5 nano</x:v>
      </x:c>
      <x:c r="B625" s="17" t="str">
        <x:v>gpt-5-nano-2025-08-07_unknown</x:v>
      </x:c>
      <x:c r="C625" s="17" t="str">
        <x:v>GPT-5 nano (unknown thinking)</x:v>
      </x:c>
      <x:c r="D625" s="17" t="str">
        <x:v>OpenAI</x:v>
      </x:c>
      <x:c r="E625" s="17" t="str">
        <x:v>United States of America</x:v>
      </x:c>
      <x:c r="F625" s="17" t="n">
        <x:v>45876</x:v>
      </x:c>
      <x:c r="G625" s="17" t="str">
        <x:v>API access</x:v>
      </x:c>
      <x:c r="H625" s="17" t="n">
        <x:v>45876</x:v>
      </x:c>
      <x:c r="I625" s="17"/>
      <x:c r="J625" s="17" t="str">
        <x:v>Unknown</x:v>
      </x:c>
      <x:c r="K625" s="17" t="str">
        <x:v>The smallest version of OpenAI's latest flagship frontier model, benchmarked using high reasoning effort.</x:v>
      </x:c>
      <x:c r="L625" s="17" t="str">
        <x:v>GPT-5 nano (high)</x:v>
      </x:c>
      <x:c r="M625" s="17"/>
      <x:c r="N625" s="17" t="str">
        <x:v>GPT-5 nano</x:v>
      </x:c>
      <x:c r="O625" s="17" t="str">
        <x:v>gpt-5-nano</x:v>
      </x:c>
      <x:c r="P625" s="17" t="n">
        <x:v>140.85</x:v>
      </x:c>
      <x:c r="Q625" s="17" t="n">
        <x:v>136.43</x:v>
      </x:c>
      <x:c r="R625" s="17" t="n">
        <x:v>142.54</x:v>
      </x:c>
      <x:c r="S625" s="17"/>
      <x:c r="T625" s="17"/>
      <x:c r="U625" s="17"/>
      <x:c r="V625" s="17"/>
      <x:c r="W625" s="17"/>
      <x:c r="X625" s="17"/>
      <x:c r="Y625" s="17"/>
      <x:c r="Z625" s="17"/>
    </x:row>
    <x:row r="626">
      <x:c r="A626" s="17" t="str">
        <x:v>QwQ-32B</x:v>
      </x:c>
      <x:c r="B626" s="17" t="str">
        <x:v>QwQ-32B-Preview</x:v>
      </x:c>
      <x:c r="C626" s="17"/>
      <x:c r="D626" s="17" t="str">
        <x:v>Alibaba</x:v>
      </x:c>
      <x:c r="E626" s="17" t="str">
        <x:v>China</x:v>
      </x:c>
      <x:c r="F626" s="17" t="n">
        <x:v>45624</x:v>
      </x:c>
      <x:c r="G626" s="17" t="str">
        <x:v>Open weights (unrestricted)</x:v>
      </x:c>
      <x:c r="H626" s="17" t="n">
        <x:v>45722</x:v>
      </x:c>
      <x:c r="I626" s="17" t="n">
        <x:v>3.51e+24</x:v>
      </x:c>
      <x:c r="J626" s="17" t="str">
        <x:v>Speculative</x:v>
      </x:c>
      <x:c r="K626" s="17"/>
      <x:c r="L626" s="17" t="str">
        <x:v>QwQ 32B Preview</x:v>
      </x:c>
      <x:c r="M626" s="17" t="str">
        <x:v>QwQ-32B-Preview</x:v>
      </x:c>
      <x:c r="N626" s="17" t="str">
        <x:v>QwQ-32B-Preview</x:v>
      </x:c>
      <x:c r="O626" s="17" t="str">
        <x:v>qwq-32b-preview</x:v>
      </x:c>
      <x:c r="P626" s="17"/>
      <x:c r="Q626" s="17"/>
      <x:c r="R626" s="17"/>
      <x:c r="S626" s="17"/>
      <x:c r="T626" s="17"/>
      <x:c r="U626" s="17"/>
      <x:c r="V626" s="17"/>
      <x:c r="W626" s="17"/>
      <x:c r="X626" s="17"/>
      <x:c r="Y626" s="17"/>
      <x:c r="Z626" s="17"/>
    </x:row>
    <x:row r="627">
      <x:c r="A627" s="17" t="str">
        <x:v>Qwen1.5-110B</x:v>
      </x:c>
      <x:c r="B627" s="17" t="str">
        <x:v>qwen1.5-110b-chat</x:v>
      </x:c>
      <x:c r="C627" s="17"/>
      <x:c r="D627" s="17" t="str">
        <x:v>Alibaba</x:v>
      </x:c>
      <x:c r="E627" s="17" t="str">
        <x:v>China</x:v>
      </x:c>
      <x:c r="F627" s="17" t="n">
        <x:v>45407</x:v>
      </x:c>
      <x:c r="G627" s="17" t="str">
        <x:v>Open weights (unrestricted)</x:v>
      </x:c>
      <x:c r="H627" s="17" t="n">
        <x:v>45407</x:v>
      </x:c>
      <x:c r="I627" s="17"/>
      <x:c r="J627" s="17" t="str">
        <x:v>Confident</x:v>
      </x:c>
      <x:c r="K627" s="17"/>
      <x:c r="L627" s="17" t="str">
        <x:v>Qwen1.5-110B</x:v>
      </x:c>
      <x:c r="M627" s="17"/>
      <x:c r="N627" s="17" t="str">
        <x:v>Qwen1.5-110B</x:v>
      </x:c>
      <x:c r="O627" s="17" t="str">
        <x:v>qwen1-5-110b</x:v>
      </x:c>
      <x:c r="P627" s="17"/>
      <x:c r="Q627" s="17"/>
      <x:c r="R627" s="17"/>
      <x:c r="S627" s="17"/>
      <x:c r="T627" s="17"/>
      <x:c r="U627" s="17"/>
      <x:c r="V627" s="17"/>
      <x:c r="W627" s="17"/>
      <x:c r="X627" s="17"/>
      <x:c r="Y627" s="17"/>
      <x:c r="Z627" s="17"/>
    </x:row>
    <x:row r="628">
      <x:c r="A628" s="17" t="str">
        <x:v>GPT-5.4 Nano</x:v>
      </x:c>
      <x:c r="B628" s="17" t="str">
        <x:v>gpt-5.4-nano-2026-03-17_unknown</x:v>
      </x:c>
      <x:c r="C628" s="17" t="str">
        <x:v>GPT-5.4 nano (unknown thinking)</x:v>
      </x:c>
      <x:c r="D628" s="17" t="str">
        <x:v>OpenAI</x:v>
      </x:c>
      <x:c r="E628" s="17" t="str">
        <x:v>United States of America</x:v>
      </x:c>
      <x:c r="F628" s="17" t="n">
        <x:v>46098</x:v>
      </x:c>
      <x:c r="G628" s="17" t="str">
        <x:v>API access</x:v>
      </x:c>
      <x:c r="H628" s="17" t="n">
        <x:v>46098</x:v>
      </x:c>
      <x:c r="I628" s="17"/>
      <x:c r="J628" s="17" t="str">
        <x:v>Likely</x:v>
      </x:c>
      <x:c r="K628" s="17"/>
      <x:c r="L628" s="17" t="str">
        <x:v>GPT-5.4 nano (unknown thinking)</x:v>
      </x:c>
      <x:c r="M628" s="17"/>
      <x:c r="N628" s="17" t="str">
        <x:v>GPT-5.4 Nano</x:v>
      </x:c>
      <x:c r="O628" s="17" t="str">
        <x:v>gpt-5-4-nano</x:v>
      </x:c>
      <x:c r="P628" s="17" t="n">
        <x:v>146.64</x:v>
      </x:c>
      <x:c r="Q628" s="17" t="n">
        <x:v>144.07</x:v>
      </x:c>
      <x:c r="R628" s="17" t="n">
        <x:v>148.4</x:v>
      </x:c>
      <x:c r="S628" s="17"/>
      <x:c r="T628" s="17"/>
      <x:c r="U628" s="17"/>
      <x:c r="V628" s="17"/>
      <x:c r="W628" s="17"/>
      <x:c r="X628" s="17"/>
      <x:c r="Y628" s="17"/>
      <x:c r="Z628" s="17"/>
    </x:row>
    <x:row r="629">
      <x:c r="A629" s="17" t="str">
        <x:v>Llama 3-70B</x:v>
      </x:c>
      <x:c r="B629" s="17" t="str">
        <x:v>Meta-Llama-3-70B</x:v>
      </x:c>
      <x:c r="C629" s="17"/>
      <x:c r="D629" s="17" t="str">
        <x:v>Meta AI</x:v>
      </x:c>
      <x:c r="E629" s="17" t="str">
        <x:v>United States of America</x:v>
      </x:c>
      <x:c r="F629" s="17" t="n">
        <x:v>45400</x:v>
      </x:c>
      <x:c r="G629" s="17" t="str">
        <x:v>Open weights (restricted use)</x:v>
      </x:c>
      <x:c r="H629" s="17" t="n">
        <x:v>45400</x:v>
      </x:c>
      <x:c r="I629" s="17" t="n">
        <x:v>7.861e+24</x:v>
      </x:c>
      <x:c r="J629" s="17" t="str">
        <x:v>Confident</x:v>
      </x:c>
      <x:c r="K629" s="17" t="str">
        <x:v>Meta's 70 billion-parameter model in the Llama 3 series.</x:v>
      </x:c>
      <x:c r="L629" s="17"/>
      <x:c r="M629" s="17"/>
      <x:c r="N629" s="17" t="str">
        <x:v>Llama 3-70B</x:v>
      </x:c>
      <x:c r="O629" s="17" t="str">
        <x:v>llama-3-70b</x:v>
      </x:c>
      <x:c r="P629" s="17" t="n">
        <x:v>122.61</x:v>
      </x:c>
      <x:c r="Q629" s="17" t="n">
        <x:v>115.79</x:v>
      </x:c>
      <x:c r="R629" s="17" t="n">
        <x:v>125.52</x:v>
      </x:c>
      <x:c r="S629" s="17"/>
      <x:c r="T629" s="17"/>
      <x:c r="U629" s="17"/>
      <x:c r="V629" s="17"/>
      <x:c r="W629" s="17"/>
      <x:c r="X629" s="17"/>
      <x:c r="Y629" s="17"/>
      <x:c r="Z629" s="17"/>
    </x:row>
    <x:row r="630">
      <x:c r="A630" s="17" t="str">
        <x:v>Gemini 2.0 Flash-Lite</x:v>
      </x:c>
      <x:c r="B630" s="17" t="str">
        <x:v>gemini-2.0-flash-lite-001</x:v>
      </x:c>
      <x:c r="C630" s="17"/>
      <x:c r="D630" s="17" t="str">
        <x:v>Google DeepMind</x:v>
      </x:c>
      <x:c r="E630" s="17" t="str">
        <x:v>United States of America</x:v>
      </x:c>
      <x:c r="F630" s="17" t="n">
        <x:v>45713</x:v>
      </x:c>
      <x:c r="G630" s="17" t="str">
        <x:v>API access</x:v>
      </x:c>
      <x:c r="H630" s="17" t="n">
        <x:v>45327</x:v>
      </x:c>
      <x:c r="I630" s="17"/>
      <x:c r="J630" s="17" t="str">
        <x:v>Unknown</x:v>
      </x:c>
      <x:c r="K630" s="17" t="str">
        <x:v>The first version of the smallest model in Google DeepMind's Gemini 2.0 series.</x:v>
      </x:c>
      <x:c r="L630" s="17"/>
      <x:c r="M630" s="17"/>
      <x:c r="N630" s="17" t="str">
        <x:v>Gemini 2.0 Flash-Lite</x:v>
      </x:c>
      <x:c r="O630" s="17" t="str">
        <x:v>gemini-2-0-flash-lite</x:v>
      </x:c>
      <x:c r="P630" s="17"/>
      <x:c r="Q630" s="17"/>
      <x:c r="R630" s="17"/>
      <x:c r="S630" s="17"/>
      <x:c r="T630" s="17"/>
      <x:c r="U630" s="17"/>
      <x:c r="V630" s="17"/>
      <x:c r="W630" s="17"/>
      <x:c r="X630" s="17"/>
      <x:c r="Y630" s="17"/>
      <x:c r="Z630" s="17"/>
    </x:row>
    <x:row r="631">
      <x:c r="A631" s="17" t="str">
        <x:v>Llama 3-8B</x:v>
      </x:c>
      <x:c r="B631" s="17" t="str">
        <x:v>Meta-Llama-3-8B</x:v>
      </x:c>
      <x:c r="C631" s="17"/>
      <x:c r="D631" s="17" t="str">
        <x:v>Meta AI</x:v>
      </x:c>
      <x:c r="E631" s="17" t="str">
        <x:v>United States of America</x:v>
      </x:c>
      <x:c r="F631" s="17" t="n">
        <x:v>45400</x:v>
      </x:c>
      <x:c r="G631" s="17" t="str">
        <x:v>Open weights (restricted use)</x:v>
      </x:c>
      <x:c r="H631" s="17" t="n">
        <x:v>45400</x:v>
      </x:c>
      <x:c r="I631" s="17" t="n">
        <x:v>7.2e+23</x:v>
      </x:c>
      <x:c r="J631" s="17" t="str">
        <x:v>Confident</x:v>
      </x:c>
      <x:c r="K631" s="17" t="str">
        <x:v>Meta's 8 billion-parameter model in the Llama 3 series.</x:v>
      </x:c>
      <x:c r="L631" s="17"/>
      <x:c r="M631" s="17"/>
      <x:c r="N631" s="17" t="str">
        <x:v>Llama 3-8B</x:v>
      </x:c>
      <x:c r="O631" s="17" t="str">
        <x:v>llama-3-8b</x:v>
      </x:c>
      <x:c r="P631" s="17" t="n">
        <x:v>116.43</x:v>
      </x:c>
      <x:c r="Q631" s="17" t="n">
        <x:v>107.42</x:v>
      </x:c>
      <x:c r="R631" s="17" t="n">
        <x:v>119.25</x:v>
      </x:c>
      <x:c r="S631" s="17"/>
      <x:c r="T631" s="17"/>
      <x:c r="U631" s="17"/>
      <x:c r="V631" s="17"/>
      <x:c r="W631" s="17"/>
      <x:c r="X631" s="17"/>
      <x:c r="Y631" s="17"/>
      <x:c r="Z631" s="17"/>
    </x:row>
    <x:row r="632">
      <x:c r="A632" s="17"/>
      <x:c r="B632" s="17" t="str">
        <x:v>gemini-robotics-er-1.5-preview</x:v>
      </x:c>
      <x:c r="C632" s="17"/>
      <x:c r="D632" s="17"/>
      <x:c r="E632" s="17"/>
      <x:c r="F632" s="17" t="n">
        <x:v>45926</x:v>
      </x:c>
      <x:c r="G632" s="17"/>
      <x:c r="H632" s="17"/>
      <x:c r="I632" s="17"/>
      <x:c r="J632" s="17" t="str">
        <x:v>Unverified</x:v>
      </x:c>
      <x:c r="K632" s="17"/>
      <x:c r="L632" s="17"/>
      <x:c r="M632" s="17"/>
      <x:c r="N632" s="17"/>
      <x:c r="O632" s="17" t="str">
        <x:v>gemini-robotics-er-1-5-preview</x:v>
      </x:c>
      <x:c r="P632" s="17"/>
      <x:c r="Q632" s="17"/>
      <x:c r="R632" s="17"/>
      <x:c r="S632" s="17"/>
      <x:c r="T632" s="17"/>
      <x:c r="U632" s="17"/>
      <x:c r="V632" s="17"/>
      <x:c r="W632" s="17"/>
      <x:c r="X632" s="17"/>
      <x:c r="Y632" s="17"/>
      <x:c r="Z632" s="17"/>
    </x:row>
    <x:row r="633">
      <x:c r="A633" s="17" t="str">
        <x:v>Gemini 2.5 Flash-Lite</x:v>
      </x:c>
      <x:c r="B633" s="17" t="str">
        <x:v>gemini-2.5-flash-lite-preview-09-2025</x:v>
      </x:c>
      <x:c r="C633" s="17"/>
      <x:c r="D633" s="17" t="str">
        <x:v>Google DeepMind</x:v>
      </x:c>
      <x:c r="E633" s="17" t="str">
        <x:v>United States of America</x:v>
      </x:c>
      <x:c r="F633" s="17" t="n">
        <x:v>45925</x:v>
      </x:c>
      <x:c r="G633" s="17" t="str">
        <x:v>API access</x:v>
      </x:c>
      <x:c r="H633" s="17" t="n">
        <x:v>45823</x:v>
      </x:c>
      <x:c r="I633" s="17"/>
      <x:c r="J633" s="17" t="str">
        <x:v>Unknown</x:v>
      </x:c>
      <x:c r="K633" s="17"/>
      <x:c r="L633" s="17" t="str">
        <x:v>Gemini 2.5 Flash-Lite (Sep 2025)</x:v>
      </x:c>
      <x:c r="M633" s="17" t="str">
        <x:v>Gemini 2.5 Flash-Lite (Sep 2025)</x:v>
      </x:c>
      <x:c r="N633" s="17" t="str">
        <x:v>Gemini 2.5 Flash-Lite (Sep 2025)</x:v>
      </x:c>
      <x:c r="O633" s="17" t="str">
        <x:v>gemini-2-5-flash-lite-sep-2025</x:v>
      </x:c>
      <x:c r="P633" s="17"/>
      <x:c r="Q633" s="17"/>
      <x:c r="R633" s="17"/>
      <x:c r="S633" s="17"/>
      <x:c r="T633" s="17"/>
      <x:c r="U633" s="17"/>
      <x:c r="V633" s="17"/>
      <x:c r="W633" s="17"/>
      <x:c r="X633" s="17"/>
      <x:c r="Y633" s="17"/>
      <x:c r="Z633" s="17"/>
    </x:row>
    <x:row r="634">
      <x:c r="A634" s="17" t="str">
        <x:v>Qwen3.5-9B</x:v>
      </x:c>
      <x:c r="B634" s="17" t="str">
        <x:v>qwen3.5-9B</x:v>
      </x:c>
      <x:c r="C634" s="17"/>
      <x:c r="D634" s="17" t="str">
        <x:v>Alibaba</x:v>
      </x:c>
      <x:c r="E634" s="17" t="str">
        <x:v>China</x:v>
      </x:c>
      <x:c r="F634" s="17" t="n">
        <x:v>46077</x:v>
      </x:c>
      <x:c r="G634" s="17" t="str">
        <x:v>Open weights (restricted use)</x:v>
      </x:c>
      <x:c r="H634" s="17" t="n">
        <x:v>46077</x:v>
      </x:c>
      <x:c r="I634" s="17"/>
      <x:c r="J634" s="17" t="str">
        <x:v>Confident</x:v>
      </x:c>
      <x:c r="K634" s="17"/>
      <x:c r="L634" s="17"/>
      <x:c r="M634" s="17"/>
      <x:c r="N634" s="17" t="str">
        <x:v>Qwen3.5-9B</x:v>
      </x:c>
      <x:c r="O634" s="17" t="str">
        <x:v>qwen3-5-9b</x:v>
      </x:c>
      <x:c r="P634" s="17"/>
      <x:c r="Q634" s="17"/>
      <x:c r="R634" s="17"/>
      <x:c r="S634" s="17"/>
      <x:c r="T634" s="17"/>
      <x:c r="U634" s="17"/>
      <x:c r="V634" s="17"/>
      <x:c r="W634" s="17"/>
      <x:c r="X634" s="17"/>
      <x:c r="Y634" s="17"/>
      <x:c r="Z634" s="17"/>
    </x:row>
    <x:row r="635">
      <x:c r="A635" s="17" t="str">
        <x:v>Claude 1.3</x:v>
      </x:c>
      <x:c r="B635" s="17" t="str">
        <x:v>claude-1.3</x:v>
      </x:c>
      <x:c r="C635" s="17"/>
      <x:c r="D635" s="17" t="str">
        <x:v>Anthropic</x:v>
      </x:c>
      <x:c r="E635" s="17" t="str">
        <x:v>United States of America</x:v>
      </x:c>
      <x:c r="F635" s="17" t="n">
        <x:v>45034</x:v>
      </x:c>
      <x:c r="G635" s="17" t="str">
        <x:v>API access</x:v>
      </x:c>
      <x:c r="H635" s="17" t="n">
        <x:v>45034</x:v>
      </x:c>
      <x:c r="I635" s="17"/>
      <x:c r="J635" s="17" t="str">
        <x:v>Unknown</x:v>
      </x:c>
      <x:c r="K635" s="17" t="str">
        <x:v>An updated version of Anthropic's first generation Claude model.</x:v>
      </x:c>
      <x:c r="L635" s="17"/>
      <x:c r="M635" s="17"/>
      <x:c r="N635" s="17" t="str">
        <x:v>Claude 1.3</x:v>
      </x:c>
      <x:c r="O635" s="17" t="str">
        <x:v>claude-1-3</x:v>
      </x:c>
      <x:c r="P635" s="17"/>
      <x:c r="Q635" s="17"/>
      <x:c r="R635" s="17"/>
      <x:c r="S635" s="17"/>
      <x:c r="T635" s="17"/>
      <x:c r="U635" s="17"/>
      <x:c r="V635" s="17"/>
      <x:c r="W635" s="17"/>
      <x:c r="X635" s="17"/>
      <x:c r="Y635" s="17"/>
      <x:c r="Z635" s="17"/>
    </x:row>
    <x:row r="636">
      <x:c r="A636" s="17" t="str">
        <x:v>Amazon Nova Lite</x:v>
      </x:c>
      <x:c r="B636" s="17" t="str">
        <x:v>amazon.nova-lite-v1:0</x:v>
      </x:c>
      <x:c r="C636" s="17"/>
      <x:c r="D636" s="17" t="str">
        <x:v>Amazon</x:v>
      </x:c>
      <x:c r="E636" s="17" t="str">
        <x:v>United States of America</x:v>
      </x:c>
      <x:c r="F636" s="17" t="n">
        <x:v>45629</x:v>
      </x:c>
      <x:c r="G636" s="17" t="str">
        <x:v>API access</x:v>
      </x:c>
      <x:c r="H636" s="17" t="n">
        <x:v>45629</x:v>
      </x:c>
      <x:c r="I636" s="17"/>
      <x:c r="J636" s="17" t="str">
        <x:v>Unknown</x:v>
      </x:c>
      <x:c r="K636" s="17"/>
      <x:c r="L636" s="17"/>
      <x:c r="M636" s="17"/>
      <x:c r="N636" s="17" t="str">
        <x:v>Amazon Nova Lite</x:v>
      </x:c>
      <x:c r="O636" s="17" t="str">
        <x:v>amazon-nova-lite</x:v>
      </x:c>
      <x:c r="P636" s="17"/>
      <x:c r="Q636" s="17"/>
      <x:c r="R636" s="17"/>
      <x:c r="S636" s="17"/>
      <x:c r="T636" s="17"/>
      <x:c r="U636" s="17"/>
      <x:c r="V636" s="17"/>
      <x:c r="W636" s="17"/>
      <x:c r="X636" s="17"/>
      <x:c r="Y636" s="17"/>
      <x:c r="Z636" s="17"/>
    </x:row>
    <x:row r="637">
      <x:c r="A637" s="17" t="str">
        <x:v>Amazon Nova Micro</x:v>
      </x:c>
      <x:c r="B637" s="17" t="str">
        <x:v>amazon.nova-micro-v1:0</x:v>
      </x:c>
      <x:c r="C637" s="17"/>
      <x:c r="D637" s="17" t="str">
        <x:v>Amazon</x:v>
      </x:c>
      <x:c r="E637" s="17" t="str">
        <x:v>United States of America</x:v>
      </x:c>
      <x:c r="F637" s="17" t="n">
        <x:v>45629</x:v>
      </x:c>
      <x:c r="G637" s="17" t="str">
        <x:v>API access</x:v>
      </x:c>
      <x:c r="H637" s="17" t="n">
        <x:v>45629</x:v>
      </x:c>
      <x:c r="I637" s="17"/>
      <x:c r="J637" s="17" t="str">
        <x:v>Unknown</x:v>
      </x:c>
      <x:c r="K637" s="17"/>
      <x:c r="L637" s="17"/>
      <x:c r="M637" s="17"/>
      <x:c r="N637" s="17" t="str">
        <x:v>Amazon Nova Micro</x:v>
      </x:c>
      <x:c r="O637" s="17" t="str">
        <x:v>amazon-nova-micro</x:v>
      </x:c>
      <x:c r="P637" s="17"/>
      <x:c r="Q637" s="17"/>
      <x:c r="R637" s="17"/>
      <x:c r="S637" s="17"/>
      <x:c r="T637" s="17"/>
      <x:c r="U637" s="17"/>
      <x:c r="V637" s="17"/>
      <x:c r="W637" s="17"/>
      <x:c r="X637" s="17"/>
      <x:c r="Y637" s="17"/>
      <x:c r="Z637" s="17"/>
    </x:row>
    <x:row r="638">
      <x:c r="A638" s="17"/>
      <x:c r="B638" s="17" t="str">
        <x:v>c4ai-command-r-08-2024</x:v>
      </x:c>
      <x:c r="C638" s="17"/>
      <x:c r="D638" s="17"/>
      <x:c r="E638" s="17"/>
      <x:c r="F638" s="17" t="n">
        <x:v>45534</x:v>
      </x:c>
      <x:c r="G638" s="17"/>
      <x:c r="H638" s="17"/>
      <x:c r="I638" s="17"/>
      <x:c r="J638" s="17" t="str">
        <x:v>Unverified</x:v>
      </x:c>
      <x:c r="K638" s="17"/>
      <x:c r="L638" s="17"/>
      <x:c r="M638" s="17"/>
      <x:c r="N638" s="17"/>
      <x:c r="O638" s="17" t="str">
        <x:v>c4ai-command-r-08-2024</x:v>
      </x:c>
      <x:c r="P638" s="17"/>
      <x:c r="Q638" s="17"/>
      <x:c r="R638" s="17"/>
      <x:c r="S638" s="17"/>
      <x:c r="T638" s="17"/>
      <x:c r="U638" s="17"/>
      <x:c r="V638" s="17"/>
      <x:c r="W638" s="17"/>
      <x:c r="X638" s="17"/>
      <x:c r="Y638" s="17"/>
      <x:c r="Z638" s="17"/>
    </x:row>
    <x:row r="639">
      <x:c r="A639" s="17" t="str">
        <x:v>Command R+</x:v>
      </x:c>
      <x:c r="B639" s="17" t="str">
        <x:v>c4ai-command-r-plus-08-2024</x:v>
      </x:c>
      <x:c r="C639" s="17"/>
      <x:c r="D639" s="17" t="str">
        <x:v>Cohere,Cohere for AI</x:v>
      </x:c>
      <x:c r="E639" s="17" t="str">
        <x:v>Canada</x:v>
      </x:c>
      <x:c r="F639" s="17" t="n">
        <x:v>45534</x:v>
      </x:c>
      <x:c r="G639" s="17" t="str">
        <x:v>Open weights (non-commercial)</x:v>
      </x:c>
      <x:c r="H639" s="17" t="n">
        <x:v>45386</x:v>
      </x:c>
      <x:c r="I639" s="17"/>
      <x:c r="J639" s="17" t="str">
        <x:v>Confident</x:v>
      </x:c>
      <x:c r="K639" s="17"/>
      <x:c r="L639" s="17" t="str">
        <x:v>Command R+</x:v>
      </x:c>
      <x:c r="M639" s="17"/>
      <x:c r="N639" s="17" t="str">
        <x:v>Command R+</x:v>
      </x:c>
      <x:c r="O639" s="17" t="str">
        <x:v>command-r</x:v>
      </x:c>
      <x:c r="P639" s="17"/>
      <x:c r="Q639" s="17"/>
      <x:c r="R639" s="17"/>
      <x:c r="S639" s="17"/>
      <x:c r="T639" s="17"/>
      <x:c r="U639" s="17"/>
      <x:c r="V639" s="17"/>
      <x:c r="W639" s="17"/>
      <x:c r="X639" s="17"/>
      <x:c r="Y639" s="17"/>
      <x:c r="Z639" s="17"/>
    </x:row>
    <x:row r="640">
      <x:c r="A640" s="17" t="str">
        <x:v>Falcon 2 11B</x:v>
      </x:c>
      <x:c r="B640" s="17" t="str">
        <x:v>falcon-11b</x:v>
      </x:c>
      <x:c r="C640" s="17" t="str">
        <x:v>Falcon 2-11B</x:v>
      </x:c>
      <x:c r="D640" s="17" t="str">
        <x:v>Technology Innovation Institute</x:v>
      </x:c>
      <x:c r="E640" s="17" t="str">
        <x:v>United Arab Emirates</x:v>
      </x:c>
      <x:c r="F640" s="17" t="n">
        <x:v>45421</x:v>
      </x:c>
      <x:c r="G640" s="17" t="str">
        <x:v>Open weights (restricted use)</x:v>
      </x:c>
      <x:c r="H640" s="17" t="n">
        <x:v>45421</x:v>
      </x:c>
      <x:c r="I640" s="17" t="n">
        <x:v>3.6e+23</x:v>
      </x:c>
      <x:c r="J640" s="17" t="str">
        <x:v>Confident</x:v>
      </x:c>
      <x:c r="K640" s="17"/>
      <x:c r="L640" s="17"/>
      <x:c r="M640" s="17"/>
      <x:c r="N640" s="17" t="str">
        <x:v>Falcon 2 11B</x:v>
      </x:c>
      <x:c r="O640" s="17" t="str">
        <x:v>falcon-2-11b</x:v>
      </x:c>
      <x:c r="P640" s="17" t="n">
        <x:v>109.3</x:v>
      </x:c>
      <x:c r="Q640" s="17" t="n">
        <x:v>99.71</x:v>
      </x:c>
      <x:c r="R640" s="17" t="n">
        <x:v>115.81</x:v>
      </x:c>
      <x:c r="S640" s="17"/>
      <x:c r="T640" s="17"/>
      <x:c r="U640" s="17"/>
      <x:c r="V640" s="17"/>
      <x:c r="W640" s="17"/>
      <x:c r="X640" s="17"/>
      <x:c r="Y640" s="17"/>
      <x:c r="Z640" s="17"/>
    </x:row>
    <x:row r="641">
      <x:c r="A641" s="17" t="str">
        <x:v>Gemini 1.5 Flash</x:v>
      </x:c>
      <x:c r="B641" s="17" t="str">
        <x:v>gemini-1.5-flash-0514</x:v>
      </x:c>
      <x:c r="C641" s="17"/>
      <x:c r="D641" s="17" t="str">
        <x:v>Google DeepMind</x:v>
      </x:c>
      <x:c r="E641" s="17" t="str">
        <x:v>United States of America</x:v>
      </x:c>
      <x:c r="F641" s="17" t="n">
        <x:v>45426</x:v>
      </x:c>
      <x:c r="G641" s="17" t="str">
        <x:v>API access</x:v>
      </x:c>
      <x:c r="H641" s="17" t="n">
        <x:v>45422</x:v>
      </x:c>
      <x:c r="I641" s="17"/>
      <x:c r="J641" s="17" t="str">
        <x:v>Unknown</x:v>
      </x:c>
      <x:c r="K641" s="17"/>
      <x:c r="L641" s="17"/>
      <x:c r="M641" s="17" t="str">
        <x:v>Gemini 1.5 Flash (May 2024)</x:v>
      </x:c>
      <x:c r="N641" s="17" t="str">
        <x:v>Gemini 1.5 Flash (May 2024)</x:v>
      </x:c>
      <x:c r="O641" s="17" t="str">
        <x:v>gemini-1-5-flash-may-2024</x:v>
      </x:c>
      <x:c r="P641" s="17" t="n">
        <x:v>122.54</x:v>
      </x:c>
      <x:c r="Q641" s="17" t="n">
        <x:v>115.28</x:v>
      </x:c>
      <x:c r="R641" s="17" t="n">
        <x:v>124.46</x:v>
      </x:c>
      <x:c r="S641" s="17"/>
      <x:c r="T641" s="17"/>
      <x:c r="U641" s="17"/>
      <x:c r="V641" s="17"/>
      <x:c r="W641" s="17"/>
      <x:c r="X641" s="17"/>
      <x:c r="Y641" s="17"/>
      <x:c r="Z641" s="17"/>
    </x:row>
    <x:row r="642">
      <x:c r="A642" s="17" t="str">
        <x:v>Llama 3.2 11B</x:v>
      </x:c>
      <x:c r="B642" s="17" t="str">
        <x:v>Llama-3.2-11B-Vision-Instruct</x:v>
      </x:c>
      <x:c r="C642" s="17"/>
      <x:c r="D642" s="17" t="str">
        <x:v>Meta AI</x:v>
      </x:c>
      <x:c r="E642" s="17" t="str">
        <x:v>United States of America</x:v>
      </x:c>
      <x:c r="F642" s="17" t="n">
        <x:v>45559</x:v>
      </x:c>
      <x:c r="G642" s="17" t="str">
        <x:v>Open weights (restricted use)</x:v>
      </x:c>
      <x:c r="H642" s="17" t="n">
        <x:v>45559</x:v>
      </x:c>
      <x:c r="I642" s="17" t="n">
        <x:v>5.79e+23</x:v>
      </x:c>
      <x:c r="J642" s="17" t="str">
        <x:v>Confident</x:v>
      </x:c>
      <x:c r="K642" s="17" t="str">
        <x:v>An 11 billion-parameter instruction-tuned vision language model in Meta's Llama 3.2 series.</x:v>
      </x:c>
      <x:c r="L642" s="17"/>
      <x:c r="M642" s="17"/>
      <x:c r="N642" s="17" t="str">
        <x:v>Llama 3.2 11B</x:v>
      </x:c>
      <x:c r="O642" s="17" t="str">
        <x:v>llama-3-2-11b</x:v>
      </x:c>
      <x:c r="P642" s="17"/>
      <x:c r="Q642" s="17"/>
      <x:c r="R642" s="17"/>
      <x:c r="S642" s="17"/>
      <x:c r="T642" s="17"/>
      <x:c r="U642" s="17"/>
      <x:c r="V642" s="17"/>
      <x:c r="W642" s="17"/>
      <x:c r="X642" s="17"/>
      <x:c r="Y642" s="17"/>
      <x:c r="Z642" s="17"/>
    </x:row>
    <x:row r="643">
      <x:c r="A643" s="17"/>
      <x:c r="B643" s="17" t="str">
        <x:v>mistral-small-2402</x:v>
      </x:c>
      <x:c r="C643" s="17"/>
      <x:c r="D643" s="17"/>
      <x:c r="E643" s="17"/>
      <x:c r="F643" s="17" t="n">
        <x:v>45348</x:v>
      </x:c>
      <x:c r="G643" s="17"/>
      <x:c r="H643" s="17"/>
      <x:c r="I643" s="17"/>
      <x:c r="J643" s="17" t="str">
        <x:v>Unverified</x:v>
      </x:c>
      <x:c r="K643" s="17" t="str">
        <x:v>A 2024 version of a Mistral language model.</x:v>
      </x:c>
      <x:c r="L643" s="17"/>
      <x:c r="M643" s="17"/>
      <x:c r="N643" s="17"/>
      <x:c r="O643" s="17" t="str">
        <x:v>mistral-small-2402</x:v>
      </x:c>
      <x:c r="P643" s="17"/>
      <x:c r="Q643" s="17"/>
      <x:c r="R643" s="17"/>
      <x:c r="S643" s="17"/>
      <x:c r="T643" s="17"/>
      <x:c r="U643" s="17"/>
      <x:c r="V643" s="17"/>
      <x:c r="W643" s="17"/>
      <x:c r="X643" s="17"/>
      <x:c r="Y643" s="17"/>
      <x:c r="Z643" s="17"/>
    </x:row>
    <x:row r="644">
      <x:c r="A644" s="17" t="str">
        <x:v>Mixtral 8x22B</x:v>
      </x:c>
      <x:c r="B644" s="17" t="str">
        <x:v>Mixtral-8x22B-v0.1</x:v>
      </x:c>
      <x:c r="C644" s="17"/>
      <x:c r="D644" s="17" t="str">
        <x:v>Mistral AI</x:v>
      </x:c>
      <x:c r="E644" s="17" t="str">
        <x:v>France</x:v>
      </x:c>
      <x:c r="F644" s="17" t="n">
        <x:v>45399</x:v>
      </x:c>
      <x:c r="G644" s="17" t="str">
        <x:v>Open weights (unrestricted)</x:v>
      </x:c>
      <x:c r="H644" s="17" t="n">
        <x:v>45399</x:v>
      </x:c>
      <x:c r="I644" s="17" t="n">
        <x:v>2.34e+24</x:v>
      </x:c>
      <x:c r="J644" s="17" t="str">
        <x:v>Speculative</x:v>
      </x:c>
      <x:c r="K644" s="17"/>
      <x:c r="L644" s="17"/>
      <x:c r="M644" s="17"/>
      <x:c r="N644" s="17" t="str">
        <x:v>Mixtral 8x22B</x:v>
      </x:c>
      <x:c r="O644" s="17" t="str">
        <x:v>mixtral-8x22b</x:v>
      </x:c>
      <x:c r="P644" s="17" t="n">
        <x:v>121.28</x:v>
      </x:c>
      <x:c r="Q644" s="17" t="n">
        <x:v>112.48</x:v>
      </x:c>
      <x:c r="R644" s="17" t="n">
        <x:v>123.4</x:v>
      </x:c>
      <x:c r="S644" s="17"/>
      <x:c r="T644" s="17"/>
      <x:c r="U644" s="17"/>
      <x:c r="V644" s="17"/>
      <x:c r="W644" s="17"/>
      <x:c r="X644" s="17"/>
      <x:c r="Y644" s="17"/>
      <x:c r="Z644" s="17"/>
    </x:row>
    <x:row r="645">
      <x:c r="A645" s="17" t="str">
        <x:v>Qwen1.5-7B</x:v>
      </x:c>
      <x:c r="B645" s="17" t="str">
        <x:v>Qwen1.5-7B</x:v>
      </x:c>
      <x:c r="C645" s="17"/>
      <x:c r="D645" s="17" t="str">
        <x:v>Alibaba</x:v>
      </x:c>
      <x:c r="E645" s="17" t="str">
        <x:v>China</x:v>
      </x:c>
      <x:c r="F645" s="17" t="n">
        <x:v>45326</x:v>
      </x:c>
      <x:c r="G645" s="17" t="str">
        <x:v>Open weights (unrestricted)</x:v>
      </x:c>
      <x:c r="H645" s="17" t="n">
        <x:v>45326</x:v>
      </x:c>
      <x:c r="I645" s="17" t="n">
        <x:v>1.68e+23</x:v>
      </x:c>
      <x:c r="J645" s="17" t="str">
        <x:v>Confident</x:v>
      </x:c>
      <x:c r="K645" s="17" t="str">
        <x:v>A 7 billion-parameter model in the Qwen 1.5 series.</x:v>
      </x:c>
      <x:c r="L645" s="17" t="str">
        <x:v>Qwen1.5-7B</x:v>
      </x:c>
      <x:c r="M645" s="17"/>
      <x:c r="N645" s="17" t="str">
        <x:v>Qwen1.5-7B</x:v>
      </x:c>
      <x:c r="O645" s="17" t="str">
        <x:v>qwen1-5-7b</x:v>
      </x:c>
      <x:c r="P645" s="17"/>
      <x:c r="Q645" s="17"/>
      <x:c r="R645" s="17"/>
      <x:c r="S645" s="17"/>
      <x:c r="T645" s="17"/>
      <x:c r="U645" s="17"/>
      <x:c r="V645" s="17"/>
      <x:c r="W645" s="17"/>
      <x:c r="X645" s="17"/>
      <x:c r="Y645" s="17"/>
      <x:c r="Z645" s="17"/>
    </x:row>
    <x:row r="646">
      <x:c r="A646" s="17" t="str">
        <x:v>Qwen1.5-14B</x:v>
      </x:c>
      <x:c r="B646" s="17" t="str">
        <x:v>qwen1.5-14B</x:v>
      </x:c>
      <x:c r="C646" s="17"/>
      <x:c r="D646" s="17" t="str">
        <x:v>Alibaba</x:v>
      </x:c>
      <x:c r="E646" s="17" t="str">
        <x:v>China</x:v>
      </x:c>
      <x:c r="F646" s="17" t="n">
        <x:v>45326</x:v>
      </x:c>
      <x:c r="G646" s="17" t="str">
        <x:v>Open weights (unrestricted)</x:v>
      </x:c>
      <x:c r="H646" s="17" t="n">
        <x:v>45326</x:v>
      </x:c>
      <x:c r="I646" s="17" t="n">
        <x:v>3.36e+23</x:v>
      </x:c>
      <x:c r="J646" s="17" t="str">
        <x:v>Confident</x:v>
      </x:c>
      <x:c r="K646" s="17" t="str">
        <x:v>A 14 billion-parameter model in the Qwen 1.5 series.</x:v>
      </x:c>
      <x:c r="L646" s="17" t="str">
        <x:v>Qwen1.5-14B</x:v>
      </x:c>
      <x:c r="M646" s="17"/>
      <x:c r="N646" s="17" t="str">
        <x:v>Qwen1.5-14B</x:v>
      </x:c>
      <x:c r="O646" s="17" t="str">
        <x:v>qwen1-5-14b</x:v>
      </x:c>
      <x:c r="P646" s="17"/>
      <x:c r="Q646" s="17"/>
      <x:c r="R646" s="17"/>
      <x:c r="S646" s="17"/>
      <x:c r="T646" s="17"/>
      <x:c r="U646" s="17"/>
      <x:c r="V646" s="17"/>
      <x:c r="W646" s="17"/>
      <x:c r="X646" s="17"/>
      <x:c r="Y646" s="17"/>
      <x:c r="Z646" s="17"/>
    </x:row>
    <x:row r="647">
      <x:c r="A647" s="17" t="str">
        <x:v>Qwen1.5-32B</x:v>
      </x:c>
      <x:c r="B647" s="17" t="str">
        <x:v>qwen1.5-32B</x:v>
      </x:c>
      <x:c r="C647" s="17"/>
      <x:c r="D647" s="17" t="str">
        <x:v>Alibaba</x:v>
      </x:c>
      <x:c r="E647" s="17" t="str">
        <x:v>China</x:v>
      </x:c>
      <x:c r="F647" s="17" t="n">
        <x:v>45326</x:v>
      </x:c>
      <x:c r="G647" s="17" t="str">
        <x:v>Open weights (restricted use)</x:v>
      </x:c>
      <x:c r="H647" s="17" t="n">
        <x:v>45327</x:v>
      </x:c>
      <x:c r="I647" s="17"/>
      <x:c r="J647" s="17" t="str">
        <x:v>Confident</x:v>
      </x:c>
      <x:c r="K647" s="17" t="str">
        <x:v>A 32 billion-parameter model in the Qwen 1.5 series.</x:v>
      </x:c>
      <x:c r="L647" s="17" t="str">
        <x:v>Qwen1.5-32B</x:v>
      </x:c>
      <x:c r="M647" s="17"/>
      <x:c r="N647" s="17" t="str">
        <x:v>Qwen1.5-32B</x:v>
      </x:c>
      <x:c r="O647" s="17" t="str">
        <x:v>qwen1-5-32b</x:v>
      </x:c>
      <x:c r="P647" s="17"/>
      <x:c r="Q647" s="17"/>
      <x:c r="R647" s="17"/>
      <x:c r="S647" s="17"/>
      <x:c r="T647" s="17"/>
      <x:c r="U647" s="17"/>
      <x:c r="V647" s="17"/>
      <x:c r="W647" s="17"/>
      <x:c r="X647" s="17"/>
      <x:c r="Y647" s="17"/>
      <x:c r="Z647" s="17"/>
    </x:row>
    <x:row r="648">
      <x:c r="A648" s="17" t="str">
        <x:v>Qwen2.5-14B</x:v>
      </x:c>
      <x:c r="B648" s="17" t="str">
        <x:v>qwen2.5-14b-instruct</x:v>
      </x:c>
      <x:c r="C648" s="17"/>
      <x:c r="D648" s="17" t="str">
        <x:v>Alibaba</x:v>
      </x:c>
      <x:c r="E648" s="17" t="str">
        <x:v>China</x:v>
      </x:c>
      <x:c r="F648" s="17" t="n">
        <x:v>45714</x:v>
      </x:c>
      <x:c r="G648" s="17" t="str">
        <x:v>Open weights (unrestricted)</x:v>
      </x:c>
      <x:c r="H648" s="17" t="n">
        <x:v>45554</x:v>
      </x:c>
      <x:c r="I648" s="17" t="n">
        <x:v>1.58760000000001e+24</x:v>
      </x:c>
      <x:c r="J648" s="17" t="str">
        <x:v>Confident</x:v>
      </x:c>
      <x:c r="K648" s="17" t="str">
        <x:v>An instruction-tuned version of Qwen 2.5 14b.</x:v>
      </x:c>
      <x:c r="L648" s="17" t="str">
        <x:v>Qwen2.5-14B (instruct)</x:v>
      </x:c>
      <x:c r="M648" s="17"/>
      <x:c r="N648" s="17" t="str">
        <x:v>Qwen2.5-14B</x:v>
      </x:c>
      <x:c r="O648" s="17" t="str">
        <x:v>qwen2-5-14b</x:v>
      </x:c>
      <x:c r="P648" s="17"/>
      <x:c r="Q648" s="17"/>
      <x:c r="R648" s="17"/>
      <x:c r="S648" s="17"/>
      <x:c r="T648" s="17"/>
      <x:c r="U648" s="17"/>
      <x:c r="V648" s="17"/>
      <x:c r="W648" s="17"/>
      <x:c r="X648" s="17"/>
      <x:c r="Y648" s="17"/>
      <x:c r="Z648" s="17"/>
    </x:row>
    <x:row r="649">
      <x:c r="A649" s="17" t="str">
        <x:v>Qwen2.5-7B</x:v>
      </x:c>
      <x:c r="B649" s="17" t="str">
        <x:v>qwen2.5-7b-instruct</x:v>
      </x:c>
      <x:c r="C649" s="17"/>
      <x:c r="D649" s="17" t="str">
        <x:v>Alibaba</x:v>
      </x:c>
      <x:c r="E649" s="17" t="str">
        <x:v>China</x:v>
      </x:c>
      <x:c r="F649" s="17" t="n">
        <x:v>45714</x:v>
      </x:c>
      <x:c r="G649" s="17" t="str">
        <x:v>Open weights (unrestricted)</x:v>
      </x:c>
      <x:c r="H649" s="17" t="n">
        <x:v>45554</x:v>
      </x:c>
      <x:c r="I649" s="17" t="n">
        <x:v>8.2188e+23</x:v>
      </x:c>
      <x:c r="J649" s="17" t="str">
        <x:v>Confident</x:v>
      </x:c>
      <x:c r="K649" s="17" t="str">
        <x:v>An instruction-tuned version of Qwen 2.5 7b.</x:v>
      </x:c>
      <x:c r="L649" s="17" t="str">
        <x:v>Qwen2.5-7B</x:v>
      </x:c>
      <x:c r="M649" s="17"/>
      <x:c r="N649" s="17" t="str">
        <x:v>Qwen2.5-7B</x:v>
      </x:c>
      <x:c r="O649" s="17" t="str">
        <x:v>qwen2-5-7b</x:v>
      </x:c>
      <x:c r="P649" s="17"/>
      <x:c r="Q649" s="17"/>
      <x:c r="R649" s="17"/>
      <x:c r="S649" s="17"/>
      <x:c r="T649" s="17"/>
      <x:c r="U649" s="17"/>
      <x:c r="V649" s="17"/>
      <x:c r="W649" s="17"/>
      <x:c r="X649" s="17"/>
      <x:c r="Y649" s="17"/>
      <x:c r="Z649" s="17"/>
    </x:row>
    <x:row r="650">
      <x:c r="A650" s="17" t="str">
        <x:v>Yi-Large</x:v>
      </x:c>
      <x:c r="B650" s="17" t="str">
        <x:v>Yi-large</x:v>
      </x:c>
      <x:c r="C650" s="17"/>
      <x:c r="D650" s="17" t="str">
        <x:v>01.AI</x:v>
      </x:c>
      <x:c r="E650" s="17" t="str">
        <x:v>China</x:v>
      </x:c>
      <x:c r="F650" s="17" t="n">
        <x:v>45425</x:v>
      </x:c>
      <x:c r="G650" s="17" t="str">
        <x:v>API access</x:v>
      </x:c>
      <x:c r="H650" s="17" t="n">
        <x:v>45425</x:v>
      </x:c>
      <x:c r="I650" s="17" t="n">
        <x:v>1.8e+24</x:v>
      </x:c>
      <x:c r="J650" s="17" t="str">
        <x:v>Speculative</x:v>
      </x:c>
      <x:c r="K650" s="17"/>
      <x:c r="L650" s="17" t="str">
        <x:v>Yi-Large</x:v>
      </x:c>
      <x:c r="M650" s="17"/>
      <x:c r="N650" s="17" t="str">
        <x:v>Yi-Large</x:v>
      </x:c>
      <x:c r="O650" s="17" t="str">
        <x:v>yi-large</x:v>
      </x:c>
      <x:c r="P650" s="17"/>
      <x:c r="Q650" s="17"/>
      <x:c r="R650" s="17"/>
      <x:c r="S650" s="17"/>
      <x:c r="T650" s="17"/>
      <x:c r="U650" s="17"/>
      <x:c r="V650" s="17"/>
      <x:c r="W650" s="17"/>
      <x:c r="X650" s="17"/>
      <x:c r="Y650" s="17"/>
      <x:c r="Z650" s="17"/>
    </x:row>
    <x:row r="651">
      <x:c r="A651" s="17"/>
      <x:c r="B651" s="17" t="str">
        <x:v>T5-Large</x:v>
      </x:c>
      <x:c r="C651" s="17"/>
      <x:c r="D651" s="17"/>
      <x:c r="E651" s="17"/>
      <x:c r="F651" s="17"/>
      <x:c r="G651" s="17"/>
      <x:c r="H651" s="17"/>
      <x:c r="I651" s="17"/>
      <x:c r="J651" s="17" t="str">
        <x:v>Unverified</x:v>
      </x:c>
      <x:c r="K651" s="17" t="str">
        <x:v>A version of T5, an early large language model from Google. </x:v>
      </x:c>
      <x:c r="L651" s="17"/>
      <x:c r="M651" s="17"/>
      <x:c r="N651" s="17"/>
      <x:c r="O651" s="17" t="str">
        <x:v>t5-large</x:v>
      </x:c>
      <x:c r="P651" s="17"/>
      <x:c r="Q651" s="17"/>
      <x:c r="R651" s="17"/>
      <x:c r="S651" s="17"/>
      <x:c r="T651" s="17"/>
      <x:c r="U651" s="17"/>
      <x:c r="V651" s="17"/>
      <x:c r="W651" s="17"/>
      <x:c r="X651" s="17"/>
      <x:c r="Y651" s="17"/>
      <x:c r="Z651" s="17"/>
    </x:row>
    <x:row r="652">
      <x:c r="A652" s="17" t="str">
        <x:v>T5-11B</x:v>
      </x:c>
      <x:c r="B652" s="17" t="str">
        <x:v>T5-11B</x:v>
      </x:c>
      <x:c r="C652" s="17"/>
      <x:c r="D652" s="17" t="str">
        <x:v>Google</x:v>
      </x:c>
      <x:c r="E652" s="17" t="str">
        <x:v>United States of America</x:v>
      </x:c>
      <x:c r="F652" s="17"/>
      <x:c r="G652" s="17" t="str">
        <x:v>Open weights (unrestricted)</x:v>
      </x:c>
      <x:c r="H652" s="17" t="n">
        <x:v>43761</x:v>
      </x:c>
      <x:c r="I652" s="17" t="n">
        <x:v>3.3e+22</x:v>
      </x:c>
      <x:c r="J652" s="17" t="str">
        <x:v>Confident</x:v>
      </x:c>
      <x:c r="K652" s="17" t="str">
        <x:v>The largest, 11 billion-parameter version of T5, an early large language model from Google. </x:v>
      </x:c>
      <x:c r="L652" s="17"/>
      <x:c r="M652" s="17"/>
      <x:c r="N652" s="17" t="str">
        <x:v>T5-11B</x:v>
      </x:c>
      <x:c r="O652" s="17" t="str">
        <x:v>t5-11b</x:v>
      </x:c>
      <x:c r="P652" s="17"/>
      <x:c r="Q652" s="17"/>
      <x:c r="R652" s="17"/>
      <x:c r="S652" s="17"/>
      <x:c r="T652" s="17"/>
      <x:c r="U652" s="17"/>
      <x:c r="V652" s="17"/>
      <x:c r="W652" s="17"/>
      <x:c r="X652" s="17"/>
      <x:c r="Y652" s="17"/>
      <x:c r="Z652" s="17"/>
    </x:row>
    <x:row r="653">
      <x:c r="A653" s="17" t="str">
        <x:v>T5-3B</x:v>
      </x:c>
      <x:c r="B653" s="17" t="str">
        <x:v>T5-3B</x:v>
      </x:c>
      <x:c r="C653" s="17"/>
      <x:c r="D653" s="17" t="str">
        <x:v>Google</x:v>
      </x:c>
      <x:c r="E653" s="17" t="str">
        <x:v>United States of America</x:v>
      </x:c>
      <x:c r="F653" s="17"/>
      <x:c r="G653" s="17" t="str">
        <x:v>Open weights (unrestricted)</x:v>
      </x:c>
      <x:c r="H653" s="17" t="n">
        <x:v>43761</x:v>
      </x:c>
      <x:c r="I653" s="17" t="n">
        <x:v>9.0000000001e+21</x:v>
      </x:c>
      <x:c r="J653" s="17" t="str">
        <x:v>Confident</x:v>
      </x:c>
      <x:c r="K653" s="17" t="str">
        <x:v>The 3 billion-parameter version of T5, an early large language model from Google. </x:v>
      </x:c>
      <x:c r="L653" s="17"/>
      <x:c r="M653" s="17"/>
      <x:c r="N653" s="17" t="str">
        <x:v>T5-3B</x:v>
      </x:c>
      <x:c r="O653" s="17" t="str">
        <x:v>t5-3b</x:v>
      </x:c>
      <x:c r="P653" s="17"/>
      <x:c r="Q653" s="17"/>
      <x:c r="R653" s="17"/>
      <x:c r="S653" s="17"/>
      <x:c r="T653" s="17"/>
      <x:c r="U653" s="17"/>
      <x:c r="V653" s="17"/>
      <x:c r="W653" s="17"/>
      <x:c r="X653" s="17"/>
      <x:c r="Y653" s="17"/>
      <x:c r="Z653" s="17"/>
    </x:row>
    <x:row r="654">
      <x:c r="A654" s="17" t="str">
        <x:v>GPT-3 Medium</x:v>
      </x:c>
      <x:c r="B654" s="17" t="str">
        <x:v>ada</x:v>
      </x:c>
      <x:c r="C654" s="17"/>
      <x:c r="D654" s="17" t="str">
        <x:v>OpenAI</x:v>
      </x:c>
      <x:c r="E654" s="17" t="str">
        <x:v>United States of America</x:v>
      </x:c>
      <x:c r="F654" s="17"/>
      <x:c r="G654" s="17"/>
      <x:c r="H654" s="17" t="n">
        <x:v>44004</x:v>
      </x:c>
      <x:c r="I654" s="17" t="n">
        <x:v>641000000000000000000</x:v>
      </x:c>
      <x:c r="J654" s="17" t="str">
        <x:v>Confident</x:v>
      </x:c>
      <x:c r="K654" s="17"/>
      <x:c r="L654" s="17"/>
      <x:c r="M654" s="17"/>
      <x:c r="N654" s="17" t="str">
        <x:v>GPT-3 Medium</x:v>
      </x:c>
      <x:c r="O654" s="17" t="str">
        <x:v>gpt-3-medium</x:v>
      </x:c>
      <x:c r="P654" s="17"/>
      <x:c r="Q654" s="17"/>
      <x:c r="R654" s="17"/>
      <x:c r="S654" s="17"/>
      <x:c r="T654" s="17"/>
      <x:c r="U654" s="17"/>
      <x:c r="V654" s="17"/>
      <x:c r="W654" s="17"/>
      <x:c r="X654" s="17"/>
      <x:c r="Y654" s="17"/>
      <x:c r="Z654" s="17"/>
    </x:row>
    <x:row r="655">
      <x:c r="A655" s="17" t="str">
        <x:v>GPT-3 XL</x:v>
      </x:c>
      <x:c r="B655" s="17" t="str">
        <x:v>babbage</x:v>
      </x:c>
      <x:c r="C655" s="17"/>
      <x:c r="D655" s="17" t="str">
        <x:v>OpenAI</x:v>
      </x:c>
      <x:c r="E655" s="17" t="str">
        <x:v>United States of America</x:v>
      </x:c>
      <x:c r="F655" s="17" t="n">
        <x:v>44004</x:v>
      </x:c>
      <x:c r="G655" s="17"/>
      <x:c r="H655" s="17" t="n">
        <x:v>44004</x:v>
      </x:c>
      <x:c r="I655" s="17" t="n">
        <x:v>2.38e+21</x:v>
      </x:c>
      <x:c r="J655" s="17" t="str">
        <x:v>Confident</x:v>
      </x:c>
      <x:c r="K655" s="17"/>
      <x:c r="L655" s="17"/>
      <x:c r="M655" s="17" t="str">
        <x:v>GPT-3 XL (babbage)</x:v>
      </x:c>
      <x:c r="N655" s="17" t="str">
        <x:v>GPT-3 XL (babbage)</x:v>
      </x:c>
      <x:c r="O655" s="17" t="str">
        <x:v>gpt-3-xl-babbage</x:v>
      </x:c>
      <x:c r="P655" s="17"/>
      <x:c r="Q655" s="17"/>
      <x:c r="R655" s="17"/>
      <x:c r="S655" s="17"/>
      <x:c r="T655" s="17"/>
      <x:c r="U655" s="17"/>
      <x:c r="V655" s="17"/>
      <x:c r="W655" s="17"/>
      <x:c r="X655" s="17"/>
      <x:c r="Y655" s="17"/>
      <x:c r="Z655" s="17"/>
    </x:row>
    <x:row r="656">
      <x:c r="A656" s="17" t="str">
        <x:v>BLOOM-176B</x:v>
      </x:c>
      <x:c r="B656" s="17" t="str">
        <x:v>bloom</x:v>
      </x:c>
      <x:c r="C656" s="17"/>
      <x:c r="D656" s="17" t="str">
        <x:v>Hugging Face,BigScience</x:v>
      </x:c>
      <x:c r="E656" s="17" t="str">
        <x:v>United States of America,France</x:v>
      </x:c>
      <x:c r="F656" s="17" t="n">
        <x:v>44748</x:v>
      </x:c>
      <x:c r="G656" s="17" t="str">
        <x:v>Open weights (restricted use)</x:v>
      </x:c>
      <x:c r="H656" s="17" t="n">
        <x:v>44753</x:v>
      </x:c>
      <x:c r="I656" s="17" t="n">
        <x:v>3.65664e+23</x:v>
      </x:c>
      <x:c r="J656" s="17" t="str">
        <x:v>Confident</x:v>
      </x:c>
      <x:c r="K656" s="17"/>
      <x:c r="L656" s="17"/>
      <x:c r="M656" s="17"/>
      <x:c r="N656" s="17" t="str">
        <x:v>BLOOM-176B</x:v>
      </x:c>
      <x:c r="O656" s="17" t="str">
        <x:v>bloom-176b</x:v>
      </x:c>
      <x:c r="P656" s="17"/>
      <x:c r="Q656" s="17"/>
      <x:c r="R656" s="17"/>
      <x:c r="S656" s="17"/>
      <x:c r="T656" s="17"/>
      <x:c r="U656" s="17"/>
      <x:c r="V656" s="17"/>
      <x:c r="W656" s="17"/>
      <x:c r="X656" s="17"/>
      <x:c r="Y656" s="17"/>
      <x:c r="Z656" s="17"/>
    </x:row>
    <x:row r="657">
      <x:c r="A657" s="17" t="str">
        <x:v>GPT-3 6.7B</x:v>
      </x:c>
      <x:c r="B657" s="17" t="str">
        <x:v>curie</x:v>
      </x:c>
      <x:c r="C657" s="17"/>
      <x:c r="D657" s="17" t="str">
        <x:v>OpenAI</x:v>
      </x:c>
      <x:c r="E657" s="17" t="str">
        <x:v>United States of America</x:v>
      </x:c>
      <x:c r="F657" s="17"/>
      <x:c r="G657" s="17"/>
      <x:c r="H657" s="17" t="n">
        <x:v>44004</x:v>
      </x:c>
      <x:c r="I657" s="17" t="n">
        <x:v>1.2e+22</x:v>
      </x:c>
      <x:c r="J657" s="17" t="str">
        <x:v>Confident</x:v>
      </x:c>
      <x:c r="K657" s="17"/>
      <x:c r="L657" s="17"/>
      <x:c r="M657" s="17"/>
      <x:c r="N657" s="17" t="str">
        <x:v>GPT-3 6.7B</x:v>
      </x:c>
      <x:c r="O657" s="17" t="str">
        <x:v>gpt-3-6-7b</x:v>
      </x:c>
      <x:c r="P657" s="17"/>
      <x:c r="Q657" s="17"/>
      <x:c r="R657" s="17"/>
      <x:c r="S657" s="17"/>
      <x:c r="T657" s="17"/>
      <x:c r="U657" s="17"/>
      <x:c r="V657" s="17"/>
      <x:c r="W657" s="17"/>
      <x:c r="X657" s="17"/>
      <x:c r="Y657" s="17"/>
      <x:c r="Z657" s="17"/>
    </x:row>
    <x:row r="658">
      <x:c r="A658" s="17" t="str">
        <x:v>GPT-3 175B (davinci)</x:v>
      </x:c>
      <x:c r="B658" s="17" t="str">
        <x:v>davinci</x:v>
      </x:c>
      <x:c r="C658" s="17"/>
      <x:c r="D658" s="17" t="str">
        <x:v>OpenAI</x:v>
      </x:c>
      <x:c r="E658" s="17" t="str">
        <x:v>United States of America</x:v>
      </x:c>
      <x:c r="F658" s="17"/>
      <x:c r="G658" s="17" t="str">
        <x:v>API access</x:v>
      </x:c>
      <x:c r="H658" s="17" t="n">
        <x:v>43979</x:v>
      </x:c>
      <x:c r="I658" s="17" t="n">
        <x:v>3.14e+23</x:v>
      </x:c>
      <x:c r="J658" s="17" t="str">
        <x:v>Confident</x:v>
      </x:c>
      <x:c r="K658" s="17"/>
      <x:c r="L658" s="17" t="str">
        <x:v>GPT-3 175B (davinci)</x:v>
      </x:c>
      <x:c r="M658" s="17"/>
      <x:c r="N658" s="17" t="str">
        <x:v>GPT-3 175B (davinci)</x:v>
      </x:c>
      <x:c r="O658" s="17" t="str">
        <x:v>gpt-3-175b-davinci</x:v>
      </x:c>
      <x:c r="P658" s="17"/>
      <x:c r="Q658" s="17"/>
      <x:c r="R658" s="17"/>
      <x:c r="S658" s="17"/>
      <x:c r="T658" s="17"/>
      <x:c r="U658" s="17"/>
      <x:c r="V658" s="17"/>
      <x:c r="W658" s="17"/>
      <x:c r="X658" s="17"/>
      <x:c r="Y658" s="17"/>
      <x:c r="Z658" s="17"/>
    </x:row>
    <x:row r="659">
      <x:c r="A659" s="17" t="str">
        <x:v>GPT-3.5 (davinci-003)</x:v>
      </x:c>
      <x:c r="B659" s="17" t="str">
        <x:v>text-davinci-003</x:v>
      </x:c>
      <x:c r="C659" s="17"/>
      <x:c r="D659" s="17"/>
      <x:c r="E659" s="17"/>
      <x:c r="F659" s="17" t="n">
        <x:v>44893</x:v>
      </x:c>
      <x:c r="G659" s="17"/>
      <x:c r="H659" s="17" t="n">
        <x:v>44893</x:v>
      </x:c>
      <x:c r="I659" s="17"/>
      <x:c r="J659" s="17" t="str">
        <x:v>Likely</x:v>
      </x:c>
      <x:c r="K659" s="17"/>
      <x:c r="L659" s="17"/>
      <x:c r="M659" s="17" t="str">
        <x:v>davinci-003</x:v>
      </x:c>
      <x:c r="N659" s="17" t="str">
        <x:v>davinci-003</x:v>
      </x:c>
      <x:c r="O659" s="17" t="str">
        <x:v>davinci-003</x:v>
      </x:c>
      <x:c r="P659" s="17"/>
      <x:c r="Q659" s="17"/>
      <x:c r="R659" s="17"/>
      <x:c r="S659" s="17"/>
      <x:c r="T659" s="17"/>
      <x:c r="U659" s="17"/>
      <x:c r="V659" s="17"/>
      <x:c r="W659" s="17"/>
      <x:c r="X659" s="17"/>
      <x:c r="Y659" s="17"/>
      <x:c r="Z659" s="17"/>
    </x:row>
    <x:row r="660">
      <x:c r="A660" s="17" t="str">
        <x:v>GPT-4 (Mar 2023)</x:v>
      </x:c>
      <x:c r="B660" s="17" t="str">
        <x:v>gpt-4-32k-0314</x:v>
      </x:c>
      <x:c r="C660" s="17"/>
      <x:c r="D660" s="17" t="str">
        <x:v>OpenAI</x:v>
      </x:c>
      <x:c r="E660" s="17" t="str">
        <x:v>United States of America</x:v>
      </x:c>
      <x:c r="F660" s="17" t="n">
        <x:v>44999</x:v>
      </x:c>
      <x:c r="G660" s="17" t="str">
        <x:v>API access</x:v>
      </x:c>
      <x:c r="H660" s="17" t="n">
        <x:v>45000</x:v>
      </x:c>
      <x:c r="I660" s="17" t="n">
        <x:v>2.1e+25</x:v>
      </x:c>
      <x:c r="J660" s="17" t="str">
        <x:v>Likely</x:v>
      </x:c>
      <x:c r="K660" s="17"/>
      <x:c r="L660" s="17"/>
      <x:c r="M660" s="17"/>
      <x:c r="N660" s="17" t="str">
        <x:v>GPT-4 (Mar 2023)</x:v>
      </x:c>
      <x:c r="O660" s="17" t="str">
        <x:v>gpt-4-mar-2023</x:v>
      </x:c>
      <x:c r="P660" s="17" t="n">
        <x:v>125.93</x:v>
      </x:c>
      <x:c r="Q660" s="17" t="n">
        <x:v>119.58</x:v>
      </x:c>
      <x:c r="R660" s="17" t="n">
        <x:v>132.2</x:v>
      </x:c>
      <x:c r="S660" s="17"/>
      <x:c r="T660" s="17"/>
      <x:c r="U660" s="17"/>
      <x:c r="V660" s="17"/>
      <x:c r="W660" s="17"/>
      <x:c r="X660" s="17"/>
      <x:c r="Y660" s="17"/>
      <x:c r="Z660" s="17"/>
    </x:row>
    <x:row r="661">
      <x:c r="A661" s="17" t="str">
        <x:v>OPT-66B</x:v>
      </x:c>
      <x:c r="B661" s="17" t="str">
        <x:v>opt-66b</x:v>
      </x:c>
      <x:c r="C661" s="17"/>
      <x:c r="D661" s="17" t="str">
        <x:v>Meta AI</x:v>
      </x:c>
      <x:c r="E661" s="17" t="str">
        <x:v>United States of America</x:v>
      </x:c>
      <x:c r="F661" s="17" t="n">
        <x:v>44684</x:v>
      </x:c>
      <x:c r="G661" s="17" t="str">
        <x:v>Open weights (non-commercial)</x:v>
      </x:c>
      <x:c r="H661" s="17" t="n">
        <x:v>44733</x:v>
      </x:c>
      <x:c r="I661" s="17" t="n">
        <x:v>1.100000000001e+23</x:v>
      </x:c>
      <x:c r="J661" s="17" t="str">
        <x:v>Confident</x:v>
      </x:c>
      <x:c r="K661" s="17" t="str">
        <x:v>Facebook's 66 billion-parameter model in the OPT series.</x:v>
      </x:c>
      <x:c r="L661" s="17"/>
      <x:c r="M661" s="17"/>
      <x:c r="N661" s="17" t="str">
        <x:v>OPT-66B</x:v>
      </x:c>
      <x:c r="O661" s="17" t="str">
        <x:v>opt-66b</x:v>
      </x:c>
      <x:c r="P661" s="17"/>
      <x:c r="Q661" s="17"/>
      <x:c r="R661" s="17"/>
      <x:c r="S661" s="17"/>
      <x:c r="T661" s="17"/>
      <x:c r="U661" s="17"/>
      <x:c r="V661" s="17"/>
      <x:c r="W661" s="17"/>
      <x:c r="X661" s="17"/>
      <x:c r="Y661" s="17"/>
      <x:c r="Z661" s="17"/>
    </x:row>
    <x:row r="662">
      <x:c r="A662" s="17" t="str">
        <x:v>OPT-175B</x:v>
      </x:c>
      <x:c r="B662" s="17" t="str">
        <x:v>opt-175b</x:v>
      </x:c>
      <x:c r="C662" s="17"/>
      <x:c r="D662" s="17" t="str">
        <x:v>Meta AI</x:v>
      </x:c>
      <x:c r="E662" s="17" t="str">
        <x:v>United States of America</x:v>
      </x:c>
      <x:c r="F662" s="17" t="n">
        <x:v>44683</x:v>
      </x:c>
      <x:c r="G662" s="17" t="str">
        <x:v>Open weights (non-commercial)</x:v>
      </x:c>
      <x:c r="H662" s="17" t="n">
        <x:v>44683</x:v>
      </x:c>
      <x:c r="I662" s="17" t="n">
        <x:v>4.3e+23</x:v>
      </x:c>
      <x:c r="J662" s="17" t="str">
        <x:v>Confident</x:v>
      </x:c>
      <x:c r="K662" s="17" t="str">
        <x:v>Facebook's 66 billion-parameter model in the OPT series.</x:v>
      </x:c>
      <x:c r="L662" s="17"/>
      <x:c r="M662" s="17"/>
      <x:c r="N662" s="17" t="str">
        <x:v>OPT-175B</x:v>
      </x:c>
      <x:c r="O662" s="17" t="str">
        <x:v>opt-175b</x:v>
      </x:c>
      <x:c r="P662" s="17"/>
      <x:c r="Q662" s="17"/>
      <x:c r="R662" s="17"/>
      <x:c r="S662" s="17"/>
      <x:c r="T662" s="17"/>
      <x:c r="U662" s="17"/>
      <x:c r="V662" s="17"/>
      <x:c r="W662" s="17"/>
      <x:c r="X662" s="17"/>
      <x:c r="Y662" s="17"/>
      <x:c r="Z662" s="17"/>
    </x:row>
    <x:row r="663">
      <x:c r="A663" s="17" t="str">
        <x:v>InstructGPT 350M</x:v>
      </x:c>
      <x:c r="B663" s="17" t="str">
        <x:v>text-ada-001</x:v>
      </x:c>
      <x:c r="C663" s="17"/>
      <x:c r="D663" s="17" t="str">
        <x:v>OpenAI</x:v>
      </x:c>
      <x:c r="E663" s="17" t="str">
        <x:v>United States of America</x:v>
      </x:c>
      <x:c r="F663" s="17"/>
      <x:c r="G663" s="17"/>
      <x:c r="H663" s="17" t="n">
        <x:v>44588</x:v>
      </x:c>
      <x:c r="I663" s="17"/>
      <x:c r="J663" s="17" t="str">
        <x:v>Confident</x:v>
      </x:c>
      <x:c r="K663" s="17"/>
      <x:c r="L663" s="17"/>
      <x:c r="M663" s="17"/>
      <x:c r="N663" s="17" t="str">
        <x:v>InstructGPT 350M</x:v>
      </x:c>
      <x:c r="O663" s="17" t="str">
        <x:v>instructgpt-350m</x:v>
      </x:c>
      <x:c r="P663" s="17"/>
      <x:c r="Q663" s="17"/>
      <x:c r="R663" s="17"/>
      <x:c r="S663" s="17"/>
      <x:c r="T663" s="17"/>
      <x:c r="U663" s="17"/>
      <x:c r="V663" s="17"/>
      <x:c r="W663" s="17"/>
      <x:c r="X663" s="17"/>
      <x:c r="Y663" s="17"/>
      <x:c r="Z663" s="17"/>
    </x:row>
    <x:row r="664">
      <x:c r="A664" s="17" t="str">
        <x:v>InstructGPT 1.3B</x:v>
      </x:c>
      <x:c r="B664" s="17" t="str">
        <x:v>text-babbage-001</x:v>
      </x:c>
      <x:c r="C664" s="17"/>
      <x:c r="D664" s="17" t="str">
        <x:v>OpenAI</x:v>
      </x:c>
      <x:c r="E664" s="17" t="str">
        <x:v>United States of America</x:v>
      </x:c>
      <x:c r="F664" s="17"/>
      <x:c r="G664" s="17" t="str">
        <x:v>API access</x:v>
      </x:c>
      <x:c r="H664" s="17" t="n">
        <x:v>44588</x:v>
      </x:c>
      <x:c r="I664" s="17"/>
      <x:c r="J664" s="17" t="str">
        <x:v>Confident</x:v>
      </x:c>
      <x:c r="K664" s="17"/>
      <x:c r="L664" s="17"/>
      <x:c r="M664" s="17"/>
      <x:c r="N664" s="17" t="str">
        <x:v>InstructGPT 1.3B</x:v>
      </x:c>
      <x:c r="O664" s="17" t="str">
        <x:v>instructgpt-1-3b</x:v>
      </x:c>
      <x:c r="P664" s="17"/>
      <x:c r="Q664" s="17"/>
      <x:c r="R664" s="17"/>
      <x:c r="S664" s="17"/>
      <x:c r="T664" s="17"/>
      <x:c r="U664" s="17"/>
      <x:c r="V664" s="17"/>
      <x:c r="W664" s="17"/>
      <x:c r="X664" s="17"/>
      <x:c r="Y664" s="17"/>
      <x:c r="Z664" s="17"/>
    </x:row>
    <x:row r="665">
      <x:c r="A665" s="17" t="str">
        <x:v>InstructGPT 6B</x:v>
      </x:c>
      <x:c r="B665" s="17" t="str">
        <x:v>text-curie-001</x:v>
      </x:c>
      <x:c r="C665" s="17"/>
      <x:c r="D665" s="17" t="str">
        <x:v>OpenAI</x:v>
      </x:c>
      <x:c r="E665" s="17" t="str">
        <x:v>United States of America</x:v>
      </x:c>
      <x:c r="F665" s="17"/>
      <x:c r="G665" s="17" t="str">
        <x:v>API access</x:v>
      </x:c>
      <x:c r="H665" s="17" t="n">
        <x:v>44588</x:v>
      </x:c>
      <x:c r="I665" s="17"/>
      <x:c r="J665" s="17" t="str">
        <x:v>Confident</x:v>
      </x:c>
      <x:c r="K665" s="17"/>
      <x:c r="L665" s="17"/>
      <x:c r="M665" s="17"/>
      <x:c r="N665" s="17" t="str">
        <x:v>InstructGPT 6B</x:v>
      </x:c>
      <x:c r="O665" s="17" t="str">
        <x:v>instructgpt-6b</x:v>
      </x:c>
      <x:c r="P665" s="17"/>
      <x:c r="Q665" s="17"/>
      <x:c r="R665" s="17"/>
      <x:c r="S665" s="17"/>
      <x:c r="T665" s="17"/>
      <x:c r="U665" s="17"/>
      <x:c r="V665" s="17"/>
      <x:c r="W665" s="17"/>
      <x:c r="X665" s="17"/>
      <x:c r="Y665" s="17"/>
      <x:c r="Z665" s="17"/>
    </x:row>
    <x:row r="666">
      <x:c r="A666" s="17" t="str">
        <x:v>Gemini 2.5 Flash</x:v>
      </x:c>
      <x:c r="B666" s="17" t="str">
        <x:v>gemini-2.5-flash-preview-04-17 (24K thinking)</x:v>
      </x:c>
      <x:c r="C666" s="17"/>
      <x:c r="D666" s="17" t="str">
        <x:v>Google DeepMind</x:v>
      </x:c>
      <x:c r="E666" s="17" t="str">
        <x:v>United States of America</x:v>
      </x:c>
      <x:c r="F666" s="17" t="n">
        <x:v>45764</x:v>
      </x:c>
      <x:c r="G666" s="17" t="str">
        <x:v>API access</x:v>
      </x:c>
      <x:c r="H666" s="17" t="n">
        <x:v>45764</x:v>
      </x:c>
      <x:c r="I666" s="17"/>
      <x:c r="J666" s="17" t="str">
        <x:v>Unknown</x:v>
      </x:c>
      <x:c r="K666" s="17" t="str">
        <x:v>An April 2025 preview version of Gemini 2.5 Flash, a small reasoning model in the Gemini 2.5 series from DeepMind, evaluated with up to 24,000 reasoning tokens.</x:v>
      </x:c>
      <x:c r="L666" s="17"/>
      <x:c r="M666" s="17" t="str">
        <x:v>Gemini 2.5 Flash (Apr 2025)</x:v>
      </x:c>
      <x:c r="N666" s="17" t="str">
        <x:v>Gemini 2.5 Flash (Apr 2025)</x:v>
      </x:c>
      <x:c r="O666" s="17" t="str">
        <x:v>gemini-2-5-flash-apr-2025</x:v>
      </x:c>
      <x:c r="P666" s="17" t="n">
        <x:v>140.61</x:v>
      </x:c>
      <x:c r="Q666" s="17" t="n">
        <x:v>135.95</x:v>
      </x:c>
      <x:c r="R666" s="17" t="n">
        <x:v>142.64</x:v>
      </x:c>
      <x:c r="S666" s="17"/>
      <x:c r="T666" s="17"/>
      <x:c r="U666" s="17"/>
      <x:c r="V666" s="17"/>
      <x:c r="W666" s="17"/>
      <x:c r="X666" s="17"/>
      <x:c r="Y666" s="17"/>
      <x:c r="Z666" s="17"/>
    </x:row>
    <x:row r="667">
      <x:c r="A667" s="17" t="str">
        <x:v>o1</x:v>
      </x:c>
      <x:c r="B667" s="17" t="str">
        <x:v>o1-2024-12-17_low</x:v>
      </x:c>
      <x:c r="C667" s="17" t="str">
        <x:v>o1 (low)</x:v>
      </x:c>
      <x:c r="D667" s="17" t="str">
        <x:v>OpenAI</x:v>
      </x:c>
      <x:c r="E667" s="17" t="str">
        <x:v>United States of America</x:v>
      </x:c>
      <x:c r="F667" s="17" t="n">
        <x:v>45643</x:v>
      </x:c>
      <x:c r="G667" s="17" t="str">
        <x:v>API access</x:v>
      </x:c>
      <x:c r="H667" s="17" t="n">
        <x:v>45631</x:v>
      </x:c>
      <x:c r="I667" s="17"/>
      <x:c r="J667" s="17" t="str">
        <x:v>Unknown</x:v>
      </x:c>
      <x:c r="K667" s="17" t="str">
        <x:v>OpenAI's first reasoning model, evaluated with at the low reasoning tokens level.</x:v>
      </x:c>
      <x:c r="L667" s="17"/>
      <x:c r="M667" s="17"/>
      <x:c r="N667" s="17" t="str">
        <x:v>o1</x:v>
      </x:c>
      <x:c r="O667" s="17" t="str">
        <x:v>o1</x:v>
      </x:c>
      <x:c r="P667" s="17" t="n">
        <x:v>142.69</x:v>
      </x:c>
      <x:c r="Q667" s="17" t="n">
        <x:v>140.88</x:v>
      </x:c>
      <x:c r="R667" s="17" t="n">
        <x:v>143.81</x:v>
      </x:c>
      <x:c r="S667" s="17"/>
      <x:c r="T667" s="17"/>
      <x:c r="U667" s="17"/>
      <x:c r="V667" s="17"/>
      <x:c r="W667" s="17"/>
      <x:c r="X667" s="17"/>
      <x:c r="Y667" s="17"/>
      <x:c r="Z667" s="17"/>
    </x:row>
    <x:row r="668">
      <x:c r="A668" s="17" t="str">
        <x:v>o1-pro</x:v>
      </x:c>
      <x:c r="B668" s="17" t="str">
        <x:v>o1-pro-2025-03-19_low</x:v>
      </x:c>
      <x:c r="C668" s="17" t="str">
        <x:v>o1 Pro (low)</x:v>
      </x:c>
      <x:c r="D668" s="17" t="str">
        <x:v>OpenAI</x:v>
      </x:c>
      <x:c r="E668" s="17" t="str">
        <x:v>United States of America</x:v>
      </x:c>
      <x:c r="F668" s="17" t="n">
        <x:v>45735</x:v>
      </x:c>
      <x:c r="G668" s="17" t="str">
        <x:v>API access</x:v>
      </x:c>
      <x:c r="H668" s="17" t="n">
        <x:v>45735</x:v>
      </x:c>
      <x:c r="I668" s="17"/>
      <x:c r="J668" s="17" t="str">
        <x:v>Likely</x:v>
      </x:c>
      <x:c r="K668" s="17" t="str">
        <x:v>An An enhanced version of OpenAI's first reasoning model,o1, evaluated with low reasoning effort.</x:v>
      </x:c>
      <x:c r="L668" s="17"/>
      <x:c r="M668" s="17"/>
      <x:c r="N668" s="17" t="str">
        <x:v>o1-pro</x:v>
      </x:c>
      <x:c r="O668" s="17" t="str">
        <x:v>o1-pro</x:v>
      </x:c>
      <x:c r="P668" s="17"/>
      <x:c r="Q668" s="17"/>
      <x:c r="R668" s="17"/>
      <x:c r="S668" s="17"/>
      <x:c r="T668" s="17"/>
      <x:c r="U668" s="17"/>
      <x:c r="V668" s="17"/>
      <x:c r="W668" s="17"/>
      <x:c r="X668" s="17"/>
      <x:c r="Y668" s="17"/>
      <x:c r="Z668" s="17"/>
    </x:row>
    <x:row r="669">
      <x:c r="A669" s="17" t="str">
        <x:v>MPT-30B</x:v>
      </x:c>
      <x:c r="B669" s="17" t="str">
        <x:v>mpt-30b-instruct</x:v>
      </x:c>
      <x:c r="C669" s="17"/>
      <x:c r="D669" s="17" t="str">
        <x:v>MosaicML</x:v>
      </x:c>
      <x:c r="E669" s="17" t="str">
        <x:v>United States of America</x:v>
      </x:c>
      <x:c r="F669" s="17" t="n">
        <x:v>45099</x:v>
      </x:c>
      <x:c r="G669" s="17" t="str">
        <x:v>Open weights (unrestricted)</x:v>
      </x:c>
      <x:c r="H669" s="17" t="n">
        <x:v>45099</x:v>
      </x:c>
      <x:c r="I669" s="17" t="n">
        <x:v>1.8900000000001e+23</x:v>
      </x:c>
      <x:c r="J669" s="17" t="str">
        <x:v>Confident</x:v>
      </x:c>
      <x:c r="K669" s="17"/>
      <x:c r="L669" s="17"/>
      <x:c r="M669" s="17"/>
      <x:c r="N669" s="17" t="str">
        <x:v>MPT-30B</x:v>
      </x:c>
      <x:c r="O669" s="17" t="str">
        <x:v>mpt-30b</x:v>
      </x:c>
      <x:c r="P669" s="17" t="n">
        <x:v>100.38</x:v>
      </x:c>
      <x:c r="Q669" s="17" t="n">
        <x:v>89.25</x:v>
      </x:c>
      <x:c r="R669" s="17" t="n">
        <x:v>106.66</x:v>
      </x:c>
      <x:c r="S669" s="17"/>
      <x:c r="T669" s="17"/>
      <x:c r="U669" s="17"/>
      <x:c r="V669" s="17"/>
      <x:c r="W669" s="17"/>
      <x:c r="X669" s="17"/>
      <x:c r="Y669" s="17"/>
      <x:c r="Z669" s="17"/>
    </x:row>
    <x:row r="670">
      <x:c r="A670" s="17" t="str">
        <x:v>Vicuna-13B-v1.3</x:v>
      </x:c>
      <x:c r="B670" s="17" t="str">
        <x:v>vicuna-13b-v1.3</x:v>
      </x:c>
      <x:c r="C670" s="17"/>
      <x:c r="D670" s="17" t="str">
        <x:v>Large Model Systems Organization,University of California (UC) Berkeley</x:v>
      </x:c>
      <x:c r="E670" s="17" t="str">
        <x:v>United States of America</x:v>
      </x:c>
      <x:c r="F670" s="17" t="n">
        <x:v>45095</x:v>
      </x:c>
      <x:c r="G670" s="17" t="str">
        <x:v>Open weights (restricted use)</x:v>
      </x:c>
      <x:c r="H670" s="17" t="n">
        <x:v>45099</x:v>
      </x:c>
      <x:c r="I670" s="17"/>
      <x:c r="J670" s="17" t="str">
        <x:v>Confident</x:v>
      </x:c>
      <x:c r="K670" s="17"/>
      <x:c r="L670" s="17" t="str">
        <x:v>Vicuna-13B-v1.3</x:v>
      </x:c>
      <x:c r="M670" s="17"/>
      <x:c r="N670" s="17" t="str">
        <x:v>Vicuna-13B-v1.3</x:v>
      </x:c>
      <x:c r="O670" s="17" t="str">
        <x:v>vicuna-13b-v1-3</x:v>
      </x:c>
      <x:c r="P670" s="17"/>
      <x:c r="Q670" s="17"/>
      <x:c r="R670" s="17"/>
      <x:c r="S670" s="17"/>
      <x:c r="T670" s="17"/>
      <x:c r="U670" s="17"/>
      <x:c r="V670" s="17"/>
      <x:c r="W670" s="17"/>
      <x:c r="X670" s="17"/>
      <x:c r="Y670" s="17"/>
      <x:c r="Z670" s="17"/>
    </x:row>
    <x:row r="671">
      <x:c r="A671" s="17"/>
      <x:c r="B671" s="17" t="str">
        <x:v>T5-Small</x:v>
      </x:c>
      <x:c r="C671" s="17"/>
      <x:c r="D671" s="17"/>
      <x:c r="E671" s="17"/>
      <x:c r="F671" s="17"/>
      <x:c r="G671" s="17"/>
      <x:c r="H671" s="17"/>
      <x:c r="I671" s="17"/>
      <x:c r="J671" s="17" t="str">
        <x:v>Unverified</x:v>
      </x:c>
      <x:c r="K671" s="17" t="str">
        <x:v>The smallest version of T5, an early large language model from Google. </x:v>
      </x:c>
      <x:c r="L671" s="17"/>
      <x:c r="M671" s="17"/>
      <x:c r="N671" s="17"/>
      <x:c r="O671" s="17" t="str">
        <x:v>t5-small</x:v>
      </x:c>
      <x:c r="P671" s="17"/>
      <x:c r="Q671" s="17"/>
      <x:c r="R671" s="17"/>
      <x:c r="S671" s="17"/>
      <x:c r="T671" s="17"/>
      <x:c r="U671" s="17"/>
      <x:c r="V671" s="17"/>
      <x:c r="W671" s="17"/>
      <x:c r="X671" s="17"/>
      <x:c r="Y671" s="17"/>
      <x:c r="Z671" s="17"/>
    </x:row>
    <x:row r="672">
      <x:c r="A672" s="17"/>
      <x:c r="B672" s="17" t="str">
        <x:v>T5-Base</x:v>
      </x:c>
      <x:c r="C672" s="17"/>
      <x:c r="D672" s="17"/>
      <x:c r="E672" s="17"/>
      <x:c r="F672" s="17"/>
      <x:c r="G672" s="17"/>
      <x:c r="H672" s="17"/>
      <x:c r="I672" s="17"/>
      <x:c r="J672" s="17" t="str">
        <x:v>Unverified</x:v>
      </x:c>
      <x:c r="K672" s="17" t="str">
        <x:v>A version of T5, an early large language model from Google. </x:v>
      </x:c>
      <x:c r="L672" s="17"/>
      <x:c r="M672" s="17"/>
      <x:c r="N672" s="17"/>
      <x:c r="O672" s="17" t="str">
        <x:v>t5-base</x:v>
      </x:c>
      <x:c r="P672" s="17"/>
      <x:c r="Q672" s="17"/>
      <x:c r="R672" s="17"/>
      <x:c r="S672" s="17"/>
      <x:c r="T672" s="17"/>
      <x:c r="U672" s="17"/>
      <x:c r="V672" s="17"/>
      <x:c r="W672" s="17"/>
      <x:c r="X672" s="17"/>
      <x:c r="Y672" s="17"/>
      <x:c r="Z672" s="17"/>
    </x:row>
    <x:row r="673">
      <x:c r="A673" s="17" t="str">
        <x:v>Qwen2.5-Max</x:v>
      </x:c>
      <x:c r="B673" s="17" t="str">
        <x:v>qwen2.5-max</x:v>
      </x:c>
      <x:c r="C673" s="17"/>
      <x:c r="D673" s="17" t="str">
        <x:v>Alibaba</x:v>
      </x:c>
      <x:c r="E673" s="17" t="str">
        <x:v>China</x:v>
      </x:c>
      <x:c r="F673" s="17" t="n">
        <x:v>45685</x:v>
      </x:c>
      <x:c r="G673" s="17" t="str">
        <x:v>API access</x:v>
      </x:c>
      <x:c r="H673" s="17" t="n">
        <x:v>45685</x:v>
      </x:c>
      <x:c r="I673" s="17"/>
      <x:c r="J673" s="17" t="str">
        <x:v>Unknown</x:v>
      </x:c>
      <x:c r="K673" s="17" t="str">
        <x:v>The largest model in the Qwen 2.5 series.</x:v>
      </x:c>
      <x:c r="L673" s="17" t="str">
        <x:v>Qwen2.5-Max</x:v>
      </x:c>
      <x:c r="M673" s="17"/>
      <x:c r="N673" s="17" t="str">
        <x:v>Qwen2.5-Max</x:v>
      </x:c>
      <x:c r="O673" s="17" t="str">
        <x:v>qwen2-5-max</x:v>
      </x:c>
      <x:c r="P673" s="17" t="n">
        <x:v>133.41</x:v>
      </x:c>
      <x:c r="Q673" s="17" t="n">
        <x:v>129.19</x:v>
      </x:c>
      <x:c r="R673" s="17" t="n">
        <x:v>136.34</x:v>
      </x:c>
      <x:c r="S673" s="17"/>
      <x:c r="T673" s="17"/>
      <x:c r="U673" s="17"/>
      <x:c r="V673" s="17"/>
      <x:c r="W673" s="17"/>
      <x:c r="X673" s="17"/>
      <x:c r="Y673" s="17"/>
      <x:c r="Z673" s="17"/>
    </x:row>
    <x:row r="674">
      <x:c r="A674" s="17" t="str">
        <x:v>Gemini 2.0 Flash-Lite</x:v>
      </x:c>
      <x:c r="B674" s="17" t="str">
        <x:v>gemini-2.0-flash-lite</x:v>
      </x:c>
      <x:c r="C674" s="17"/>
      <x:c r="D674" s="17" t="str">
        <x:v>Google DeepMind</x:v>
      </x:c>
      <x:c r="E674" s="17" t="str">
        <x:v>United States of America</x:v>
      </x:c>
      <x:c r="F674" s="17" t="n">
        <x:v>45693</x:v>
      </x:c>
      <x:c r="G674" s="17" t="str">
        <x:v>API access</x:v>
      </x:c>
      <x:c r="H674" s="17" t="n">
        <x:v>45327</x:v>
      </x:c>
      <x:c r="I674" s="17"/>
      <x:c r="J674" s="17" t="str">
        <x:v>Unknown</x:v>
      </x:c>
      <x:c r="K674" s="17" t="str">
        <x:v>The smallest model in Google DeepMind's Gemini 2.0 series.</x:v>
      </x:c>
      <x:c r="L674" s="17"/>
      <x:c r="M674" s="17"/>
      <x:c r="N674" s="17" t="str">
        <x:v>Gemini 2.0 Flash-Lite</x:v>
      </x:c>
      <x:c r="O674" s="17" t="str">
        <x:v>gemini-2-0-flash-lite</x:v>
      </x:c>
      <x:c r="P674" s="17"/>
      <x:c r="Q674" s="17"/>
      <x:c r="R674" s="17"/>
      <x:c r="S674" s="17"/>
      <x:c r="T674" s="17"/>
      <x:c r="U674" s="17"/>
      <x:c r="V674" s="17"/>
      <x:c r="W674" s="17"/>
      <x:c r="X674" s="17"/>
      <x:c r="Y674" s="17"/>
      <x:c r="Z674" s="17"/>
    </x:row>
    <x:row r="675">
      <x:c r="A675" s="17" t="str">
        <x:v>Gemini 2.0 Flash-Lite</x:v>
      </x:c>
      <x:c r="B675" s="17" t="str">
        <x:v>gemini-2.0-flash-lite-preview-02-05</x:v>
      </x:c>
      <x:c r="C675" s="17"/>
      <x:c r="D675" s="17" t="str">
        <x:v>Google DeepMind</x:v>
      </x:c>
      <x:c r="E675" s="17" t="str">
        <x:v>United States of America</x:v>
      </x:c>
      <x:c r="F675" s="17" t="n">
        <x:v>45693</x:v>
      </x:c>
      <x:c r="G675" s="17" t="str">
        <x:v>API access</x:v>
      </x:c>
      <x:c r="H675" s="17" t="n">
        <x:v>45327</x:v>
      </x:c>
      <x:c r="I675" s="17"/>
      <x:c r="J675" s="17" t="str">
        <x:v>Unknown</x:v>
      </x:c>
      <x:c r="K675" s="17" t="str">
        <x:v>A February 2025 preview version of the smallest model in Google DeepMind's Gemini 2.0 series.</x:v>
      </x:c>
      <x:c r="L675" s="17"/>
      <x:c r="M675" s="17"/>
      <x:c r="N675" s="17" t="str">
        <x:v>Gemini 2.0 Flash-Lite</x:v>
      </x:c>
      <x:c r="O675" s="17" t="str">
        <x:v>gemini-2-0-flash-lite</x:v>
      </x:c>
      <x:c r="P675" s="17"/>
      <x:c r="Q675" s="17"/>
      <x:c r="R675" s="17"/>
      <x:c r="S675" s="17"/>
      <x:c r="T675" s="17"/>
      <x:c r="U675" s="17"/>
      <x:c r="V675" s="17"/>
      <x:c r="W675" s="17"/>
      <x:c r="X675" s="17"/>
      <x:c r="Y675" s="17"/>
      <x:c r="Z675" s="17"/>
    </x:row>
    <x:row r="676">
      <x:c r="A676" s="17"/>
      <x:c r="B676" s="17" t="str">
        <x:v>Dracarys2-72B-Instruct</x:v>
      </x:c>
      <x:c r="C676" s="17"/>
      <x:c r="D676" s="17"/>
      <x:c r="E676" s="17"/>
      <x:c r="F676" s="17" t="n">
        <x:v>45565</x:v>
      </x:c>
      <x:c r="G676" s="17"/>
      <x:c r="H676" s="17"/>
      <x:c r="I676" s="17"/>
      <x:c r="J676" s="17" t="str">
        <x:v>Unverified</x:v>
      </x:c>
      <x:c r="K676" s="17"/>
      <x:c r="L676" s="17"/>
      <x:c r="M676" s="17"/>
      <x:c r="N676" s="17"/>
      <x:c r="O676" s="17" t="str">
        <x:v>dracarys2-72b-instruct</x:v>
      </x:c>
      <x:c r="P676" s="17"/>
      <x:c r="Q676" s="17"/>
      <x:c r="R676" s="17"/>
      <x:c r="S676" s="17"/>
      <x:c r="T676" s="17"/>
      <x:c r="U676" s="17"/>
      <x:c r="V676" s="17"/>
      <x:c r="W676" s="17"/>
      <x:c r="X676" s="17"/>
      <x:c r="Y676" s="17"/>
      <x:c r="Z676" s="17"/>
    </x:row>
    <x:row r="677">
      <x:c r="A677" s="17"/>
      <x:c r="B677" s="17" t="str">
        <x:v>learnlm-1.5-pro-experimental</x:v>
      </x:c>
      <x:c r="C677" s="17"/>
      <x:c r="D677" s="17"/>
      <x:c r="E677" s="17"/>
      <x:c r="F677" s="17"/>
      <x:c r="G677" s="17"/>
      <x:c r="H677" s="17"/>
      <x:c r="I677" s="17"/>
      <x:c r="J677" s="17" t="str">
        <x:v>Unverified</x:v>
      </x:c>
      <x:c r="K677" s="17"/>
      <x:c r="L677" s="17"/>
      <x:c r="M677" s="17"/>
      <x:c r="N677" s="17"/>
      <x:c r="O677" s="17" t="str">
        <x:v>learnlm-1-5-pro-experimental</x:v>
      </x:c>
      <x:c r="P677" s="17"/>
      <x:c r="Q677" s="17"/>
      <x:c r="R677" s="17"/>
      <x:c r="S677" s="17"/>
      <x:c r="T677" s="17"/>
      <x:c r="U677" s="17"/>
      <x:c r="V677" s="17"/>
      <x:c r="W677" s="17"/>
      <x:c r="X677" s="17"/>
      <x:c r="Y677" s="17"/>
      <x:c r="Z677" s="17"/>
    </x:row>
    <x:row r="678">
      <x:c r="A678" s="17"/>
      <x:c r="B678" s="17" t="str">
        <x:v>sonar</x:v>
      </x:c>
      <x:c r="C678" s="17" t="str">
        <x:v>Perplexity Sonar</x:v>
      </x:c>
      <x:c r="D678" s="17"/>
      <x:c r="E678" s="17"/>
      <x:c r="F678" s="17"/>
      <x:c r="G678" s="17"/>
      <x:c r="H678" s="17"/>
      <x:c r="I678" s="17"/>
      <x:c r="J678" s="17" t="str">
        <x:v>Unverified</x:v>
      </x:c>
      <x:c r="K678" s="17"/>
      <x:c r="L678" s="17"/>
      <x:c r="M678" s="17"/>
      <x:c r="N678" s="17"/>
      <x:c r="O678" s="17" t="str">
        <x:v>sonar</x:v>
      </x:c>
      <x:c r="P678" s="17"/>
      <x:c r="Q678" s="17"/>
      <x:c r="R678" s="17"/>
      <x:c r="S678" s="17"/>
      <x:c r="T678" s="17"/>
      <x:c r="U678" s="17"/>
      <x:c r="V678" s="17"/>
      <x:c r="W678" s="17"/>
      <x:c r="X678" s="17"/>
      <x:c r="Y678" s="17"/>
      <x:c r="Z678" s="17"/>
    </x:row>
    <x:row r="679">
      <x:c r="A679" s="17"/>
      <x:c r="B679" s="17" t="str">
        <x:v>Dracarys2-Llama-3.1-70B-Instruct</x:v>
      </x:c>
      <x:c r="C679" s="17"/>
      <x:c r="D679" s="17"/>
      <x:c r="E679" s="17"/>
      <x:c r="F679" s="17" t="n">
        <x:v>45518</x:v>
      </x:c>
      <x:c r="G679" s="17"/>
      <x:c r="H679" s="17"/>
      <x:c r="I679" s="17"/>
      <x:c r="J679" s="17" t="str">
        <x:v>Unverified</x:v>
      </x:c>
      <x:c r="K679" s="17"/>
      <x:c r="L679" s="17"/>
      <x:c r="M679" s="17"/>
      <x:c r="N679" s="17"/>
      <x:c r="O679" s="17" t="str">
        <x:v>dracarys2-llama-3-1-70b-instruct</x:v>
      </x:c>
      <x:c r="P679" s="17"/>
      <x:c r="Q679" s="17"/>
      <x:c r="R679" s="17"/>
      <x:c r="S679" s="17"/>
      <x:c r="T679" s="17"/>
      <x:c r="U679" s="17"/>
      <x:c r="V679" s="17"/>
      <x:c r="W679" s="17"/>
      <x:c r="X679" s="17"/>
      <x:c r="Y679" s="17"/>
      <x:c r="Z679" s="17"/>
    </x:row>
    <x:row r="680">
      <x:c r="A680" s="17" t="str">
        <x:v>DeepSeek-R1-Distill-Qwen-32B</x:v>
      </x:c>
      <x:c r="B680" s="17" t="str">
        <x:v>DeepSeek-R1-Distill-Qwen-32B</x:v>
      </x:c>
      <x:c r="C680" s="17"/>
      <x:c r="D680" s="17" t="str">
        <x:v>DeepSeek</x:v>
      </x:c>
      <x:c r="E680" s="17" t="str">
        <x:v>China</x:v>
      </x:c>
      <x:c r="F680" s="17" t="n">
        <x:v>45677</x:v>
      </x:c>
      <x:c r="G680" s="17" t="str">
        <x:v>Open weights (unrestricted)</x:v>
      </x:c>
      <x:c r="H680" s="17" t="n">
        <x:v>45679</x:v>
      </x:c>
      <x:c r="I680" s="17"/>
      <x:c r="J680" s="17" t="str">
        <x:v>Speculative</x:v>
      </x:c>
      <x:c r="K680" s="17" t="str">
        <x:v>A model based on Qwen 32B and additionally trained on outputs from DeepSeek’s R1 model, published as part of DeepSeek R1’s release. </x:v>
      </x:c>
      <x:c r="L680" s="17"/>
      <x:c r="M680" s="17"/>
      <x:c r="N680" s="17" t="str">
        <x:v>DeepSeek-R1-Distill-Qwen-32B</x:v>
      </x:c>
      <x:c r="O680" s="17" t="str">
        <x:v>deepseek-r1-distill-qwen-32b</x:v>
      </x:c>
      <x:c r="P680" s="17"/>
      <x:c r="Q680" s="17"/>
      <x:c r="R680" s="17"/>
      <x:c r="S680" s="17"/>
      <x:c r="T680" s="17"/>
      <x:c r="U680" s="17"/>
      <x:c r="V680" s="17"/>
      <x:c r="W680" s="17"/>
      <x:c r="X680" s="17"/>
      <x:c r="Y680" s="17"/>
      <x:c r="Z680" s="17"/>
    </x:row>
    <x:row r="681">
      <x:c r="A681" s="17" t="str">
        <x:v>OLMo 2 Furious 13B</x:v>
      </x:c>
      <x:c r="B681" s="17" t="str">
        <x:v>OLMo-2-1124-13B-Instruct</x:v>
      </x:c>
      <x:c r="C681" s="17"/>
      <x:c r="D681" s="17" t="str">
        <x:v>Allen Institute for AI,University of Washington,New York University (NYU)</x:v>
      </x:c>
      <x:c r="E681" s="17" t="str">
        <x:v>United States of America</x:v>
      </x:c>
      <x:c r="F681" s="17" t="n">
        <x:v>45657</x:v>
      </x:c>
      <x:c r="G681" s="17" t="str">
        <x:v>Open weights (unrestricted)</x:v>
      </x:c>
      <x:c r="H681" s="17" t="n">
        <x:v>45657</x:v>
      </x:c>
      <x:c r="I681" s="17" t="n">
        <x:v>4.6e+23</x:v>
      </x:c>
      <x:c r="J681" s="17" t="str">
        <x:v>Confident</x:v>
      </x:c>
      <x:c r="K681" s="17"/>
      <x:c r="L681" s="17"/>
      <x:c r="M681" s="17"/>
      <x:c r="N681" s="17" t="str">
        <x:v>OLMo 2 Furious 13B</x:v>
      </x:c>
      <x:c r="O681" s="17" t="str">
        <x:v>olmo-2-furious-13b</x:v>
      </x:c>
      <x:c r="P681" s="17"/>
      <x:c r="Q681" s="17"/>
      <x:c r="R681" s="17"/>
      <x:c r="S681" s="17"/>
      <x:c r="T681" s="17"/>
      <x:c r="U681" s="17"/>
      <x:c r="V681" s="17"/>
      <x:c r="W681" s="17"/>
      <x:c r="X681" s="17"/>
      <x:c r="Y681" s="17"/>
      <x:c r="Z681" s="17"/>
    </x:row>
    <x:row r="682">
      <x:c r="A682" s="17" t="str">
        <x:v>GPT-5 Pro</x:v>
      </x:c>
      <x:c r="B682" s="17" t="str">
        <x:v>gpt-5-pro-2025-10-06_medium</x:v>
      </x:c>
      <x:c r="C682" s="17" t="str">
        <x:v>GPT-5 Pro</x:v>
      </x:c>
      <x:c r="D682" s="17" t="str">
        <x:v>OpenAI</x:v>
      </x:c>
      <x:c r="E682" s="17" t="str">
        <x:v>United States of America</x:v>
      </x:c>
      <x:c r="F682" s="17" t="n">
        <x:v>45937</x:v>
      </x:c>
      <x:c r="G682" s="17" t="str">
        <x:v>API access</x:v>
      </x:c>
      <x:c r="H682" s="17" t="n">
        <x:v>45937</x:v>
      </x:c>
      <x:c r="I682" s="17"/>
      <x:c r="J682" s="17" t="str">
        <x:v>Unknown</x:v>
      </x:c>
      <x:c r="K682" s="17"/>
      <x:c r="L682" s="17" t="str">
        <x:v>GPT-5 Pro (medium)</x:v>
      </x:c>
      <x:c r="M682" s="17"/>
      <x:c r="N682" s="17" t="str">
        <x:v>GPT-5 Pro</x:v>
      </x:c>
      <x:c r="O682" s="17" t="str">
        <x:v>gpt-5-pro</x:v>
      </x:c>
      <x:c r="P682" s="17" t="n">
        <x:v>150.43</x:v>
      </x:c>
      <x:c r="Q682" s="17" t="n">
        <x:v>148.94</x:v>
      </x:c>
      <x:c r="R682" s="17" t="n">
        <x:v>152.05</x:v>
      </x:c>
      <x:c r="S682" s="17"/>
      <x:c r="T682" s="17"/>
      <x:c r="U682" s="17"/>
      <x:c r="V682" s="17"/>
      <x:c r="W682" s="17"/>
      <x:c r="X682" s="17"/>
      <x:c r="Y682" s="17"/>
      <x:c r="Z682" s="17"/>
    </x:row>
    <x:row r="683">
      <x:c r="A683" s="17" t="str">
        <x:v>GPT-5.6 Sol</x:v>
      </x:c>
      <x:c r="B683" s="17" t="str">
        <x:v>gpt-5.6-sol_unknown</x:v>
      </x:c>
      <x:c r="C683" s="17" t="str">
        <x:v>GPT-5.6 Sol (unknown thinking)</x:v>
      </x:c>
      <x:c r="D683" s="17" t="str">
        <x:v>OpenAI</x:v>
      </x:c>
      <x:c r="E683" s="17" t="str">
        <x:v>United States of America</x:v>
      </x:c>
      <x:c r="F683" s="17" t="n">
        <x:v>46212</x:v>
      </x:c>
      <x:c r="G683" s="17" t="str">
        <x:v>API access</x:v>
      </x:c>
      <x:c r="H683" s="17" t="n">
        <x:v>46212</x:v>
      </x:c>
      <x:c r="I683" s="17"/>
      <x:c r="J683" s="17" t="str">
        <x:v>Unverified</x:v>
      </x:c>
      <x:c r="K683" s="17"/>
      <x:c r="L683" s="17" t="str">
        <x:v>GPT-5.6 Sol (unknown thinking)</x:v>
      </x:c>
      <x:c r="M683" s="17"/>
      <x:c r="N683" s="17" t="str">
        <x:v>GPT-5.6 Sol</x:v>
      </x:c>
      <x:c r="O683" s="17" t="str">
        <x:v>gpt-5-6-sol</x:v>
      </x:c>
      <x:c r="P683" s="17" t="n">
        <x:v>161.77</x:v>
      </x:c>
      <x:c r="Q683" s="17" t="n">
        <x:v>159.26</x:v>
      </x:c>
      <x:c r="R683" s="17" t="n">
        <x:v>166.01</x:v>
      </x:c>
      <x:c r="S683" s="17"/>
      <x:c r="T683" s="17"/>
      <x:c r="U683" s="17"/>
      <x:c r="V683" s="17"/>
      <x:c r="W683" s="17"/>
      <x:c r="X683" s="17"/>
      <x:c r="Y683" s="17"/>
      <x:c r="Z683" s="17"/>
    </x:row>
    <x:row r="684">
      <x:c r="A684" s="17" t="str">
        <x:v>GPT-5.6 Terra</x:v>
      </x:c>
      <x:c r="B684" s="17" t="str">
        <x:v>gpt-5.6-terra_unknown</x:v>
      </x:c>
      <x:c r="C684" s="17" t="str">
        <x:v>GPT-5.6 Terra (unknown thinking)</x:v>
      </x:c>
      <x:c r="D684" s="17" t="str">
        <x:v>OpenAI</x:v>
      </x:c>
      <x:c r="E684" s="17" t="str">
        <x:v>United States of America</x:v>
      </x:c>
      <x:c r="F684" s="17" t="n">
        <x:v>46212</x:v>
      </x:c>
      <x:c r="G684" s="17" t="str">
        <x:v>API access</x:v>
      </x:c>
      <x:c r="H684" s="17" t="n">
        <x:v>46212</x:v>
      </x:c>
      <x:c r="I684" s="17"/>
      <x:c r="J684" s="17" t="str">
        <x:v>Unverified</x:v>
      </x:c>
      <x:c r="K684" s="17"/>
      <x:c r="L684" s="17" t="str">
        <x:v>GPT-5.6 Terra (unknown thinking)</x:v>
      </x:c>
      <x:c r="M684" s="17"/>
      <x:c r="N684" s="17" t="str">
        <x:v>GPT-5.6 Terra</x:v>
      </x:c>
      <x:c r="O684" s="17" t="str">
        <x:v>gpt-5-6-terra</x:v>
      </x:c>
      <x:c r="P684" s="17" t="n">
        <x:v>158.25</x:v>
      </x:c>
      <x:c r="Q684" s="17" t="n">
        <x:v>155.39</x:v>
      </x:c>
      <x:c r="R684" s="17" t="n">
        <x:v>161.26</x:v>
      </x:c>
      <x:c r="S684" s="17"/>
      <x:c r="T684" s="17"/>
      <x:c r="U684" s="17"/>
      <x:c r="V684" s="17"/>
      <x:c r="W684" s="17"/>
      <x:c r="X684" s="17"/>
      <x:c r="Y684" s="17"/>
      <x:c r="Z684" s="17"/>
    </x:row>
    <x:row r="685">
      <x:c r="A685" s="17" t="str">
        <x:v>Grok 4.5</x:v>
      </x:c>
      <x:c r="B685" s="17" t="str">
        <x:v>grok-4.5_unknown</x:v>
      </x:c>
      <x:c r="C685" s="17" t="str">
        <x:v>Grok 4.5 (unknown thinking)</x:v>
      </x:c>
      <x:c r="D685" s="17" t="str">
        <x:v>xAI</x:v>
      </x:c>
      <x:c r="E685" s="17" t="str">
        <x:v>United States of America</x:v>
      </x:c>
      <x:c r="F685" s="17" t="n">
        <x:v>46211</x:v>
      </x:c>
      <x:c r="G685" s="17" t="str">
        <x:v>API access</x:v>
      </x:c>
      <x:c r="H685" s="17" t="n">
        <x:v>46211</x:v>
      </x:c>
      <x:c r="I685" s="17"/>
      <x:c r="J685" s="17" t="str">
        <x:v>Unverified</x:v>
      </x:c>
      <x:c r="K685" s="17"/>
      <x:c r="L685" s="17" t="str">
        <x:v>Grok 4.5 (unknown thinking)</x:v>
      </x:c>
      <x:c r="M685" s="17"/>
      <x:c r="N685" s="17" t="str">
        <x:v>Grok 4.5</x:v>
      </x:c>
      <x:c r="O685" s="17" t="str">
        <x:v>grok-4-5</x:v>
      </x:c>
      <x:c r="P685" s="17" t="n">
        <x:v>153.17</x:v>
      </x:c>
      <x:c r="Q685" s="17" t="n">
        <x:v>151.65</x:v>
      </x:c>
      <x:c r="R685" s="17" t="n">
        <x:v>156.15</x:v>
      </x:c>
      <x:c r="S685" s="17"/>
      <x:c r="T685" s="17"/>
      <x:c r="U685" s="17"/>
      <x:c r="V685" s="17"/>
      <x:c r="W685" s="17"/>
      <x:c r="X685" s="17"/>
      <x:c r="Y685" s="17"/>
      <x:c r="Z685" s="17"/>
    </x:row>
    <x:row r="686">
      <x:c r="A686" s="17" t="str">
        <x:v>GPT-5.6 Luna</x:v>
      </x:c>
      <x:c r="B686" s="17" t="str">
        <x:v>gpt-5.6-luna_unknown</x:v>
      </x:c>
      <x:c r="C686" s="17" t="str">
        <x:v>GPT-5.6 Luna (unknown thinking)</x:v>
      </x:c>
      <x:c r="D686" s="17" t="str">
        <x:v>OpenAI</x:v>
      </x:c>
      <x:c r="E686" s="17" t="str">
        <x:v>United States of America</x:v>
      </x:c>
      <x:c r="F686" s="17" t="n">
        <x:v>46212</x:v>
      </x:c>
      <x:c r="G686" s="17" t="str">
        <x:v>API access</x:v>
      </x:c>
      <x:c r="H686" s="17" t="n">
        <x:v>46212</x:v>
      </x:c>
      <x:c r="I686" s="17"/>
      <x:c r="J686" s="17" t="str">
        <x:v>Unverified</x:v>
      </x:c>
      <x:c r="K686" s="17"/>
      <x:c r="L686" s="17" t="str">
        <x:v>GPT-5.6 Luna (unknown thinking)</x:v>
      </x:c>
      <x:c r="M686" s="17"/>
      <x:c r="N686" s="17" t="str">
        <x:v>GPT-5.6 Luna</x:v>
      </x:c>
      <x:c r="O686" s="17" t="str">
        <x:v>gpt-5-6-luna</x:v>
      </x:c>
      <x:c r="P686" s="17" t="n">
        <x:v>155.62</x:v>
      </x:c>
      <x:c r="Q686" s="17" t="n">
        <x:v>152.89</x:v>
      </x:c>
      <x:c r="R686" s="17" t="n">
        <x:v>158.51</x:v>
      </x:c>
      <x:c r="S686" s="17"/>
      <x:c r="T686" s="17"/>
      <x:c r="U686" s="17"/>
      <x:c r="V686" s="17"/>
      <x:c r="W686" s="17"/>
      <x:c r="X686" s="17"/>
      <x:c r="Y686" s="17"/>
      <x:c r="Z686" s="17"/>
    </x:row>
    <x:row r="687">
      <x:c r="A687" s="17"/>
      <x:c r="B687" s="17" t="str">
        <x:v>Switch-Base</x:v>
      </x:c>
      <x:c r="C687" s="17"/>
      <x:c r="D687" s="17"/>
      <x:c r="E687" s="17"/>
      <x:c r="F687" s="17"/>
      <x:c r="G687" s="17"/>
      <x:c r="H687" s="17"/>
      <x:c r="I687" s="17"/>
      <x:c r="J687" s="17" t="str">
        <x:v>Unverified</x:v>
      </x:c>
      <x:c r="K687" s="17"/>
      <x:c r="L687" s="17"/>
      <x:c r="M687" s="17"/>
      <x:c r="N687" s="17"/>
      <x:c r="O687" s="17" t="str">
        <x:v>switch-base</x:v>
      </x:c>
      <x:c r="P687" s="17"/>
      <x:c r="Q687" s="17"/>
      <x:c r="R687" s="17"/>
      <x:c r="S687" s="17"/>
      <x:c r="T687" s="17"/>
      <x:c r="U687" s="17"/>
      <x:c r="V687" s="17"/>
      <x:c r="W687" s="17"/>
      <x:c r="X687" s="17"/>
      <x:c r="Y687" s="17"/>
      <x:c r="Z687" s="17"/>
    </x:row>
    <x:row r="688">
      <x:c r="A688" s="17"/>
      <x:c r="B688" s="17" t="str">
        <x:v>Switch-Large</x:v>
      </x:c>
      <x:c r="C688" s="17"/>
      <x:c r="D688" s="17"/>
      <x:c r="E688" s="17"/>
      <x:c r="F688" s="17"/>
      <x:c r="G688" s="17"/>
      <x:c r="H688" s="17"/>
      <x:c r="I688" s="17"/>
      <x:c r="J688" s="17" t="str">
        <x:v>Unverified</x:v>
      </x:c>
      <x:c r="K688" s="17"/>
      <x:c r="L688" s="17"/>
      <x:c r="M688" s="17"/>
      <x:c r="N688" s="17"/>
      <x:c r="O688" s="17" t="str">
        <x:v>switch-large</x:v>
      </x:c>
      <x:c r="P688" s="17"/>
      <x:c r="Q688" s="17"/>
      <x:c r="R688" s="17"/>
      <x:c r="S688" s="17"/>
      <x:c r="T688" s="17"/>
      <x:c r="U688" s="17"/>
      <x:c r="V688" s="17"/>
      <x:c r="W688" s="17"/>
      <x:c r="X688" s="17"/>
      <x:c r="Y688" s="17"/>
      <x:c r="Z688" s="17"/>
    </x:row>
    <x:row r="689">
      <x:c r="A689" s="17" t="str">
        <x:v>gpt-oss-120b</x:v>
      </x:c>
      <x:c r="B689" s="17" t="str">
        <x:v>gpt-oss-120b_unknown</x:v>
      </x:c>
      <x:c r="C689" s="17" t="str">
        <x:v>gpt-oss-120b (unknown thinking)</x:v>
      </x:c>
      <x:c r="D689" s="17" t="str">
        <x:v>OpenAI</x:v>
      </x:c>
      <x:c r="E689" s="17" t="str">
        <x:v>United States of America</x:v>
      </x:c>
      <x:c r="F689" s="17" t="n">
        <x:v>45874</x:v>
      </x:c>
      <x:c r="G689" s="17" t="str">
        <x:v>Open weights (unrestricted)</x:v>
      </x:c>
      <x:c r="H689" s="17" t="n">
        <x:v>45874</x:v>
      </x:c>
      <x:c r="I689" s="17" t="n">
        <x:v>4.94e+24</x:v>
      </x:c>
      <x:c r="J689" s="17" t="str">
        <x:v>Confident</x:v>
      </x:c>
      <x:c r="K689" s="17" t="str">
        <x:v>The larger one of OpenAI's two latest open source language models, evaluated with high reasoning effort.</x:v>
      </x:c>
      <x:c r="L689" s="17"/>
      <x:c r="M689" s="17"/>
      <x:c r="N689" s="17" t="str">
        <x:v>gpt-oss-120b</x:v>
      </x:c>
      <x:c r="O689" s="17" t="str">
        <x:v>gpt-oss-120b</x:v>
      </x:c>
      <x:c r="P689" s="17" t="n">
        <x:v>140.57</x:v>
      </x:c>
      <x:c r="Q689" s="17" t="n">
        <x:v>136.18</x:v>
      </x:c>
      <x:c r="R689" s="17" t="n">
        <x:v>143.08</x:v>
      </x:c>
      <x:c r="S689" s="17"/>
      <x:c r="T689" s="17"/>
      <x:c r="U689" s="17"/>
      <x:c r="V689" s="17"/>
      <x:c r="W689" s="17"/>
      <x:c r="X689" s="17"/>
      <x:c r="Y689" s="17"/>
      <x:c r="Z689" s="17"/>
    </x:row>
    <x:row r="690">
      <x:c r="A690" s="17" t="str">
        <x:v>gpt-oss-20b</x:v>
      </x:c>
      <x:c r="B690" s="17" t="str">
        <x:v>gpt-oss-20b_unknown</x:v>
      </x:c>
      <x:c r="C690" s="17" t="str">
        <x:v>gpt-oss-20b (unknown thinking)</x:v>
      </x:c>
      <x:c r="D690" s="17" t="str">
        <x:v>OpenAI</x:v>
      </x:c>
      <x:c r="E690" s="17" t="str">
        <x:v>United States of America</x:v>
      </x:c>
      <x:c r="F690" s="17" t="n">
        <x:v>45874</x:v>
      </x:c>
      <x:c r="G690" s="17" t="str">
        <x:v>Open weights (unrestricted)</x:v>
      </x:c>
      <x:c r="H690" s="17" t="n">
        <x:v>45874</x:v>
      </x:c>
      <x:c r="I690" s="17" t="n">
        <x:v>5.49e+23</x:v>
      </x:c>
      <x:c r="J690" s="17" t="str">
        <x:v>Confident</x:v>
      </x:c>
      <x:c r="K690" s="17" t="str">
        <x:v>The smaller one of OpenAI's two latest open source language models, evaluated with high reasoning effort.</x:v>
      </x:c>
      <x:c r="L690" s="17"/>
      <x:c r="M690" s="17"/>
      <x:c r="N690" s="17" t="str">
        <x:v>gpt-oss-20b</x:v>
      </x:c>
      <x:c r="O690" s="17" t="str">
        <x:v>gpt-oss-20b</x:v>
      </x:c>
      <x:c r="P690" s="17"/>
      <x:c r="Q690" s="17"/>
      <x:c r="R690" s="17"/>
      <x:c r="S690" s="17"/>
      <x:c r="T690" s="17"/>
      <x:c r="U690" s="17"/>
      <x:c r="V690" s="17"/>
      <x:c r="W690" s="17"/>
      <x:c r="X690" s="17"/>
      <x:c r="Y690" s="17"/>
      <x:c r="Z690" s="17"/>
    </x:row>
    <x:row r="691">
      <x:c r="A691" s="17"/>
      <x:c r="B691" s="17" t="str">
        <x:v>xiaoyi-deepresearch</x:v>
      </x:c>
      <x:c r="C691" s="17"/>
      <x:c r="D691" s="17"/>
      <x:c r="E691" s="17"/>
      <x:c r="F691" s="17" t="n">
        <x:v>46087</x:v>
      </x:c>
      <x:c r="G691" s="17"/>
      <x:c r="H691" s="17"/>
      <x:c r="I691" s="17"/>
      <x:c r="J691" s="17" t="str">
        <x:v>Unverified</x:v>
      </x:c>
      <x:c r="K691" s="17"/>
      <x:c r="L691" s="17"/>
      <x:c r="M691" s="17"/>
      <x:c r="N691" s="17"/>
      <x:c r="O691" s="17" t="str">
        <x:v>xiaoyi-deepresearch</x:v>
      </x:c>
      <x:c r="P691" s="17"/>
      <x:c r="Q691" s="17"/>
      <x:c r="R691" s="17"/>
      <x:c r="S691" s="17"/>
      <x:c r="T691" s="17"/>
      <x:c r="U691" s="17"/>
      <x:c r="V691" s="17"/>
      <x:c r="W691" s="17"/>
      <x:c r="X691" s="17"/>
      <x:c r="Y691" s="17"/>
      <x:c r="Z691" s="17"/>
    </x:row>
    <x:row r="692">
      <x:c r="A692" s="17" t="str">
        <x:v>Claude Opus 4.6</x:v>
      </x:c>
      <x:c r="B692" s="17" t="str">
        <x:v>claude-opus-4-6_medium</x:v>
      </x:c>
      <x:c r="C692" s="17" t="str">
        <x:v>Claude Opus 4.6 (medium)</x:v>
      </x:c>
      <x:c r="D692" s="17" t="str">
        <x:v>Anthropic</x:v>
      </x:c>
      <x:c r="E692" s="17" t="str">
        <x:v>United States of America</x:v>
      </x:c>
      <x:c r="F692" s="17" t="n">
        <x:v>46058</x:v>
      </x:c>
      <x:c r="G692" s="17" t="str">
        <x:v>API access</x:v>
      </x:c>
      <x:c r="H692" s="17" t="n">
        <x:v>46058</x:v>
      </x:c>
      <x:c r="I692" s="17"/>
      <x:c r="J692" s="17" t="str">
        <x:v>Likely</x:v>
      </x:c>
      <x:c r="K692" s="17"/>
      <x:c r="L692" s="17" t="str">
        <x:v>Claude Opus 4.6 (medium)</x:v>
      </x:c>
      <x:c r="M692" s="17"/>
      <x:c r="N692" s="17" t="str">
        <x:v>Claude Opus 4.6</x:v>
      </x:c>
      <x:c r="O692" s="17" t="str">
        <x:v>claude-opus-4-6</x:v>
      </x:c>
      <x:c r="P692" s="17" t="n">
        <x:v>155.31</x:v>
      </x:c>
      <x:c r="Q692" s="17" t="n">
        <x:v>153.34</x:v>
      </x:c>
      <x:c r="R692" s="17" t="n">
        <x:v>157.92</x:v>
      </x:c>
      <x:c r="S692" s="17"/>
      <x:c r="T692" s="17"/>
      <x:c r="U692" s="17"/>
      <x:c r="V692" s="17"/>
      <x:c r="W692" s="17"/>
      <x:c r="X692" s="17"/>
      <x:c r="Y692" s="17"/>
      <x:c r="Z692" s="17"/>
    </x:row>
    <x:row r="693">
      <x:c r="A693" s="17" t="str">
        <x:v>Claude Sonnet 4.5</x:v>
      </x:c>
      <x:c r="B693" s="17" t="str">
        <x:v>claude-sonnet-4-5-20250929_2K</x:v>
      </x:c>
      <x:c r="C693" s="17" t="str">
        <x:v>Claude Sonnet 4.5 (2k thinking)</x:v>
      </x:c>
      <x:c r="D693" s="17" t="str">
        <x:v>Anthropic</x:v>
      </x:c>
      <x:c r="E693" s="17" t="str">
        <x:v>United States of America</x:v>
      </x:c>
      <x:c r="F693" s="17" t="n">
        <x:v>45929</x:v>
      </x:c>
      <x:c r="G693" s="17" t="str">
        <x:v>API access</x:v>
      </x:c>
      <x:c r="H693" s="17" t="n">
        <x:v>45929</x:v>
      </x:c>
      <x:c r="I693" s="17"/>
      <x:c r="J693" s="17" t="str">
        <x:v>Unknown</x:v>
      </x:c>
      <x:c r="K693" s="17"/>
      <x:c r="L693" s="17" t="str">
        <x:v>Claude Sonnet 4.5 (2k thinking)</x:v>
      </x:c>
      <x:c r="M693" s="17"/>
      <x:c r="N693" s="17" t="str">
        <x:v>Claude Sonnet 4.5</x:v>
      </x:c>
      <x:c r="O693" s="17" t="str">
        <x:v>claude-sonnet-4-5</x:v>
      </x:c>
      <x:c r="P693" s="17" t="n">
        <x:v>146.75</x:v>
      </x:c>
      <x:c r="Q693" s="17" t="n">
        <x:v>144.71</x:v>
      </x:c>
      <x:c r="R693" s="17" t="n">
        <x:v>148.07</x:v>
      </x:c>
      <x:c r="S693" s="17"/>
      <x:c r="T693" s="17"/>
      <x:c r="U693" s="17"/>
      <x:c r="V693" s="17"/>
      <x:c r="W693" s="17"/>
      <x:c r="X693" s="17"/>
      <x:c r="Y693" s="17"/>
      <x:c r="Z693" s="17"/>
    </x:row>
    <x:row r="694">
      <x:c r="A694" s="17" t="str">
        <x:v>Claude Opus 4</x:v>
      </x:c>
      <x:c r="B694" s="17" t="str">
        <x:v>claude-opus-4-20250514_2K</x:v>
      </x:c>
      <x:c r="C694" s="17" t="str">
        <x:v>Claude Opus 4</x:v>
      </x:c>
      <x:c r="D694" s="17" t="str">
        <x:v>Anthropic</x:v>
      </x:c>
      <x:c r="E694" s="17" t="str">
        <x:v>United States of America</x:v>
      </x:c>
      <x:c r="F694" s="17" t="n">
        <x:v>45799</x:v>
      </x:c>
      <x:c r="G694" s="17" t="str">
        <x:v>API access</x:v>
      </x:c>
      <x:c r="H694" s="17" t="n">
        <x:v>45799</x:v>
      </x:c>
      <x:c r="I694" s="17"/>
      <x:c r="J694" s="17" t="str">
        <x:v>Unknown</x:v>
      </x:c>
      <x:c r="K694" s="17" t="str">
        <x:v>Anthropic's largest model in the Claude 4 series (superseded by Claude Opus 4.1), benchmarked with up to 2,000 reasoning tokens.</x:v>
      </x:c>
      <x:c r="L694" s="17" t="str">
        <x:v>Claude Opus 4 (2k thinking)</x:v>
      </x:c>
      <x:c r="M694" s="17"/>
      <x:c r="N694" s="17" t="str">
        <x:v>Claude Opus 4</x:v>
      </x:c>
      <x:c r="O694" s="17" t="str">
        <x:v>claude-opus-4</x:v>
      </x:c>
      <x:c r="P694" s="17" t="n">
        <x:v>142.89</x:v>
      </x:c>
      <x:c r="Q694" s="17" t="n">
        <x:v>140.36</x:v>
      </x:c>
      <x:c r="R694" s="17" t="n">
        <x:v>144.3</x:v>
      </x:c>
      <x:c r="S694" s="17"/>
      <x:c r="T694" s="17"/>
      <x:c r="U694" s="17"/>
      <x:c r="V694" s="17"/>
      <x:c r="W694" s="17"/>
      <x:c r="X694" s="17"/>
      <x:c r="Y694" s="17"/>
      <x:c r="Z694" s="17"/>
    </x:row>
    <x:row r="695">
      <x:c r="A695" s="17" t="str">
        <x:v>Claude Sonnet 4</x:v>
      </x:c>
      <x:c r="B695" s="17" t="str">
        <x:v>claude-sonnet-4-20250514_2K</x:v>
      </x:c>
      <x:c r="C695" s="17"/>
      <x:c r="D695" s="17" t="str">
        <x:v>Anthropic</x:v>
      </x:c>
      <x:c r="E695" s="17" t="str">
        <x:v>United States of America</x:v>
      </x:c>
      <x:c r="F695" s="17" t="n">
        <x:v>45799</x:v>
      </x:c>
      <x:c r="G695" s="17" t="str">
        <x:v>API access</x:v>
      </x:c>
      <x:c r="H695" s="17" t="n">
        <x:v>45799</x:v>
      </x:c>
      <x:c r="I695" s="17"/>
      <x:c r="J695" s="17" t="str">
        <x:v>Unknown</x:v>
      </x:c>
      <x:c r="K695" s="17" t="str">
        <x:v>Anthropic's mid-sized Claude 4 series model, evaluated at up to 2,000 reasoning tokens.</x:v>
      </x:c>
      <x:c r="L695" s="17" t="str">
        <x:v>Claude Sonnet 4 (2k thinking)</x:v>
      </x:c>
      <x:c r="M695" s="17"/>
      <x:c r="N695" s="17" t="str">
        <x:v>Claude Sonnet 4</x:v>
      </x:c>
      <x:c r="O695" s="17" t="str">
        <x:v>claude-sonnet-4</x:v>
      </x:c>
      <x:c r="P695" s="17" t="n">
        <x:v>142.15</x:v>
      </x:c>
      <x:c r="Q695" s="17" t="n">
        <x:v>139.04</x:v>
      </x:c>
      <x:c r="R695" s="17" t="n">
        <x:v>143.61</x:v>
      </x:c>
      <x:c r="S695" s="17"/>
      <x:c r="T695" s="17"/>
      <x:c r="U695" s="17"/>
      <x:c r="V695" s="17"/>
      <x:c r="W695" s="17"/>
      <x:c r="X695" s="17"/>
      <x:c r="Y695" s="17"/>
      <x:c r="Z695" s="17"/>
    </x:row>
    <x:row r="696">
      <x:c r="A696" s="17" t="str">
        <x:v>Claude 3.7 Sonnet</x:v>
      </x:c>
      <x:c r="B696" s="17" t="str">
        <x:v>claude-3-7-sonnet-20250219_2K</x:v>
      </x:c>
      <x:c r="C696" s="17" t="str">
        <x:v>Claude 3.7 Sonnet (2k thinking)</x:v>
      </x:c>
      <x:c r="D696" s="17" t="str">
        <x:v>Anthropic</x:v>
      </x:c>
      <x:c r="E696" s="17" t="str">
        <x:v>United States of America</x:v>
      </x:c>
      <x:c r="F696" s="17" t="n">
        <x:v>45712</x:v>
      </x:c>
      <x:c r="G696" s="17" t="str">
        <x:v>API access</x:v>
      </x:c>
      <x:c r="H696" s="17" t="n">
        <x:v>45712</x:v>
      </x:c>
      <x:c r="I696" s="17" t="n">
        <x:v>3.3499999999999998e+25</x:v>
      </x:c>
      <x:c r="J696" s="17" t="str">
        <x:v>Likely</x:v>
      </x:c>
      <x:c r="K696" s="17" t="str">
        <x:v>A previous flagship reasoning model from Anthropic, benchmarked with up to 2,000 reasoning tokens allowed.</x:v>
      </x:c>
      <x:c r="L696" s="17" t="str">
        <x:v>Claude 3.7 Sonnet (2k thinking)</x:v>
      </x:c>
      <x:c r="M696" s="17"/>
      <x:c r="N696" s="17" t="str">
        <x:v>Claude 3.7 Sonnet</x:v>
      </x:c>
      <x:c r="O696" s="17" t="str">
        <x:v>claude-3-7-sonnet</x:v>
      </x:c>
      <x:c r="P696" s="17" t="n">
        <x:v>141.7</x:v>
      </x:c>
      <x:c r="Q696" s="17" t="n">
        <x:v>139.28</x:v>
      </x:c>
      <x:c r="R696" s="17" t="n">
        <x:v>143.27</x:v>
      </x:c>
      <x:c r="S696" s="17"/>
      <x:c r="T696" s="17"/>
      <x:c r="U696" s="17"/>
      <x:c r="V696" s="17"/>
      <x:c r="W696" s="17"/>
      <x:c r="X696" s="17"/>
      <x:c r="Y696" s="17"/>
      <x:c r="Z696" s="17"/>
    </x:row>
    <x:row r="697">
      <x:c r="A697" s="17" t="str">
        <x:v>Sonar</x:v>
      </x:c>
      <x:c r="B697" s="17" t="str">
        <x:v>sonar-pro</x:v>
      </x:c>
      <x:c r="C697" s="17"/>
      <x:c r="D697" s="17" t="str">
        <x:v>Perplexity</x:v>
      </x:c>
      <x:c r="E697" s="17" t="str">
        <x:v>United States of America</x:v>
      </x:c>
      <x:c r="F697" s="17" t="n">
        <x:v>45678</x:v>
      </x:c>
      <x:c r="G697" s="17" t="str">
        <x:v>API access</x:v>
      </x:c>
      <x:c r="H697" s="17" t="n">
        <x:v>45699</x:v>
      </x:c>
      <x:c r="I697" s="17"/>
      <x:c r="J697" s="17" t="str">
        <x:v>Confident</x:v>
      </x:c>
      <x:c r="K697" s="17" t="str">
        <x:v>A search-optimized language model from Perplexity.</x:v>
      </x:c>
      <x:c r="L697" s="17" t="str">
        <x:v>Sonar Pro</x:v>
      </x:c>
      <x:c r="M697" s="17"/>
      <x:c r="N697" s="17" t="str">
        <x:v>Sonar</x:v>
      </x:c>
      <x:c r="O697" s="17" t="str">
        <x:v>sonar</x:v>
      </x:c>
      <x:c r="P697" s="17"/>
      <x:c r="Q697" s="17"/>
      <x:c r="R697" s="17"/>
      <x:c r="S697" s="17"/>
      <x:c r="T697" s="17"/>
      <x:c r="U697" s="17"/>
      <x:c r="V697" s="17"/>
      <x:c r="W697" s="17"/>
      <x:c r="X697" s="17"/>
      <x:c r="Y697" s="17"/>
      <x:c r="Z697" s="17"/>
    </x:row>
    <x:row r="698">
      <x:c r="A698" s="17" t="str">
        <x:v>GPT-5.5 Pro</x:v>
      </x:c>
      <x:c r="B698" s="17" t="str">
        <x:v>gpt-5.5-pro_unknown</x:v>
      </x:c>
      <x:c r="C698" s="17" t="str">
        <x:v>GPT-5.5 Pro (unknown thinking)</x:v>
      </x:c>
      <x:c r="D698" s="17" t="str">
        <x:v>OpenAI</x:v>
      </x:c>
      <x:c r="E698" s="17" t="str">
        <x:v>United States of America</x:v>
      </x:c>
      <x:c r="F698" s="17" t="n">
        <x:v>46135</x:v>
      </x:c>
      <x:c r="G698" s="17" t="str">
        <x:v>API access</x:v>
      </x:c>
      <x:c r="H698" s="17" t="n">
        <x:v>46135</x:v>
      </x:c>
      <x:c r="I698" s="17"/>
      <x:c r="J698" s="17" t="str">
        <x:v>Likely</x:v>
      </x:c>
      <x:c r="K698" s="17"/>
      <x:c r="L698" s="17"/>
      <x:c r="M698" s="17"/>
      <x:c r="N698" s="17" t="str">
        <x:v>GPT-5.5 Pro</x:v>
      </x:c>
      <x:c r="O698" s="17" t="str">
        <x:v>gpt-5-5-pro</x:v>
      </x:c>
      <x:c r="P698" s="17" t="n">
        <x:v>160.73</x:v>
      </x:c>
      <x:c r="Q698" s="17" t="n">
        <x:v>158.24</x:v>
      </x:c>
      <x:c r="R698" s="17" t="n">
        <x:v>164.36</x:v>
      </x:c>
      <x:c r="S698" s="17"/>
      <x:c r="T698" s="17"/>
      <x:c r="U698" s="17"/>
      <x:c r="V698" s="17"/>
      <x:c r="W698" s="17"/>
      <x:c r="X698" s="17"/>
      <x:c r="Y698" s="17"/>
      <x:c r="Z698" s="17"/>
    </x:row>
    <x:row r="699">
      <x:c r="A699" s="17" t="str">
        <x:v>GPT-5.6 Sol</x:v>
      </x:c>
      <x:c r="B699" s="17" t="str">
        <x:v>gpt-5.6-sol_prounknown</x:v>
      </x:c>
      <x:c r="C699" s="17" t="str">
        <x:v>GPT-5.6 Sol (pro, unknown thinking)</x:v>
      </x:c>
      <x:c r="D699" s="17" t="str">
        <x:v>OpenAI</x:v>
      </x:c>
      <x:c r="E699" s="17" t="str">
        <x:v>United States of America</x:v>
      </x:c>
      <x:c r="F699" s="17" t="n">
        <x:v>46212</x:v>
      </x:c>
      <x:c r="G699" s="17" t="str">
        <x:v>API access</x:v>
      </x:c>
      <x:c r="H699" s="17" t="n">
        <x:v>46212</x:v>
      </x:c>
      <x:c r="I699" s="17"/>
      <x:c r="J699" s="17" t="str">
        <x:v>Unverified</x:v>
      </x:c>
      <x:c r="K699" s="17"/>
      <x:c r="L699" s="17" t="str">
        <x:v>GPT-5.6 Sol (pro, unknown thinking)</x:v>
      </x:c>
      <x:c r="M699" s="17"/>
      <x:c r="N699" s="17" t="str">
        <x:v>GPT-5.6 Sol</x:v>
      </x:c>
      <x:c r="O699" s="17" t="str">
        <x:v>gpt-5-6-sol</x:v>
      </x:c>
      <x:c r="P699" s="17" t="n">
        <x:v>161.77</x:v>
      </x:c>
      <x:c r="Q699" s="17" t="n">
        <x:v>159.26</x:v>
      </x:c>
      <x:c r="R699" s="17" t="n">
        <x:v>166.01</x:v>
      </x:c>
      <x:c r="S699" s="17"/>
      <x:c r="T699" s="17"/>
      <x:c r="U699" s="17"/>
      <x:c r="V699" s="17"/>
      <x:c r="W699" s="17"/>
      <x:c r="X699" s="17"/>
      <x:c r="Y699" s="17"/>
      <x:c r="Z699" s="17"/>
    </x:row>
    <x:row r="700">
      <x:c r="A700" s="17" t="str">
        <x:v>Claude Sonnet 5</x:v>
      </x:c>
      <x:c r="B700" s="17" t="str">
        <x:v>claude-sonnet-5_unknown</x:v>
      </x:c>
      <x:c r="C700" s="17" t="str">
        <x:v>Claude Sonnet 5 (unknown thinking)</x:v>
      </x:c>
      <x:c r="D700" s="17" t="str">
        <x:v>Anthropic</x:v>
      </x:c>
      <x:c r="E700" s="17" t="str">
        <x:v>United States of America</x:v>
      </x:c>
      <x:c r="F700" s="17" t="n">
        <x:v>46203</x:v>
      </x:c>
      <x:c r="G700" s="17" t="str">
        <x:v>API access</x:v>
      </x:c>
      <x:c r="H700" s="17" t="n">
        <x:v>46203</x:v>
      </x:c>
      <x:c r="I700" s="17"/>
      <x:c r="J700" s="17" t="str">
        <x:v>Confident</x:v>
      </x:c>
      <x:c r="K700" s="17"/>
      <x:c r="L700" s="17" t="str">
        <x:v>Claude Sonnet 5 (unknown thinking)</x:v>
      </x:c>
      <x:c r="M700" s="17"/>
      <x:c r="N700" s="17" t="str">
        <x:v>Claude Sonnet 5</x:v>
      </x:c>
      <x:c r="O700" s="17" t="str">
        <x:v>claude-sonnet-5</x:v>
      </x:c>
      <x:c r="P700" s="17" t="n">
        <x:v>153.2</x:v>
      </x:c>
      <x:c r="Q700" s="17" t="n">
        <x:v>150.47</x:v>
      </x:c>
      <x:c r="R700" s="17" t="n">
        <x:v>155.24</x:v>
      </x:c>
      <x:c r="S700" s="17"/>
      <x:c r="T700" s="17"/>
      <x:c r="U700" s="17"/>
      <x:c r="V700" s="17"/>
      <x:c r="W700" s="17"/>
      <x:c r="X700" s="17"/>
      <x:c r="Y700" s="17"/>
      <x:c r="Z700" s="17"/>
    </x:row>
    <x:row r="701">
      <x:c r="A701" s="17" t="str">
        <x:v>Claude Opus 4</x:v>
      </x:c>
      <x:c r="B701" s="17" t="str">
        <x:v>claude-opus-4-20250514_12K</x:v>
      </x:c>
      <x:c r="C701" s="17" t="str">
        <x:v>Claude Opus 4 </x:v>
      </x:c>
      <x:c r="D701" s="17" t="str">
        <x:v>Anthropic</x:v>
      </x:c>
      <x:c r="E701" s="17" t="str">
        <x:v>United States of America</x:v>
      </x:c>
      <x:c r="F701" s="17" t="n">
        <x:v>45799</x:v>
      </x:c>
      <x:c r="G701" s="17" t="str">
        <x:v>API access</x:v>
      </x:c>
      <x:c r="H701" s="17" t="n">
        <x:v>45799</x:v>
      </x:c>
      <x:c r="I701" s="17"/>
      <x:c r="J701" s="17" t="str">
        <x:v>Unknown</x:v>
      </x:c>
      <x:c r="K701" s="17" t="str">
        <x:v>Anthropic's largest model in the Claude 4 series (superseded by Claude Opus 4.1), benchmarked with up to 12,000 reasoning tokens.</x:v>
      </x:c>
      <x:c r="L701" s="17" t="str">
        <x:v>Claude Opus 4 (12k thinking)</x:v>
      </x:c>
      <x:c r="M701" s="17"/>
      <x:c r="N701" s="17" t="str">
        <x:v>Claude Opus 4</x:v>
      </x:c>
      <x:c r="O701" s="17" t="str">
        <x:v>claude-opus-4</x:v>
      </x:c>
      <x:c r="P701" s="17" t="n">
        <x:v>142.89</x:v>
      </x:c>
      <x:c r="Q701" s="17" t="n">
        <x:v>140.36</x:v>
      </x:c>
      <x:c r="R701" s="17" t="n">
        <x:v>144.3</x:v>
      </x:c>
      <x:c r="S701" s="17"/>
      <x:c r="T701" s="17"/>
      <x:c r="U701" s="17"/>
      <x:c r="V701" s="17"/>
      <x:c r="W701" s="17"/>
      <x:c r="X701" s="17"/>
      <x:c r="Y701" s="17"/>
      <x:c r="Z701" s="17"/>
    </x:row>
    <x:row r="702">
      <x:c r="A702" s="17" t="str">
        <x:v>GPT-5.2 Pro</x:v>
      </x:c>
      <x:c r="B702" s="17" t="str">
        <x:v>gpt-5.2-pro-2025-12-11</x:v>
      </x:c>
      <x:c r="C702" s="17" t="str">
        <x:v>GPT-5.2 Pro</x:v>
      </x:c>
      <x:c r="D702" s="17" t="str">
        <x:v>OpenAI</x:v>
      </x:c>
      <x:c r="E702" s="17" t="str">
        <x:v>United States of America</x:v>
      </x:c>
      <x:c r="F702" s="17" t="n">
        <x:v>46002</x:v>
      </x:c>
      <x:c r="G702" s="17" t="str">
        <x:v>API access</x:v>
      </x:c>
      <x:c r="H702" s="17" t="n">
        <x:v>46002</x:v>
      </x:c>
      <x:c r="I702" s="17"/>
      <x:c r="J702" s="17" t="str">
        <x:v>Likely</x:v>
      </x:c>
      <x:c r="K702" s="17"/>
      <x:c r="L702" s="17" t="str">
        <x:v>GPT-5.2 Pro</x:v>
      </x:c>
      <x:c r="M702" s="17"/>
      <x:c r="N702" s="17" t="str">
        <x:v>GPT-5.2 Pro</x:v>
      </x:c>
      <x:c r="O702" s="17" t="str">
        <x:v>gpt-5-2-pro</x:v>
      </x:c>
      <x:c r="P702" s="17" t="n">
        <x:v>154.65</x:v>
      </x:c>
      <x:c r="Q702" s="17" t="n">
        <x:v>152.88</x:v>
      </x:c>
      <x:c r="R702" s="17" t="n">
        <x:v>157.03</x:v>
      </x:c>
      <x:c r="S702" s="17"/>
      <x:c r="T702" s="17"/>
      <x:c r="U702" s="17"/>
      <x:c r="V702" s="17"/>
      <x:c r="W702" s="17"/>
      <x:c r="X702" s="17"/>
      <x:c r="Y702" s="17"/>
      <x:c r="Z702" s="17"/>
    </x:row>
    <x:row r="703">
      <x:c r="A703" s="17" t="str">
        <x:v>Grok 4.1 Fast</x:v>
      </x:c>
      <x:c r="B703" s="17" t="str">
        <x:v>grok-4-1-fast-non-reasoning</x:v>
      </x:c>
      <x:c r="C703" s="17"/>
      <x:c r="D703" s="17" t="str">
        <x:v>xAI</x:v>
      </x:c>
      <x:c r="E703" s="17" t="str">
        <x:v>United States of America</x:v>
      </x:c>
      <x:c r="F703" s="17" t="n">
        <x:v>45980</x:v>
      </x:c>
      <x:c r="G703" s="17" t="str">
        <x:v>API access</x:v>
      </x:c>
      <x:c r="H703" s="17" t="n">
        <x:v>45980</x:v>
      </x:c>
      <x:c r="I703" s="17"/>
      <x:c r="J703" s="17" t="str">
        <x:v>Unknown</x:v>
      </x:c>
      <x:c r="K703" s="17"/>
      <x:c r="L703" s="17"/>
      <x:c r="M703" s="17"/>
      <x:c r="N703" s="17" t="str">
        <x:v>Grok 4.1 Fast</x:v>
      </x:c>
      <x:c r="O703" s="17" t="str">
        <x:v>grok-4-1-fast</x:v>
      </x:c>
      <x:c r="P703" s="17"/>
      <x:c r="Q703" s="17"/>
      <x:c r="R703" s="17"/>
      <x:c r="S703" s="17"/>
      <x:c r="T703" s="17"/>
      <x:c r="U703" s="17"/>
      <x:c r="V703" s="17"/>
      <x:c r="W703" s="17"/>
      <x:c r="X703" s="17"/>
      <x:c r="Y703" s="17"/>
      <x:c r="Z703" s="17"/>
    </x:row>
    <x:row r="704">
      <x:c r="A704" s="17" t="str">
        <x:v>Claude Sonnet 4.5</x:v>
      </x:c>
      <x:c r="B704" s="17" t="str">
        <x:v>claude-sonnet-4-5-20250929_12K</x:v>
      </x:c>
      <x:c r="C704" s="17" t="str">
        <x:v>Claude Sonnet 4.5 (12k thinking)</x:v>
      </x:c>
      <x:c r="D704" s="17" t="str">
        <x:v>Anthropic</x:v>
      </x:c>
      <x:c r="E704" s="17" t="str">
        <x:v>United States of America</x:v>
      </x:c>
      <x:c r="F704" s="17" t="n">
        <x:v>45929</x:v>
      </x:c>
      <x:c r="G704" s="17" t="str">
        <x:v>API access</x:v>
      </x:c>
      <x:c r="H704" s="17" t="n">
        <x:v>45929</x:v>
      </x:c>
      <x:c r="I704" s="17"/>
      <x:c r="J704" s="17" t="str">
        <x:v>Unknown</x:v>
      </x:c>
      <x:c r="K704" s="17"/>
      <x:c r="L704" s="17" t="str">
        <x:v>Claude Sonnet 4.5 (12k thinking)</x:v>
      </x:c>
      <x:c r="M704" s="17"/>
      <x:c r="N704" s="17" t="str">
        <x:v>Claude Sonnet 4.5</x:v>
      </x:c>
      <x:c r="O704" s="17" t="str">
        <x:v>claude-sonnet-4-5</x:v>
      </x:c>
      <x:c r="P704" s="17" t="n">
        <x:v>146.75</x:v>
      </x:c>
      <x:c r="Q704" s="17" t="n">
        <x:v>144.71</x:v>
      </x:c>
      <x:c r="R704" s="17" t="n">
        <x:v>148.07</x:v>
      </x:c>
      <x:c r="S704" s="17"/>
      <x:c r="T704" s="17"/>
      <x:c r="U704" s="17"/>
      <x:c r="V704" s="17"/>
      <x:c r="W704" s="17"/>
      <x:c r="X704" s="17"/>
      <x:c r="Y704" s="17"/>
      <x:c r="Z704" s="17"/>
    </x:row>
    <x:row r="705">
      <x:c r="A705" s="17" t="str">
        <x:v>Claude 3.7 Sonnet</x:v>
      </x:c>
      <x:c r="B705" s="17" t="str">
        <x:v>claude-3-7-sonnet-20250219_12K</x:v>
      </x:c>
      <x:c r="C705" s="17" t="str">
        <x:v>Claude 3.7 Sonnet (12k thinking)</x:v>
      </x:c>
      <x:c r="D705" s="17" t="str">
        <x:v>Anthropic</x:v>
      </x:c>
      <x:c r="E705" s="17" t="str">
        <x:v>United States of America</x:v>
      </x:c>
      <x:c r="F705" s="17" t="n">
        <x:v>45712</x:v>
      </x:c>
      <x:c r="G705" s="17" t="str">
        <x:v>API access</x:v>
      </x:c>
      <x:c r="H705" s="17" t="n">
        <x:v>45712</x:v>
      </x:c>
      <x:c r="I705" s="17" t="n">
        <x:v>3.3499999999999998e+25</x:v>
      </x:c>
      <x:c r="J705" s="17" t="str">
        <x:v>Likely</x:v>
      </x:c>
      <x:c r="K705" s="17" t="str">
        <x:v>A previous flagship reasoning model from Anthropic, benchmarked with up to 12,000 reasoning tokens allowed.</x:v>
      </x:c>
      <x:c r="L705" s="17" t="str">
        <x:v>Claude 3.7 Sonnet (12k thinking)</x:v>
      </x:c>
      <x:c r="M705" s="17"/>
      <x:c r="N705" s="17" t="str">
        <x:v>Claude 3.7 Sonnet</x:v>
      </x:c>
      <x:c r="O705" s="17" t="str">
        <x:v>claude-3-7-sonnet</x:v>
      </x:c>
      <x:c r="P705" s="17" t="n">
        <x:v>141.7</x:v>
      </x:c>
      <x:c r="Q705" s="17" t="n">
        <x:v>139.28</x:v>
      </x:c>
      <x:c r="R705" s="17" t="n">
        <x:v>143.27</x:v>
      </x:c>
      <x:c r="S705" s="17"/>
      <x:c r="T705" s="17"/>
      <x:c r="U705" s="17"/>
      <x:c r="V705" s="17"/>
      <x:c r="W705" s="17"/>
      <x:c r="X705" s="17"/>
      <x:c r="Y705" s="17"/>
      <x:c r="Z705" s="17"/>
    </x:row>
    <x:row r="706">
      <x:c r="A706" s="17" t="str">
        <x:v>Claude Sonnet 4</x:v>
      </x:c>
      <x:c r="B706" s="17" t="str">
        <x:v>claude-sonnet-4-20250514_12K</x:v>
      </x:c>
      <x:c r="C706" s="17"/>
      <x:c r="D706" s="17" t="str">
        <x:v>Anthropic</x:v>
      </x:c>
      <x:c r="E706" s="17" t="str">
        <x:v>United States of America</x:v>
      </x:c>
      <x:c r="F706" s="17" t="n">
        <x:v>45799</x:v>
      </x:c>
      <x:c r="G706" s="17" t="str">
        <x:v>API access</x:v>
      </x:c>
      <x:c r="H706" s="17" t="n">
        <x:v>45799</x:v>
      </x:c>
      <x:c r="I706" s="17"/>
      <x:c r="J706" s="17" t="str">
        <x:v>Unknown</x:v>
      </x:c>
      <x:c r="K706" s="17" t="str">
        <x:v>Anthropic's mid-sized Claude 4 series model, evaluated at up to 12,000 reasoning tokens.</x:v>
      </x:c>
      <x:c r="L706" s="17" t="str">
        <x:v>Claude Sonnet 4 (12k thinking)</x:v>
      </x:c>
      <x:c r="M706" s="17"/>
      <x:c r="N706" s="17" t="str">
        <x:v>Claude Sonnet 4</x:v>
      </x:c>
      <x:c r="O706" s="17" t="str">
        <x:v>claude-sonnet-4</x:v>
      </x:c>
      <x:c r="P706" s="17" t="n">
        <x:v>142.15</x:v>
      </x:c>
      <x:c r="Q706" s="17" t="n">
        <x:v>139.04</x:v>
      </x:c>
      <x:c r="R706" s="17" t="n">
        <x:v>143.61</x:v>
      </x:c>
      <x:c r="S706" s="17"/>
      <x:c r="T706" s="17"/>
      <x:c r="U706" s="17"/>
      <x:c r="V706" s="17"/>
      <x:c r="W706" s="17"/>
      <x:c r="X706" s="17"/>
      <x:c r="Y706" s="17"/>
      <x:c r="Z706" s="17"/>
    </x:row>
    <x:row r="707">
      <x:c r="A707" s="17" t="str">
        <x:v>Reka Flash 3</x:v>
      </x:c>
      <x:c r="B707" s="17" t="str">
        <x:v>reka-flash-3</x:v>
      </x:c>
      <x:c r="C707" s="17"/>
      <x:c r="D707" s="17" t="str">
        <x:v>Reka AI</x:v>
      </x:c>
      <x:c r="E707" s="17" t="str">
        <x:v>United States of America</x:v>
      </x:c>
      <x:c r="F707" s="17" t="n">
        <x:v>45726</x:v>
      </x:c>
      <x:c r="G707" s="17" t="str">
        <x:v>Open weights (unrestricted)</x:v>
      </x:c>
      <x:c r="H707" s="17" t="n">
        <x:v>45726</x:v>
      </x:c>
      <x:c r="I707" s="17"/>
      <x:c r="J707" s="17" t="str">
        <x:v>Confident</x:v>
      </x:c>
      <x:c r="K707" s="17"/>
      <x:c r="L707" s="17" t="str">
        <x:v>Reka Flash 3</x:v>
      </x:c>
      <x:c r="M707" s="17"/>
      <x:c r="N707" s="17" t="str">
        <x:v>Reka Flash 3</x:v>
      </x:c>
      <x:c r="O707" s="17" t="str">
        <x:v>reka-flash-3</x:v>
      </x:c>
      <x:c r="P707" s="17"/>
      <x:c r="Q707" s="17"/>
      <x:c r="R707" s="17"/>
      <x:c r="S707" s="17"/>
      <x:c r="T707" s="17"/>
      <x:c r="U707" s="17"/>
      <x:c r="V707" s="17"/>
      <x:c r="W707" s="17"/>
      <x:c r="X707" s="17"/>
      <x:c r="Y707" s="17"/>
      <x:c r="Z707" s="17"/>
    </x:row>
    <x:row r="708">
      <x:c r="A708" s="17" t="str">
        <x:v>Mistral NeMo</x:v>
      </x:c>
      <x:c r="B708" s="17" t="str">
        <x:v>Mistral-Nemo-Instruct-2407</x:v>
      </x:c>
      <x:c r="C708" s="17"/>
      <x:c r="D708" s="17" t="str">
        <x:v>Mistral AI</x:v>
      </x:c>
      <x:c r="E708" s="17" t="str">
        <x:v>France</x:v>
      </x:c>
      <x:c r="F708" s="17" t="n">
        <x:v>45491</x:v>
      </x:c>
      <x:c r="G708" s="17" t="str">
        <x:v>Open weights (unrestricted)</x:v>
      </x:c>
      <x:c r="H708" s="17" t="n">
        <x:v>45491</x:v>
      </x:c>
      <x:c r="I708" s="17"/>
      <x:c r="J708" s="17" t="str">
        <x:v>Confident</x:v>
      </x:c>
      <x:c r="K708" s="17"/>
      <x:c r="L708" s="17"/>
      <x:c r="M708" s="17"/>
      <x:c r="N708" s="17" t="str">
        <x:v>Mistral NeMo</x:v>
      </x:c>
      <x:c r="O708" s="17" t="str">
        <x:v>mistral-nemo</x:v>
      </x:c>
      <x:c r="P708" s="17" t="n">
        <x:v>118.38</x:v>
      </x:c>
      <x:c r="Q708" s="17" t="n">
        <x:v>109.85</x:v>
      </x:c>
      <x:c r="R708" s="17" t="n">
        <x:v>121.76</x:v>
      </x:c>
      <x:c r="S708" s="17"/>
      <x:c r="T708" s="17"/>
      <x:c r="U708" s="17"/>
      <x:c r="V708" s="17"/>
      <x:c r="W708" s="17"/>
      <x:c r="X708" s="17"/>
      <x:c r="Y708" s="17"/>
      <x:c r="Z708" s="17"/>
    </x:row>
    <x:row r="709">
      <x:c r="A709" s="17" t="str">
        <x:v>Llama 3.2 3B</x:v>
      </x:c>
      <x:c r="B709" s="17" t="str">
        <x:v>Llama-3.2-3B-Instruct</x:v>
      </x:c>
      <x:c r="C709" s="17"/>
      <x:c r="D709" s="17" t="str">
        <x:v>Meta AI</x:v>
      </x:c>
      <x:c r="E709" s="17" t="str">
        <x:v>United States of America</x:v>
      </x:c>
      <x:c r="F709" s="17" t="n">
        <x:v>45559</x:v>
      </x:c>
      <x:c r="G709" s="17" t="str">
        <x:v>Open weights (restricted use)</x:v>
      </x:c>
      <x:c r="H709" s="17" t="n">
        <x:v>45559</x:v>
      </x:c>
      <x:c r="I709" s="17" t="n">
        <x:v>1.7334e+23</x:v>
      </x:c>
      <x:c r="J709" s="17" t="str">
        <x:v>Confident</x:v>
      </x:c>
      <x:c r="K709" s="17" t="str">
        <x:v>A 3 billion-parameter instruction-tuned model in Meta's Llama 3.2 series.</x:v>
      </x:c>
      <x:c r="L709" s="17"/>
      <x:c r="M709" s="17"/>
      <x:c r="N709" s="17" t="str">
        <x:v>Llama 3.2 3B</x:v>
      </x:c>
      <x:c r="O709" s="17" t="str">
        <x:v>llama-3-2-3b</x:v>
      </x:c>
      <x:c r="P709" s="17"/>
      <x:c r="Q709" s="17"/>
      <x:c r="R709" s="17"/>
      <x:c r="S709" s="17"/>
      <x:c r="T709" s="17"/>
      <x:c r="U709" s="17"/>
      <x:c r="V709" s="17"/>
      <x:c r="W709" s="17"/>
      <x:c r="X709" s="17"/>
      <x:c r="Y709" s="17"/>
      <x:c r="Z709" s="17"/>
    </x:row>
    <x:row r="710">
      <x:c r="A710" s="17" t="str">
        <x:v>Llama 3.2 1B</x:v>
      </x:c>
      <x:c r="B710" s="17" t="str">
        <x:v>Llama-3.2-1B-Instruct</x:v>
      </x:c>
      <x:c r="C710" s="17"/>
      <x:c r="D710" s="17" t="str">
        <x:v>Meta AI</x:v>
      </x:c>
      <x:c r="E710" s="17" t="str">
        <x:v>United States of America</x:v>
      </x:c>
      <x:c r="F710" s="17" t="n">
        <x:v>45559</x:v>
      </x:c>
      <x:c r="G710" s="17" t="str">
        <x:v>Open weights (restricted use)</x:v>
      </x:c>
      <x:c r="H710" s="17" t="n">
        <x:v>45559</x:v>
      </x:c>
      <x:c r="I710" s="17" t="n">
        <x:v>6.642e+22</x:v>
      </x:c>
      <x:c r="J710" s="17" t="str">
        <x:v>Confident</x:v>
      </x:c>
      <x:c r="K710" s="17" t="str">
        <x:v>A 1 billion-parameter instruction-tuned model in Meta's Llama 3.2 series.</x:v>
      </x:c>
      <x:c r="L710" s="17"/>
      <x:c r="M710" s="17"/>
      <x:c r="N710" s="17" t="str">
        <x:v>Llama 3.2 1B</x:v>
      </x:c>
      <x:c r="O710" s="17" t="str">
        <x:v>llama-3-2-1b</x:v>
      </x:c>
      <x:c r="P710" s="17"/>
      <x:c r="Q710" s="17"/>
      <x:c r="R710" s="17"/>
      <x:c r="S710" s="17"/>
      <x:c r="T710" s="17"/>
      <x:c r="U710" s="17"/>
      <x:c r="V710" s="17"/>
      <x:c r="W710" s="17"/>
      <x:c r="X710" s="17"/>
      <x:c r="Y710" s="17"/>
      <x:c r="Z710" s="17"/>
    </x:row>
    <x:row r="711">
      <x:c r="A711" s="17" t="str">
        <x:v>GPT-3.5 (davinci-002)
</x:v>
      </x:c>
      <x:c r="B711" s="17" t="str">
        <x:v>code-davinci-002</x:v>
      </x:c>
      <x:c r="C711" s="17"/>
      <x:c r="D711" s="17" t="str">
        <x:v>OpenAI</x:v>
      </x:c>
      <x:c r="E711" s="17" t="str">
        <x:v>United States of America</x:v>
      </x:c>
      <x:c r="F711" s="17" t="n">
        <x:v>44635</x:v>
      </x:c>
      <x:c r="G711" s="17" t="str">
        <x:v>API access</x:v>
      </x:c>
      <x:c r="H711" s="17" t="n">
        <x:v>44635</x:v>
      </x:c>
      <x:c r="I711" s="17" t="n">
        <x:v>2.578e+24</x:v>
      </x:c>
      <x:c r="J711" s="17" t="str">
        <x:v>Speculative</x:v>
      </x:c>
      <x:c r="K711" s="17"/>
      <x:c r="L711" s="17"/>
      <x:c r="M711" s="17" t="str">
        <x:v>davinci-002</x:v>
      </x:c>
      <x:c r="N711" s="17" t="str">
        <x:v>davinci-002</x:v>
      </x:c>
      <x:c r="O711" s="17" t="str">
        <x:v>davinci-002</x:v>
      </x:c>
      <x:c r="P711" s="17"/>
      <x:c r="Q711" s="17"/>
      <x:c r="R711" s="17"/>
      <x:c r="S711" s="17"/>
      <x:c r="T711" s="17"/>
      <x:c r="U711" s="17"/>
      <x:c r="V711" s="17"/>
      <x:c r="W711" s="17"/>
      <x:c r="X711" s="17"/>
      <x:c r="Y711" s="17"/>
      <x:c r="Z711" s="17"/>
    </x:row>
    <x:row r="712">
      <x:c r="A712" s="17" t="str">
        <x:v>Falcon-40B</x:v>
      </x:c>
      <x:c r="B712" s="17" t="str">
        <x:v>falcon-40b-instruct</x:v>
      </x:c>
      <x:c r="C712" s="17"/>
      <x:c r="D712" s="17" t="str">
        <x:v>Technology Innovation Institute</x:v>
      </x:c>
      <x:c r="E712" s="17" t="str">
        <x:v>United Arab Emirates</x:v>
      </x:c>
      <x:c r="F712" s="17" t="n">
        <x:v>45071</x:v>
      </x:c>
      <x:c r="G712" s="17" t="str">
        <x:v>Open weights (unrestricted)</x:v>
      </x:c>
      <x:c r="H712" s="17" t="n">
        <x:v>45000</x:v>
      </x:c>
      <x:c r="I712" s="17" t="n">
        <x:v>2.4e+23</x:v>
      </x:c>
      <x:c r="J712" s="17" t="str">
        <x:v>Confident</x:v>
      </x:c>
      <x:c r="K712" s="17"/>
      <x:c r="L712" s="17"/>
      <x:c r="M712" s="17"/>
      <x:c r="N712" s="17" t="str">
        <x:v>Falcon-40B</x:v>
      </x:c>
      <x:c r="O712" s="17" t="str">
        <x:v>falcon-40b</x:v>
      </x:c>
      <x:c r="P712" s="17" t="n">
        <x:v>104.19</x:v>
      </x:c>
      <x:c r="Q712" s="17" t="n">
        <x:v>94.99</x:v>
      </x:c>
      <x:c r="R712" s="17" t="n">
        <x:v>110.58</x:v>
      </x:c>
      <x:c r="S712" s="17"/>
      <x:c r="T712" s="17"/>
      <x:c r="U712" s="17"/>
      <x:c r="V712" s="17"/>
      <x:c r="W712" s="17"/>
      <x:c r="X712" s="17"/>
      <x:c r="Y712" s="17"/>
      <x:c r="Z712" s="17"/>
    </x:row>
    <x:row r="713">
      <x:c r="A713" s="17"/>
      <x:c r="B713" s="17" t="str">
        <x:v>DeepSeek-Coder-V2-Lite-Instruct</x:v>
      </x:c>
      <x:c r="C713" s="17"/>
      <x:c r="D713" s="17"/>
      <x:c r="E713" s="17"/>
      <x:c r="F713" s="17" t="n">
        <x:v>45456</x:v>
      </x:c>
      <x:c r="G713" s="17"/>
      <x:c r="H713" s="17"/>
      <x:c r="I713" s="17"/>
      <x:c r="J713" s="17" t="str">
        <x:v>Unverified</x:v>
      </x:c>
      <x:c r="K713" s="17"/>
      <x:c r="L713" s="17"/>
      <x:c r="M713" s="17"/>
      <x:c r="N713" s="17"/>
      <x:c r="O713" s="17" t="str">
        <x:v>deepseek-coder-v2-lite-instruct</x:v>
      </x:c>
      <x:c r="P713" s="17"/>
      <x:c r="Q713" s="17"/>
      <x:c r="R713" s="17"/>
      <x:c r="S713" s="17"/>
      <x:c r="T713" s="17"/>
      <x:c r="U713" s="17"/>
      <x:c r="V713" s="17"/>
      <x:c r="W713" s="17"/>
      <x:c r="X713" s="17"/>
      <x:c r="Y713" s="17"/>
      <x:c r="Z713" s="17"/>
    </x:row>
    <x:row r="714">
      <x:c r="A714" s="17" t="str">
        <x:v>DeepSeek-Coder-V2 236B</x:v>
      </x:c>
      <x:c r="B714" s="17" t="str">
        <x:v>DeepSeek-Coder-V2-Instruct</x:v>
      </x:c>
      <x:c r="C714" s="17"/>
      <x:c r="D714" s="17" t="str">
        <x:v>DeepSeek</x:v>
      </x:c>
      <x:c r="E714" s="17" t="str">
        <x:v>China</x:v>
      </x:c>
      <x:c r="F714" s="17" t="n">
        <x:v>45460</x:v>
      </x:c>
      <x:c r="G714" s="17" t="str">
        <x:v>Open weights (restricted use)</x:v>
      </x:c>
      <x:c r="H714" s="17" t="n">
        <x:v>45460</x:v>
      </x:c>
      <x:c r="I714" s="17" t="n">
        <x:v>1.2852e+24</x:v>
      </x:c>
      <x:c r="J714" s="17" t="str">
        <x:v>Confident</x:v>
      </x:c>
      <x:c r="K714" s="17" t="str">
        <x:v>An instruction-tuned version of DeepSeek Coder V2, a 236 billion-parameter coding-optimized model from DeepSeek.</x:v>
      </x:c>
      <x:c r="L714" s="17" t="str">
        <x:v>DeepSeek-Coder-V2 (instruct)</x:v>
      </x:c>
      <x:c r="M714" s="17"/>
      <x:c r="N714" s="17" t="str">
        <x:v>DeepSeek-Coder-V2 236B</x:v>
      </x:c>
      <x:c r="O714" s="17" t="str">
        <x:v>deepseek-coder-v2-236b</x:v>
      </x:c>
      <x:c r="P714" s="17"/>
      <x:c r="Q714" s="17"/>
      <x:c r="R714" s="17"/>
      <x:c r="S714" s="17"/>
      <x:c r="T714" s="17"/>
      <x:c r="U714" s="17"/>
      <x:c r="V714" s="17"/>
      <x:c r="W714" s="17"/>
      <x:c r="X714" s="17"/>
      <x:c r="Y714" s="17"/>
      <x:c r="Z714" s="17"/>
    </x:row>
    <x:row r="715">
      <x:c r="A715" s="17"/>
      <x:c r="B715" s="17" t="str">
        <x:v>Qwen2.5-Coder-3B-Instruct</x:v>
      </x:c>
      <x:c r="C715" s="17"/>
      <x:c r="D715" s="17"/>
      <x:c r="E715" s="17"/>
      <x:c r="F715" s="17" t="n">
        <x:v>45602</x:v>
      </x:c>
      <x:c r="G715" s="17"/>
      <x:c r="H715" s="17"/>
      <x:c r="I715" s="17"/>
      <x:c r="J715" s="17" t="str">
        <x:v>Unverified</x:v>
      </x:c>
      <x:c r="K715" s="17" t="str">
        <x:v>An instruction-tuned and coding-optimized 3 billion-parameter model in the Qwen 2.5 series.</x:v>
      </x:c>
      <x:c r="L715" s="17"/>
      <x:c r="M715" s="17"/>
      <x:c r="N715" s="17"/>
      <x:c r="O715" s="17" t="str">
        <x:v>qwen2-5-coder-3b-instruct</x:v>
      </x:c>
      <x:c r="P715" s="17"/>
      <x:c r="Q715" s="17"/>
      <x:c r="R715" s="17"/>
      <x:c r="S715" s="17"/>
      <x:c r="T715" s="17"/>
      <x:c r="U715" s="17"/>
      <x:c r="V715" s="17"/>
      <x:c r="W715" s="17"/>
      <x:c r="X715" s="17"/>
      <x:c r="Y715" s="17"/>
      <x:c r="Z715" s="17"/>
    </x:row>
    <x:row r="716">
      <x:c r="A716" s="17" t="str">
        <x:v>Qwen2.5-Coder (7B)</x:v>
      </x:c>
      <x:c r="B716" s="17" t="str">
        <x:v>Qwen2.5-Coder-7B-Instruct</x:v>
      </x:c>
      <x:c r="C716" s="17"/>
      <x:c r="D716" s="17" t="str">
        <x:v>Alibaba</x:v>
      </x:c>
      <x:c r="E716" s="17" t="str">
        <x:v>China</x:v>
      </x:c>
      <x:c r="F716" s="17" t="n">
        <x:v>45552</x:v>
      </x:c>
      <x:c r="G716" s="17" t="str">
        <x:v>Open weights (unrestricted)</x:v>
      </x:c>
      <x:c r="H716" s="17" t="n">
        <x:v>45553</x:v>
      </x:c>
      <x:c r="I716" s="17" t="n">
        <x:v>2.5113e+23</x:v>
      </x:c>
      <x:c r="J716" s="17" t="str">
        <x:v>Confident</x:v>
      </x:c>
      <x:c r="K716" s="17" t="str">
        <x:v>An instruction-tuned and coding-optimized 7 billion-parameter model in the Qwen 2.5 series.</x:v>
      </x:c>
      <x:c r="L716" s="17" t="str">
        <x:v>Qwen2.5-Coder-7B (instruct)</x:v>
      </x:c>
      <x:c r="M716" s="17"/>
      <x:c r="N716" s="17" t="str">
        <x:v>Qwen2.5-Coder (7B)</x:v>
      </x:c>
      <x:c r="O716" s="17" t="str">
        <x:v>qwen2-5-coder-7b</x:v>
      </x:c>
      <x:c r="P716" s="17" t="n">
        <x:v>112.91</x:v>
      </x:c>
      <x:c r="Q716" s="17" t="n">
        <x:v>102.1</x:v>
      </x:c>
      <x:c r="R716" s="17" t="n">
        <x:v>118.64</x:v>
      </x:c>
      <x:c r="S716" s="17"/>
      <x:c r="T716" s="17"/>
      <x:c r="U716" s="17"/>
      <x:c r="V716" s="17"/>
      <x:c r="W716" s="17"/>
      <x:c r="X716" s="17"/>
      <x:c r="Y716" s="17"/>
      <x:c r="Z716" s="17"/>
    </x:row>
    <x:row r="717">
      <x:c r="A717" s="17"/>
      <x:c r="B717" s="17" t="str">
        <x:v>Qwen2.5-Coder-14B-Instruct</x:v>
      </x:c>
      <x:c r="C717" s="17"/>
      <x:c r="D717" s="17"/>
      <x:c r="E717" s="17"/>
      <x:c r="F717" s="17" t="n">
        <x:v>45602</x:v>
      </x:c>
      <x:c r="G717" s="17"/>
      <x:c r="H717" s="17"/>
      <x:c r="I717" s="17"/>
      <x:c r="J717" s="17" t="str">
        <x:v>Unverified</x:v>
      </x:c>
      <x:c r="K717" s="17" t="str">
        <x:v>An instruction-tuned and coding-optimized 14 billion-parameter model in the Qwen 2.5 series.</x:v>
      </x:c>
      <x:c r="L717" s="17"/>
      <x:c r="M717" s="17"/>
      <x:c r="N717" s="17"/>
      <x:c r="O717" s="17" t="str">
        <x:v>qwen2-5-coder-14b-instruct</x:v>
      </x:c>
      <x:c r="P717" s="17"/>
      <x:c r="Q717" s="17"/>
      <x:c r="R717" s="17"/>
      <x:c r="S717" s="17"/>
      <x:c r="T717" s="17"/>
      <x:c r="U717" s="17"/>
      <x:c r="V717" s="17"/>
      <x:c r="W717" s="17"/>
      <x:c r="X717" s="17"/>
      <x:c r="Y717" s="17"/>
      <x:c r="Z717" s="17"/>
    </x:row>
    <x:row r="718">
      <x:c r="A718" s="18" t="str">
        <x:v>QwQ-32B</x:v>
      </x:c>
      <x:c r="B718" s="18" t="str">
        <x:v>QwQ-32B (16K thinking)</x:v>
      </x:c>
      <x:c r="C718" s="18"/>
      <x:c r="D718" s="18" t="str">
        <x:v>Alibaba</x:v>
      </x:c>
      <x:c r="E718" s="18" t="str">
        <x:v>China</x:v>
      </x:c>
      <x:c r="F718" s="18" t="n">
        <x:v>45721</x:v>
      </x:c>
      <x:c r="G718" s="18" t="str">
        <x:v>Open weights (unrestricted)</x:v>
      </x:c>
      <x:c r="H718" s="18" t="n">
        <x:v>45722</x:v>
      </x:c>
      <x:c r="I718" s="18" t="n">
        <x:v>3.51e+24</x:v>
      </x:c>
      <x:c r="J718" s="18" t="str">
        <x:v>Speculative</x:v>
      </x:c>
      <x:c r="K718" s="18"/>
      <x:c r="L718" s="18" t="str">
        <x:v>QwQ 32B (16k thinking)</x:v>
      </x:c>
      <x:c r="M718" s="18" t="str">
        <x:v>QwQ-32B</x:v>
      </x:c>
      <x:c r="N718" s="18" t="str">
        <x:v>QwQ-32B</x:v>
      </x:c>
      <x:c r="O718" s="18" t="str">
        <x:v>qwq-32b</x:v>
      </x:c>
      <x:c r="P718" s="18"/>
      <x:c r="Q718" s="18"/>
      <x:c r="R718" s="18"/>
      <x:c r="S718" s="18"/>
      <x:c r="T718" s="18"/>
      <x:c r="U718" s="18"/>
      <x:c r="V718" s="18"/>
      <x:c r="W718" s="18"/>
      <x:c r="X718" s="18"/>
      <x:c r="Y718" s="18"/>
      <x:c r="Z718" s="18"/>
    </x:row>
  </x:sheetData>
  <x:pageMargins left="0.7" right="0.7" top="0.75" bottom="0.75" header="0.3" footer="0.3"/>
</x:worksheet>
</file>