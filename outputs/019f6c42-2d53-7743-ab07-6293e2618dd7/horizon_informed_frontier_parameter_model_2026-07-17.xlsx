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d4c758f63824c39" /></Relationships>
</file>

<file path=xl/workbook.xml><?xml version="1.0" encoding="utf-8"?>
<x:workbook xmlns:x="http://schemas.openxmlformats.org/spreadsheetml/2006/main">
  <x:sheets>
    <x:sheet xmlns:r="http://schemas.openxmlformats.org/officeDocument/2006/relationships" name="Executive Summary" sheetId="1" r:id="R689832dca90a4212"/>
    <x:sheet xmlns:r="http://schemas.openxmlformats.org/officeDocument/2006/relationships" name="Frontier Estimates" sheetId="2" r:id="Rc5dd10b38a884649"/>
    <x:sheet xmlns:r="http://schemas.openxmlformats.org/officeDocument/2006/relationships" name="API Prices" sheetId="3" r:id="Rb3adb48b4e7a4a22"/>
    <x:sheet xmlns:r="http://schemas.openxmlformats.org/officeDocument/2006/relationships" name="Price Model" sheetId="4" r:id="R305bcba905e8478a"/>
    <x:sheet xmlns:r="http://schemas.openxmlformats.org/officeDocument/2006/relationships" name="Anchors &amp; Method" sheetId="5" r:id="R8e4f0c5f952d4bab"/>
    <x:sheet xmlns:r="http://schemas.openxmlformats.org/officeDocument/2006/relationships" name="Sources" sheetId="6" r:id="R77318bacd962481d"/>
    <x:sheet xmlns:r="http://schemas.openxmlformats.org/officeDocument/2006/relationships" name="No-CoT Evidence" sheetId="7" r:id="Re347cb27c2ec482b"/>
    <x:sheet xmlns:r="http://schemas.openxmlformats.org/officeDocument/2006/relationships" name="Horizon Laws" sheetId="8" r:id="R6f9639a1a22c44e0"/>
    <x:sheet xmlns:r="http://schemas.openxmlformats.org/officeDocument/2006/relationships" name="Horizon Estimates" sheetId="9" r:id="Rf82cebcd2fec4c77"/>
  </x:sheets>
</x:workbook>
</file>

<file path=xl/comments1.xml><?xml version="1.0" encoding="utf-8"?>
<x:comments xmlns:x="http://schemas.openxmlformats.org/spreadsheetml/2006/main">
  <x:authors>
    <x:author>tc={0C34250B-76A7-A868-5778-64F26CD57ACF}</x:author>
  </x:authors>
  <x:commentList>
    <x:comment ref="M10" authorId="0">
      <x:text>
        <x:r>
          <x:t>[Threaded comment]
Your version of Excel allows you to read this threaded comment; however, any edits to it will get removed if the file is opened in a newer version of Excel. Learn more: https://go.microsoft.com/fwlink/?linkid=870924
Comment:
    Opus 4.7 and 4.8 are treated as one base. Their separate benchmark-derived priors are collapsed geometrically before pricing is applied.</x:t>
        </x:r>
      </x:text>
    </x:comment>
  </x:commentList>
</x:comments>
</file>

<file path=xl/comments2.xml><?xml version="1.0" encoding="utf-8"?>
<x:comments xmlns:x="http://schemas.openxmlformats.org/spreadsheetml/2006/main">
  <x:authors>
    <x:author>tc={6C9D14B4-C441-A6F4-1596-C50020E50E32}</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Price is capped at 15% log weight because API prices reflect product strategy, latency, tokenizer choice, and inference service design—not only physical parameter count.</x:t>
        </x:r>
      </x:text>
    </x:comment>
  </x:commentList>
</x:comments>
</file>

<file path=xl/comments3.xml><?xml version="1.0" encoding="utf-8"?>
<x:comments xmlns:x="http://schemas.openxmlformats.org/spreadsheetml/2006/main">
  <x:authors>
    <x:author>tc={6861E5A5-CA6B-2E60-C1E9-A293013F92E6}</x:author>
  </x:authors>
  <x:commentList>
    <x:comment ref="B9" authorId="0">
      <x:text>
        <x:r>
          <x:t>[Threaded comment]
Your version of Excel allows you to read this threaded comment; however, any edits to it will get removed if the file is opened in a newer version of Excel. Learn more: https://go.microsoft.com/fwlink/?linkid=870924
Comment:
    The 1.5T figure is a public first-party executive disclosure of the V9 foundation scale. It is less formal than a technical report and should not be used as an active-parameter count.</x:t>
        </x:r>
      </x:text>
    </x:comment>
  </x:commentList>
</x:comments>
</file>

<file path=xl/comments4.xml><?xml version="1.0" encoding="utf-8"?>
<x:comments xmlns:x="http://schemas.openxmlformats.org/spreadsheetml/2006/main">
  <x:authors>
    <x:author>tc={4472E848-9830-EA02-4AFE-2B9594172033}</x:author>
  </x:authors>
  <x:commentList>
    <x:comment ref="B52" authorId="0">
      <x:text>
        <x:r>
          <x:t>[Threaded comment]
Your version of Excel allows you to read this threaded comment; however, any edits to it will get removed if the file is opened in a newer version of Excel. Learn more: https://go.microsoft.com/fwlink/?linkid=870924
Comment:
    Same-base Opus evidence shows why METR should not be inverted directly into parameters: 4.5→4.6 is ~1.04× on no-CoT but ~2.45× with CoT.</x:t>
        </x:r>
      </x:text>
    </x:comment>
  </x:commentList>
</x:comments>
</file>

<file path=xl/comments5.xml><?xml version="1.0" encoding="utf-8"?>
<x:comments xmlns:x="http://schemas.openxmlformats.org/spreadsheetml/2006/main">
  <x:authors>
    <x:author>tc={B3F29E33-DD55-5A13-BDE7-E3D8C99FA97C}</x:author>
  </x:authors>
  <x:commentList>
    <x:comment ref="G6" authorId="0">
      <x:text>
        <x:r>
          <x:t>[Threaded comment]
Your version of Excel allows you to read this threaded comment; however, any edits to it will get removed if the file is opened in a newer version of Excel. Learn more: https://go.microsoft.com/fwlink/?linkid=870924
Comment:
    Fable's horizon branch is intentionally only 30% of the posterior. Its large movement comes from two independent time-based priors agreeing on a materially newer pretrain than K3/Opus 4.5.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000"/>
    <x:numFmt numFmtId="201" formatCode="0.000000"/>
    <x:numFmt numFmtId="202" formatCode="0.0000"/>
    <x:numFmt numFmtId="203" formatCode="0.000x"/>
    <x:numFmt numFmtId="204" formatCode="0%"/>
    <x:numFmt numFmtId="205" formatCode="yyyy-mm-dd"/>
    <x:numFmt numFmtId="206" formatCode="0.0x"/>
    <x:numFmt numFmtId="207" formatCode="mmm yyyy"/>
    <x:numFmt numFmtId="208" formatCode="0"/>
    <x:numFmt numFmtId="209" formatCode="0.00"/>
    <x:numFmt numFmtId="210" formatCode="0.0E+00"/>
    <x:numFmt numFmtId="211" formatCode="0.00x"/>
    <x:numFmt numFmtId="212" formatCode="0.0"/>
  </x:numFmts>
  <x:fonts count="10">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10"/>
      <x:color rgb="FF243838"/>
      <x:name val="Aptos"/>
    </x:font>
    <x:font>
      <x:b/>
      <x:sz val="9"/>
      <x:color rgb="FF3A4848"/>
      <x:name val="Aptos"/>
    </x:font>
    <x:font>
      <x:b/>
      <x:sz val="11"/>
      <x:color rgb="FF087879"/>
      <x:name val="Aptos"/>
    </x:font>
    <x:font>
      <x:i/>
      <x:sz val="9"/>
      <x:color rgb="FF3A4848"/>
      <x:name val="Aptos"/>
    </x:font>
    <x:font>
      <x:b/>
      <x:sz val="11"/>
      <x:color rgb="FF243838"/>
      <x:name val="Aptos"/>
    </x:font>
  </x:fonts>
  <x:fills count="14">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
      <x:patternFill patternType="solid">
        <x:fgColor rgb="FF243838"/>
      </x:patternFill>
    </x:fill>
    <x:fill>
      <x:patternFill patternType="solid">
        <x:fgColor rgb="FFE8F4F4"/>
      </x:patternFill>
    </x:fill>
    <x:fill>
      <x:patternFill patternType="solid">
        <x:fgColor rgb="FF087879"/>
      </x:patternFill>
    </x:fill>
    <x:fill>
      <x:patternFill patternType="solid">
        <x:fgColor rgb="FFF3F6F6"/>
      </x:patternFill>
    </x:fill>
    <x:fill>
      <x:patternFill patternType="solid">
        <x:fgColor rgb="FFFFF4DF"/>
      </x:patternFill>
    </x:fill>
    <x:fill>
      <x:patternFill patternType="solid">
        <x:fgColor rgb="FFFFF4FA"/>
      </x:patternFill>
    </x:fill>
    <x:fill>
      <x:patternFill patternType="solid">
        <x:fgColor rgb="FFFFFFFF"/>
      </x:patternFill>
    </x:fill>
  </x:fills>
  <x:borders count="10">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
      <x:left style="medium">
        <x:color rgb="FFD9991A"/>
      </x:left>
    </x:border>
    <x:border>
      <x:left style="medium">
        <x:color rgb="FF7457D9"/>
      </x:left>
    </x:border>
    <x:border>
      <x:top style="thin">
        <x:color rgb="FFD2DCDC"/>
      </x:top>
      <x:bottom style="medium">
        <x:color rgb="FF00A5A6"/>
      </x:bottom>
    </x:border>
  </x:borders>
  <x:cellStyleXfs count="1">
    <x:xf numFmtId="0" fontId="0" fillId="0" borderId="0"/>
  </x:cellStyleXfs>
  <x:cellXfs count="1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2" fontId="4" fillId="0" borderId="2" xfId="0" applyNumberFormat="1" applyFont="1" applyFill="1" applyBorder="1" applyAlignment="1">
      <x:alignment vertical="center"/>
    </x:xf>
    <x:xf numFmtId="203" fontId="4" fillId="0" borderId="4" xfId="0" applyNumberFormat="1" applyFont="1" applyFill="1" applyBorder="1" applyAlignment="1">
      <x:alignment vertical="center"/>
    </x:xf>
    <x:xf numFmtId="0" fontId="5" fillId="4" borderId="0" xfId="0" applyNumberFormat="1" applyFont="1" applyFill="1" applyBorder="1"/>
    <x:xf numFmtId="0" fontId="5" fillId="4" borderId="5" xfId="0" applyNumberFormat="1" applyFont="1" applyFill="1" applyBorder="1"/>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vertical="center" wrapText="1"/>
    </x:xf>
    <x:xf numFmtId="207" fontId="4" fillId="0" borderId="2" xfId="0" applyNumberFormat="1" applyFont="1" applyFill="1" applyBorder="1" applyAlignment="1">
      <x:alignment vertical="center"/>
    </x:xf>
    <x:xf numFmtId="207" fontId="4" fillId="0" borderId="3" xfId="0" applyNumberFormat="1" applyFont="1" applyFill="1" applyBorder="1" applyAlignment="1">
      <x:alignment vertical="center"/>
    </x:xf>
    <x:xf numFmtId="207" fontId="4" fillId="0" borderId="4" xfId="0" applyNumberFormat="1" applyFont="1" applyFill="1" applyBorder="1" applyAlignment="1">
      <x:alignment vertical="center"/>
    </x:xf>
    <x:xf numFmtId="208" fontId="4" fillId="0" borderId="2" xfId="0" applyNumberFormat="1" applyFont="1" applyFill="1" applyBorder="1" applyAlignment="1">
      <x:alignment vertical="center"/>
    </x:xf>
    <x:xf numFmtId="208" fontId="4" fillId="0" borderId="3" xfId="0" applyNumberFormat="1" applyFont="1" applyFill="1" applyBorder="1" applyAlignment="1">
      <x:alignment vertical="center"/>
    </x:xf>
    <x:xf numFmtId="208" fontId="4" fillId="0" borderId="4"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09" fontId="4" fillId="0" borderId="2" xfId="0" applyNumberFormat="1" applyFont="1" applyFill="1" applyBorder="1" applyAlignment="1">
      <x:alignment vertical="center"/>
    </x:xf>
    <x:xf numFmtId="209" fontId="4" fillId="0" borderId="3" xfId="0" applyNumberFormat="1" applyFont="1" applyFill="1" applyBorder="1" applyAlignment="1">
      <x:alignment vertical="center"/>
    </x:xf>
    <x:xf numFmtId="209" fontId="4" fillId="0" borderId="4" xfId="0" applyNumberFormat="1" applyFont="1" applyFill="1" applyBorder="1" applyAlignment="1">
      <x:alignment vertical="center"/>
    </x:xf>
    <x:xf numFmtId="210" fontId="4" fillId="0" borderId="2" xfId="0" applyNumberFormat="1" applyFont="1" applyFill="1" applyBorder="1" applyAlignment="1">
      <x:alignment vertical="center"/>
    </x:xf>
    <x:xf numFmtId="210" fontId="4" fillId="0" borderId="3" xfId="0" applyNumberFormat="1" applyFont="1" applyFill="1" applyBorder="1" applyAlignment="1">
      <x:alignment vertical="center"/>
    </x:xf>
    <x:xf numFmtId="210" fontId="4" fillId="0" borderId="4" xfId="0" applyNumberFormat="1" applyFont="1" applyFill="1" applyBorder="1" applyAlignment="1">
      <x:alignment vertical="center"/>
    </x:xf>
    <x:xf numFmtId="211" fontId="4" fillId="0" borderId="2" xfId="0" applyNumberFormat="1" applyFont="1" applyFill="1" applyBorder="1" applyAlignment="1">
      <x:alignment vertical="center"/>
    </x:xf>
    <x:xf numFmtId="211" fontId="4" fillId="0" borderId="3" xfId="0" applyNumberFormat="1" applyFont="1" applyFill="1" applyBorder="1" applyAlignment="1">
      <x:alignment vertical="center"/>
    </x:xf>
    <x:xf numFmtId="211" fontId="4" fillId="0" borderId="4" xfId="0" applyNumberFormat="1" applyFont="1" applyFill="1" applyBorder="1" applyAlignment="1">
      <x:alignment vertical="center"/>
    </x:xf>
    <x:xf numFmtId="0" fontId="0" fillId="11" borderId="0" xfId="0" applyNumberFormat="1" applyFont="1" applyFill="1" applyBorder="1"/>
    <x:xf numFmtId="0" fontId="4" fillId="11" borderId="0" xfId="0" applyNumberFormat="1" applyFont="1" applyFill="1" applyBorder="1"/>
    <x:xf numFmtId="0" fontId="4" fillId="11" borderId="7" xfId="0" applyNumberFormat="1" applyFont="1" applyFill="1" applyBorder="1"/>
    <x:xf numFmtId="0" fontId="4" fillId="11" xfId="0" applyNumberFormat="1" applyFont="1" applyFill="1" applyBorder="0"/>
    <x:xf numFmtId="0" fontId="4" fillId="11" borderId="7" xfId="0" applyNumberFormat="1" applyFont="1" applyFill="1" applyBorder="1" applyAlignment="1">
      <x:alignment wrapText="1"/>
    </x:xf>
    <x:xf numFmtId="0" fontId="4" fillId="11" xfId="0" applyNumberFormat="1" applyFont="1" applyFill="1" applyBorder="0" applyAlignment="1">
      <x:alignment wrapText="1"/>
    </x:xf>
    <x:xf numFmtId="0" fontId="4" fillId="11" borderId="7" xfId="0" applyNumberFormat="1" applyFont="1" applyFill="1" applyBorder="1" applyAlignment="1">
      <x:alignment vertical="center" wrapText="1"/>
    </x:xf>
    <x:xf numFmtId="0" fontId="4" fillId="11" xfId="0" applyNumberFormat="1" applyFont="1" applyFill="1" applyBorder="0"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8" xfId="0" applyNumberFormat="1" applyFont="1" applyFill="1" applyBorder="1"/>
    <x:xf numFmtId="0" fontId="4" fillId="12" xfId="0" applyNumberFormat="1" applyFont="1" applyFill="1" applyBorder="0"/>
    <x:xf numFmtId="0" fontId="4" fillId="12" borderId="8" xfId="0" applyNumberFormat="1" applyFont="1" applyFill="1" applyBorder="1" applyAlignment="1">
      <x:alignment wrapText="1"/>
    </x:xf>
    <x:xf numFmtId="0" fontId="4" fillId="12" xfId="0" applyNumberFormat="1" applyFont="1" applyFill="1" applyBorder="0" applyAlignment="1">
      <x:alignment wrapText="1"/>
    </x:xf>
    <x:xf numFmtId="0" fontId="4" fillId="12" borderId="8" xfId="0" applyNumberFormat="1" applyFont="1" applyFill="1" applyBorder="1" applyAlignment="1">
      <x:alignment vertical="center" wrapText="1"/>
    </x:xf>
    <x:xf numFmtId="0" fontId="4" fillId="12" xfId="0" applyNumberFormat="1" applyFont="1" applyFill="1" applyBorder="0" applyAlignment="1">
      <x:alignment vertical="center" wrapText="1"/>
    </x:xf>
    <x:xf numFmtId="212" fontId="4" fillId="0" borderId="2" xfId="0" applyNumberFormat="1" applyFont="1" applyFill="1" applyBorder="1" applyAlignment="1">
      <x:alignment vertical="center"/>
    </x:xf>
    <x:xf numFmtId="212" fontId="4" fillId="0" borderId="3" xfId="0" applyNumberFormat="1" applyFont="1" applyFill="1" applyBorder="1" applyAlignment="1">
      <x:alignment vertical="center"/>
    </x:xf>
    <x:xf numFmtId="212" fontId="4" fillId="0" borderId="4" xfId="0" applyNumberFormat="1" applyFont="1" applyFill="1" applyBorder="1" applyAlignment="1">
      <x:alignment vertical="center"/>
    </x:xf>
    <x:xf numFmtId="212" fontId="9" fillId="0" borderId="2" xfId="0" applyNumberFormat="1" applyFont="1" applyFill="1" applyBorder="1" applyAlignment="1">
      <x:alignment vertical="center"/>
    </x:xf>
    <x:xf numFmtId="212" fontId="9" fillId="0" borderId="3" xfId="0" applyNumberFormat="1" applyFont="1" applyFill="1" applyBorder="1" applyAlignment="1">
      <x:alignment vertical="center"/>
    </x:xf>
    <x:xf numFmtId="212" fontId="9" fillId="0" borderId="4" xfId="0" applyNumberFormat="1" applyFont="1" applyFill="1" applyBorder="1" applyAlignment="1">
      <x:alignment vertical="center"/>
    </x:xf>
    <x:xf numFmtId="0" fontId="4" fillId="8" borderId="0" xfId="0" applyNumberFormat="1" applyFont="1" applyFill="1" applyBorder="1"/>
    <x:xf numFmtId="0" fontId="4" fillId="8" borderId="5" xfId="0" applyNumberFormat="1" applyFont="1" applyFill="1" applyBorder="1"/>
    <x:xf numFmtId="0" fontId="4" fillId="8" xfId="0" applyNumberFormat="1" applyFont="1" applyFill="1" applyBorder="0"/>
    <x:xf numFmtId="0" fontId="4" fillId="8" borderId="5" xfId="0" applyNumberFormat="1" applyFont="1" applyFill="1" applyBorder="1" applyAlignment="1">
      <x:alignment wrapText="1"/>
    </x:xf>
    <x:xf numFmtId="0" fontId="4" fillId="8" xfId="0" applyNumberFormat="1" applyFont="1" applyFill="1" applyBorder="0" applyAlignment="1">
      <x:alignment wrapText="1"/>
    </x:xf>
    <x:xf numFmtId="0" fontId="4" fillId="8" borderId="5" xfId="0" applyNumberFormat="1" applyFont="1" applyFill="1" applyBorder="1" applyAlignment="1">
      <x:alignment vertical="center" wrapText="1"/>
    </x:xf>
    <x:xf numFmtId="0" fontId="4" fillId="8" xfId="0" applyNumberFormat="1" applyFont="1" applyFill="1" applyBorder="0" applyAlignment="1">
      <x:alignment vertical="center" wrapText="1"/>
    </x:xf>
    <x:xf numFmtId="0" fontId="8" fillId="10" borderId="8" xfId="0" applyNumberFormat="1" applyFont="1" applyFill="1" applyBorder="1"/>
    <x:xf numFmtId="0" fontId="8" fillId="10" xfId="0" applyNumberFormat="1" applyFont="1" applyFill="1" applyBorder="0"/>
    <x:xf numFmtId="0" fontId="8" fillId="10" borderId="8" xfId="0" applyNumberFormat="1" applyFont="1" applyFill="1" applyBorder="1" applyAlignment="1">
      <x:alignment wrapText="1"/>
    </x:xf>
    <x:xf numFmtId="0" fontId="8" fillId="10" xfId="0" applyNumberFormat="1" applyFont="1" applyFill="1" applyBorder="0" applyAlignment="1">
      <x:alignment wrapText="1"/>
    </x:xf>
    <x:xf numFmtId="0" fontId="8" fillId="10" borderId="8" xfId="0" applyNumberFormat="1" applyFont="1" applyFill="1" applyBorder="1" applyAlignment="1">
      <x:alignment vertical="center" wrapText="1"/>
    </x:xf>
    <x:xf numFmtId="0" fontId="8" fillId="10" xfId="0" applyNumberFormat="1" applyFont="1" applyFill="1" applyBorder="0" applyAlignment="1">
      <x:alignment vertical="center" wrapText="1"/>
    </x:xf>
    <x:xf numFmtId="0" fontId="5" fillId="8" borderId="0" xfId="0" applyNumberFormat="1" applyFont="1" applyFill="1" applyBorder="1"/>
    <x:xf numFmtId="0" fontId="5" fillId="8" borderId="5" xfId="0" applyNumberFormat="1" applyFont="1" applyFill="1" applyBorder="1"/>
    <x:xf numFmtId="0" fontId="5" fillId="8" xfId="0" applyNumberFormat="1" applyFont="1" applyFill="1" applyBorder="0"/>
    <x:xf numFmtId="0" fontId="5" fillId="8" borderId="5" xfId="0" applyNumberFormat="1" applyFont="1" applyFill="1" applyBorder="1" applyAlignment="1">
      <x:alignment wrapText="1"/>
    </x:xf>
    <x:xf numFmtId="0" fontId="5" fillId="8" xfId="0" applyNumberFormat="1" applyFont="1" applyFill="1" applyBorder="0" applyAlignment="1">
      <x:alignment wrapText="1"/>
    </x:xf>
    <x:xf numFmtId="0" fontId="5" fillId="8" borderId="5" xfId="0" applyNumberFormat="1" applyFont="1" applyFill="1" applyBorder="1" applyAlignment="1">
      <x:alignment vertical="center" wrapText="1"/>
    </x:xf>
    <x:xf numFmtId="0" fontId="5" fillId="8" xfId="0" applyNumberFormat="1" applyFont="1" applyFill="1" applyBorder="0" applyAlignment="1">
      <x:alignment vertical="center" wrapText="1"/>
    </x:xf>
    <x:xf numFmtId="0" fontId="6" fillId="9" borderId="1" xfId="0" applyNumberFormat="1" applyFont="1" applyFill="1" applyBorder="1" applyAlignment="1">
      <x:alignment vertical="center" wrapText="1"/>
    </x:xf>
    <x:xf numFmtId="0" fontId="6" fillId="9" borderId="2" xfId="0" applyNumberFormat="1" applyFont="1" applyFill="1" applyBorder="1" applyAlignment="1">
      <x:alignment vertical="center" wrapText="1"/>
    </x:xf>
    <x:xf numFmtId="0" fontId="4" fillId="0" borderId="9" xfId="0" applyNumberFormat="1" applyFont="1" applyFill="1" applyBorder="1"/>
    <x:xf numFmtId="0" fontId="4" fillId="0" borderId="9" xfId="0" applyNumberFormat="1" applyFont="1" applyFill="1" applyBorder="1" applyAlignment="1">
      <x:alignment vertical="center"/>
    </x:xf>
    <x:xf numFmtId="0" fontId="6" fillId="13" borderId="2" xfId="0" applyNumberFormat="1" applyFont="1" applyFill="1" applyBorder="1" applyAlignment="1">
      <x:alignment vertical="center" wrapText="1"/>
    </x:xf>
    <x:xf numFmtId="0" fontId="4" fillId="13" borderId="3" xfId="0" applyNumberFormat="1" applyFont="1" applyFill="1" applyBorder="1" applyAlignment="1">
      <x:alignment vertical="center"/>
    </x:xf>
    <x:xf numFmtId="0" fontId="4" fillId="13" borderId="9" xfId="0" applyNumberFormat="1" applyFont="1" applyFill="1" applyBorder="1" applyAlignment="1">
      <x:alignment vertical="center"/>
    </x:xf>
    <x:xf numFmtId="0" fontId="4" fillId="13" borderId="3" xfId="0" applyNumberFormat="1" applyFont="1" applyFill="1" applyBorder="1" applyAlignment="1">
      <x:alignment vertical="center" wrapText="1"/>
    </x:xf>
    <x:xf numFmtId="0" fontId="4" fillId="13" borderId="9" xfId="0" applyNumberFormat="1" applyFont="1" applyFill="1" applyBorder="1" applyAlignment="1">
      <x:alignment vertical="center" wrapText="1"/>
    </x:xf>
  </x:cellXfs>
  <x:cellStyles count="1">
    <x:cellStyle name="Normal" xfId="0"/>
  </x:cellStyles>
  <x:dxfs count="5">
    <x:dxf>
      <x:font>
        <x:b/>
        <x:color rgb="FF243838"/>
      </x:font>
      <x:fill>
        <x:patternFill>
          <x:bgColor rgb="FFEDF4FF"/>
        </x:patternFill>
      </x:fill>
    </x:dxf>
    <x:dxf>
      <x:font>
        <x:b/>
        <x:color rgb="FF243838"/>
      </x:font>
      <x:fill>
        <x:patternFill>
          <x:bgColor rgb="FFEDF4FF"/>
        </x:patternFill>
      </x:fill>
    </x:dxf>
    <x:dxf>
      <x:font>
        <x:b/>
        <x:color rgb="FF243838"/>
      </x:font>
      <x:fill>
        <x:patternFill patternType="solid">
          <x:bgColor rgb="FFFFF4DF"/>
        </x:patternFill>
      </x:fill>
    </x:dxf>
    <x:dxf>
      <x:font>
        <x:b/>
        <x:color rgb="FF243838"/>
      </x:font>
      <x:fill>
        <x:patternFill patternType="solid">
          <x:bgColor rgb="FFEDF4FF"/>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d975644ad34b6d" /><Relationship Type="http://schemas.openxmlformats.org/officeDocument/2006/relationships/theme" Target="/xl/theme/theme1.xml" Id="R0888624012234f73" /><Relationship Type="http://schemas.openxmlformats.org/officeDocument/2006/relationships/sharedStrings" Target="/xl/sharedStrings.xml" Id="R31471910c931471c" /><Relationship Type="http://schemas.openxmlformats.org/officeDocument/2006/relationships/worksheet" Target="/xl/worksheets/sheet1.xml" Id="R689832dca90a4212" /><Relationship Type="http://schemas.openxmlformats.org/officeDocument/2006/relationships/worksheet" Target="/xl/worksheets/sheet2.xml" Id="Rc5dd10b38a884649" /><Relationship Type="http://schemas.openxmlformats.org/officeDocument/2006/relationships/worksheet" Target="/xl/worksheets/sheet3.xml" Id="Rb3adb48b4e7a4a22" /><Relationship Type="http://schemas.openxmlformats.org/officeDocument/2006/relationships/worksheet" Target="/xl/worksheets/sheet4.xml" Id="R305bcba905e8478a" /><Relationship Type="http://schemas.openxmlformats.org/officeDocument/2006/relationships/worksheet" Target="/xl/worksheets/sheet5.xml" Id="R8e4f0c5f952d4bab" /><Relationship Type="http://schemas.openxmlformats.org/officeDocument/2006/relationships/worksheet" Target="/xl/worksheets/sheet6.xml" Id="R77318bacd962481d" /><Relationship Type="http://schemas.openxmlformats.org/officeDocument/2006/relationships/worksheet" Target="/xl/worksheets/sheet7.xml" Id="Re347cb27c2ec482b" /><Relationship Type="http://schemas.openxmlformats.org/officeDocument/2006/relationships/worksheet" Target="/xl/worksheets/sheet8.xml" Id="R6f9639a1a22c44e0" /><Relationship Type="http://schemas.openxmlformats.org/officeDocument/2006/relationships/worksheet" Target="/xl/worksheets/sheet9.xml" Id="Rf82cebcd2fec4c77" /><Relationship Type="http://schemas.microsoft.com/office/2017/10/relationships/person" Target="/xl/persons/person.xml" Id="Rfbd4b23d2cb845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d9f3ad04944a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Horizon-informed frontier totals (T)</a:t>
            </a:r>
          </a:p>
        </c:rich>
      </c:tx>
    </c:title>
    <c:plotArea>
      <c:barChart>
        <c:barDir val="col"/>
        <c:varyColors val="0"/>
        <c:ser>
          <c:idx val="0"/>
          <c:order val="0"/>
          <c:tx>
            <c:v>Total parameters (T)</c:v>
          </c:tx>
          <c:spPr>
            <a:solidFill xmlns:a="http://schemas.openxmlformats.org/drawingml/2006/main">
              <a:srgbClr val="00A5A6"/>
            </a:solidFill>
          </c:spPr>
          <c:cat>
            <c:strRef>
              <c:f>'Executive Summary'!$A$6:$A$14</c:f>
              <c:strCache>
                <c:ptCount val="0"/>
              </c:strCache>
            </c:strRef>
          </c:cat>
          <c:val>
            <c:numRef>
              <c:f>'Executive Summary'!$B$6:$B$14</c:f>
              <c:numCache>
                <c:formatCode>0.0"T"</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T&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d9f3ad04944a00"/>
        </a:graphicData>
      </a:graphic>
    </xdr:graphicFrame>
    <xdr:clientData/>
  </xdr:twoCellAnchor>
</xdr:wsDr>
</file>

<file path=xl/persons/person.xml><?xml version="1.0" encoding="utf-8"?>
<xltc:personList xmlns:xltc="http://schemas.microsoft.com/office/spreadsheetml/2018/threadedcomments">
  <xltc:person displayName="Codex" id="{6A7784B4-354F-45B0-B21C-27324E9B9E26}"/>
  <xltc:person displayName="Codex" id="{855CFE29-38A7-4941-9F80-8E30D260BDF9}"/>
</xltc:personList>
</file>

<file path=xl/tables/table1.xml><?xml version="1.0" encoding="utf-8"?>
<x:table xmlns:x="http://schemas.openxmlformats.org/spreadsheetml/2006/main" id="2" name="FrontierEstimatesTable" displayName="FrontierEstimatesTable" ref="A5:R16" headerRowCount="1" totalsRowCount="0" totalsRowShown="0">
  <x:tableColumns count="18">
    <x:tableColumn id="1" name="Release"/>
    <x:tableColumn id="2" name="Model / base"/>
    <x:tableColumn id="3" name="AA v4.1"/>
    <x:tableColumn id="4" name="ECI"/>
    <x:tableColumn id="5" name="Primary benchmark (T)"/>
    <x:tableColumn id="6" name="Provider"/>
    <x:tableColumn id="7" name="Input $/MTok"/>
    <x:tableColumn id="8" name="Output $/MTok"/>
    <x:tableColumn id="9" name="Tokenizer factor"/>
    <x:tableColumn id="10" name="Price index z"/>
    <x:tableColumn id="11" name="LOBO price-implied (T)"/>
    <x:tableColumn id="12" name="Price log weight"/>
    <x:tableColumn id="13" name="Final central (T)"/>
    <x:tableColumn id="14" name="Error low (T)"/>
    <x:tableColumn id="15" name="Error high (T)"/>
    <x:tableColumn id="16" name="Status"/>
    <x:tableColumn id="17" name="Method note"/>
    <x:tableColumn id="18" name="Price source"/>
  </x:tableColumns>
  <x:tableStyleInfo name="TableStyleMedium2" showFirstColumn="0" showLastColumn="0" showRowStripes="1" showColumnStripes="0"/>
</x:table>
</file>

<file path=xl/tables/table2.xml><?xml version="1.0" encoding="utf-8"?>
<x:table xmlns:x="http://schemas.openxmlformats.org/spreadsheetml/2006/main" id="1" name="ApiPricesTable" displayName="ApiPricesTable" ref="A5:L13" headerRowCount="1" totalsRowCount="0" totalsRowShown="0">
  <x:tableColumns count="12">
    <x:tableColumn id="1" name="Base model"/>
    <x:tableColumn id="2" name="Provider"/>
    <x:tableColumn id="3" name="Input $/MTok"/>
    <x:tableColumn id="4" name="Output $/MTok"/>
    <x:tableColumn id="5" name="Cached input $/MTok"/>
    <x:tableColumn id="6" name="5m cache write $/MTok"/>
    <x:tableColumn id="7" name="Long input $/MTok"/>
    <x:tableColumn id="8" name="Long output $/MTok"/>
    <x:tableColumn id="9" name="Tokenizer factor"/>
    <x:tableColumn id="10" name="Rate used"/>
    <x:tableColumn id="11" name="Official source"/>
    <x:tableColumn id="12" name="Not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D16" headerRowCount="1" totalsRowCount="0" totalsRowShown="0">
  <x:tableColumns count="4">
    <x:tableColumn id="1" name="Source"/>
    <x:tableColumn id="2" name="URL / path"/>
    <x:tableColumn id="3" name="Use"/>
    <x:tableColumn id="4" name="Caveat / snapshot"/>
  </x:tableColumns>
  <x:tableStyleInfo name="TableStyleMedium2" showFirstColumn="0" showLastColumn="0" showRowStripes="1" showColumnStripes="0"/>
</x:table>
</file>

<file path=xl/tables/table4.xml><?xml version="1.0" encoding="utf-8"?>
<x:table xmlns:x="http://schemas.openxmlformats.org/spreadsheetml/2006/main" id="4" name="NoCotFrontierTable" displayName="NoCotFrontierTable" ref="A6:L20" headerRowCount="1" totalsRowCount="0" totalsRowShown="0">
  <x:tableColumns count="12">
    <x:tableColumn id="1" name="Model"/>
    <x:tableColumn id="2" name="Release month"/>
    <x:tableColumn id="3" name="Time TH (min)"/>
    <x:tableColumn id="4" name="Time CI low"/>
    <x:tableColumn id="5" name="Time CI high"/>
    <x:tableColumn id="6" name="Time source text"/>
    <x:tableColumn id="7" name="Token TH"/>
    <x:tableColumn id="8" name="Token CI low"/>
    <x:tableColumn id="9" name="Token CI high"/>
    <x:tableColumn id="10" name="Token source text"/>
    <x:tableColumn id="11" name="At floor?"/>
    <x:tableColumn id="12" name="LaTeX table"/>
  </x:tableColumns>
  <x:tableStyleInfo name="TableStyleMedium2" showFirstColumn="0" showLastColumn="0" showRowStripes="1" showColumnStripes="0"/>
</x:table>
</file>

<file path=xl/tables/table5.xml><?xml version="1.0" encoding="utf-8"?>
<x:table xmlns:x="http://schemas.openxmlformats.org/spreadsheetml/2006/main" id="5" name="NoCotOpenWeightTable" displayName="NoCotOpenWeightTable" ref="A24:M59" headerRowCount="1" totalsRowCount="0" totalsRowShown="0">
  <x:tableColumns count="13">
    <x:tableColumn id="1" name="Developer"/>
    <x:tableColumn id="2" name="Model"/>
    <x:tableColumn id="3" name="Release month"/>
    <x:tableColumn id="4" name="Total params (B)"/>
    <x:tableColumn id="5" name="Active params (B)"/>
    <x:tableColumn id="6" name="Layers"/>
    <x:tableColumn id="7" name="Architecture"/>
    <x:tableColumn id="8" name="Reasoning"/>
    <x:tableColumn id="9" name="Modality"/>
    <x:tableColumn id="10" name="Point TH (min)"/>
    <x:tableColumn id="11" name="Bootstrap median"/>
    <x:tableColumn id="12" name="CI low"/>
    <x:tableColumn id="13" name="CI high"/>
  </x:tableColumns>
  <x:tableStyleInfo name="TableStyleMedium2" showFirstColumn="0" showLastColumn="0" showRowStripes="1" showColumnStripes="0"/>
</x:table>
</file>

<file path=xl/tables/table6.xml><?xml version="1.0" encoding="utf-8"?>
<x:table xmlns:x="http://schemas.openxmlformats.org/spreadsheetml/2006/main" id="6" name="HorizonPosteriorTable" displayName="HorizonPosteriorTable" ref="A5:L14" headerRowCount="1" totalsRowCount="0" totalsRowShown="0">
  <x:tableColumns count="12">
    <x:tableColumn id="1" name="Model / base"/>
    <x:tableColumn id="2" name="Existing central (T)"/>
    <x:tableColumn id="3" name="TH proxy (min)"/>
    <x:tableColumn id="4" name="Horizon prior (T)"/>
    <x:tableColumn id="5" name="Existing weight"/>
    <x:tableColumn id="6" name="Horizon weight"/>
    <x:tableColumn id="7" name="Posterior (T)"/>
    <x:tableColumn id="8" name="Crowd point (T)"/>
    <x:tableColumn id="9" name="Posterior / crowd"/>
    <x:tableColumn id="10" name="Horizon evidence"/>
    <x:tableColumn id="11" name="Status"/>
    <x:tableColumn id="12" name="Method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10" dT="2026-07-16T20:19:20.506" personId="{6A7784B4-354F-45B0-B21C-27324E9B9E26}" id="{0C34250B-76A7-A868-5778-64F26CD57ACF}">
    <xltc:text>Opus 4.7 and 4.8 are treated as one base. Their separate benchmark-derived priors are collapsed geometrically before pricing is applied.</xltc:text>
  </xltc:threadedComment>
</xltc:ThreadedComments>
</file>

<file path=xl/threadedcomments/threadedcomment2.xml><?xml version="1.0" encoding="utf-8"?>
<xltc:ThreadedComments xmlns:xltc="http://schemas.microsoft.com/office/spreadsheetml/2018/threadedcomments">
  <xltc:threadedComment ref="B12" dT="2026-07-16T20:19:20.506" personId="{6A7784B4-354F-45B0-B21C-27324E9B9E26}" id="{6C9D14B4-C441-A6F4-1596-C50020E50E32}">
    <xltc:text>Price is capped at 15% log weight because API prices reflect product strategy, latency, tokenizer choice, and inference service design—not only physical parameter count.</xltc:text>
  </xltc:threadedComment>
</xltc:ThreadedComments>
</file>

<file path=xl/threadedcomments/threadedcomment3.xml><?xml version="1.0" encoding="utf-8"?>
<xltc:ThreadedComments xmlns:xltc="http://schemas.microsoft.com/office/spreadsheetml/2018/threadedcomments">
  <xltc:threadedComment ref="B9" dT="2026-07-16T20:19:20.506" personId="{6A7784B4-354F-45B0-B21C-27324E9B9E26}" id="{6861E5A5-CA6B-2E60-C1E9-A293013F92E6}">
    <xltc:text>The 1.5T figure is a public first-party executive disclosure of the V9 foundation scale. It is less formal than a technical report and should not be used as an active-parameter count.</xltc:text>
  </xltc:threadedComment>
</xltc:ThreadedComments>
</file>

<file path=xl/threadedcomments/threadedcomment4.xml><?xml version="1.0" encoding="utf-8"?>
<xltc:ThreadedComments xmlns:xltc="http://schemas.microsoft.com/office/spreadsheetml/2018/threadedcomments">
  <xltc:threadedComment ref="B52" dT="2026-07-17T12:57:38.746" personId="{855CFE29-38A7-4941-9F80-8E30D260BDF9}" id="{4472E848-9830-EA02-4AFE-2B9594172033}">
    <xltc:text>Same-base Opus evidence shows why METR should not be inverted directly into parameters: 4.5→4.6 is ~1.04× on no-CoT but ~2.45× with CoT.</xltc:text>
  </xltc:threadedComment>
</xltc:ThreadedComments>
</file>

<file path=xl/threadedcomments/threadedcomment5.xml><?xml version="1.0" encoding="utf-8"?>
<xltc:ThreadedComments xmlns:xltc="http://schemas.microsoft.com/office/spreadsheetml/2018/threadedcomments">
  <xltc:threadedComment ref="G6" dT="2026-07-17T12:57:38.745" personId="{855CFE29-38A7-4941-9F80-8E30D260BDF9}" id="{B3F29E33-DD55-5A13-BDE7-E3D8C99FA97C}">
    <xltc:text>Fable's horizon branch is intentionally only 30% of the posterior. Its large movement comes from two independent time-based priors agreeing on a materially newer pretrain than K3/Opus 4.5.</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0fbdc1b0a99e4aa3" /></Relationships>
</file>

<file path=xl/worksheets/_rels/sheet2.xml.rels>&#65279;<?xml version="1.0" encoding="utf-8"?><Relationships xmlns="http://schemas.openxmlformats.org/package/2006/relationships"><Relationship Type="http://schemas.openxmlformats.org/officeDocument/2006/relationships/comments" Target="/xl/comments1.xml" Id="R934149f5a52444d6" /><Relationship Type="http://schemas.openxmlformats.org/officeDocument/2006/relationships/vmlDrawing" Target="/xl/drawings/vmldrawing.vml" Id="Rda4c19a8d7d74b6b" /><Relationship Type="http://schemas.microsoft.com/office/2017/10/relationships/threadedComment" Target="/xl/threadedcomments/threadedcomment.xml" Id="R99d92acfa64840fb" /><Relationship Type="http://schemas.openxmlformats.org/officeDocument/2006/relationships/table" Target="/xl/tables/table1.xml" Id="R6368be7a077e4da5" /></Relationships>
</file>

<file path=xl/worksheets/_rels/sheet3.xml.rels>&#65279;<?xml version="1.0" encoding="utf-8"?><Relationships xmlns="http://schemas.openxmlformats.org/package/2006/relationships"><Relationship Type="http://schemas.openxmlformats.org/officeDocument/2006/relationships/table" Target="/xl/tables/table2.xml" Id="R34eace80299d4b9f" /></Relationships>
</file>

<file path=xl/worksheets/_rels/sheet4.xml.rels>&#65279;<?xml version="1.0" encoding="utf-8"?><Relationships xmlns="http://schemas.openxmlformats.org/package/2006/relationships"><Relationship Type="http://schemas.openxmlformats.org/officeDocument/2006/relationships/comments" Target="/xl/comments2.xml" Id="R75d9a06147da4188" /><Relationship Type="http://schemas.openxmlformats.org/officeDocument/2006/relationships/vmlDrawing" Target="/xl/drawings/vmldrawing2.vml" Id="R2d1745bae97c4c3a" /><Relationship Type="http://schemas.microsoft.com/office/2017/10/relationships/threadedComment" Target="/xl/threadedcomments/threadedcomment2.xml" Id="R9765af1bb0474eac" /></Relationships>
</file>

<file path=xl/worksheets/_rels/sheet5.xml.rels>&#65279;<?xml version="1.0" encoding="utf-8"?><Relationships xmlns="http://schemas.openxmlformats.org/package/2006/relationships"><Relationship Type="http://schemas.openxmlformats.org/officeDocument/2006/relationships/comments" Target="/xl/comments3.xml" Id="R1c788c3712894e6e" /><Relationship Type="http://schemas.openxmlformats.org/officeDocument/2006/relationships/vmlDrawing" Target="/xl/drawings/vmldrawing3.vml" Id="Rd9f67a617a00421f" /><Relationship Type="http://schemas.microsoft.com/office/2017/10/relationships/threadedComment" Target="/xl/threadedcomments/threadedcomment3.xml" Id="Rf6958eeb990748ec" /></Relationships>
</file>

<file path=xl/worksheets/_rels/sheet6.xml.rels>&#65279;<?xml version="1.0" encoding="utf-8"?><Relationships xmlns="http://schemas.openxmlformats.org/package/2006/relationships"><Relationship Type="http://schemas.openxmlformats.org/officeDocument/2006/relationships/table" Target="/xl/tables/table3.xml" Id="R09169107c09e49de" /></Relationships>
</file>

<file path=xl/worksheets/_rels/sheet7.xml.rels>&#65279;<?xml version="1.0" encoding="utf-8"?><Relationships xmlns="http://schemas.openxmlformats.org/package/2006/relationships"><Relationship Type="http://schemas.openxmlformats.org/officeDocument/2006/relationships/table" Target="/xl/tables/table4.xml" Id="R01a136e52ed447de" /><Relationship Type="http://schemas.openxmlformats.org/officeDocument/2006/relationships/table" Target="/xl/tables/table5.xml" Id="R53b9b993c64f48f1" /></Relationships>
</file>

<file path=xl/worksheets/_rels/sheet8.xml.rels>&#65279;<?xml version="1.0" encoding="utf-8"?><Relationships xmlns="http://schemas.openxmlformats.org/package/2006/relationships"><Relationship Type="http://schemas.openxmlformats.org/officeDocument/2006/relationships/comments" Target="/xl/comments4.xml" Id="Rd6af2792886c4a15" /><Relationship Type="http://schemas.openxmlformats.org/officeDocument/2006/relationships/vmlDrawing" Target="/xl/drawings/vmldrawing4.vml" Id="Rd82c930cb3f84e7b" /><Relationship Type="http://schemas.microsoft.com/office/2017/10/relationships/threadedComment" Target="/xl/threadedcomments/threadedcomment4.xml" Id="R013520cedf3d4619" /></Relationships>
</file>

<file path=xl/worksheets/_rels/sheet9.xml.rels>&#65279;<?xml version="1.0" encoding="utf-8"?><Relationships xmlns="http://schemas.openxmlformats.org/package/2006/relationships"><Relationship Type="http://schemas.openxmlformats.org/officeDocument/2006/relationships/comments" Target="/xl/comments5.xml" Id="R26655b4be2ba417d" /><Relationship Type="http://schemas.openxmlformats.org/officeDocument/2006/relationships/vmlDrawing" Target="/xl/drawings/vmldrawing5.vml" Id="Rf39a9cae52024d86" /><Relationship Type="http://schemas.microsoft.com/office/2017/10/relationships/threadedComment" Target="/xl/threadedcomments/threadedcomment5.xml" Id="Rb5e3f15af8af4375" /><Relationship Type="http://schemas.openxmlformats.org/officeDocument/2006/relationships/table" Target="/xl/tables/table6.xml" Id="R23e9ddf010364974"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4"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6" customHeight="1">
      <x:c r="A1" s="66" t="str">
        <x:v>Frontier parameter estimates — horizon-informed posterior</x:v>
      </x:c>
      <x:c r="B1" s="66"/>
      <x:c r="C1" s="66"/>
      <x:c r="D1" s="66"/>
      <x:c r="E1" s="66"/>
      <x:c r="F1" s="66"/>
      <x:c r="G1" s="66"/>
      <x:c r="H1" s="66"/>
      <x:c r="I1" s="66"/>
      <x:c r="J1" s="66"/>
      <x:c r="K1" s="66"/>
      <x:c r="L1" s="66"/>
      <x:c r="M1" s="66"/>
      <x:c r="N1" s="66"/>
      <x:c r="O1" s="66"/>
      <x:c r="P1" s="66"/>
      <x:c r="Q1" s="66"/>
    </x:row>
    <x:row r="2">
      <x:c r="A2" s="6" t="str">
        <x:v>Final Bayesian blend: 59.5% AA+ECI benchmark signal, 10.5% API-price signal, and 30% no-CoT horizon signal. K3 and Grok remain disclosed anchors. Opus 4.7/4.8 is one shared base. Fable is shown as a regular model. Gemini and error bars are omitted, and display precision is capped at one decimal.</x:v>
      </x:c>
      <x:c r="B2" s="6"/>
      <x:c r="C2" s="6"/>
      <x:c r="D2" s="6"/>
      <x:c r="E2" s="6"/>
      <x:c r="F2" s="6"/>
      <x:c r="G2" s="6"/>
      <x:c r="H2" s="6"/>
      <x:c r="I2" s="6"/>
      <x:c r="J2" s="6"/>
      <x:c r="K2" s="6"/>
      <x:c r="L2" s="6"/>
      <x:c r="M2" s="6"/>
      <x:c r="N2" s="6"/>
      <x:c r="O2" s="6"/>
      <x:c r="P2" s="6"/>
      <x:c r="Q2" s="6"/>
    </x:row>
    <x:row r="3">
      <x:c r="A3" s="6"/>
      <x:c r="B3" s="6"/>
      <x:c r="C3" s="6"/>
      <x:c r="D3" s="6"/>
      <x:c r="E3" s="6"/>
      <x:c r="F3" s="6"/>
      <x:c r="G3" s="6"/>
      <x:c r="H3" s="6"/>
      <x:c r="I3" s="6"/>
      <x:c r="J3" s="6"/>
      <x:c r="K3" s="6"/>
      <x:c r="L3" s="6"/>
      <x:c r="M3" s="6"/>
      <x:c r="N3" s="6"/>
      <x:c r="O3" s="6"/>
      <x:c r="P3" s="6"/>
      <x:c r="Q3" s="6"/>
    </x:row>
    <x:row r="5" ht="34" customHeight="1">
      <x:c r="A5" s="74" t="str">
        <x:v>Model / base</x:v>
      </x:c>
      <x:c r="B5" s="74" t="str">
        <x:v>Posterior total (T)</x:v>
      </x:c>
      <x:c r="C5" s="74" t="str">
        <x:v>Status</x:v>
      </x:c>
      <x:c r="D5"/>
      <x:c r="E5"/>
      <x:c r="F5"/>
      <x:c r="G5"/>
    </x:row>
    <x:row r="6">
      <x:c r="A6" s="16" t="str">
        <x:f>'Horizon Estimates'!A6</x:f>
        <x:v>Claude Fable 5</x:v>
      </x:c>
      <x:c r="B6" s="115" t="n">
        <x:f>'Horizon Estimates'!G6</x:f>
        <x:v>4.153613368813049</x:v>
      </x:c>
      <x:c r="C6" s="16" t="str">
        <x:f>'Horizon Estimates'!K6</x:f>
        <x:v>Regression estimate</x:v>
      </x:c>
      <x:c r="D6"/>
      <x:c r="E6"/>
      <x:c r="F6"/>
      <x:c r="G6"/>
    </x:row>
    <x:row r="7">
      <x:c r="A7" s="17" t="str">
        <x:f>'Horizon Estimates'!A7</x:f>
        <x:v>GPT-5.6 Sol</x:v>
      </x:c>
      <x:c r="B7" s="116" t="n">
        <x:f>'Horizon Estimates'!G7</x:f>
        <x:v>3.226923720371106</x:v>
      </x:c>
      <x:c r="C7" s="17" t="str">
        <x:f>'Horizon Estimates'!K7</x:f>
        <x:v>Regression estimate</x:v>
      </x:c>
      <x:c r="D7"/>
      <x:c r="E7"/>
      <x:c r="F7"/>
      <x:c r="G7"/>
    </x:row>
    <x:row r="8">
      <x:c r="A8" s="17" t="str">
        <x:f>'Horizon Estimates'!A8</x:f>
        <x:v>Kimi K3</x:v>
      </x:c>
      <x:c r="B8" s="116" t="n">
        <x:f>'Horizon Estimates'!G8</x:f>
        <x:v>2.8</x:v>
      </x:c>
      <x:c r="C8" s="17" t="str">
        <x:f>'Horizon Estimates'!K8</x:f>
        <x:v>Disclosed anchor</x:v>
      </x:c>
      <x:c r="D8"/>
      <x:c r="E8"/>
      <x:c r="F8"/>
      <x:c r="G8"/>
    </x:row>
    <x:row r="9">
      <x:c r="A9" s="17" t="str">
        <x:f>'Horizon Estimates'!A9</x:f>
        <x:v>Claude Opus 4.7 / 4.8 shared base</x:v>
      </x:c>
      <x:c r="B9" s="116" t="n">
        <x:f>'Horizon Estimates'!G9</x:f>
        <x:v>2.5648782467513835</x:v>
      </x:c>
      <x:c r="C9" s="17" t="str">
        <x:f>'Horizon Estimates'!K9</x:f>
        <x:v>Regression estimate</x:v>
      </x:c>
      <x:c r="D9"/>
      <x:c r="E9"/>
      <x:c r="F9"/>
      <x:c r="G9"/>
    </x:row>
    <x:row r="10">
      <x:c r="A10" s="17" t="str">
        <x:f>'Horizon Estimates'!A10</x:f>
        <x:v>GPT-5.5</x:v>
      </x:c>
      <x:c r="B10" s="116" t="n">
        <x:f>'Horizon Estimates'!G10</x:f>
        <x:v>2.456599527874213</x:v>
      </x:c>
      <x:c r="C10" s="17" t="str">
        <x:f>'Horizon Estimates'!K10</x:f>
        <x:v>Regression estimate</x:v>
      </x:c>
      <x:c r="D10"/>
      <x:c r="E10"/>
      <x:c r="F10"/>
      <x:c r="G10"/>
    </x:row>
    <x:row r="11">
      <x:c r="A11" s="17" t="str">
        <x:f>'Horizon Estimates'!A11</x:f>
        <x:v>GPT-5.6 Terra</x:v>
      </x:c>
      <x:c r="B11" s="116" t="n">
        <x:f>'Horizon Estimates'!G11</x:f>
        <x:v>2.188261160029926</x:v>
      </x:c>
      <x:c r="C11" s="17" t="str">
        <x:f>'Horizon Estimates'!K11</x:f>
        <x:v>Regression estimate</x:v>
      </x:c>
      <x:c r="D11"/>
      <x:c r="E11"/>
      <x:c r="F11"/>
      <x:c r="G11"/>
    </x:row>
    <x:row r="12">
      <x:c r="A12" s="17" t="str">
        <x:f>'Horizon Estimates'!A12</x:f>
        <x:v>Claude Sonnet 5</x:v>
      </x:c>
      <x:c r="B12" s="116" t="n">
        <x:f>'Horizon Estimates'!G12</x:f>
        <x:v>1.5616446066762157</x:v>
      </x:c>
      <x:c r="C12" s="17" t="str">
        <x:f>'Horizon Estimates'!K12</x:f>
        <x:v>Regression estimate</x:v>
      </x:c>
      <x:c r="D12"/>
      <x:c r="E12"/>
      <x:c r="F12"/>
      <x:c r="G12"/>
    </x:row>
    <x:row r="13">
      <x:c r="A13" s="17" t="str">
        <x:f>'Horizon Estimates'!A13</x:f>
        <x:v>GPT-5.6 Luna</x:v>
      </x:c>
      <x:c r="B13" s="116" t="n">
        <x:f>'Horizon Estimates'!G13</x:f>
        <x:v>1.4978367513645425</x:v>
      </x:c>
      <x:c r="C13" s="17" t="str">
        <x:f>'Horizon Estimates'!K13</x:f>
        <x:v>Regression estimate</x:v>
      </x:c>
      <x:c r="D13"/>
      <x:c r="E13"/>
      <x:c r="F13"/>
      <x:c r="G13"/>
    </x:row>
    <x:row r="14">
      <x:c r="A14" s="18" t="str">
        <x:f>'Horizon Estimates'!A14</x:f>
        <x:v>Grok 4.5</x:v>
      </x:c>
      <x:c r="B14" s="117" t="n">
        <x:f>'Horizon Estimates'!G14</x:f>
        <x:v>1.5</x:v>
      </x:c>
      <x:c r="C14" s="18" t="str">
        <x:f>'Horizon Estimates'!K14</x:f>
        <x:v>Disclosed anchor</x:v>
      </x:c>
      <x:c r="D14"/>
      <x:c r="E14"/>
      <x:c r="F14"/>
      <x:c r="G14"/>
    </x:row>
    <x:row r="15">
      <x:c r="A15"/>
      <x:c r="B15"/>
      <x:c r="C15"/>
      <x:c r="D15"/>
      <x:c r="E15"/>
      <x:c r="F15"/>
      <x:c r="G15"/>
    </x:row>
    <x:row r="16">
      <x:c r="A16"/>
      <x:c r="B16"/>
      <x:c r="C16"/>
      <x:c r="D16"/>
      <x:c r="E16"/>
      <x:c r="F16"/>
      <x:c r="G16"/>
    </x:row>
    <x:row r="17">
      <x:c r="A17" s="136" t="str">
        <x:v>Final centers
Fable 4.2T · Sol 3.2T · K3 2.8T
Opus shared 2.6T · GPT-5.5 2.5T</x:v>
      </x:c>
      <x:c r="B17" s="137"/>
      <x:c r="C17" s="137"/>
    </x:row>
    <x:row r="18">
      <x:c r="A18" s="136"/>
      <x:c r="B18" s="137"/>
      <x:c r="C18" s="137"/>
    </x:row>
    <x:row r="19">
      <x:c r="A19" s="136"/>
      <x:c r="B19" s="137"/>
      <x:c r="C19" s="137"/>
    </x:row>
    <x:row r="20">
      <x:c r="A20"/>
      <x:c r="B20"/>
      <x:c r="C20"/>
      <x:c r="D20"/>
      <x:c r="E20"/>
      <x:c r="F20"/>
      <x:c r="G20"/>
      <x:c r="H20"/>
      <x:c r="I20"/>
      <x:c r="J20"/>
      <x:c r="K20"/>
      <x:c r="L20"/>
      <x:c r="M20"/>
      <x:c r="N20"/>
      <x:c r="O20"/>
      <x:c r="P20"/>
      <x:c r="Q20"/>
    </x:row>
    <x:row r="21">
      <x:c r="A21" s="110" t="str">
        <x:v>Why Fable moved: the 30% horizon branch combines the paper's 4.2× total-parameter increase per TH doubling with Ryan Greenblatt's corrected view that K3's 2.8T pretrain is roughly Opus-4.5-level and ~8 months behind Anthropic. Sol stays close to the prior because same-base GPT evidence attributes much of 5→5.5 progress to post-training.</x:v>
      </x:c>
      <x:c r="B21" s="111"/>
      <x:c r="C21" s="111"/>
      <x:c r="D21"/>
      <x:c r="E21"/>
      <x:c r="F21"/>
      <x:c r="G21"/>
      <x:c r="H21"/>
      <x:c r="I21"/>
      <x:c r="J21"/>
      <x:c r="K21"/>
      <x:c r="L21"/>
      <x:c r="M21"/>
      <x:c r="N21"/>
      <x:c r="O21"/>
      <x:c r="P21"/>
      <x:c r="Q21"/>
    </x:row>
    <x:row r="22">
      <x:c r="A22" s="110"/>
      <x:c r="B22" s="111"/>
      <x:c r="C22" s="111"/>
      <x:c r="D22"/>
      <x:c r="E22"/>
      <x:c r="F22"/>
      <x:c r="G22"/>
      <x:c r="H22"/>
      <x:c r="I22"/>
      <x:c r="J22"/>
      <x:c r="K22"/>
      <x:c r="L22"/>
      <x:c r="M22"/>
      <x:c r="N22"/>
      <x:c r="O22"/>
      <x:c r="P22"/>
      <x:c r="Q22"/>
    </x:row>
    <x:row r="23">
      <x:c r="A23" s="110"/>
      <x:c r="B23" s="111"/>
      <x:c r="C23" s="111"/>
    </x:row>
    <x:row r="24">
      <x:c r="A24" s="110"/>
      <x:c r="B24" s="111"/>
      <x:c r="C24" s="111"/>
      <x:c r="D24"/>
      <x:c r="E24"/>
      <x:c r="F24"/>
      <x:c r="G24"/>
      <x:c r="H24"/>
      <x:c r="I24"/>
      <x:c r="J24"/>
      <x:c r="K24"/>
      <x:c r="L24"/>
      <x:c r="M24"/>
      <x:c r="N24"/>
      <x:c r="O24"/>
      <x:c r="P24"/>
      <x:c r="Q24"/>
    </x:row>
    <x:row r="25">
      <x:c r="A25" s="110"/>
      <x:c r="B25" s="111"/>
      <x:c r="C25" s="111"/>
      <x:c r="D25"/>
      <x:c r="E25"/>
      <x:c r="F25"/>
      <x:c r="G25"/>
      <x:c r="H25"/>
      <x:c r="I25"/>
      <x:c r="J25"/>
      <x:c r="K25"/>
      <x:c r="L25"/>
      <x:c r="M25"/>
      <x:c r="N25"/>
      <x:c r="O25"/>
      <x:c r="P25"/>
      <x:c r="Q25"/>
    </x:row>
    <x:row r="26">
      <x:c r="A26"/>
      <x:c r="B26"/>
      <x:c r="C26"/>
      <x:c r="D26"/>
      <x:c r="E26"/>
      <x:c r="F26"/>
      <x:c r="G26"/>
      <x:c r="H26"/>
      <x:c r="I26"/>
      <x:c r="J26"/>
      <x:c r="K26"/>
      <x:c r="L26"/>
      <x:c r="M26"/>
      <x:c r="N26"/>
      <x:c r="O26"/>
      <x:c r="P26"/>
      <x:c r="Q26"/>
    </x:row>
  </x:sheetData>
  <x:mergeCells>
    <x:mergeCell ref="A1:Q1"/>
    <x:mergeCell ref="A2:Q3"/>
    <x:mergeCell ref="A17:C19"/>
    <x:mergeCell ref="A21:C25"/>
  </x:mergeCells>
  <x:conditionalFormatting sqref="G6:G16">
    <x:cfRule type="containsText" dxfId="1" priority="1" operator="containsText" text="anchor"/>
  </x:conditionalFormatting>
  <x:conditionalFormatting sqref="C6:C14">
    <x:cfRule type="containsText" dxfId="4" priority="2" operator="containsText" text="Disclosed"/>
  </x:conditionalFormatting>
  <x:pageMargins left="0.7" right="0.7" top="0.75" bottom="0.75" header="0.3" footer="0.3"/>
  <x:drawing xmlns:r="http://schemas.openxmlformats.org/officeDocument/2006/relationships" r:id="R0fbdc1b0a99e4aa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65" hidden="0" customWidth="1"/>
    <x:col min="18" max="18" width="50" hidden="0" customWidth="1"/>
  </x:cols>
  <x:sheetData>
    <x:row r="1" ht="36" customHeight="1">
      <x:c r="A1" s="3" t="str">
        <x:v>Frontier parameter estimates — price-informed and base-collapsed</x:v>
      </x:c>
      <x:c r="B1" s="3"/>
      <x:c r="C1" s="3"/>
      <x:c r="D1" s="3"/>
      <x:c r="E1" s="3"/>
      <x:c r="F1" s="3"/>
      <x:c r="G1" s="3"/>
      <x:c r="H1" s="3"/>
      <x:c r="I1" s="3"/>
      <x:c r="J1" s="3"/>
      <x:c r="K1" s="3"/>
      <x:c r="L1" s="3"/>
      <x:c r="M1" s="3"/>
      <x:c r="N1" s="3"/>
      <x:c r="O1" s="3"/>
      <x:c r="P1" s="3"/>
      <x:c r="Q1" s="3"/>
      <x:c r="R1" s="3"/>
    </x:row>
    <x:row r="2">
      <x:c r="A2" s="6" t="str">
        <x:v>Primary estimates retain the K3-anchored benchmark/date model. Grok 4.5 is pegged directly to the 1.5T founder disclosure. API price adds only 15% log weight through a leave-one-base-out OpenAI/Anthropic fit. The conservative ×/÷3.03 band is unchanged.</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ht="34" customHeight="1">
      <x:c r="A5" s="11" t="str">
        <x:v>Release</x:v>
      </x:c>
      <x:c r="B5" s="11" t="str">
        <x:v>Model / base</x:v>
      </x:c>
      <x:c r="C5" s="11" t="str">
        <x:v>AA v4.1</x:v>
      </x:c>
      <x:c r="D5" s="11" t="str">
        <x:v>ECI</x:v>
      </x:c>
      <x:c r="E5" s="11" t="str">
        <x:v>Primary benchmark (T)</x:v>
      </x:c>
      <x:c r="F5" s="11" t="str">
        <x:v>Provider</x:v>
      </x:c>
      <x:c r="G5" s="11" t="str">
        <x:v>Input $/MTok</x:v>
      </x:c>
      <x:c r="H5" s="11" t="str">
        <x:v>Output $/MTok</x:v>
      </x:c>
      <x:c r="I5" s="11" t="str">
        <x:v>Tokenizer factor</x:v>
      </x:c>
      <x:c r="J5" s="11" t="str">
        <x:v>Price index z</x:v>
      </x:c>
      <x:c r="K5" s="11" t="str">
        <x:v>LOBO price-implied (T)</x:v>
      </x:c>
      <x:c r="L5" s="11" t="str">
        <x:v>Price log weight</x:v>
      </x:c>
      <x:c r="M5" s="11" t="str">
        <x:v>Final central (T)</x:v>
      </x:c>
      <x:c r="N5" s="11" t="str">
        <x:v>Error low (T)</x:v>
      </x:c>
      <x:c r="O5" s="11" t="str">
        <x:v>Error high (T)</x:v>
      </x:c>
      <x:c r="P5" s="11" t="str">
        <x:v>Status</x:v>
      </x:c>
      <x:c r="Q5" s="11" t="str">
        <x:v>Method note</x:v>
      </x:c>
      <x:c r="R5" s="11" t="str">
        <x:v>Price source</x:v>
      </x:c>
    </x:row>
    <x:row r="6">
      <x:c r="A6" s="30" t="n">
        <x:v>46182</x:v>
      </x:c>
      <x:c r="B6" s="16" t="str">
        <x:v>Claude Fable 5</x:v>
      </x:c>
      <x:c r="C6" s="19" t="n">
        <x:v>60</x:v>
      </x:c>
      <x:c r="D6" s="19" t="n">
        <x:v>160.44</x:v>
      </x:c>
      <x:c r="E6" s="19" t="n">
        <x:v>3.5009724758824072</x:v>
      </x:c>
      <x:c r="F6" s="19" t="str">
        <x:v>Anthropic</x:v>
      </x:c>
      <x:c r="G6" s="19" t="n">
        <x:v>10</x:v>
      </x:c>
      <x:c r="H6" s="19" t="n">
        <x:v>50</x:v>
      </x:c>
      <x:c r="I6" s="19" t="n">
        <x:v>1.3</x:v>
      </x:c>
      <x:c r="J6" s="19" t="n">
        <x:f>SQRT(G6*H6)*I6</x:f>
        <x:v>29.068883707497267</x:v>
      </x:c>
      <x:c r="K6" s="19" t="n">
        <x:f>'Price Model'!N15</x:f>
        <x:v>2.9989015106599064</x:v>
      </x:c>
      <x:c r="L6" s="33" t="n">
        <x:f>'Price Model'!$B$12</x:f>
        <x:v>0.15</x:v>
      </x:c>
      <x:c r="M6" s="35" t="n">
        <x:f>POWER(E6,1-L6)*POWER(K6,L6)</x:f>
        <x:v>3.420619147282</x:v>
      </x:c>
      <x:c r="N6" s="19" t="n">
        <x:f>M6/'Anchors &amp; Method'!$B$12</x:f>
        <x:v>1.1292265912326354</x:v>
      </x:c>
      <x:c r="O6" s="19" t="n">
        <x:f>M6*'Anchors &amp; Method'!$B$12</x:f>
        <x:v>10.361636399281135</x:v>
      </x:c>
      <x:c r="P6" s="22" t="str">
        <x:v>Regression estimate</x:v>
      </x:c>
      <x:c r="Q6" s="22" t="str">
        <x:v>Regular model per user instruction; price-smoothed from the dated benchmark ensemble.</x:v>
      </x:c>
      <x:c r="R6" s="22" t="str">
        <x:v>https://platform.claude.com/docs/en/about-claude/pricing</x:v>
      </x:c>
    </x:row>
    <x:row r="7">
      <x:c r="A7" s="31" t="n">
        <x:v>46212</x:v>
      </x:c>
      <x:c r="B7" s="17" t="str">
        <x:v>GPT-5.6 Sol</x:v>
      </x:c>
      <x:c r="C7" s="20" t="n">
        <x:v>59</x:v>
      </x:c>
      <x:c r="D7" s="20" t="n">
        <x:v>161.77</x:v>
      </x:c>
      <x:c r="E7" s="20" t="n">
        <x:v>3.4292100769491034</x:v>
      </x:c>
      <x:c r="F7" s="20" t="str">
        <x:v>OpenAI</x:v>
      </x:c>
      <x:c r="G7" s="20" t="n">
        <x:v>5</x:v>
      </x:c>
      <x:c r="H7" s="20" t="n">
        <x:v>30</x:v>
      </x:c>
      <x:c r="I7" s="20" t="n">
        <x:v>1</x:v>
      </x:c>
      <x:c r="J7" s="20" t="n">
        <x:f>SQRT(G7*H7)*I7</x:f>
        <x:v>12.24744871391589</x:v>
      </x:c>
      <x:c r="K7" s="20" t="n">
        <x:f>'Price Model'!N16</x:f>
        <x:v>2.860217101040209</x:v>
      </x:c>
      <x:c r="L7" s="34" t="n">
        <x:f>'Price Model'!$B$12</x:f>
        <x:v>0.15</x:v>
      </x:c>
      <x:c r="M7" s="36" t="n">
        <x:f>POWER(E7,1-L7)*POWER(K7,L7)</x:f>
        <x:v>3.337143079854522</x:v>
      </x:c>
      <x:c r="N7" s="20" t="n">
        <x:f>M7/'Anchors &amp; Method'!$B$12</x:f>
        <x:v>1.1016691839294759</x:v>
      </x:c>
      <x:c r="O7" s="20" t="n">
        <x:f>M7*'Anchors &amp; Method'!$B$12</x:f>
        <x:v>10.10877321238917</x:v>
      </x:c>
      <x:c r="P7" s="23" t="str">
        <x:v>Regression estimate</x:v>
      </x:c>
      <x:c r="Q7" s="23" t="str">
        <x:v>Standard short-context price; max benchmark configuration.</x:v>
      </x:c>
      <x:c r="R7" s="23" t="str">
        <x:v>https://developers.openai.com/api/docs/pricing</x:v>
      </x:c>
    </x:row>
    <x:row r="8">
      <x:c r="A8" s="31" t="n">
        <x:v>46219</x:v>
      </x:c>
      <x:c r="B8" s="17" t="str">
        <x:v>Kimi K3</x:v>
      </x:c>
      <x:c r="C8" s="20" t="n">
        <x:v>57.1123394372091</x:v>
      </x:c>
      <x:c r="D8" s="20"/>
      <x:c r="E8" s="20" t="n">
        <x:v>2.8</x:v>
      </x:c>
      <x:c r="F8" s="20" t="str">
        <x:v>Moonshot AI</x:v>
      </x:c>
      <x:c r="G8" s="20"/>
      <x:c r="H8" s="20"/>
      <x:c r="I8" s="20" t="n">
        <x:v>1</x:v>
      </x:c>
      <x:c r="J8" s="20"/>
      <x:c r="K8" s="20"/>
      <x:c r="L8" s="34" t="n">
        <x:v>0</x:v>
      </x:c>
      <x:c r="M8" s="36" t="n">
        <x:f>E8</x:f>
        <x:v>2.8</x:v>
      </x:c>
      <x:c r="N8" s="20"/>
      <x:c r="O8" s="20"/>
      <x:c r="P8" s="23" t="str">
        <x:v>Disclosed anchor</x:v>
      </x:c>
      <x:c r="Q8" s="23" t="str">
        <x:v>2.8T disclosed total; active parameters undisclosed. No regression whisker.</x:v>
      </x:c>
      <x:c r="R8" s="23" t="str"/>
    </x:row>
    <x:row r="9">
      <x:c r="A9" s="31" t="n">
        <x:v>46135</x:v>
      </x:c>
      <x:c r="B9" s="17" t="str">
        <x:v>GPT-5.5</x:v>
      </x:c>
      <x:c r="C9" s="20" t="n">
        <x:v>55</x:v>
      </x:c>
      <x:c r="D9" s="20" t="n">
        <x:v>158.33</x:v>
      </x:c>
      <x:c r="E9" s="20" t="n">
        <x:v>2.5655772005746638</x:v>
      </x:c>
      <x:c r="F9" s="20" t="str">
        <x:v>OpenAI</x:v>
      </x:c>
      <x:c r="G9" s="20" t="n">
        <x:v>5</x:v>
      </x:c>
      <x:c r="H9" s="20" t="n">
        <x:v>30</x:v>
      </x:c>
      <x:c r="I9" s="20" t="n">
        <x:v>1</x:v>
      </x:c>
      <x:c r="J9" s="20" t="n">
        <x:f>SQRT(G9*H9)*I9</x:f>
        <x:v>12.24744871391589</x:v>
      </x:c>
      <x:c r="K9" s="20" t="n">
        <x:f>'Price Model'!N17</x:f>
        <x:v>3.3641649669213614</x:v>
      </x:c>
      <x:c r="L9" s="34" t="n">
        <x:f>'Price Model'!$B$12</x:f>
        <x:v>0.15</x:v>
      </x:c>
      <x:c r="M9" s="36" t="n">
        <x:f>POWER(E9,1-L9)*POWER(K9,L9)</x:f>
        <x:v>2.672015154705486</x:v>
      </x:c>
      <x:c r="N9" s="20" t="n">
        <x:f>M9/'Anchors &amp; Method'!$B$12</x:f>
        <x:v>0.8820948591331931</x:v>
      </x:c>
      <x:c r="O9" s="20" t="n">
        <x:f>M9*'Anchors &amp; Method'!$B$12</x:f>
        <x:v>8.09398775318984</x:v>
      </x:c>
      <x:c r="P9" s="23" t="str">
        <x:v>Regression estimate</x:v>
      </x:c>
      <x:c r="Q9" s="23" t="str">
        <x:v>Base service price only; Pro service tiers are not separate base-model observations.</x:v>
      </x:c>
      <x:c r="R9" s="23" t="str">
        <x:v>https://developers.openai.com/api/docs/pricing</x:v>
      </x:c>
    </x:row>
    <x:row r="10">
      <x:c r="A10" s="31" t="n">
        <x:v>46170</x:v>
      </x:c>
      <x:c r="B10" s="17" t="str">
        <x:v>Claude Opus 4.7 / 4.8 shared base</x:v>
      </x:c>
      <x:c r="C10" s="20" t="n">
        <x:v>55</x:v>
      </x:c>
      <x:c r="D10" s="20" t="n">
        <x:v>156.93</x:v>
      </x:c>
      <x:c r="E10" s="20" t="n">
        <x:v>2.313163214231789</x:v>
      </x:c>
      <x:c r="F10" s="20" t="str">
        <x:v>Anthropic</x:v>
      </x:c>
      <x:c r="G10" s="20" t="n">
        <x:v>5</x:v>
      </x:c>
      <x:c r="H10" s="20" t="n">
        <x:v>25</x:v>
      </x:c>
      <x:c r="I10" s="20" t="n">
        <x:v>1.3</x:v>
      </x:c>
      <x:c r="J10" s="20" t="n">
        <x:f>SQRT(G10*H10)*I10</x:f>
        <x:v>14.534441853748634</x:v>
      </x:c>
      <x:c r="K10" s="20" t="n">
        <x:f>'Price Model'!N18</x:f>
        <x:v>2.440510584757213</x:v>
      </x:c>
      <x:c r="L10" s="34" t="n">
        <x:f>'Price Model'!$B$12</x:f>
        <x:v>0.15</x:v>
      </x:c>
      <x:c r="M10" s="36" t="n">
        <x:f>POWER(E10,1-L10)*POWER(K10,L10)</x:f>
        <x:v>2.3318329775695745</x:v>
      </x:c>
      <x:c r="N10" s="20" t="n">
        <x:f>M10/'Anchors &amp; Method'!$B$12</x:f>
        <x:v>0.7697927454674496</x:v>
      </x:c>
      <x:c r="O10" s="20" t="n">
        <x:f>M10*'Anchors &amp; Method'!$B$12</x:f>
        <x:v>7.063518157707694</x:v>
      </x:c>
      <x:c r="P10" s="23" t="str">
        <x:v>Regression estimate</x:v>
      </x:c>
      <x:c r="Q10" s="23" t="str">
        <x:v>One latent base observation; 4.7 and 4.8 checkpoint estimates are collapsed geometrically.</x:v>
      </x:c>
      <x:c r="R10" s="23" t="str">
        <x:v>https://platform.claude.com/docs/en/about-claude/pricing</x:v>
      </x:c>
    </x:row>
    <x:row r="11">
      <x:c r="A11" s="31" t="n">
        <x:v>46212</x:v>
      </x:c>
      <x:c r="B11" s="17" t="str">
        <x:v>GPT-5.6 Terra</x:v>
      </x:c>
      <x:c r="C11" s="20" t="n">
        <x:v>55</x:v>
      </x:c>
      <x:c r="D11" s="20" t="n">
        <x:v>158.25</x:v>
      </x:c>
      <x:c r="E11" s="20" t="n">
        <x:v>2.2665558150589984</x:v>
      </x:c>
      <x:c r="F11" s="20" t="str">
        <x:v>OpenAI</x:v>
      </x:c>
      <x:c r="G11" s="20" t="n">
        <x:v>2.5</x:v>
      </x:c>
      <x:c r="H11" s="20" t="n">
        <x:v>15</x:v>
      </x:c>
      <x:c r="I11" s="20" t="n">
        <x:v>1</x:v>
      </x:c>
      <x:c r="J11" s="20" t="n">
        <x:f>SQRT(G11*H11)*I11</x:f>
        <x:v>6.123724356957945</x:v>
      </x:c>
      <x:c r="K11" s="20" t="n">
        <x:f>'Price Model'!N19</x:f>
        <x:v>2.2429804925499206</x:v>
      </x:c>
      <x:c r="L11" s="34" t="n">
        <x:f>'Price Model'!$B$12</x:f>
        <x:v>0.15</x:v>
      </x:c>
      <x:c r="M11" s="36" t="n">
        <x:f>POWER(E11,1-L11)*POWER(K11,L11)</x:f>
        <x:v>2.2630037831413268</x:v>
      </x:c>
      <x:c r="N11" s="20" t="n">
        <x:f>M11/'Anchors &amp; Method'!$B$12</x:f>
        <x:v>0.7470706143985005</x:v>
      </x:c>
      <x:c r="O11" s="20" t="n">
        <x:f>M11*'Anchors &amp; Method'!$B$12</x:f>
        <x:v>6.855022836944604</x:v>
      </x:c>
      <x:c r="P11" s="23" t="str">
        <x:v>Regression estimate</x:v>
      </x:c>
      <x:c r="Q11" s="23" t="str">
        <x:v>Standard short-context price.</x:v>
      </x:c>
      <x:c r="R11" s="23" t="str">
        <x:v>https://developers.openai.com/api/docs/pricing</x:v>
      </x:c>
    </x:row>
    <x:row r="12">
      <x:c r="A12" s="31" t="n">
        <x:v>46203</x:v>
      </x:c>
      <x:c r="B12" s="17" t="str">
        <x:v>Claude Sonnet 5</x:v>
      </x:c>
      <x:c r="C12" s="20" t="n">
        <x:v>53</x:v>
      </x:c>
      <x:c r="D12" s="20" t="n">
        <x:v>153.2</x:v>
      </x:c>
      <x:c r="E12" s="20" t="n">
        <x:v>1.5414601447886873</x:v>
      </x:c>
      <x:c r="F12" s="20" t="str">
        <x:v>Anthropic</x:v>
      </x:c>
      <x:c r="G12" s="20" t="n">
        <x:v>2</x:v>
      </x:c>
      <x:c r="H12" s="20" t="n">
        <x:v>10</x:v>
      </x:c>
      <x:c r="I12" s="20" t="n">
        <x:v>1.3</x:v>
      </x:c>
      <x:c r="J12" s="20" t="n">
        <x:f>SQRT(G12*H12)*I12</x:f>
        <x:v>5.813776741499454</x:v>
      </x:c>
      <x:c r="K12" s="20" t="n">
        <x:f>'Price Model'!N20</x:f>
        <x:v>1.6811185328664842</x:v>
      </x:c>
      <x:c r="L12" s="34" t="n">
        <x:f>'Price Model'!$B$12</x:f>
        <x:v>0.15</x:v>
      </x:c>
      <x:c r="M12" s="36" t="n">
        <x:f>POWER(E12,1-L12)*POWER(K12,L12)</x:f>
        <x:v>1.5616446066762157</x:v>
      </x:c>
      <x:c r="N12" s="20" t="n">
        <x:f>M12/'Anchors &amp; Method'!$B$12</x:f>
        <x:v>0.5155355039496398</x:v>
      </x:c>
      <x:c r="O12" s="20" t="n">
        <x:f>M12*'Anchors &amp; Method'!$B$12</x:f>
        <x:v>4.7304867635249055</x:v>
      </x:c>
      <x:c r="P12" s="23" t="str">
        <x:v>Regression estimate</x:v>
      </x:c>
      <x:c r="Q12" s="23" t="str">
        <x:v>Current introductory price through 2026-08-31; announced future $3/$15 excluded.</x:v>
      </x:c>
      <x:c r="R12" s="23" t="str">
        <x:v>https://platform.claude.com/docs/en/about-claude/pricing</x:v>
      </x:c>
    </x:row>
    <x:row r="13">
      <x:c r="A13" s="31" t="n">
        <x:v>46212</x:v>
      </x:c>
      <x:c r="B13" s="17" t="str">
        <x:v>GPT-5.6 Luna</x:v>
      </x:c>
      <x:c r="C13" s="20" t="n">
        <x:v>51</x:v>
      </x:c>
      <x:c r="D13" s="20" t="n">
        <x:v>155.62</x:v>
      </x:c>
      <x:c r="E13" s="20" t="n">
        <x:v>1.5781442815133315</x:v>
      </x:c>
      <x:c r="F13" s="20" t="str">
        <x:v>OpenAI</x:v>
      </x:c>
      <x:c r="G13" s="20" t="n">
        <x:v>1</x:v>
      </x:c>
      <x:c r="H13" s="20" t="n">
        <x:v>6</x:v>
      </x:c>
      <x:c r="I13" s="20" t="n">
        <x:v>1</x:v>
      </x:c>
      <x:c r="J13" s="20" t="n">
        <x:f>SQRT(G13*H13)*I13</x:f>
        <x:v>2.449489742783178</x:v>
      </x:c>
      <x:c r="K13" s="20" t="n">
        <x:f>'Price Model'!N21</x:f>
        <x:v>1.3937110229275442</x:v>
      </x:c>
      <x:c r="L13" s="34" t="n">
        <x:f>'Price Model'!$B$12</x:f>
        <x:v>0.15</x:v>
      </x:c>
      <x:c r="M13" s="36" t="n">
        <x:f>POWER(E13,1-L13)*POWER(K13,L13)</x:f>
        <x:v>1.5489971200785368</x:v>
      </x:c>
      <x:c r="N13" s="20" t="n">
        <x:f>M13/'Anchors &amp; Method'!$B$12</x:f>
        <x:v>0.5113602720505533</x:v>
      </x:c>
      <x:c r="O13" s="20" t="n">
        <x:f>M13*'Anchors &amp; Method'!$B$12</x:f>
        <x:v>4.692175378407957</x:v>
      </x:c>
      <x:c r="P13" s="23" t="str">
        <x:v>Regression estimate</x:v>
      </x:c>
      <x:c r="Q13" s="23" t="str">
        <x:v>Standard short-context price.</x:v>
      </x:c>
      <x:c r="R13" s="23" t="str">
        <x:v>https://developers.openai.com/api/docs/pricing</x:v>
      </x:c>
    </x:row>
    <x:row r="14">
      <x:c r="A14" s="31" t="n">
        <x:v>46161</x:v>
      </x:c>
      <x:c r="B14" s="17" t="str">
        <x:v>Gemini 3.5 Flash</x:v>
      </x:c>
      <x:c r="C14" s="20" t="n">
        <x:v>50</x:v>
      </x:c>
      <x:c r="D14" s="20" t="n">
        <x:v>154.58</x:v>
      </x:c>
      <x:c r="E14" s="20" t="n">
        <x:v>1.5255469569762952</x:v>
      </x:c>
      <x:c r="F14" s="20" t="str">
        <x:v>Google</x:v>
      </x:c>
      <x:c r="G14" s="20"/>
      <x:c r="H14" s="20"/>
      <x:c r="I14" s="20" t="n">
        <x:v>1</x:v>
      </x:c>
      <x:c r="J14" s="20"/>
      <x:c r="K14" s="20"/>
      <x:c r="L14" s="34" t="n">
        <x:v>0</x:v>
      </x:c>
      <x:c r="M14" s="36" t="n">
        <x:f>E14</x:f>
        <x:v>1.5255469569762952</x:v>
      </x:c>
      <x:c r="N14" s="20" t="n">
        <x:f>M14/'Anchors &amp; Method'!$B$12</x:f>
        <x:v>0.5036188233234027</x:v>
      </x:c>
      <x:c r="O14" s="20" t="n">
        <x:f>M14*'Anchors &amp; Method'!$B$12</x:f>
        <x:v>4.6211408512924965</x:v>
      </x:c>
      <x:c r="P14" s="23" t="str">
        <x:v>Regression estimate</x:v>
      </x:c>
      <x:c r="Q14" s="23" t="str">
        <x:v>No OpenAI/Anthropic price signal; benchmark estimate is unchanged.</x:v>
      </x:c>
      <x:c r="R14" s="23" t="str"/>
    </x:row>
    <x:row r="15">
      <x:c r="A15" s="31" t="n">
        <x:v>46211</x:v>
      </x:c>
      <x:c r="B15" s="17" t="str">
        <x:v>Grok 4.5</x:v>
      </x:c>
      <x:c r="C15" s="20" t="n">
        <x:v>53.8265951657731</x:v>
      </x:c>
      <x:c r="D15" s="20" t="n">
        <x:v>153.17</x:v>
      </x:c>
      <x:c r="E15" s="20" t="n">
        <x:v>1.5</x:v>
      </x:c>
      <x:c r="F15" s="20" t="str">
        <x:v>SpaceXAI</x:v>
      </x:c>
      <x:c r="G15" s="20" t="n">
        <x:v>2</x:v>
      </x:c>
      <x:c r="H15" s="20" t="n">
        <x:v>6</x:v>
      </x:c>
      <x:c r="I15" s="20" t="n">
        <x:v>1</x:v>
      </x:c>
      <x:c r="J15" s="20" t="n">
        <x:f>SQRT(G15*H15)*I15</x:f>
        <x:v>3.4641016151377544</x:v>
      </x:c>
      <x:c r="K15" s="20"/>
      <x:c r="L15" s="34" t="n">
        <x:v>0</x:v>
      </x:c>
      <x:c r="M15" s="36" t="n">
        <x:f>E15</x:f>
        <x:v>1.5</x:v>
      </x:c>
      <x:c r="N15" s="20"/>
      <x:c r="O15" s="20"/>
      <x:c r="P15" s="23" t="str">
        <x:v>Founder-disclosed anchor</x:v>
      </x:c>
      <x:c r="Q15" s="23" t="str">
        <x:v>Pegged to the public 1.5T V9 foundation disclosure; active count and architecture undisclosed.</x:v>
      </x:c>
      <x:c r="R15" s="23" t="str">
        <x:v>https://docs.x.ai/developers/models/grok-4.5</x:v>
      </x:c>
    </x:row>
    <x:row r="16">
      <x:c r="A16" s="32" t="n">
        <x:v>46072</x:v>
      </x:c>
      <x:c r="B16" s="18" t="str">
        <x:v>Gemini 3.1 Pro</x:v>
      </x:c>
      <x:c r="C16" s="21" t="n">
        <x:v>46</x:v>
      </x:c>
      <x:c r="D16" s="21" t="n">
        <x:v>154.84</x:v>
      </x:c>
      <x:c r="E16" s="21" t="n">
        <x:v>1.4436946593511875</x:v>
      </x:c>
      <x:c r="F16" s="21" t="str">
        <x:v>Google</x:v>
      </x:c>
      <x:c r="G16" s="21"/>
      <x:c r="H16" s="21"/>
      <x:c r="I16" s="21" t="n">
        <x:v>1</x:v>
      </x:c>
      <x:c r="J16" s="21"/>
      <x:c r="K16" s="21"/>
      <x:c r="L16" s="29" t="n">
        <x:v>0</x:v>
      </x:c>
      <x:c r="M16" s="37" t="n">
        <x:f>E16</x:f>
        <x:v>1.4436946593511875</x:v>
      </x:c>
      <x:c r="N16" s="21" t="n">
        <x:f>M16/'Anchors &amp; Method'!$B$12</x:f>
        <x:v>0.4765974605080762</x:v>
      </x:c>
      <x:c r="O16" s="21" t="n">
        <x:f>M16*'Anchors &amp; Method'!$B$12</x:f>
        <x:v>4.373196338933959</x:v>
      </x:c>
      <x:c r="P16" s="24" t="str">
        <x:v>Regression estimate</x:v>
      </x:c>
      <x:c r="Q16" s="24" t="str">
        <x:v>No OpenAI/Anthropic price signal; benchmark estimate is unchanged.</x:v>
      </x:c>
      <x:c r="R16" s="24" t="str"/>
    </x:row>
  </x:sheetData>
  <x:mergeCells>
    <x:mergeCell ref="A1:R1"/>
    <x:mergeCell ref="A2:R3"/>
  </x:mergeCells>
  <x:conditionalFormatting sqref="P6:P16">
    <x:cfRule type="containsText" dxfId="0" priority="1" operator="containsText" text="anchor"/>
  </x:conditionalFormatting>
  <x:pageMargins left="0.7" right="0.7" top="0.75" bottom="0.75" header="0.3" footer="0.3"/>
  <x:legacyDrawing xmlns:r="http://schemas.openxmlformats.org/officeDocument/2006/relationships" r:id="Rda4c19a8d7d74b6b"/>
  <x:tableParts count="1">
    <x:tablePart xmlns:r="http://schemas.openxmlformats.org/officeDocument/2006/relationships" r:id="R6368be7a077e4d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5" hidden="0" customWidth="1"/>
    <x:col min="12" max="12" width="52" hidden="0" customWidth="1"/>
  </x:cols>
  <x:sheetData>
    <x:row r="1" ht="36" customHeight="1">
      <x:c r="A1" s="3" t="str">
        <x:v>API pricing inputs — current standard rates</x:v>
      </x:c>
      <x:c r="B1" s="3"/>
      <x:c r="C1" s="3"/>
      <x:c r="D1" s="3"/>
      <x:c r="E1" s="3"/>
      <x:c r="F1" s="3"/>
      <x:c r="G1" s="3"/>
      <x:c r="H1" s="3"/>
      <x:c r="I1" s="3"/>
      <x:c r="J1" s="3"/>
      <x:c r="K1" s="3"/>
      <x:c r="L1" s="3"/>
    </x:row>
    <x:row r="2">
      <x:c r="A2" s="6" t="str">
        <x:v>USD per million tokens as of 2026-07-17. The calibration uses only standard uncached input and output rates; cached, batch, fast, regional, and long-context modifiers are retained for audit context but excluded from the price signal.</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11" t="str">
        <x:v>Base model</x:v>
      </x:c>
      <x:c r="B5" s="11" t="str">
        <x:v>Provider</x:v>
      </x:c>
      <x:c r="C5" s="11" t="str">
        <x:v>Input $/MTok</x:v>
      </x:c>
      <x:c r="D5" s="11" t="str">
        <x:v>Output $/MTok</x:v>
      </x:c>
      <x:c r="E5" s="11" t="str">
        <x:v>Cached input $/MTok</x:v>
      </x:c>
      <x:c r="F5" s="11" t="str">
        <x:v>5m cache write $/MTok</x:v>
      </x:c>
      <x:c r="G5" s="11" t="str">
        <x:v>Long input $/MTok</x:v>
      </x:c>
      <x:c r="H5" s="11" t="str">
        <x:v>Long output $/MTok</x:v>
      </x:c>
      <x:c r="I5" s="11" t="str">
        <x:v>Tokenizer factor</x:v>
      </x:c>
      <x:c r="J5" s="11" t="str">
        <x:v>Rate used</x:v>
      </x:c>
      <x:c r="K5" s="11" t="str">
        <x:v>Official source</x:v>
      </x:c>
      <x:c r="L5" s="11" t="str">
        <x:v>Note</x:v>
      </x:c>
    </x:row>
    <x:row r="6">
      <x:c r="A6" s="16" t="str">
        <x:v>Claude Fable 5</x:v>
      </x:c>
      <x:c r="B6" s="16" t="str">
        <x:v>Anthropic</x:v>
      </x:c>
      <x:c r="C6" s="19" t="n">
        <x:v>10</x:v>
      </x:c>
      <x:c r="D6" s="19" t="n">
        <x:v>50</x:v>
      </x:c>
      <x:c r="E6" s="19" t="n">
        <x:v>1</x:v>
      </x:c>
      <x:c r="F6" s="19" t="n">
        <x:v>12.5</x:v>
      </x:c>
      <x:c r="G6" s="19" t="n">
        <x:v>10</x:v>
      </x:c>
      <x:c r="H6" s="19" t="n">
        <x:v>50</x:v>
      </x:c>
      <x:c r="I6" s="19" t="n">
        <x:v>1.3</x:v>
      </x:c>
      <x:c r="J6" s="22" t="str">
        <x:v>Current standard</x:v>
      </x:c>
      <x:c r="K6" s="22" t="str">
        <x:v>https://platform.claude.com/docs/en/about-claude/pricing</x:v>
      </x:c>
      <x:c r="L6" s="22" t="str">
        <x:v>New tokenizer; approximately 30% more tokens for equivalent text.</x:v>
      </x:c>
    </x:row>
    <x:row r="7">
      <x:c r="A7" s="17" t="str">
        <x:v>GPT-5.6 Sol</x:v>
      </x:c>
      <x:c r="B7" s="17" t="str">
        <x:v>OpenAI</x:v>
      </x:c>
      <x:c r="C7" s="20" t="n">
        <x:v>5</x:v>
      </x:c>
      <x:c r="D7" s="20" t="n">
        <x:v>30</x:v>
      </x:c>
      <x:c r="E7" s="20" t="n">
        <x:v>0.5</x:v>
      </x:c>
      <x:c r="F7" s="20" t="n">
        <x:v>6.25</x:v>
      </x:c>
      <x:c r="G7" s="20" t="n">
        <x:v>10</x:v>
      </x:c>
      <x:c r="H7" s="20" t="n">
        <x:v>45</x:v>
      </x:c>
      <x:c r="I7" s="20" t="n">
        <x:v>1</x:v>
      </x:c>
      <x:c r="J7" s="23" t="str">
        <x:v>Short context</x:v>
      </x:c>
      <x:c r="K7" s="23" t="str">
        <x:v>https://developers.openai.com/api/docs/pricing</x:v>
      </x:c>
      <x:c r="L7" s="23" t="str">
        <x:v>Long-context tier excluded from calibration.</x:v>
      </x:c>
    </x:row>
    <x:row r="8">
      <x:c r="A8" s="17" t="str">
        <x:v>GPT-5.5</x:v>
      </x:c>
      <x:c r="B8" s="17" t="str">
        <x:v>OpenAI</x:v>
      </x:c>
      <x:c r="C8" s="20" t="n">
        <x:v>5</x:v>
      </x:c>
      <x:c r="D8" s="20" t="n">
        <x:v>30</x:v>
      </x:c>
      <x:c r="E8" s="20" t="n">
        <x:v>0.5</x:v>
      </x:c>
      <x:c r="F8" s="20"/>
      <x:c r="G8" s="20" t="n">
        <x:v>10</x:v>
      </x:c>
      <x:c r="H8" s="20" t="n">
        <x:v>45</x:v>
      </x:c>
      <x:c r="I8" s="20" t="n">
        <x:v>1</x:v>
      </x:c>
      <x:c r="J8" s="23" t="str">
        <x:v>Short context</x:v>
      </x:c>
      <x:c r="K8" s="23" t="str">
        <x:v>https://developers.openai.com/api/docs/pricing</x:v>
      </x:c>
      <x:c r="L8" s="23" t="str">
        <x:v>Pro price tier excluded as a service configuration.</x:v>
      </x:c>
    </x:row>
    <x:row r="9">
      <x:c r="A9" s="17" t="str">
        <x:v>Claude Opus 4.7 / 4.8 shared base</x:v>
      </x:c>
      <x:c r="B9" s="17" t="str">
        <x:v>Anthropic</x:v>
      </x:c>
      <x:c r="C9" s="20" t="n">
        <x:v>5</x:v>
      </x:c>
      <x:c r="D9" s="20" t="n">
        <x:v>25</x:v>
      </x:c>
      <x:c r="E9" s="20" t="n">
        <x:v>0.5</x:v>
      </x:c>
      <x:c r="F9" s="20" t="n">
        <x:v>6.25</x:v>
      </x:c>
      <x:c r="G9" s="20" t="n">
        <x:v>5</x:v>
      </x:c>
      <x:c r="H9" s="20" t="n">
        <x:v>25</x:v>
      </x:c>
      <x:c r="I9" s="20" t="n">
        <x:v>1.3</x:v>
      </x:c>
      <x:c r="J9" s="23" t="str">
        <x:v>Current standard</x:v>
      </x:c>
      <x:c r="K9" s="23" t="str">
        <x:v>https://platform.claude.com/docs/en/about-claude/pricing</x:v>
      </x:c>
      <x:c r="L9" s="23" t="str">
        <x:v>Same base and same standard price; fast-mode premiums excluded.</x:v>
      </x:c>
    </x:row>
    <x:row r="10">
      <x:c r="A10" s="17" t="str">
        <x:v>GPT-5.6 Terra</x:v>
      </x:c>
      <x:c r="B10" s="17" t="str">
        <x:v>OpenAI</x:v>
      </x:c>
      <x:c r="C10" s="20" t="n">
        <x:v>2.5</x:v>
      </x:c>
      <x:c r="D10" s="20" t="n">
        <x:v>15</x:v>
      </x:c>
      <x:c r="E10" s="20" t="n">
        <x:v>0.25</x:v>
      </x:c>
      <x:c r="F10" s="20" t="n">
        <x:v>3.125</x:v>
      </x:c>
      <x:c r="G10" s="20" t="n">
        <x:v>5</x:v>
      </x:c>
      <x:c r="H10" s="20" t="n">
        <x:v>22.5</x:v>
      </x:c>
      <x:c r="I10" s="20" t="n">
        <x:v>1</x:v>
      </x:c>
      <x:c r="J10" s="23" t="str">
        <x:v>Short context</x:v>
      </x:c>
      <x:c r="K10" s="23" t="str">
        <x:v>https://developers.openai.com/api/docs/pricing</x:v>
      </x:c>
      <x:c r="L10" s="23" t="str">
        <x:v>Long-context tier excluded from calibration.</x:v>
      </x:c>
    </x:row>
    <x:row r="11">
      <x:c r="A11" s="17" t="str">
        <x:v>Claude Sonnet 5</x:v>
      </x:c>
      <x:c r="B11" s="17" t="str">
        <x:v>Anthropic</x:v>
      </x:c>
      <x:c r="C11" s="20" t="n">
        <x:v>2</x:v>
      </x:c>
      <x:c r="D11" s="20" t="n">
        <x:v>10</x:v>
      </x:c>
      <x:c r="E11" s="20" t="n">
        <x:v>0.2</x:v>
      </x:c>
      <x:c r="F11" s="20" t="n">
        <x:v>2.5</x:v>
      </x:c>
      <x:c r="G11" s="20" t="n">
        <x:v>2</x:v>
      </x:c>
      <x:c r="H11" s="20" t="n">
        <x:v>10</x:v>
      </x:c>
      <x:c r="I11" s="20" t="n">
        <x:v>1.3</x:v>
      </x:c>
      <x:c r="J11" s="23" t="str">
        <x:v>Intro through 2026-08-31</x:v>
      </x:c>
      <x:c r="K11" s="23" t="str">
        <x:v>https://platform.claude.com/docs/en/about-claude/pricing</x:v>
      </x:c>
      <x:c r="L11" s="23" t="str">
        <x:v>Future $3/$15 standard price is shown in source but not used.</x:v>
      </x:c>
    </x:row>
    <x:row r="12">
      <x:c r="A12" s="17" t="str">
        <x:v>GPT-5.6 Luna</x:v>
      </x:c>
      <x:c r="B12" s="17" t="str">
        <x:v>OpenAI</x:v>
      </x:c>
      <x:c r="C12" s="20" t="n">
        <x:v>1</x:v>
      </x:c>
      <x:c r="D12" s="20" t="n">
        <x:v>6</x:v>
      </x:c>
      <x:c r="E12" s="20" t="n">
        <x:v>0.1</x:v>
      </x:c>
      <x:c r="F12" s="20" t="n">
        <x:v>1.25</x:v>
      </x:c>
      <x:c r="G12" s="20" t="n">
        <x:v>2</x:v>
      </x:c>
      <x:c r="H12" s="20" t="n">
        <x:v>9</x:v>
      </x:c>
      <x:c r="I12" s="20" t="n">
        <x:v>1</x:v>
      </x:c>
      <x:c r="J12" s="23" t="str">
        <x:v>Short context</x:v>
      </x:c>
      <x:c r="K12" s="23" t="str">
        <x:v>https://developers.openai.com/api/docs/pricing</x:v>
      </x:c>
      <x:c r="L12" s="23" t="str">
        <x:v>Long-context tier excluded from calibration.</x:v>
      </x:c>
    </x:row>
    <x:row r="13">
      <x:c r="A13" s="18" t="str">
        <x:v>Grok 4.5</x:v>
      </x:c>
      <x:c r="B13" s="18" t="str">
        <x:v>SpaceXAI</x:v>
      </x:c>
      <x:c r="C13" s="21" t="n">
        <x:v>2</x:v>
      </x:c>
      <x:c r="D13" s="21" t="n">
        <x:v>6</x:v>
      </x:c>
      <x:c r="E13" s="21" t="n">
        <x:v>0.5</x:v>
      </x:c>
      <x:c r="F13" s="21"/>
      <x:c r="G13" s="21"/>
      <x:c r="H13" s="21"/>
      <x:c r="I13" s="21" t="n">
        <x:v>1</x:v>
      </x:c>
      <x:c r="J13" s="24" t="str">
        <x:v>Standard</x:v>
      </x:c>
      <x:c r="K13" s="24" t="str">
        <x:v>https://docs.x.ai/developers/models/grok-4.5</x:v>
      </x:c>
      <x:c r="L13" s="24" t="str">
        <x:v>Validation only; not used to fit the OpenAI/Anthropic price model.</x:v>
      </x:c>
    </x:row>
  </x:sheetData>
  <x:mergeCells>
    <x:mergeCell ref="A1:L1"/>
    <x:mergeCell ref="A2:L3"/>
  </x:mergeCells>
  <x:pageMargins left="0.7" right="0.7" top="0.75" bottom="0.75" header="0.3" footer="0.3"/>
  <x:tableParts count="1">
    <x:tablePart xmlns:r="http://schemas.openxmlformats.org/officeDocument/2006/relationships" r:id="R34eace80299d4b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3" t="str">
        <x:v>Weak API-price calibration</x:v>
      </x:c>
      <x:c r="B1" s="3"/>
      <x:c r="C1" s="3"/>
      <x:c r="D1" s="3"/>
      <x:c r="E1" s="3"/>
      <x:c r="F1" s="3"/>
      <x:c r="G1" s="3"/>
      <x:c r="H1" s="3"/>
      <x:c r="I1" s="3"/>
      <x:c r="J1" s="3"/>
      <x:c r="K1" s="3"/>
      <x:c r="L1" s="3"/>
      <x:c r="M1" s="3"/>
      <x:c r="N1" s="3"/>
      <x:c r="O1" s="3"/>
    </x:row>
    <x:row r="2">
      <x:c r="A2" s="6" t="str">
        <x:v>For seven unique OpenAI/Anthropic base models: z = sqrt(input price × output price) × tokenizer factor. A provider fixed effect prevents Anthropic and OpenAI commercial schedules from being treated as identical. Each model receives a leave-one-base-out price prediction, then only 15% log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11" t="str">
        <x:v>Diagnostic / assumption</x:v>
      </x:c>
      <x:c r="B5" s="11" t="str">
        <x:v>Value</x:v>
      </x:c>
    </x:row>
    <x:row r="6">
      <x:c r="A6" s="16" t="str">
        <x:v>Full-fit slope on log10(z)</x:v>
      </x:c>
      <x:c r="B6" s="25" t="n">
        <x:f>((SUM(R15:R21)-SUM(P15:P21)*SUM(Q15:Q21)/COUNTIF(B15:B21,"OpenAI"))+(SUM(V15:V21)-SUM(T15:T21)*SUM(U15:U21)/COUNTIF(B15:B21,"Anthropic")))/((SUM(S15:S21)-POWER(SUM(P15:P21),2)/COUNTIF(B15:B21,"OpenAI"))+(SUM(W15:W21)-POWER(SUM(T15:T21),2)/COUNTIF(B15:B21,"Anthropic")))</x:f>
        <x:v>0.44075615551578234</x:v>
      </x:c>
    </x:row>
    <x:row r="7">
      <x:c r="A7" s="17" t="str">
        <x:v>Full-fit OpenAI intercept, T units</x:v>
      </x:c>
      <x:c r="B7" s="26" t="n">
        <x:f>SUM(Q15:Q21)/COUNTIF(B15:B21,"OpenAI")-B6*SUM(P15:P21)/COUNTIF(B15:B21,"OpenAI")</x:f>
        <x:v>0.005099305927627529</x:v>
      </x:c>
    </x:row>
    <x:row r="8">
      <x:c r="A8" s="17" t="str">
        <x:v>Full-fit Anthropic effect</x:v>
      </x:c>
      <x:c r="B8" s="26" t="n">
        <x:f>SUM(U15:U21)/COUNTIF(B15:B21,"Anthropic")-B7-B6*SUM(T15:T21)/COUNTIF(B15:B21,"Anthropic")</x:f>
        <x:v>-0.1377532181736313</x:v>
      </x:c>
    </x:row>
    <x:row r="9">
      <x:c r="A9" s="17" t="str">
        <x:v>Full-fit R²</x:v>
      </x:c>
      <x:c r="B9" s="27" t="n">
        <x:f>1-SUM(AI15:AI21)/SUM(AJ15:AJ21)</x:f>
        <x:v>0.9160772902660487</x:v>
      </x:c>
    </x:row>
    <x:row r="10">
      <x:c r="A10" s="17" t="str">
        <x:v>LOBO RMSE, log10</x:v>
      </x:c>
      <x:c r="B10" s="27" t="n">
        <x:f>SQRT(AVERAGE(AK15:AK21))</x:f>
        <x:v>0.06488865122582953</x:v>
      </x:c>
    </x:row>
    <x:row r="11">
      <x:c r="A11" s="17" t="str">
        <x:v>LOBO multiplicative error</x:v>
      </x:c>
      <x:c r="B11" s="28" t="n">
        <x:f>POWER(10,B10)</x:f>
        <x:v>1.1611508681694092</x:v>
      </x:c>
    </x:row>
    <x:row r="12">
      <x:c r="A12" s="18" t="str">
        <x:v>Price log weight</x:v>
      </x:c>
      <x:c r="B12" s="29" t="n">
        <x:v>0.15</x:v>
      </x:c>
    </x:row>
    <x:row r="14" ht="34" customHeight="1">
      <x:c r="A14" s="11" t="str">
        <x:v>Model</x:v>
      </x:c>
      <x:c r="B14" s="11" t="str">
        <x:v>Provider</x:v>
      </x:c>
      <x:c r="C14" s="11" t="str">
        <x:v>Benchmark central (T)</x:v>
      </x:c>
      <x:c r="D14" s="11" t="str">
        <x:v>Input</x:v>
      </x:c>
      <x:c r="E14" s="11" t="str">
        <x:v>Output</x:v>
      </x:c>
      <x:c r="F14" s="11" t="str">
        <x:v>Tokenizer factor</x:v>
      </x:c>
      <x:c r="G14" s="11" t="str">
        <x:v>z</x:v>
      </x:c>
      <x:c r="H14" s="11" t="str">
        <x:v>log10(z)</x:v>
      </x:c>
      <x:c r="I14" s="11" t="str">
        <x:v>log10(P)</x:v>
      </x:c>
      <x:c r="J14" s="11" t="str">
        <x:v>Anthropic dummy</x:v>
      </x:c>
      <x:c r="K14" s="11" t="str">
        <x:v>LOBO slope</x:v>
      </x:c>
      <x:c r="L14" s="11" t="str">
        <x:v>LOBO intercept</x:v>
      </x:c>
      <x:c r="M14" s="11" t="str">
        <x:v>LOBO Anthropic effect</x:v>
      </x:c>
      <x:c r="N14" s="11" t="str">
        <x:v>LOBO price-implied (T)</x:v>
      </x:c>
      <x:c r="O14" s="11" t="str">
        <x:v>15% blended (T)</x:v>
      </x:c>
    </x:row>
    <x:row r="15">
      <x:c r="A15" s="16" t="str">
        <x:f>'API Prices'!A6</x:f>
        <x:v>Claude Fable 5</x:v>
      </x:c>
      <x:c r="B15" s="16" t="str">
        <x:f>'API Prices'!B6</x:f>
        <x:v>Anthropic</x:v>
      </x:c>
      <x:c r="C15" s="19" t="n">
        <x:f>'Frontier Estimates'!E6</x:f>
        <x:v>3.5009724758824072</x:v>
      </x:c>
      <x:c r="D15" s="19" t="n">
        <x:f>'API Prices'!C6</x:f>
        <x:v>10</x:v>
      </x:c>
      <x:c r="E15" s="19" t="n">
        <x:f>'API Prices'!D6</x:f>
        <x:v>50</x:v>
      </x:c>
      <x:c r="F15" s="19" t="n">
        <x:f>'API Prices'!I6</x:f>
        <x:v>1.3</x:v>
      </x:c>
      <x:c r="G15" s="19" t="n">
        <x:f>SQRT(D15*E15)*F15</x:f>
        <x:v>29.068883707497267</x:v>
      </x:c>
      <x:c r="H15" s="19" t="n">
        <x:f>LOG10(G15)</x:f>
        <x:v>1.46342835447485</x:v>
      </x:c>
      <x:c r="I15" s="19" t="n">
        <x:f>LOG10(C15)</x:f>
        <x:v>0.544188696420737</x:v>
      </x:c>
      <x:c r="J15" s="19" t="n">
        <x:f>IF(B15="Anthropic",1,0)</x:f>
        <x:v>1</x:v>
      </x:c>
      <x:c r="K15" s="19" t="n">
        <x:f>((AB15-Z15*AA15/X15)+(AF15-AD15*AE15/Y15))/((AC15-Z15*Z15/X15)+(AG15-AD15*AD15/Y15))</x:f>
        <x:v>0.40178582845883176</x:v>
      </x:c>
      <x:c r="L15" s="19" t="n">
        <x:f>AA15/X15-K15*Z15/X15</x:f>
        <x:v>0.03775821819897551</x:v>
      </x:c>
      <x:c r="M15" s="19" t="n">
        <x:f>AE15/Y15-L15-K15*AD15/Y15</x:f>
        <x:v>-0.14878078901296404</x:v>
      </x:c>
      <x:c r="N15" s="19" t="n">
        <x:f>POWER(10,L15+K15*H15+M15*J15)</x:f>
        <x:v>2.9989015106599064</x:v>
      </x:c>
      <x:c r="O15" s="19" t="n">
        <x:f>POWER(C15,1-$B$12)*POWER(N15,$B$12)</x:f>
        <x:v>3.420619147282</x:v>
      </x:c>
      <x:c r="P15" t="n">
        <x:f>IF(B15="OpenAI",H15,0)</x:f>
        <x:v>0</x:v>
      </x:c>
      <x:c r="Q15" t="n">
        <x:f>IF(B15="OpenAI",I15,0)</x:f>
        <x:v>0</x:v>
      </x:c>
      <x:c r="R15" t="n">
        <x:f>IF(B15="OpenAI",H15*I15,0)</x:f>
        <x:v>0</x:v>
      </x:c>
      <x:c r="S15" t="n">
        <x:f>IF(B15="OpenAI",H15*H15,0)</x:f>
        <x:v>0</x:v>
      </x:c>
      <x:c r="T15" t="n">
        <x:f>IF(B15="Anthropic",H15,0)</x:f>
        <x:v>1.46342835447485</x:v>
      </x:c>
      <x:c r="U15" t="n">
        <x:f>IF(B15="Anthropic",I15,0)</x:f>
        <x:v>0.544188696420737</x:v>
      </x:c>
      <x:c r="V15" t="n">
        <x:f>IF(B15="Anthropic",H15*I15,0)</x:f>
        <x:v>0.7963811685268128</x:v>
      </x:c>
      <x:c r="W15" t="n">
        <x:f>IF(B15="Anthropic",H15*H15,0)</x:f>
        <x:v>2.1416225486809677</x:v>
      </x:c>
      <x:c r="X15" t="n">
        <x:f>COUNTIF($B$15:$B$21,"OpenAI")-IF(B15="OpenAI",1,0)</x:f>
        <x:v>4</x:v>
      </x:c>
      <x:c r="Y15" t="n">
        <x:f>COUNTIF($B$15:$B$21,"Anthropic")-IF(B15="Anthropic",1,0)</x:f>
        <x:v>2</x:v>
      </x:c>
      <x:c r="Z15" t="n">
        <x:f>SUM($P$15:$P$21)-P15</x:f>
        <x:v>3.352182518111361</x:v>
      </x:c>
      <x:c r="AA15" t="n">
        <x:f>SUM($Q$15:$Q$21)-Q15</x:f>
        <x:v>1.497892302980488</x:v>
      </x:c>
      <x:c r="AB15" t="n">
        <x:f>SUM($R$15:$R$21)-R15</x:f>
        <x:v>1.3843006184865059</x:v>
      </x:c>
      <x:c r="AC15" t="n">
        <x:f>SUM($S$15:$S$21)-S15</x:f>
        <x:v>3.1384600339338062</x:v>
      </x:c>
      <x:c r="AD15" t="n">
        <x:f>SUM($T$15:$T$21)-T15</x:f>
        <x:v>1.926856708949687</x:v>
      </x:c>
      <x:c r="AE15" t="n">
        <x:f>SUM($U$15:$U$21)-U15</x:f>
        <x:v>0.552138577498831</x:v>
      </x:c>
      <x:c r="AF15" t="n">
        <x:f>SUM($V$15:$V$21)-V15</x:f>
        <x:v>0.567019195105711</x:v>
      </x:c>
      <x:c r="AG15" t="n">
        <x:f>SUM($W$15:$W$21)-W15</x:f>
        <x:v>1.9355665136631584</x:v>
      </x:c>
      <x:c r="AH15" t="n">
        <x:f>$B$7+$B$6*H15+$B$8*J15</x:f>
        <x:v>0.5123611431451187</x:v>
      </x:c>
      <x:c r="AI15" t="n">
        <x:f>POWER(I15-AH15,2)</x:f>
        <x:v>0.0010129931475123186</x:v>
      </x:c>
      <x:c r="AJ15" t="n">
        <x:f>POWER(I15-AVERAGE($I$15:$I$21),2)</x:f>
        <x:v>0.03013206458185499</x:v>
      </x:c>
      <x:c r="AK15" t="n">
        <x:f>POWER(I15-LOG10(N15),2)</x:f>
        <x:v>0.004519401420494221</x:v>
      </x:c>
    </x:row>
    <x:row r="16">
      <x:c r="A16" s="17" t="str">
        <x:f>'API Prices'!A7</x:f>
        <x:v>GPT-5.6 Sol</x:v>
      </x:c>
      <x:c r="B16" s="17" t="str">
        <x:f>'API Prices'!B7</x:f>
        <x:v>OpenAI</x:v>
      </x:c>
      <x:c r="C16" s="20" t="n">
        <x:f>'Frontier Estimates'!E7</x:f>
        <x:v>3.4292100769491034</x:v>
      </x:c>
      <x:c r="D16" s="20" t="n">
        <x:f>'API Prices'!C7</x:f>
        <x:v>5</x:v>
      </x:c>
      <x:c r="E16" s="20" t="n">
        <x:f>'API Prices'!D7</x:f>
        <x:v>30</x:v>
      </x:c>
      <x:c r="F16" s="20" t="n">
        <x:f>'API Prices'!I7</x:f>
        <x:v>1</x:v>
      </x:c>
      <x:c r="G16" s="20" t="n">
        <x:f>SQRT(D16*E16)*F16</x:f>
        <x:v>12.24744871391589</x:v>
      </x:c>
      <x:c r="H16" s="20" t="n">
        <x:f>LOG10(G16)</x:f>
        <x:v>1.08804562952784</x:v>
      </x:c>
      <x:c r="I16" s="20" t="n">
        <x:f>LOG10(C16)</x:f>
        <x:v>0.535194091258173</x:v>
      </x:c>
      <x:c r="J16" s="20" t="n">
        <x:f>IF(B16="Anthropic",1,0)</x:f>
        <x:v>0</x:v>
      </x:c>
      <x:c r="K16" s="20" t="n">
        <x:f>((AB16-Z16*AA16/X16)+(AF16-AD16*AE16/Y16))/((AC16-Z16*Z16/X16)+(AG16-AD16*AD16/Y16))</x:f>
        <x:v>0.4064987850830326</x:v>
      </x:c>
      <x:c r="L16" s="20" t="n">
        <x:f>AA16/X16-K16*Z16/X16</x:f>
        <x:v>0.014109772417145394</x:v>
      </x:c>
      <x:c r="M16" s="20" t="n">
        <x:f>AE16/Y16-L16-K16*AD16/Y16</x:f>
        <x:v>-0.10804960089969823</x:v>
      </x:c>
      <x:c r="N16" s="20" t="n">
        <x:f>POWER(10,L16+K16*H16+M16*J16)</x:f>
        <x:v>2.860217101040209</x:v>
      </x:c>
      <x:c r="O16" s="20" t="n">
        <x:f>POWER(C16,1-$B$12)*POWER(N16,$B$12)</x:f>
        <x:v>3.337143079854522</x:v>
      </x:c>
      <x:c r="P16" t="n">
        <x:f>IF(B16="OpenAI",H16,0)</x:f>
        <x:v>1.08804562952784</x:v>
      </x:c>
      <x:c r="Q16" t="n">
        <x:f>IF(B16="OpenAI",I16,0)</x:f>
        <x:v>0.535194091258173</x:v>
      </x:c>
      <x:c r="R16" t="n">
        <x:f>IF(B16="OpenAI",H16*I16,0)</x:f>
        <x:v>0.5823155919425791</x:v>
      </x:c>
      <x:c r="S16" t="n">
        <x:f>IF(B16="OpenAI",H16*H16,0)</x:f>
        <x:v>1.1838432919346338</x:v>
      </x:c>
      <x:c r="T16" t="n">
        <x:f>IF(B16="Anthropic",H16,0)</x:f>
        <x:v>0</x:v>
      </x:c>
      <x:c r="U16" t="n">
        <x:f>IF(B16="Anthropic",I16,0)</x:f>
        <x:v>0</x:v>
      </x:c>
      <x:c r="V16" t="n">
        <x:f>IF(B16="Anthropic",H16*I16,0)</x:f>
        <x:v>0</x:v>
      </x:c>
      <x:c r="W16" t="n">
        <x:f>IF(B16="Anthropic",H16*H16,0)</x:f>
        <x:v>0</x:v>
      </x:c>
      <x:c r="X16" t="n">
        <x:f>COUNTIF($B$15:$B$21,"OpenAI")-IF(B16="OpenAI",1,0)</x:f>
        <x:v>3</x:v>
      </x:c>
      <x:c r="Y16" t="n">
        <x:f>COUNTIF($B$15:$B$21,"Anthropic")-IF(B16="Anthropic",1,0)</x:f>
        <x:v>3</x:v>
      </x:c>
      <x:c r="Z16" t="n">
        <x:f>SUM($P$15:$P$21)-P16</x:f>
        <x:v>2.264136888583521</x:v>
      </x:c>
      <x:c r="AA16" t="n">
        <x:f>SUM($Q$15:$Q$21)-Q16</x:f>
        <x:v>0.9626982117223151</x:v>
      </x:c>
      <x:c r="AB16" t="n">
        <x:f>SUM($R$15:$R$21)-R16</x:f>
        <x:v>0.8019850265439268</x:v>
      </x:c>
      <x:c r="AC16" t="n">
        <x:f>SUM($S$15:$S$21)-S16</x:f>
        <x:v>1.9546167419991725</x:v>
      </x:c>
      <x:c r="AD16" t="n">
        <x:f>SUM($T$15:$T$21)-T16</x:f>
        <x:v>3.390285063424537</x:v>
      </x:c>
      <x:c r="AE16" t="n">
        <x:f>SUM($U$15:$U$21)-U16</x:f>
        <x:v>1.096327273919568</x:v>
      </x:c>
      <x:c r="AF16" t="n">
        <x:f>SUM($V$15:$V$21)-V16</x:f>
        <x:v>1.3634003636325238</x:v>
      </x:c>
      <x:c r="AG16" t="n">
        <x:f>SUM($W$15:$W$21)-W16</x:f>
        <x:v>4.077189062344126</x:v>
      </x:c>
      <x:c r="AH16" t="n">
        <x:f>$B$7+$B$6*H16+$B$8*J16</x:f>
        <x:v>0.4846621146240675</x:v>
      </x:c>
      <x:c r="AI16" t="n">
        <x:f>POWER(I16-AH16,2)</x:f>
        <x:v>0.002553480662549781</x:v>
      </x:c>
      <x:c r="AJ16" t="n">
        <x:f>POWER(I16-AVERAGE($I$15:$I$21),2)</x:f>
        <x:v>0.02709029424433264</x:v>
      </x:c>
      <x:c r="AK16" t="n">
        <x:f>POWER(I16-LOG10(N16),2)</x:f>
        <x:v>0.0062086665741990735</x:v>
      </x:c>
    </x:row>
    <x:row r="17">
      <x:c r="A17" s="17" t="str">
        <x:f>'API Prices'!A8</x:f>
        <x:v>GPT-5.5</x:v>
      </x:c>
      <x:c r="B17" s="17" t="str">
        <x:f>'API Prices'!B8</x:f>
        <x:v>OpenAI</x:v>
      </x:c>
      <x:c r="C17" s="20" t="n">
        <x:f>'Frontier Estimates'!E9</x:f>
        <x:v>2.5655772005746638</x:v>
      </x:c>
      <x:c r="D17" s="20" t="n">
        <x:f>'API Prices'!C8</x:f>
        <x:v>5</x:v>
      </x:c>
      <x:c r="E17" s="20" t="n">
        <x:f>'API Prices'!D8</x:f>
        <x:v>30</x:v>
      </x:c>
      <x:c r="F17" s="20" t="n">
        <x:f>'API Prices'!I8</x:f>
        <x:v>1</x:v>
      </x:c>
      <x:c r="G17" s="20" t="n">
        <x:f>SQRT(D17*E17)*F17</x:f>
        <x:v>12.24744871391589</x:v>
      </x:c>
      <x:c r="H17" s="20" t="n">
        <x:f>LOG10(G17)</x:f>
        <x:v>1.08804562952784</x:v>
      </x:c>
      <x:c r="I17" s="20" t="n">
        <x:f>LOG10(C17)</x:f>
        <x:v>0.409185087507923</x:v>
      </x:c>
      <x:c r="J17" s="20" t="n">
        <x:f>IF(B17="Anthropic",1,0)</x:f>
        <x:v>0</x:v>
      </x:c>
      <x:c r="K17" s="20" t="n">
        <x:f>((AB17-Z17*AA17/X17)+(AF17-AD17*AE17/Y17))/((AC17-Z17*Z17/X17)+(AG17-AD17*AD17/Y17))</x:f>
        <x:v>0.4919246363334395</x:v>
      </x:c>
      <x:c r="L17" s="20" t="n">
        <x:f>AA17/X17-K17*Z17/X17</x:f>
        <x:v>-0.008359166684336339</x:v>
      </x:c>
      <x:c r="M17" s="20" t="n">
        <x:f>AE17/Y17-L17-K17*AD17/Y17</x:f>
        <x:v>-0.18211999097307674</x:v>
      </x:c>
      <x:c r="N17" s="20" t="n">
        <x:f>POWER(10,L17+K17*H17+M17*J17)</x:f>
        <x:v>3.3641649669213614</x:v>
      </x:c>
      <x:c r="O17" s="20" t="n">
        <x:f>POWER(C17,1-$B$12)*POWER(N17,$B$12)</x:f>
        <x:v>2.672015154705486</x:v>
      </x:c>
      <x:c r="P17" t="n">
        <x:f>IF(B17="OpenAI",H17,0)</x:f>
        <x:v>1.08804562952784</x:v>
      </x:c>
      <x:c r="Q17" t="n">
        <x:f>IF(B17="OpenAI",I17,0)</x:f>
        <x:v>0.409185087507923</x:v>
      </x:c>
      <x:c r="R17" t="n">
        <x:f>IF(B17="OpenAI",H17*I17,0)</x:f>
        <x:v>0.4452120461309624</x:v>
      </x:c>
      <x:c r="S17" t="n">
        <x:f>IF(B17="OpenAI",H17*H17,0)</x:f>
        <x:v>1.1838432919346338</x:v>
      </x:c>
      <x:c r="T17" t="n">
        <x:f>IF(B17="Anthropic",H17,0)</x:f>
        <x:v>0</x:v>
      </x:c>
      <x:c r="U17" t="n">
        <x:f>IF(B17="Anthropic",I17,0)</x:f>
        <x:v>0</x:v>
      </x:c>
      <x:c r="V17" t="n">
        <x:f>IF(B17="Anthropic",H17*I17,0)</x:f>
        <x:v>0</x:v>
      </x:c>
      <x:c r="W17" t="n">
        <x:f>IF(B17="Anthropic",H17*H17,0)</x:f>
        <x:v>0</x:v>
      </x:c>
      <x:c r="X17" t="n">
        <x:f>COUNTIF($B$15:$B$21,"OpenAI")-IF(B17="OpenAI",1,0)</x:f>
        <x:v>3</x:v>
      </x:c>
      <x:c r="Y17" t="n">
        <x:f>COUNTIF($B$15:$B$21,"Anthropic")-IF(B17="Anthropic",1,0)</x:f>
        <x:v>3</x:v>
      </x:c>
      <x:c r="Z17" t="n">
        <x:f>SUM($P$15:$P$21)-P17</x:f>
        <x:v>2.264136888583521</x:v>
      </x:c>
      <x:c r="AA17" t="n">
        <x:f>SUM($Q$15:$Q$21)-Q17</x:f>
        <x:v>1.088707215472565</x:v>
      </x:c>
      <x:c r="AB17" t="n">
        <x:f>SUM($R$15:$R$21)-R17</x:f>
        <x:v>0.9390885723555435</x:v>
      </x:c>
      <x:c r="AC17" t="n">
        <x:f>SUM($S$15:$S$21)-S17</x:f>
        <x:v>1.9546167419991725</x:v>
      </x:c>
      <x:c r="AD17" t="n">
        <x:f>SUM($T$15:$T$21)-T17</x:f>
        <x:v>3.390285063424537</x:v>
      </x:c>
      <x:c r="AE17" t="n">
        <x:f>SUM($U$15:$U$21)-U17</x:f>
        <x:v>1.096327273919568</x:v>
      </x:c>
      <x:c r="AF17" t="n">
        <x:f>SUM($V$15:$V$21)-V17</x:f>
        <x:v>1.3634003636325238</x:v>
      </x:c>
      <x:c r="AG17" t="n">
        <x:f>SUM($W$15:$W$21)-W17</x:f>
        <x:v>4.077189062344126</x:v>
      </x:c>
      <x:c r="AH17" t="n">
        <x:f>$B$7+$B$6*H17+$B$8*J17</x:f>
        <x:v>0.4846621146240675</x:v>
      </x:c>
      <x:c r="AI17" t="n">
        <x:f>POWER(I17-AH17,2)</x:f>
        <x:v>0.005696781622291214</x:v>
      </x:c>
      <x:c r="AJ17" t="n">
        <x:f>POWER(I17-AVERAGE($I$15:$I$21),2)</x:f>
        <x:v>0.0014885931639865247</x:v>
      </x:c>
      <x:c r="AK17" t="n">
        <x:f>POWER(I17-LOG10(N17),2)</x:f>
        <x:v>0.013851453099908522</x:v>
      </x:c>
    </x:row>
    <x:row r="18">
      <x:c r="A18" s="17" t="str">
        <x:f>'API Prices'!A9</x:f>
        <x:v>Claude Opus 4.7 / 4.8 shared base</x:v>
      </x:c>
      <x:c r="B18" s="17" t="str">
        <x:f>'API Prices'!B9</x:f>
        <x:v>Anthropic</x:v>
      </x:c>
      <x:c r="C18" s="20" t="n">
        <x:f>'Frontier Estimates'!E10</x:f>
        <x:v>2.313163214231789</x:v>
      </x:c>
      <x:c r="D18" s="20" t="n">
        <x:f>'API Prices'!C9</x:f>
        <x:v>5</x:v>
      </x:c>
      <x:c r="E18" s="20" t="n">
        <x:f>'API Prices'!D9</x:f>
        <x:v>25</x:v>
      </x:c>
      <x:c r="F18" s="20" t="n">
        <x:f>'API Prices'!I9</x:f>
        <x:v>1.3</x:v>
      </x:c>
      <x:c r="G18" s="20" t="n">
        <x:f>SQRT(D18*E18)*F18</x:f>
        <x:v>14.534441853748634</x:v>
      </x:c>
      <x:c r="H18" s="20" t="n">
        <x:f>LOG10(G18)</x:f>
        <x:v>1.16239835881086</x:v>
      </x:c>
      <x:c r="I18" s="20" t="n">
        <x:f>LOG10(C18)</x:f>
        <x:v>0.36420627718889</x:v>
      </x:c>
      <x:c r="J18" s="20" t="n">
        <x:f>IF(B18="Anthropic",1,0)</x:f>
        <x:v>1</x:v>
      </x:c>
      <x:c r="K18" s="20" t="n">
        <x:f>((AB18-Z18*AA18/X18)+(AF18-AD18*AE18/Y18))/((AC18-Z18*Z18/X18)+(AG18-AD18*AD18/Y18))</x:f>
        <x:v>0.44206365365864153</x:v>
      </x:c>
      <x:c r="L18" s="20" t="n">
        <x:f>AA18/X18-K18*Z18/X18</x:f>
        <x:v>0.004003562823388651</x:v>
      </x:c>
      <x:c r="M18" s="20" t="n">
        <x:f>AE18/Y18-L18-K18*AD18/Y18</x:f>
        <x:v>-0.13037693274756612</x:v>
      </x:c>
      <x:c r="N18" s="20" t="n">
        <x:f>POWER(10,L18+K18*H18+M18*J18)</x:f>
        <x:v>2.440510584757213</x:v>
      </x:c>
      <x:c r="O18" s="20" t="n">
        <x:f>POWER(C18,1-$B$12)*POWER(N18,$B$12)</x:f>
        <x:v>2.3318329775695745</x:v>
      </x:c>
      <x:c r="P18" t="n">
        <x:f>IF(B18="OpenAI",H18,0)</x:f>
        <x:v>0</x:v>
      </x:c>
      <x:c r="Q18" t="n">
        <x:f>IF(B18="OpenAI",I18,0)</x:f>
        <x:v>0</x:v>
      </x:c>
      <x:c r="R18" t="n">
        <x:f>IF(B18="OpenAI",H18*I18,0)</x:f>
        <x:v>0</x:v>
      </x:c>
      <x:c r="S18" t="n">
        <x:f>IF(B18="OpenAI",H18*H18,0)</x:f>
        <x:v>0</x:v>
      </x:c>
      <x:c r="T18" t="n">
        <x:f>IF(B18="Anthropic",H18,0)</x:f>
        <x:v>1.16239835881086</x:v>
      </x:c>
      <x:c r="U18" t="n">
        <x:f>IF(B18="Anthropic",I18,0)</x:f>
        <x:v>0.36420627718889</x:v>
      </x:c>
      <x:c r="V18" t="n">
        <x:f>IF(B18="Anthropic",H18*I18,0)</x:f>
        <x:v>0.42335277887297884</x:v>
      </x:c>
      <x:c r="W18" t="n">
        <x:f>IF(B18="Anthropic",H18*H18,0)</x:f>
        <x:v>1.3511699445661807</x:v>
      </x:c>
      <x:c r="X18" t="n">
        <x:f>COUNTIF($B$15:$B$21,"OpenAI")-IF(B18="OpenAI",1,0)</x:f>
        <x:v>4</x:v>
      </x:c>
      <x:c r="Y18" t="n">
        <x:f>COUNTIF($B$15:$B$21,"Anthropic")-IF(B18="Anthropic",1,0)</x:f>
        <x:v>2</x:v>
      </x:c>
      <x:c r="Z18" t="n">
        <x:f>SUM($P$15:$P$21)-P18</x:f>
        <x:v>3.352182518111361</x:v>
      </x:c>
      <x:c r="AA18" t="n">
        <x:f>SUM($Q$15:$Q$21)-Q18</x:f>
        <x:v>1.497892302980488</x:v>
      </x:c>
      <x:c r="AB18" t="n">
        <x:f>SUM($R$15:$R$21)-R18</x:f>
        <x:v>1.3843006184865059</x:v>
      </x:c>
      <x:c r="AC18" t="n">
        <x:f>SUM($S$15:$S$21)-S18</x:f>
        <x:v>3.1384600339338062</x:v>
      </x:c>
      <x:c r="AD18" t="n">
        <x:f>SUM($T$15:$T$21)-T18</x:f>
        <x:v>2.2278867046136774</x:v>
      </x:c>
      <x:c r="AE18" t="n">
        <x:f>SUM($U$15:$U$21)-U18</x:f>
        <x:v>0.732120996730678</x:v>
      </x:c>
      <x:c r="AF18" t="n">
        <x:f>SUM($V$15:$V$21)-V18</x:f>
        <x:v>0.940047584759545</x:v>
      </x:c>
      <x:c r="AG18" t="n">
        <x:f>SUM($W$15:$W$21)-W18</x:f>
        <x:v>2.7260191177779456</x:v>
      </x:c>
      <x:c r="AH18" t="n">
        <x:f>$B$7+$B$6*H18+$B$8*J18</x:f>
        <x:v>0.37968031956132575</x:v>
      </x:c>
      <x:c r="AI18" t="n">
        <x:f>POWER(I18-AH18,2)</x:f>
        <x:v>0.00023944598734393764</x:v>
      </x:c>
      <x:c r="AJ18" t="n">
        <x:f>POWER(I18-AVERAGE($I$15:$I$21),2)</x:f>
        <x:v>0.00004091546185611288</x:v>
      </x:c>
      <x:c r="AK18" t="n">
        <x:f>POWER(I18-LOG10(N18),2)</x:f>
        <x:v>0.0005416985513774108</x:v>
      </x:c>
    </x:row>
    <x:row r="19">
      <x:c r="A19" s="17" t="str">
        <x:f>'API Prices'!A10</x:f>
        <x:v>GPT-5.6 Terra</x:v>
      </x:c>
      <x:c r="B19" s="17" t="str">
        <x:f>'API Prices'!B10</x:f>
        <x:v>OpenAI</x:v>
      </x:c>
      <x:c r="C19" s="20" t="n">
        <x:f>'Frontier Estimates'!E11</x:f>
        <x:v>2.2665558150589984</x:v>
      </x:c>
      <x:c r="D19" s="20" t="n">
        <x:f>'API Prices'!C10</x:f>
        <x:v>2.5</x:v>
      </x:c>
      <x:c r="E19" s="20" t="n">
        <x:f>'API Prices'!D10</x:f>
        <x:v>15</x:v>
      </x:c>
      <x:c r="F19" s="20" t="n">
        <x:f>'API Prices'!I10</x:f>
        <x:v>1</x:v>
      </x:c>
      <x:c r="G19" s="20" t="n">
        <x:f>SQRT(D19*E19)*F19</x:f>
        <x:v>6.123724356957945</x:v>
      </x:c>
      <x:c r="H19" s="20" t="n">
        <x:f>LOG10(G19)</x:f>
        <x:v>0.787015633863859</x:v>
      </x:c>
      <x:c r="I19" s="20" t="n">
        <x:f>LOG10(C19)</x:f>
        <x:v>0.355366418243003</x:v>
      </x:c>
      <x:c r="J19" s="20" t="n">
        <x:f>IF(B19="Anthropic",1,0)</x:f>
        <x:v>0</x:v>
      </x:c>
      <x:c r="K19" s="20" t="n">
        <x:f>((AB19-Z19*AA19/X19)+(AF19-AD19*AE19/Y19))/((AC19-Z19*Z19/X19)+(AG19-AD19*AD19/Y19))</x:f>
        <x:v>0.44115913635417914</x:v>
      </x:c>
      <x:c r="L19" s="20" t="n">
        <x:f>AA19/X19-K19*Z19/X19</x:f>
        <x:v>0.003626359159505488</x:v>
      </x:c>
      <x:c r="M19" s="20" t="n">
        <x:f>AE19/Y19-L19-K19*AD19/Y19</x:f>
        <x:v>-0.1367356780445969</x:v>
      </x:c>
      <x:c r="N19" s="20" t="n">
        <x:f>POWER(10,L19+K19*H19+M19*J19)</x:f>
        <x:v>2.2429804925499206</x:v>
      </x:c>
      <x:c r="O19" s="20" t="n">
        <x:f>POWER(C19,1-$B$12)*POWER(N19,$B$12)</x:f>
        <x:v>2.2630037831413268</x:v>
      </x:c>
      <x:c r="P19" t="n">
        <x:f>IF(B19="OpenAI",H19,0)</x:f>
        <x:v>0.787015633863859</x:v>
      </x:c>
      <x:c r="Q19" t="n">
        <x:f>IF(B19="OpenAI",I19,0)</x:f>
        <x:v>0.355366418243003</x:v>
      </x:c>
      <x:c r="R19" t="n">
        <x:f>IF(B19="OpenAI",H19*I19,0)</x:f>
        <x:v>0.2796789269074462</x:v>
      </x:c>
      <x:c r="S19" t="n">
        <x:f>IF(B19="OpenAI",H19*H19,0)</x:f>
        <x:v>0.6193936079461317</x:v>
      </x:c>
      <x:c r="T19" t="n">
        <x:f>IF(B19="Anthropic",H19,0)</x:f>
        <x:v>0</x:v>
      </x:c>
      <x:c r="U19" t="n">
        <x:f>IF(B19="Anthropic",I19,0)</x:f>
        <x:v>0</x:v>
      </x:c>
      <x:c r="V19" t="n">
        <x:f>IF(B19="Anthropic",H19*I19,0)</x:f>
        <x:v>0</x:v>
      </x:c>
      <x:c r="W19" t="n">
        <x:f>IF(B19="Anthropic",H19*H19,0)</x:f>
        <x:v>0</x:v>
      </x:c>
      <x:c r="X19" t="n">
        <x:f>COUNTIF($B$15:$B$21,"OpenAI")-IF(B19="OpenAI",1,0)</x:f>
        <x:v>3</x:v>
      </x:c>
      <x:c r="Y19" t="n">
        <x:f>COUNTIF($B$15:$B$21,"Anthropic")-IF(B19="Anthropic",1,0)</x:f>
        <x:v>3</x:v>
      </x:c>
      <x:c r="Z19" t="n">
        <x:f>SUM($P$15:$P$21)-P19</x:f>
        <x:v>2.565166884247502</x:v>
      </x:c>
      <x:c r="AA19" t="n">
        <x:f>SUM($Q$15:$Q$21)-Q19</x:f>
        <x:v>1.142525884737485</x:v>
      </x:c>
      <x:c r="AB19" t="n">
        <x:f>SUM($R$15:$R$21)-R19</x:f>
        <x:v>1.1046216915790597</x:v>
      </x:c>
      <x:c r="AC19" t="n">
        <x:f>SUM($S$15:$S$21)-S19</x:f>
        <x:v>2.5190664259876745</x:v>
      </x:c>
      <x:c r="AD19" t="n">
        <x:f>SUM($T$15:$T$21)-T19</x:f>
        <x:v>3.390285063424537</x:v>
      </x:c>
      <x:c r="AE19" t="n">
        <x:f>SUM($U$15:$U$21)-U19</x:f>
        <x:v>1.096327273919568</x:v>
      </x:c>
      <x:c r="AF19" t="n">
        <x:f>SUM($V$15:$V$21)-V19</x:f>
        <x:v>1.3634003636325238</x:v>
      </x:c>
      <x:c r="AG19" t="n">
        <x:f>SUM($W$15:$W$21)-W19</x:f>
        <x:v>4.077189062344126</x:v>
      </x:c>
      <x:c r="AH19" t="n">
        <x:f>$B$7+$B$6*H19+$B$8*J19</x:f>
        <x:v>0.3519812910402786</x:v>
      </x:c>
      <x:c r="AI19" t="n">
        <x:f>POWER(I19-AH19,2)</x:f>
        <x:v>0.000011459086178624966</x:v>
      </x:c>
      <x:c r="AJ19" t="n">
        <x:f>POWER(I19-AVERAGE($I$15:$I$21),2)</x:f>
        <x:v>0.0002321472284850839</x:v>
      </x:c>
      <x:c r="AK19" t="n">
        <x:f>POWER(I19-LOG10(N19),2)</x:f>
        <x:v>0.00002061997034762416</x:v>
      </x:c>
    </x:row>
    <x:row r="20">
      <x:c r="A20" s="17" t="str">
        <x:f>'API Prices'!A11</x:f>
        <x:v>Claude Sonnet 5</x:v>
      </x:c>
      <x:c r="B20" s="17" t="str">
        <x:f>'API Prices'!B11</x:f>
        <x:v>Anthropic</x:v>
      </x:c>
      <x:c r="C20" s="20" t="n">
        <x:f>'Frontier Estimates'!E12</x:f>
        <x:v>1.5414601447886873</x:v>
      </x:c>
      <x:c r="D20" s="20" t="n">
        <x:f>'API Prices'!C11</x:f>
        <x:v>2</x:v>
      </x:c>
      <x:c r="E20" s="20" t="n">
        <x:f>'API Prices'!D11</x:f>
        <x:v>10</x:v>
      </x:c>
      <x:c r="F20" s="20" t="n">
        <x:f>'API Prices'!I11</x:f>
        <x:v>1.3</x:v>
      </x:c>
      <x:c r="G20" s="20" t="n">
        <x:f>SQRT(D20*E20)*F20</x:f>
        <x:v>5.813776741499454</x:v>
      </x:c>
      <x:c r="H20" s="20" t="n">
        <x:f>LOG10(G20)</x:f>
        <x:v>0.764458350138827</x:v>
      </x:c>
      <x:c r="I20" s="20" t="n">
        <x:f>LOG10(C20)</x:f>
        <x:v>0.187932300309941</x:v>
      </x:c>
      <x:c r="J20" s="20" t="n">
        <x:f>IF(B20="Anthropic",1,0)</x:f>
        <x:v>1</x:v>
      </x:c>
      <x:c r="K20" s="20" t="n">
        <x:f>((AB20-Z20*AA20/X20)+(AF20-AD20*AE20/Y20))/((AC20-Z20*Z20/X20)+(AG20-AD20*AD20/Y20))</x:f>
        <x:v>0.4168056598893181</x:v>
      </x:c>
      <x:c r="L20" s="20" t="n">
        <x:f>AA20/X20-K20*Z20/X20</x:f>
        <x:v>0.02517091411241157</x:v>
      </x:c>
      <x:c r="M20" s="20" t="n">
        <x:f>AE20/Y20-L20-K20*AD20/Y20</x:f>
        <x:v>-0.11820314530062298</x:v>
      </x:c>
      <x:c r="N20" s="20" t="n">
        <x:f>POWER(10,L20+K20*H20+M20*J20)</x:f>
        <x:v>1.6811185328664842</x:v>
      </x:c>
      <x:c r="O20" s="20" t="n">
        <x:f>POWER(C20,1-$B$12)*POWER(N20,$B$12)</x:f>
        <x:v>1.5616446066762157</x:v>
      </x:c>
      <x:c r="P20" t="n">
        <x:f>IF(B20="OpenAI",H20,0)</x:f>
        <x:v>0</x:v>
      </x:c>
      <x:c r="Q20" t="n">
        <x:f>IF(B20="OpenAI",I20,0)</x:f>
        <x:v>0</x:v>
      </x:c>
      <x:c r="R20" t="n">
        <x:f>IF(B20="OpenAI",H20*I20,0)</x:f>
        <x:v>0</x:v>
      </x:c>
      <x:c r="S20" t="n">
        <x:f>IF(B20="OpenAI",H20*H20,0)</x:f>
        <x:v>0</x:v>
      </x:c>
      <x:c r="T20" t="n">
        <x:f>IF(B20="Anthropic",H20,0)</x:f>
        <x:v>0.764458350138827</x:v>
      </x:c>
      <x:c r="U20" t="n">
        <x:f>IF(B20="Anthropic",I20,0)</x:f>
        <x:v>0.187932300309941</x:v>
      </x:c>
      <x:c r="V20" t="n">
        <x:f>IF(B20="Anthropic",H20*I20,0)</x:f>
        <x:v>0.14366641623273207</x:v>
      </x:c>
      <x:c r="W20" t="n">
        <x:f>IF(B20="Anthropic",H20*H20,0)</x:f>
        <x:v>0.5843965690969775</x:v>
      </x:c>
      <x:c r="X20" t="n">
        <x:f>COUNTIF($B$15:$B$21,"OpenAI")-IF(B20="OpenAI",1,0)</x:f>
        <x:v>4</x:v>
      </x:c>
      <x:c r="Y20" t="n">
        <x:f>COUNTIF($B$15:$B$21,"Anthropic")-IF(B20="Anthropic",1,0)</x:f>
        <x:v>2</x:v>
      </x:c>
      <x:c r="Z20" t="n">
        <x:f>SUM($P$15:$P$21)-P20</x:f>
        <x:v>3.352182518111361</x:v>
      </x:c>
      <x:c r="AA20" t="n">
        <x:f>SUM($Q$15:$Q$21)-Q20</x:f>
        <x:v>1.497892302980488</x:v>
      </x:c>
      <x:c r="AB20" t="n">
        <x:f>SUM($R$15:$R$21)-R20</x:f>
        <x:v>1.3843006184865059</x:v>
      </x:c>
      <x:c r="AC20" t="n">
        <x:f>SUM($S$15:$S$21)-S20</x:f>
        <x:v>3.1384600339338062</x:v>
      </x:c>
      <x:c r="AD20" t="n">
        <x:f>SUM($T$15:$T$21)-T20</x:f>
        <x:v>2.62582671328571</x:v>
      </x:c>
      <x:c r="AE20" t="n">
        <x:f>SUM($U$15:$U$21)-U20</x:f>
        <x:v>0.908394973609627</x:v>
      </x:c>
      <x:c r="AF20" t="n">
        <x:f>SUM($V$15:$V$21)-V20</x:f>
        <x:v>1.2197339473997917</x:v>
      </x:c>
      <x:c r="AG20" t="n">
        <x:f>SUM($W$15:$W$21)-W20</x:f>
        <x:v>3.4927924932471486</x:v>
      </x:c>
      <x:c r="AH20" t="n">
        <x:f>$B$7+$B$6*H20+$B$8*J20</x:f>
        <x:v>0.20428581121312345</x:v>
      </x:c>
      <x:c r="AI20" t="n">
        <x:f>POWER(I20-AH20,2)</x:f>
        <x:v>0.0002674373188605067</x:v>
      </x:c>
      <x:c r="AJ20" t="n">
        <x:f>POWER(I20-AVERAGE($I$15:$I$21),2)</x:f>
        <x:v>0.03336851025139346</x:v>
      </x:c>
      <x:c r="AK20" t="n">
        <x:f>POWER(I20-LOG10(N20),2)</x:f>
        <x:v>0.0014187302370190088</x:v>
      </x:c>
    </x:row>
    <x:row r="21">
      <x:c r="A21" s="18" t="str">
        <x:f>'API Prices'!A12</x:f>
        <x:v>GPT-5.6 Luna</x:v>
      </x:c>
      <x:c r="B21" s="18" t="str">
        <x:f>'API Prices'!B12</x:f>
        <x:v>OpenAI</x:v>
      </x:c>
      <x:c r="C21" s="21" t="n">
        <x:f>'Frontier Estimates'!E13</x:f>
        <x:v>1.5781442815133315</x:v>
      </x:c>
      <x:c r="D21" s="21" t="n">
        <x:f>'API Prices'!C12</x:f>
        <x:v>1</x:v>
      </x:c>
      <x:c r="E21" s="21" t="n">
        <x:f>'API Prices'!D12</x:f>
        <x:v>6</x:v>
      </x:c>
      <x:c r="F21" s="21" t="n">
        <x:f>'API Prices'!I12</x:f>
        <x:v>1</x:v>
      </x:c>
      <x:c r="G21" s="21" t="n">
        <x:f>SQRT(D21*E21)*F21</x:f>
        <x:v>2.449489742783178</x:v>
      </x:c>
      <x:c r="H21" s="21" t="n">
        <x:f>LOG10(G21)</x:f>
        <x:v>0.389075625191822</x:v>
      </x:c>
      <x:c r="I21" s="21" t="n">
        <x:f>LOG10(C21)</x:f>
        <x:v>0.198146705971389</x:v>
      </x:c>
      <x:c r="J21" s="21" t="n">
        <x:f>IF(B21="Anthropic",1,0)</x:f>
        <x:v>0</x:v>
      </x:c>
      <x:c r="K21" s="21" t="n">
        <x:f>((AB21-Z21*AA21/X21)+(AF21-AD21*AE21/Y21))/((AC21-Z21*Z21/X21)+(AG21-AD21*AD21/Y21))</x:f>
        <x:v>0.48289829158967257</x:v>
      </x:c>
      <x:c r="L21" s="21" t="n">
        <x:f>AA21/X21-K21*Z21/X21</x:f>
        <x:v>-0.04371121979310977</x:v>
      </x:c>
      <x:c r="M21" s="21" t="n">
        <x:f>AE21/Y21-L21-K21*AD21/Y21</x:f>
        <x:v>-0.1365673106102655</x:v>
      </x:c>
      <x:c r="N21" s="21" t="n">
        <x:f>POWER(10,L21+K21*H21+M21*J21)</x:f>
        <x:v>1.3937110229275442</x:v>
      </x:c>
      <x:c r="O21" s="21" t="n">
        <x:f>POWER(C21,1-$B$12)*POWER(N21,$B$12)</x:f>
        <x:v>1.5489971200785368</x:v>
      </x:c>
      <x:c r="P21" t="n">
        <x:f>IF(B21="OpenAI",H21,0)</x:f>
        <x:v>0.389075625191822</x:v>
      </x:c>
      <x:c r="Q21" t="n">
        <x:f>IF(B21="OpenAI",I21,0)</x:f>
        <x:v>0.198146705971389</x:v>
      </x:c>
      <x:c r="R21" t="n">
        <x:f>IF(B21="OpenAI",H21*I21,0)</x:f>
        <x:v>0.0770940535055183</x:v>
      </x:c>
      <x:c r="S21" t="n">
        <x:f>IF(B21="OpenAI",H21*H21,0)</x:f>
        <x:v>0.15137984211840713</x:v>
      </x:c>
      <x:c r="T21" t="n">
        <x:f>IF(B21="Anthropic",H21,0)</x:f>
        <x:v>0</x:v>
      </x:c>
      <x:c r="U21" t="n">
        <x:f>IF(B21="Anthropic",I21,0)</x:f>
        <x:v>0</x:v>
      </x:c>
      <x:c r="V21" t="n">
        <x:f>IF(B21="Anthropic",H21*I21,0)</x:f>
        <x:v>0</x:v>
      </x:c>
      <x:c r="W21" t="n">
        <x:f>IF(B21="Anthropic",H21*H21,0)</x:f>
        <x:v>0</x:v>
      </x:c>
      <x:c r="X21" t="n">
        <x:f>COUNTIF($B$15:$B$21,"OpenAI")-IF(B21="OpenAI",1,0)</x:f>
        <x:v>3</x:v>
      </x:c>
      <x:c r="Y21" t="n">
        <x:f>COUNTIF($B$15:$B$21,"Anthropic")-IF(B21="Anthropic",1,0)</x:f>
        <x:v>3</x:v>
      </x:c>
      <x:c r="Z21" t="n">
        <x:f>SUM($P$15:$P$21)-P21</x:f>
        <x:v>2.963106892919539</x:v>
      </x:c>
      <x:c r="AA21" t="n">
        <x:f>SUM($Q$15:$Q$21)-Q21</x:f>
        <x:v>1.299745597009099</x:v>
      </x:c>
      <x:c r="AB21" t="n">
        <x:f>SUM($R$15:$R$21)-R21</x:f>
        <x:v>1.3072065649809876</x:v>
      </x:c>
      <x:c r="AC21" t="n">
        <x:f>SUM($S$15:$S$21)-S21</x:f>
        <x:v>2.9870801918153993</x:v>
      </x:c>
      <x:c r="AD21" t="n">
        <x:f>SUM($T$15:$T$21)-T21</x:f>
        <x:v>3.390285063424537</x:v>
      </x:c>
      <x:c r="AE21" t="n">
        <x:f>SUM($U$15:$U$21)-U21</x:f>
        <x:v>1.096327273919568</x:v>
      </x:c>
      <x:c r="AF21" t="n">
        <x:f>SUM($V$15:$V$21)-V21</x:f>
        <x:v>1.3634003636325238</x:v>
      </x:c>
      <x:c r="AG21" t="n">
        <x:f>SUM($W$15:$W$21)-W21</x:f>
        <x:v>4.077189062344126</x:v>
      </x:c>
      <x:c r="AH21" t="n">
        <x:f>$B$7+$B$6*H21+$B$8*J21</x:f>
        <x:v>0.17658678269207445</x:v>
      </x:c>
      <x:c r="AI21" t="n">
        <x:f>POWER(I21-AH21,2)</x:f>
        <x:v>0.0004648302918099296</x:v>
      </x:c>
      <x:c r="AJ21" t="n">
        <x:f>POWER(I21-AVERAGE($I$15:$I$21),2)</x:f>
        <x:v>0.02974110322939765</x:v>
      </x:c>
      <x:c r="AK21" t="n">
        <x:f>POWER(I21-LOG10(N21),2)</x:f>
        <x:v>0.0029131895520055806</x:v>
      </x:c>
    </x:row>
  </x:sheetData>
  <x:mergeCells>
    <x:mergeCell ref="A1:O1"/>
    <x:mergeCell ref="A2:O3"/>
  </x:mergeCells>
  <x:pageMargins left="0.7" right="0.7" top="0.75" bottom="0.75" header="0.3" footer="0.3"/>
  <x:legacyDrawing xmlns:r="http://schemas.openxmlformats.org/officeDocument/2006/relationships" r:id="R2d1745bae97c4c3a"/>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4"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Anchors, uncertainty, and model-choice audit</x:v>
      </x:c>
      <x:c r="B1" s="3"/>
      <x:c r="C1" s="3"/>
      <x:c r="D1" s="3"/>
      <x:c r="E1" s="3"/>
      <x:c r="F1" s="3"/>
      <x:c r="G1" s="3"/>
      <x:c r="H1" s="3"/>
    </x:row>
    <x:row r="2">
      <x:c r="A2" s="6" t="str">
        <x:v>The primary benchmark remains date-aware and K3-anchored. Grok is used as a fixed disclosed row and validation check, not to rotate the entire frontier scale. Price is commercial evidence and therefore receives only weak cross-fitted weight.</x:v>
      </x:c>
      <x:c r="B2" s="6"/>
      <x:c r="C2" s="6"/>
      <x:c r="D2" s="6"/>
      <x:c r="E2" s="6"/>
      <x:c r="F2" s="6"/>
      <x:c r="G2" s="6"/>
      <x:c r="H2" s="6"/>
    </x:row>
    <x:row r="3">
      <x:c r="A3" s="6"/>
      <x:c r="B3" s="6"/>
      <x:c r="C3" s="6"/>
      <x:c r="D3" s="6"/>
      <x:c r="E3" s="6"/>
      <x:c r="F3" s="6"/>
      <x:c r="G3" s="6"/>
      <x:c r="H3" s="6"/>
    </x:row>
    <x:row r="5" ht="34" customHeight="1">
      <x:c r="A5" s="11" t="str">
        <x:v>Parameter / check</x:v>
      </x:c>
      <x:c r="B5" s="11" t="str">
        <x:v>Value</x:v>
      </x:c>
      <x:c r="C5" s="11" t="str">
        <x:v>Interpretation</x:v>
      </x:c>
    </x:row>
    <x:row r="6">
      <x:c r="A6" s="38" t="str">
        <x:v>K3 exact AA v4.1</x:v>
      </x:c>
      <x:c r="B6" s="19" t="n">
        <x:v>57.1123394372091</x:v>
      </x:c>
      <x:c r="C6" s="16" t="str">
        <x:v>UI displays 57</x:v>
      </x:c>
    </x:row>
    <x:row r="7">
      <x:c r="A7" s="39" t="str">
        <x:v>K3 disclosed total (T)</x:v>
      </x:c>
      <x:c r="B7" s="20" t="n">
        <x:v>2.8</x:v>
      </x:c>
      <x:c r="C7" s="17" t="str">
        <x:v>High-confidence model disclosure; active count unavailable</x:v>
      </x:c>
    </x:row>
    <x:row r="8">
      <x:c r="A8" s="39" t="str">
        <x:v>Grok exact AA v4.1</x:v>
      </x:c>
      <x:c r="B8" s="20" t="n">
        <x:v>53.8265951657731</x:v>
      </x:c>
      <x:c r="C8" s="17" t="str">
        <x:v>UI displays 54</x:v>
      </x:c>
    </x:row>
    <x:row r="9">
      <x:c r="A9" s="39" t="str">
        <x:v>Grok founder-disclosed foundation scale (T)</x:v>
      </x:c>
      <x:c r="B9" s="20" t="n">
        <x:v>1.5</x:v>
      </x:c>
      <x:c r="C9" s="17" t="str">
        <x:v>Medium-confidence first-party executive disclosure</x:v>
      </x:c>
    </x:row>
    <x:row r="10">
      <x:c r="A10" s="39" t="str">
        <x:v>Grok prior regression estimate (T)</x:v>
      </x:c>
      <x:c r="B10" s="20" t="n">
        <x:v>1.601005407941694</x:v>
      </x:c>
      <x:c r="C10" s="17" t="str">
        <x:v>Only 6.7% above the 1.5T anchor</x:v>
      </x:c>
    </x:row>
    <x:row r="11">
      <x:c r="A11" s="39" t="str">
        <x:v>Conservative LOFO log10 RMSE</x:v>
      </x:c>
      <x:c r="B11" s="20" t="n">
        <x:v>0.48132362596390643</x:v>
      </x:c>
      <x:c r="C11" s="17" t="str">
        <x:v>Worse leave-family-out scale retained</x:v>
      </x:c>
    </x:row>
    <x:row r="12">
      <x:c r="A12" s="39" t="str">
        <x:v>Conservative error factor</x:v>
      </x:c>
      <x:c r="B12" s="28" t="n">
        <x:f>POWER(10,B11)</x:f>
        <x:v>3.0291698529239715</x:v>
      </x:c>
      <x:c r="C12" s="17" t="str">
        <x:v>10^LOFO RMSE</x:v>
      </x:c>
    </x:row>
    <x:row r="13">
      <x:c r="A13" s="39" t="str">
        <x:v>Price log weight</x:v>
      </x:c>
      <x:c r="B13" s="34" t="n">
        <x:v>0.15</x:v>
      </x:c>
      <x:c r="C13" s="17" t="str">
        <x:v>Weak secondary regularizer</x:v>
      </x:c>
    </x:row>
    <x:row r="14">
      <x:c r="A14" s="39" t="str">
        <x:v>Anthropic tokenizer factor</x:v>
      </x:c>
      <x:c r="B14" s="41" t="n">
        <x:v>1.3</x:v>
      </x:c>
      <x:c r="C14" s="17" t="str">
        <x:v>Approximate same-text token-count adjustment</x:v>
      </x:c>
    </x:row>
    <x:row r="15">
      <x:c r="A15" s="40" t="str">
        <x:v>As of</x:v>
      </x:c>
      <x:c r="B15" s="32" t="n">
        <x:v>46220</x:v>
      </x:c>
      <x:c r="C15" s="18" t="str">
        <x:v>Pricing and benchmark snapshot date</x:v>
      </x:c>
    </x:row>
    <x:row r="18">
      <x:c r="A18" s="44" t="str">
        <x:v>Specification decisions</x:v>
      </x:c>
      <x:c r="B18" s="44"/>
      <x:c r="C18" s="44"/>
      <x:c r="D18" s="44"/>
      <x:c r="E18" s="44"/>
      <x:c r="F18" s="44"/>
      <x:c r="G18" s="44"/>
      <x:c r="H18" s="44"/>
    </x:row>
    <x:row r="20">
      <x:c r="A20" s="48" t="str">
        <x:v>Central estimate: 85% log weight on the existing benchmark/date estimate and 15% on a leave-one-base-out API-price estimate. Standard uncached input/output prices enter through z = sqrt(input × output), with an Anthropic provider effect and a 1.3× same-text tokenizer factor.</x:v>
      </x:c>
      <x:c r="B20" s="48"/>
      <x:c r="C20" s="48"/>
      <x:c r="D20" s="48"/>
      <x:c r="E20" s="48"/>
      <x:c r="F20" s="48"/>
      <x:c r="G20" s="48"/>
      <x:c r="H20" s="48"/>
    </x:row>
    <x:row r="21">
      <x:c r="A21" s="48"/>
      <x:c r="B21" s="48"/>
      <x:c r="C21" s="48"/>
      <x:c r="D21" s="48"/>
      <x:c r="E21" s="48"/>
      <x:c r="F21" s="48"/>
      <x:c r="G21" s="48"/>
      <x:c r="H21" s="48"/>
    </x:row>
    <x:row r="22">
      <x:c r="A22" s="48" t="str">
        <x:v>Grok choice: peg the row at 1.5T, but do not force the entire regression through K3 and Grok. The prior model was already within 6.7%; exact two-anchor rotation would add model risk and widen the uncertainty band.</x:v>
      </x:c>
      <x:c r="B22" s="48"/>
      <x:c r="C22" s="48"/>
      <x:c r="D22" s="48"/>
      <x:c r="E22" s="48"/>
      <x:c r="F22" s="48"/>
      <x:c r="G22" s="48"/>
      <x:c r="H22" s="48"/>
    </x:row>
    <x:row r="23">
      <x:c r="A23" s="48"/>
      <x:c r="B23" s="48"/>
      <x:c r="C23" s="48"/>
      <x:c r="D23" s="48"/>
      <x:c r="E23" s="48"/>
      <x:c r="F23" s="48"/>
      <x:c r="G23" s="48"/>
      <x:c r="H23" s="48"/>
    </x:row>
    <x:row r="24">
      <x:c r="A24" s="48" t="str">
        <x:v>Identity choice: Opus 4.7 and 4.8 are one shared base observation. Fable is displayed and modeled as a regular frontier model, per user instruction. Service tiers, fast mode, and reasoning settings are not separate base sizes.</x:v>
      </x:c>
      <x:c r="B24" s="48"/>
      <x:c r="C24" s="48"/>
      <x:c r="D24" s="48"/>
      <x:c r="E24" s="48"/>
      <x:c r="F24" s="48"/>
      <x:c r="G24" s="48"/>
      <x:c r="H24" s="48"/>
    </x:row>
    <x:row r="25">
      <x:c r="A25" s="48"/>
      <x:c r="B25" s="48"/>
      <x:c r="C25" s="48"/>
      <x:c r="D25" s="48"/>
      <x:c r="E25" s="48"/>
      <x:c r="F25" s="48"/>
      <x:c r="G25" s="48"/>
      <x:c r="H25" s="48"/>
    </x:row>
    <x:row r="28">
      <x:c r="A28" s="44" t="str">
        <x:v>Price-model diagnostics</x:v>
      </x:c>
      <x:c r="B28" s="44"/>
      <x:c r="C28" s="44"/>
      <x:c r="D28" s="44"/>
      <x:c r="E28" s="44"/>
      <x:c r="F28" s="44"/>
      <x:c r="G28" s="44"/>
      <x:c r="H28" s="44"/>
    </x:row>
    <x:row r="30" ht="34" customHeight="1">
      <x:c r="A30" s="11" t="str">
        <x:v>Diagnostic</x:v>
      </x:c>
      <x:c r="B30" s="11" t="str">
        <x:v>Result</x:v>
      </x:c>
      <x:c r="C30" s="11" t="str">
        <x:v>Meaning</x:v>
      </x:c>
    </x:row>
    <x:row r="31">
      <x:c r="A31" s="16" t="str">
        <x:v>Full-fit price slope</x:v>
      </x:c>
      <x:c r="B31" s="49" t="n">
        <x:f>'Price Model'!B6</x:f>
        <x:v>0.44075615551578234</x:v>
      </x:c>
      <x:c r="C31" s="16" t="str">
        <x:v>Price elasticity after provider adjustment</x:v>
      </x:c>
    </x:row>
    <x:row r="32">
      <x:c r="A32" s="17" t="str">
        <x:v>OpenAI intercept, T units</x:v>
      </x:c>
      <x:c r="B32" s="27" t="n">
        <x:f>'Price Model'!B7</x:f>
        <x:v>0.005099305927627529</x:v>
      </x:c>
      <x:c r="C32" s="17" t="str">
        <x:v>OpenAI baseline</x:v>
      </x:c>
    </x:row>
    <x:row r="33">
      <x:c r="A33" s="17" t="str">
        <x:v>Anthropic provider effect</x:v>
      </x:c>
      <x:c r="B33" s="27" t="n">
        <x:f>'Price Model'!B8</x:f>
        <x:v>-0.1377532181736313</x:v>
      </x:c>
      <x:c r="C33" s="17" t="str">
        <x:v>Commercial/provider offset</x:v>
      </x:c>
    </x:row>
    <x:row r="34">
      <x:c r="A34" s="17" t="str">
        <x:v>Full-fit R²</x:v>
      </x:c>
      <x:c r="B34" s="27" t="n">
        <x:f>'Price Model'!B9</x:f>
        <x:v>0.9160772902660487</x:v>
      </x:c>
      <x:c r="C34" s="17" t="str">
        <x:v>Coherence with benchmark estimates, not physical ground truth</x:v>
      </x:c>
    </x:row>
    <x:row r="35">
      <x:c r="A35" s="17" t="str">
        <x:v>LOBO price RMSE</x:v>
      </x:c>
      <x:c r="B35" s="27" t="n">
        <x:f>'Price Model'!B10</x:f>
        <x:v>0.06488865122582953</x:v>
      </x:c>
      <x:c r="C35" s="17" t="str">
        <x:v>Leave-one-base-out log10 error</x:v>
      </x:c>
    </x:row>
    <x:row r="36">
      <x:c r="A36" s="17" t="str">
        <x:v>LOBO multiplicative error</x:v>
      </x:c>
      <x:c r="B36" s="28" t="n">
        <x:f>'Price Model'!B11</x:f>
        <x:v>1.1611508681694092</x:v>
      </x:c>
      <x:c r="C36" s="17" t="str">
        <x:v>Price-only cross-fit error</x:v>
      </x:c>
    </x:row>
    <x:row r="37">
      <x:c r="A37" s="18" t="str">
        <x:v>Main parameter error factor</x:v>
      </x:c>
      <x:c r="B37" s="50" t="n">
        <x:f>B12</x:f>
        <x:v>3.0291698529239715</x:v>
      </x:c>
      <x:c r="C37" s="18" t="str">
        <x:v>Used for final whiskers; not narrowed by price</x:v>
      </x:c>
    </x:row>
  </x:sheetData>
  <x:mergeCells>
    <x:mergeCell ref="A1:H1"/>
    <x:mergeCell ref="A2:H3"/>
    <x:mergeCell ref="A18:H18"/>
    <x:mergeCell ref="A20:H21"/>
    <x:mergeCell ref="A22:H23"/>
    <x:mergeCell ref="A24:H25"/>
    <x:mergeCell ref="A28:H28"/>
  </x:mergeCells>
  <x:pageMargins left="0.7" right="0.7" top="0.75" bottom="0.75" header="0.3" footer="0.3"/>
  <x:legacyDrawing xmlns:r="http://schemas.openxmlformats.org/officeDocument/2006/relationships" r:id="Rd9f67a617a00421f"/>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55" hidden="0" customWidth="1"/>
    <x:col min="4" max="4" width="48" hidden="0" customWidth="1"/>
  </x:cols>
  <x:sheetData>
    <x:row r="1" ht="36" customHeight="1">
      <x:c r="A1" s="3" t="str">
        <x:v>Sources and audit trail</x:v>
      </x:c>
      <x:c r="B1" s="3"/>
      <x:c r="C1" s="3"/>
      <x:c r="D1" s="3"/>
    </x:row>
    <x:row r="2">
      <x:c r="A2" s="6" t="str">
        <x:v>Plain-text URLs and local paths are retained for reproducibility. Pricing was verified against current official documentation on 2026-07-17.</x:v>
      </x:c>
      <x:c r="B2" s="6"/>
      <x:c r="C2" s="6"/>
      <x:c r="D2" s="6"/>
    </x:row>
    <x:row r="3">
      <x:c r="A3" s="6"/>
      <x:c r="B3" s="6"/>
      <x:c r="C3" s="6"/>
      <x:c r="D3" s="6"/>
    </x:row>
    <x:row r="5" ht="34" customHeight="1">
      <x:c r="A5" s="11" t="str">
        <x:v>Source</x:v>
      </x:c>
      <x:c r="B5" s="11" t="str">
        <x:v>URL / path</x:v>
      </x:c>
      <x:c r="C5" s="11" t="str">
        <x:v>Use</x:v>
      </x:c>
      <x:c r="D5" s="11" t="str">
        <x:v>Caveat / snapshot</x:v>
      </x:c>
    </x:row>
    <x:row r="6">
      <x:c r="A6" s="16" t="str">
        <x:v>OpenAI official API pricing</x:v>
      </x:c>
      <x:c r="B6" s="22" t="str">
        <x:v>https://developers.openai.com/api/docs/pricing</x:v>
      </x:c>
      <x:c r="C6" s="22" t="str">
        <x:v>GPT-5.6 Sol/Terra/Luna and GPT-5.5 input/output prices</x:v>
      </x:c>
      <x:c r="D6" s="22" t="str">
        <x:v>Standard short-context rates as of 2026-07-17</x:v>
      </x:c>
    </x:row>
    <x:row r="7">
      <x:c r="A7" s="17" t="str">
        <x:v>Anthropic official pricing</x:v>
      </x:c>
      <x:c r="B7" s="23" t="str">
        <x:v>https://platform.claude.com/docs/en/about-claude/pricing</x:v>
      </x:c>
      <x:c r="C7" s="23" t="str">
        <x:v>Fable, Opus, Sonnet prices and tokenizer note</x:v>
      </x:c>
      <x:c r="D7" s="23" t="str">
        <x:v>Sonnet introductory $2/$10 used; future price excluded</x:v>
      </x:c>
    </x:row>
    <x:row r="8">
      <x:c r="A8" s="17" t="str">
        <x:v>SpaceXAI Grok 4.5 model page</x:v>
      </x:c>
      <x:c r="B8" s="23" t="str">
        <x:v>https://docs.x.ai/developers/models/grok-4.5</x:v>
      </x:c>
      <x:c r="C8" s="23" t="str">
        <x:v>Grok API $2/$6 validation price</x:v>
      </x:c>
      <x:c r="D8" s="23" t="str">
        <x:v>Not used in OpenAI/Anthropic fit</x:v>
      </x:c>
    </x:row>
    <x:row r="9">
      <x:c r="A9" s="17" t="str">
        <x:v>Grok 4.5 1.5T founder disclosure</x:v>
      </x:c>
      <x:c r="B9" s="23" t="str">
        <x:v>https://x.com/elonmusk/status/2071184354756477041</x:v>
      </x:c>
      <x:c r="C9" s="23" t="str">
        <x:v>Public first-party 1.5T V9 foundation scale</x:v>
      </x:c>
      <x:c r="D9" s="23" t="str">
        <x:v>Executive disclosure; not model-card-grade exactness</x:v>
      </x:c>
    </x:row>
    <x:row r="10">
      <x:c r="A10" s="17" t="str">
        <x:v>Kimi K3 launch</x:v>
      </x:c>
      <x:c r="B10" s="23" t="str">
        <x:v>https://www.kimi.com/blog/kimi-k3</x:v>
      </x:c>
      <x:c r="C10" s="23" t="str">
        <x:v>2.8T disclosed total and architecture</x:v>
      </x:c>
      <x:c r="D10" s="23" t="str">
        <x:v>Active parameters undisclosed</x:v>
      </x:c>
    </x:row>
    <x:row r="11">
      <x:c r="A11" s="17" t="str">
        <x:v>Artificial Analysis K3</x:v>
      </x:c>
      <x:c r="B11" s="23" t="str">
        <x:v>https://artificialanalysis.ai/models/kimi-k3</x:v>
      </x:c>
      <x:c r="C11" s="23" t="str">
        <x:v>K3 exact AA v4.1 score</x:v>
      </x:c>
      <x:c r="D11" s="23" t="str">
        <x:v>UI displays rounded 57</x:v>
      </x:c>
    </x:row>
    <x:row r="12">
      <x:c r="A12" s="17" t="str">
        <x:v>Artificial Analysis Grok 4.5</x:v>
      </x:c>
      <x:c r="B12" s="23" t="str">
        <x:v>https://artificialanalysis.ai/models/grok-4-5</x:v>
      </x:c>
      <x:c r="C12" s="23" t="str">
        <x:v>Grok AA v4.1 score and release date</x:v>
      </x:c>
      <x:c r="D12" s="23" t="str">
        <x:v>AA parameter fields remain blank</x:v>
      </x:c>
    </x:row>
    <x:row r="13">
      <x:c r="A13" s="17" t="str">
        <x:v>Supplied ECI workbook</x:v>
      </x:c>
      <x:c r="B13" s="23" t="str">
        <x:v>~/Downloads/eci_parameter_regression_workbook.xlsx</x:v>
      </x:c>
      <x:c r="C13" s="23" t="str">
        <x:v>Dated and no-date ECI cross-check</x:v>
      </x:c>
      <x:c r="D13" s="23" t="str">
        <x:v>Read-only reference</x:v>
      </x:c>
    </x:row>
    <x:row r="14">
      <x:c r="A14" s="17" t="str">
        <x:v>Prior K3-calibrated workbook</x:v>
      </x:c>
      <x:c r="B14" s="23" t="str">
        <x:v>./outputs/019f6c42-2d53-7743-ab07-6293e2618dd7/k3_calibrated_frontier_parameter_crosscheck_2026-07-17.xlsx</x:v>
      </x:c>
      <x:c r="C14" s="23" t="str">
        <x:v>Primary benchmark estimates before price smoothing</x:v>
      </x:c>
      <x:c r="D14" s="23" t="str">
        <x:v>Opus rows collapsed here; Fable treated as regular per user</x:v>
      </x:c>
    </x:row>
    <x:row r="15">
      <x:c r="A15" s="17" t="str">
        <x:v>OpenAI pricing attachment</x:v>
      </x:c>
      <x:c r="B15" s="23" t="str">
        <x:v>~/.codex/attachments/7fd90f78-7cc0-4a40-bac0-2132738152d1/pasted-text.txt</x:v>
      </x:c>
      <x:c r="C15" s="23" t="str">
        <x:v>User-provided official-doc snapshot</x:v>
      </x:c>
      <x:c r="D15" s="23" t="str">
        <x:v>Cross-checked with live official page</x:v>
      </x:c>
    </x:row>
    <x:row r="16">
      <x:c r="A16" s="18" t="str">
        <x:v>Anthropic pricing attachment</x:v>
      </x:c>
      <x:c r="B16" s="24" t="str">
        <x:v>~/.codex/attachments/d61abc72-44c9-4f25-a5d4-d08de62acff7/pasted-text.txt</x:v>
      </x:c>
      <x:c r="C16" s="24" t="str">
        <x:v>User-provided official-doc snapshot</x:v>
      </x:c>
      <x:c r="D16" s="24" t="str">
        <x:v>Cross-checked with live official page</x:v>
      </x:c>
    </x:row>
    <x:row r="19">
      <x:c r="A19" s="69" t="str">
        <x:v>Horizon and forecast evidence added in this revision</x:v>
      </x:c>
      <x:c r="B19" s="69"/>
      <x:c r="C19" s="69"/>
      <x:c r="D19" s="69"/>
    </x:row>
    <x:row r="20" ht="34" customHeight="1">
      <x:c r="A20" s="142" t="str">
        <x:v>No-CoT horizon paper</x:v>
      </x:c>
      <x:c r="B20" s="142" t="str">
        <x:v>https://arxiv.org/pdf/2606.07157</x:v>
      </x:c>
      <x:c r="C20" s="142" t="str">
        <x:v>Primary model-level horizons, CIs, scaling laws, and architecture findings</x:v>
      </x:c>
      <x:c r="D20" s="142" t="str">
        <x:v>v3 source parsed directly</x:v>
      </x:c>
    </x:row>
    <x:row r="21">
      <x:c r="A21" s="143" t="str">
        <x:v>Submitted LaTeX source</x:v>
      </x:c>
      <x:c r="B21" s="145" t="str">
        <x:v>~/Downloads/arXiv-2606.07157v3.tar.gz</x:v>
      </x:c>
      <x:c r="C21" s="145" t="str">
        <x:v>Exact extraction of all model-level paper data used here</x:v>
      </x:c>
      <x:c r="D21" s="145" t="str">
        <x:v>Local immutable input for this build</x:v>
      </x:c>
    </x:row>
    <x:row r="22">
      <x:c r="A22" s="143" t="str">
        <x:v>LessWrong paper copy</x:v>
      </x:c>
      <x:c r="B22" s="145" t="str">
        <x:v>~/.codex/attachments/0f45b0c5-4b8c-4916-b6d7-b6bc53dcc26f/pasted-text.txt</x:v>
      </x:c>
      <x:c r="C22" s="145" t="str">
        <x:v>Secondary paper text / discussion</x:v>
      </x:c>
      <x:c r="D22" s="145" t="str">
        <x:v>Primary numbers taken from LaTeX, not this copy</x:v>
      </x:c>
    </x:row>
    <x:row r="23">
      <x:c r="A23" s="143" t="str">
        <x:v>METR-Horizon-v1.1 extract</x:v>
      </x:c>
      <x:c r="B23" s="145" t="str">
        <x:v>User-supplied in Codex conversation, 2026-07-17</x:v>
      </x:c>
      <x:c r="C23" s="145" t="str">
        <x:v>128.744-day from-2023 doubling and model horizons</x:v>
      </x:c>
      <x:c r="D23" s="145" t="str">
        <x:v>Used to identify post-training leverage only</x:v>
      </x:c>
    </x:row>
    <x:row r="24">
      <x:c r="A24" s="143" t="str">
        <x:v>Ryan Greenblatt K3 assessment</x:v>
      </x:c>
      <x:c r="B24" s="145" t="str">
        <x:v>User-supplied in Codex conversation, 2026-07-17</x:v>
      </x:c>
      <x:c r="C24" s="145" t="str">
        <x:v>Corrected K3 pretrain placement and ~8-month gap</x:v>
      </x:c>
      <x:c r="D24" s="145" t="str">
        <x:v>Qualitative prior; earlier bullish view explicitly retracted</x:v>
      </x:c>
    </x:row>
    <x:row r="25">
      <x:c r="A25" s="144" t="str">
        <x:v>Human prediction registry</x:v>
      </x:c>
      <x:c r="B25" s="146" t="str">
        <x:v>./outputs/019f6c42-2d53-7743-ab07-6293e2618dd7/frontier_parameter_prediction_registry_v1.8_2026-07-17.docx</x:v>
      </x:c>
      <x:c r="C25" s="146" t="str">
        <x:v>Fable/Sol crowd sanity checks</x:v>
      </x:c>
      <x:c r="D25" s="146" t="str">
        <x:v>Unscored and likely correlated; not an independent likelihood</x:v>
      </x:c>
    </x:row>
  </x:sheetData>
  <x:mergeCells>
    <x:mergeCell ref="A1:D1"/>
    <x:mergeCell ref="A2:D3"/>
    <x:mergeCell ref="A19:D19"/>
  </x:mergeCells>
  <x:pageMargins left="0.7" right="0.7" top="0.75" bottom="0.75" header="0.3" footer="0.3"/>
  <x:tableParts count="1">
    <x:tablePart xmlns:r="http://schemas.openxmlformats.org/officeDocument/2006/relationships" r:id="R09169107c09e49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1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16" hidden="0" customWidth="1"/>
    <x:col min="12" max="12" width="16" hidden="0" customWidth="1"/>
    <x:col min="13" max="13" width="16" hidden="0" customWidth="1"/>
  </x:cols>
  <x:sheetData>
    <x:row r="1" ht="36" customHeight="1">
      <x:c r="A1" s="66" t="str">
        <x:v>No-CoT evidence — exact LaTeX extraction</x:v>
      </x:c>
      <x:c r="B1" s="66"/>
      <x:c r="C1" s="66"/>
      <x:c r="D1" s="66"/>
      <x:c r="E1" s="66"/>
      <x:c r="F1" s="66"/>
      <x:c r="G1" s="66"/>
      <x:c r="H1" s="66"/>
      <x:c r="I1" s="66"/>
      <x:c r="J1" s="66"/>
      <x:c r="K1" s="66"/>
      <x:c r="L1" s="66"/>
      <x:c r="M1" s="66"/>
    </x:row>
    <x:row r="2">
      <x:c r="A2" s="6" t="str">
        <x:v>Parsed directly from arXiv-2606.07157v3.tar.gz: all model-level evidence relevant to parameter inference — 14 proprietary models with time/token horizons and CIs, plus all 35 open-weight models with architecture, total/active parameters, layers, and point/median/CIs. No figure transcription.</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x:c r="A5" s="69" t="str">
        <x:v>Proprietary / frontier horizons — whole 32-short-answer suite</x:v>
      </x:c>
      <x:c r="B5" s="69"/>
      <x:c r="C5" s="69"/>
      <x:c r="D5" s="69"/>
      <x:c r="E5" s="69"/>
      <x:c r="F5" s="69"/>
      <x:c r="G5" s="69"/>
      <x:c r="H5" s="69"/>
      <x:c r="I5" s="69"/>
      <x:c r="J5" s="69"/>
      <x:c r="K5" s="69"/>
      <x:c r="L5" s="69"/>
      <x:c r="M5" s="69"/>
    </x:row>
    <x:row r="6" ht="34" customHeight="1">
      <x:c r="A6" s="74" t="str">
        <x:v>Model</x:v>
      </x:c>
      <x:c r="B6" s="74" t="str">
        <x:v>Release month</x:v>
      </x:c>
      <x:c r="C6" s="74" t="str">
        <x:v>Time TH (min)</x:v>
      </x:c>
      <x:c r="D6" s="74" t="str">
        <x:v>Time CI low</x:v>
      </x:c>
      <x:c r="E6" s="74" t="str">
        <x:v>Time CI high</x:v>
      </x:c>
      <x:c r="F6" s="74" t="str">
        <x:v>Time source text</x:v>
      </x:c>
      <x:c r="G6" s="74" t="str">
        <x:v>Token TH</x:v>
      </x:c>
      <x:c r="H6" s="74" t="str">
        <x:v>Token CI low</x:v>
      </x:c>
      <x:c r="I6" s="74" t="str">
        <x:v>Token CI high</x:v>
      </x:c>
      <x:c r="J6" s="74" t="str">
        <x:v>Token source text</x:v>
      </x:c>
      <x:c r="K6" s="74" t="str">
        <x:v>At floor?</x:v>
      </x:c>
      <x:c r="L6" s="74" t="str">
        <x:v>LaTeX table</x:v>
      </x:c>
    </x:row>
    <x:row r="7">
      <x:c r="A7" s="16" t="str">
        <x:v>GPT-2</x:v>
      </x:c>
      <x:c r="B7" s="75" t="n">
        <x:v>43497</x:v>
      </x:c>
      <x:c r="C7" s="19" t="n">
        <x:v>0.01</x:v>
      </x:c>
      <x:c r="D7" s="19" t="n">
        <x:v>0.01</x:v>
      </x:c>
      <x:c r="E7" s="19" t="n">
        <x:v>0.01</x:v>
      </x:c>
      <x:c r="F7" s="16" t="str">
        <x:v>&lt;0.01 [&lt;0.01, &lt;0.01]</x:v>
      </x:c>
      <x:c r="G7" s="19" t="n">
        <x:v>1</x:v>
      </x:c>
      <x:c r="H7" s="19" t="n">
        <x:v>1</x:v>
      </x:c>
      <x:c r="I7" s="19" t="n">
        <x:v>1</x:v>
      </x:c>
      <x:c r="J7" s="16" t="str">
        <x:v>&lt;1 [1, 1]</x:v>
      </x:c>
      <x:c r="K7" s="16" t="str">
        <x:v>Yes</x:v>
      </x:c>
      <x:c r="L7" s="16" t="str">
        <x:v>tab:horizons-per-model</x:v>
      </x:c>
    </x:row>
    <x:row r="8">
      <x:c r="A8" s="17" t="str">
        <x:v>GPT-3</x:v>
      </x:c>
      <x:c r="B8" s="76" t="n">
        <x:v>43952</x:v>
      </x:c>
      <x:c r="C8" s="20" t="n">
        <x:v>0.05</x:v>
      </x:c>
      <x:c r="D8" s="20" t="n">
        <x:v>0.01</x:v>
      </x:c>
      <x:c r="E8" s="20" t="n">
        <x:v>0.05</x:v>
      </x:c>
      <x:c r="F8" s="17" t="str">
        <x:v>0.05 [&lt;0.01, 0.05]</x:v>
      </x:c>
      <x:c r="G8" s="20" t="n">
        <x:v>1</x:v>
      </x:c>
      <x:c r="H8" s="20" t="n">
        <x:v>1</x:v>
      </x:c>
      <x:c r="I8" s="20" t="n">
        <x:v>8</x:v>
      </x:c>
      <x:c r="J8" s="17" t="str">
        <x:v>1 [1, 8]</x:v>
      </x:c>
      <x:c r="K8" s="17" t="str">
        <x:v>No</x:v>
      </x:c>
      <x:c r="L8" s="17" t="str">
        <x:v>tab:horizons-per-model</x:v>
      </x:c>
    </x:row>
    <x:row r="9">
      <x:c r="A9" s="17" t="str">
        <x:v>GPT-3.5</x:v>
      </x:c>
      <x:c r="B9" s="76" t="n">
        <x:v>44621</x:v>
      </x:c>
      <x:c r="C9" s="20" t="n">
        <x:v>0.29</x:v>
      </x:c>
      <x:c r="D9" s="20" t="n">
        <x:v>0.01</x:v>
      </x:c>
      <x:c r="E9" s="20" t="n">
        <x:v>0.42</x:v>
      </x:c>
      <x:c r="F9" s="17" t="str">
        <x:v>0.29 [&lt;0.01, 0.42]</x:v>
      </x:c>
      <x:c r="G9" s="20" t="n">
        <x:v>123</x:v>
      </x:c>
      <x:c r="H9" s="20" t="n">
        <x:v>71</x:v>
      </x:c>
      <x:c r="I9" s="20" t="n">
        <x:v>189</x:v>
      </x:c>
      <x:c r="J9" s="17" t="str">
        <x:v>123 [71, 189]</x:v>
      </x:c>
      <x:c r="K9" s="17" t="str">
        <x:v>No</x:v>
      </x:c>
      <x:c r="L9" s="17" t="str">
        <x:v>tab:horizons-per-model</x:v>
      </x:c>
    </x:row>
    <x:row r="10">
      <x:c r="A10" s="17" t="str">
        <x:v>GPT-4</x:v>
      </x:c>
      <x:c r="B10" s="76" t="n">
        <x:v>44986</x:v>
      </x:c>
      <x:c r="C10" s="20" t="n">
        <x:v>0.89</x:v>
      </x:c>
      <x:c r="D10" s="20" t="n">
        <x:v>0.19</x:v>
      </x:c>
      <x:c r="E10" s="20" t="n">
        <x:v>0.95</x:v>
      </x:c>
      <x:c r="F10" s="17" t="str">
        <x:v>0.89 [0.19, 0.95]</x:v>
      </x:c>
      <x:c r="G10" s="20" t="n">
        <x:v>290</x:v>
      </x:c>
      <x:c r="H10" s="20" t="n">
        <x:v>197</x:v>
      </x:c>
      <x:c r="I10" s="20" t="n">
        <x:v>457</x:v>
      </x:c>
      <x:c r="J10" s="17" t="str">
        <x:v>290 [197, 457]</x:v>
      </x:c>
      <x:c r="K10" s="17" t="str">
        <x:v>No</x:v>
      </x:c>
      <x:c r="L10" s="17" t="str">
        <x:v>tab:horizons-per-model</x:v>
      </x:c>
    </x:row>
    <x:row r="11">
      <x:c r="A11" s="17" t="str">
        <x:v>GPT-4 Turbo</x:v>
      </x:c>
      <x:c r="B11" s="76" t="n">
        <x:v>45383</x:v>
      </x:c>
      <x:c r="C11" s="20" t="n">
        <x:v>0.8</x:v>
      </x:c>
      <x:c r="D11" s="20" t="n">
        <x:v>0.06</x:v>
      </x:c>
      <x:c r="E11" s="20" t="n">
        <x:v>0.91</x:v>
      </x:c>
      <x:c r="F11" s="17" t="str">
        <x:v>0.80 [0.06, 0.91]</x:v>
      </x:c>
      <x:c r="G11" s="20" t="n">
        <x:v>401</x:v>
      </x:c>
      <x:c r="H11" s="20" t="n">
        <x:v>248</x:v>
      </x:c>
      <x:c r="I11" s="20" t="n">
        <x:v>652</x:v>
      </x:c>
      <x:c r="J11" s="17" t="str">
        <x:v>401 [248, 652]</x:v>
      </x:c>
      <x:c r="K11" s="17" t="str">
        <x:v>No</x:v>
      </x:c>
      <x:c r="L11" s="17" t="str">
        <x:v>tab:horizons-per-model</x:v>
      </x:c>
    </x:row>
    <x:row r="12">
      <x:c r="A12" s="17" t="str">
        <x:v>GPT-4o</x:v>
      </x:c>
      <x:c r="B12" s="76" t="n">
        <x:v>45413</x:v>
      </x:c>
      <x:c r="C12" s="20" t="n">
        <x:v>0.8</x:v>
      </x:c>
      <x:c r="D12" s="20" t="n">
        <x:v>0.03</x:v>
      </x:c>
      <x:c r="E12" s="20" t="n">
        <x:v>0.92</x:v>
      </x:c>
      <x:c r="F12" s="17" t="str">
        <x:v>0.80 [0.03, 0.92]</x:v>
      </x:c>
      <x:c r="G12" s="20" t="n">
        <x:v>455</x:v>
      </x:c>
      <x:c r="H12" s="20" t="n">
        <x:v>233</x:v>
      </x:c>
      <x:c r="I12" s="20" t="n">
        <x:v>851</x:v>
      </x:c>
      <x:c r="J12" s="17" t="str">
        <x:v>455 [233, 851]</x:v>
      </x:c>
      <x:c r="K12" s="17" t="str">
        <x:v>No</x:v>
      </x:c>
      <x:c r="L12" s="17" t="str">
        <x:v>tab:horizons-per-model</x:v>
      </x:c>
    </x:row>
    <x:row r="13">
      <x:c r="A13" s="17" t="str">
        <x:v>Sonnet 3.7</x:v>
      </x:c>
      <x:c r="B13" s="76" t="n">
        <x:v>45689</x:v>
      </x:c>
      <x:c r="C13" s="20" t="n">
        <x:v>1.1</x:v>
      </x:c>
      <x:c r="D13" s="20" t="n">
        <x:v>0.26</x:v>
      </x:c>
      <x:c r="E13" s="20" t="n">
        <x:v>1.3</x:v>
      </x:c>
      <x:c r="F13" s="17" t="str">
        <x:v>1.1 [0.26, 1.3]</x:v>
      </x:c>
      <x:c r="G13" s="20" t="n">
        <x:v>584</x:v>
      </x:c>
      <x:c r="H13" s="20" t="n">
        <x:v>403</x:v>
      </x:c>
      <x:c r="I13" s="20" t="n">
        <x:v>876</x:v>
      </x:c>
      <x:c r="J13" s="17" t="str">
        <x:v>584 [403, 876]</x:v>
      </x:c>
      <x:c r="K13" s="17" t="str">
        <x:v>No</x:v>
      </x:c>
      <x:c r="L13" s="17" t="str">
        <x:v>tab:horizons-per-model</x:v>
      </x:c>
    </x:row>
    <x:row r="14">
      <x:c r="A14" s="17" t="str">
        <x:v>Opus 4</x:v>
      </x:c>
      <x:c r="B14" s="76" t="n">
        <x:v>45778</x:v>
      </x:c>
      <x:c r="C14" s="20" t="n">
        <x:v>1.2</x:v>
      </x:c>
      <x:c r="D14" s="20" t="n">
        <x:v>0.34</x:v>
      </x:c>
      <x:c r="E14" s="20" t="n">
        <x:v>1.4</x:v>
      </x:c>
      <x:c r="F14" s="17" t="str">
        <x:v>1.2 [0.34, 1.4]</x:v>
      </x:c>
      <x:c r="G14" s="20" t="n">
        <x:v>612</x:v>
      </x:c>
      <x:c r="H14" s="20" t="n">
        <x:v>373</x:v>
      </x:c>
      <x:c r="I14" s="20" t="n">
        <x:v>1100</x:v>
      </x:c>
      <x:c r="J14" s="17" t="str">
        <x:v>612 [373, 1.1k]</x:v>
      </x:c>
      <x:c r="K14" s="17" t="str">
        <x:v>No</x:v>
      </x:c>
      <x:c r="L14" s="17" t="str">
        <x:v>tab:horizons-per-model</x:v>
      </x:c>
    </x:row>
    <x:row r="15">
      <x:c r="A15" s="17" t="str">
        <x:v>Opus 4.1</x:v>
      </x:c>
      <x:c r="B15" s="76" t="n">
        <x:v>45870</x:v>
      </x:c>
      <x:c r="C15" s="20" t="n">
        <x:v>1.4</x:v>
      </x:c>
      <x:c r="D15" s="20" t="n">
        <x:v>0.44</x:v>
      </x:c>
      <x:c r="E15" s="20" t="n">
        <x:v>1.7</x:v>
      </x:c>
      <x:c r="F15" s="17" t="str">
        <x:v>1.4 [0.44, 1.7]</x:v>
      </x:c>
      <x:c r="G15" s="20" t="n">
        <x:v>825</x:v>
      </x:c>
      <x:c r="H15" s="20" t="n">
        <x:v>542</x:v>
      </x:c>
      <x:c r="I15" s="20" t="n">
        <x:v>1400</x:v>
      </x:c>
      <x:c r="J15" s="17" t="str">
        <x:v>825 [542, 1.4k]</x:v>
      </x:c>
      <x:c r="K15" s="17" t="str">
        <x:v>No</x:v>
      </x:c>
      <x:c r="L15" s="17" t="str">
        <x:v>tab:horizons-per-model</x:v>
      </x:c>
    </x:row>
    <x:row r="16">
      <x:c r="A16" s="17" t="str">
        <x:v>Opus 4.5</x:v>
      </x:c>
      <x:c r="B16" s="76" t="n">
        <x:v>45962</x:v>
      </x:c>
      <x:c r="C16" s="20" t="n">
        <x:v>2.4</x:v>
      </x:c>
      <x:c r="D16" s="20" t="n">
        <x:v>0.39</x:v>
      </x:c>
      <x:c r="E16" s="20" t="n">
        <x:v>94</x:v>
      </x:c>
      <x:c r="F16" s="17" t="str">
        <x:v>2.4 [0.39, 94]</x:v>
      </x:c>
      <x:c r="G16" s="20" t="n">
        <x:v>1400</x:v>
      </x:c>
      <x:c r="H16" s="20" t="n">
        <x:v>842</x:v>
      </x:c>
      <x:c r="I16" s="20" t="n">
        <x:v>2400</x:v>
      </x:c>
      <x:c r="J16" s="17" t="str">
        <x:v>1.4k [842, 2.4k]</x:v>
      </x:c>
      <x:c r="K16" s="17" t="str">
        <x:v>No</x:v>
      </x:c>
      <x:c r="L16" s="17" t="str">
        <x:v>tab:horizons-per-model</x:v>
      </x:c>
    </x:row>
    <x:row r="17">
      <x:c r="A17" s="17" t="str">
        <x:v>Opus 4.6</x:v>
      </x:c>
      <x:c r="B17" s="76" t="n">
        <x:v>46054</x:v>
      </x:c>
      <x:c r="C17" s="20" t="n">
        <x:v>2.5</x:v>
      </x:c>
      <x:c r="D17" s="20" t="n">
        <x:v>0.55</x:v>
      </x:c>
      <x:c r="E17" s="20" t="n">
        <x:v>40</x:v>
      </x:c>
      <x:c r="F17" s="17" t="str">
        <x:v>2.5 [0.55, 40]</x:v>
      </x:c>
      <x:c r="G17" s="20" t="n">
        <x:v>1300</x:v>
      </x:c>
      <x:c r="H17" s="20" t="n">
        <x:v>780</x:v>
      </x:c>
      <x:c r="I17" s="20" t="n">
        <x:v>2200</x:v>
      </x:c>
      <x:c r="J17" s="17" t="str">
        <x:v>1.3k [780, 2.2k]</x:v>
      </x:c>
      <x:c r="K17" s="17" t="str">
        <x:v>No</x:v>
      </x:c>
      <x:c r="L17" s="17" t="str">
        <x:v>tab:horizons-per-model</x:v>
      </x:c>
    </x:row>
    <x:row r="18">
      <x:c r="A18" s="17" t="str">
        <x:v>GPT-5.4</x:v>
      </x:c>
      <x:c r="B18" s="76" t="n">
        <x:v>46082</x:v>
      </x:c>
      <x:c r="C18" s="20" t="n">
        <x:v>1.4</x:v>
      </x:c>
      <x:c r="D18" s="20" t="n">
        <x:v>0.12</x:v>
      </x:c>
      <x:c r="E18" s="20" t="n">
        <x:v>6.6</x:v>
      </x:c>
      <x:c r="F18" s="17" t="str">
        <x:v>1.4 [0.12, 6.6]</x:v>
      </x:c>
      <x:c r="G18" s="20" t="n">
        <x:v>961</x:v>
      </x:c>
      <x:c r="H18" s="20" t="n">
        <x:v>570</x:v>
      </x:c>
      <x:c r="I18" s="20" t="n">
        <x:v>1600</x:v>
      </x:c>
      <x:c r="J18" s="17" t="str">
        <x:v>961 [570, 1.6k]</x:v>
      </x:c>
      <x:c r="K18" s="17" t="str">
        <x:v>No</x:v>
      </x:c>
      <x:c r="L18" s="17" t="str">
        <x:v>tab:horizons-per-model</x:v>
      </x:c>
    </x:row>
    <x:row r="19">
      <x:c r="A19" s="17" t="str">
        <x:v>Opus 4.7</x:v>
      </x:c>
      <x:c r="B19" s="76" t="n">
        <x:v>46113</x:v>
      </x:c>
      <x:c r="C19" s="20" t="n">
        <x:v>2.8</x:v>
      </x:c>
      <x:c r="D19" s="20" t="n">
        <x:v>0.61</x:v>
      </x:c>
      <x:c r="E19" s="20" t="n">
        <x:v>73</x:v>
      </x:c>
      <x:c r="F19" s="17" t="str">
        <x:v>2.8 [0.61, 73]</x:v>
      </x:c>
      <x:c r="G19" s="20" t="n">
        <x:v>1500</x:v>
      </x:c>
      <x:c r="H19" s="20" t="n">
        <x:v>854</x:v>
      </x:c>
      <x:c r="I19" s="20" t="n">
        <x:v>2800</x:v>
      </x:c>
      <x:c r="J19" s="17" t="str">
        <x:v>1.5k [854, 2.8k]</x:v>
      </x:c>
      <x:c r="K19" s="17" t="str">
        <x:v>No</x:v>
      </x:c>
      <x:c r="L19" s="17" t="str">
        <x:v>tab:horizons-per-model</x:v>
      </x:c>
    </x:row>
    <x:row r="20">
      <x:c r="A20" s="18" t="str">
        <x:v>GPT-5.5</x:v>
      </x:c>
      <x:c r="B20" s="77" t="n">
        <x:v>46113</x:v>
      </x:c>
      <x:c r="C20" s="21" t="n">
        <x:v>3</x:v>
      </x:c>
      <x:c r="D20" s="21" t="n">
        <x:v>0.84</x:v>
      </x:c>
      <x:c r="E20" s="21" t="n">
        <x:v>62</x:v>
      </x:c>
      <x:c r="F20" s="18" t="str">
        <x:v>3.0 [0.84, 62]</x:v>
      </x:c>
      <x:c r="G20" s="21" t="n">
        <x:v>1500</x:v>
      </x:c>
      <x:c r="H20" s="21" t="n">
        <x:v>950</x:v>
      </x:c>
      <x:c r="I20" s="21" t="n">
        <x:v>2400</x:v>
      </x:c>
      <x:c r="J20" s="18" t="str">
        <x:v>1.5k [950, 2.4k]</x:v>
      </x:c>
      <x:c r="K20" s="18" t="str">
        <x:v>No</x:v>
      </x:c>
      <x:c r="L20" s="18" t="str">
        <x:v>tab:horizons-per-model</x:v>
      </x:c>
    </x:row>
    <x:row r="23">
      <x:c r="A23" s="69" t="str">
        <x:v>Open-weight horizon panel — 25-benchmark subset (not level-comparable to proprietary suite)</x:v>
      </x:c>
      <x:c r="B23" s="69"/>
      <x:c r="C23" s="69"/>
      <x:c r="D23" s="69"/>
      <x:c r="E23" s="69"/>
      <x:c r="F23" s="69"/>
      <x:c r="G23" s="69"/>
      <x:c r="H23" s="69"/>
      <x:c r="I23" s="69"/>
      <x:c r="J23" s="69"/>
      <x:c r="K23" s="69"/>
      <x:c r="L23" s="69"/>
      <x:c r="M23" s="69"/>
    </x:row>
    <x:row r="24" ht="34" customHeight="1">
      <x:c r="A24" s="74" t="str">
        <x:v>Developer</x:v>
      </x:c>
      <x:c r="B24" s="74" t="str">
        <x:v>Model</x:v>
      </x:c>
      <x:c r="C24" s="74" t="str">
        <x:v>Release month</x:v>
      </x:c>
      <x:c r="D24" s="74" t="str">
        <x:v>Total params (B)</x:v>
      </x:c>
      <x:c r="E24" s="74" t="str">
        <x:v>Active params (B)</x:v>
      </x:c>
      <x:c r="F24" s="74" t="str">
        <x:v>Layers</x:v>
      </x:c>
      <x:c r="G24" s="74" t="str">
        <x:v>Architecture</x:v>
      </x:c>
      <x:c r="H24" s="74" t="str">
        <x:v>Reasoning</x:v>
      </x:c>
      <x:c r="I24" s="74" t="str">
        <x:v>Modality</x:v>
      </x:c>
      <x:c r="J24" s="74" t="str">
        <x:v>Point TH (min)</x:v>
      </x:c>
      <x:c r="K24" s="74" t="str">
        <x:v>Bootstrap median</x:v>
      </x:c>
      <x:c r="L24" s="74" t="str">
        <x:v>CI low</x:v>
      </x:c>
      <x:c r="M24" s="74" t="str">
        <x:v>CI high</x:v>
      </x:c>
    </x:row>
    <x:row r="25">
      <x:c r="A25" s="16" t="str">
        <x:v>Llama</x:v>
      </x:c>
      <x:c r="B25" s="16" t="str">
        <x:v>Llama 3 8B Instruct</x:v>
      </x:c>
      <x:c r="C25" s="75" t="n">
        <x:v>45383</x:v>
      </x:c>
      <x:c r="D25" s="78" t="n">
        <x:v>8</x:v>
      </x:c>
      <x:c r="E25" s="78" t="n">
        <x:v>8</x:v>
      </x:c>
      <x:c r="F25" s="78" t="n">
        <x:v>32</x:v>
      </x:c>
      <x:c r="G25" s="16" t="str">
        <x:v>Dense</x:v>
      </x:c>
      <x:c r="H25" s="16" t="str">
        <x:v>Non-reasoning</x:v>
      </x:c>
      <x:c r="I25" s="16" t="str">
        <x:v>Text</x:v>
      </x:c>
      <x:c r="J25" s="19" t="n">
        <x:v>0.177</x:v>
      </x:c>
      <x:c r="K25" s="19" t="n">
        <x:v>0.075</x:v>
      </x:c>
      <x:c r="L25" s="19" t="n">
        <x:v>0</x:v>
      </x:c>
      <x:c r="M25" s="19" t="n">
        <x:v>0.344</x:v>
      </x:c>
    </x:row>
    <x:row r="26">
      <x:c r="A26" s="17" t="str">
        <x:v>Llama</x:v>
      </x:c>
      <x:c r="B26" s="17" t="str">
        <x:v>Llama 3.1 8B Instruct</x:v>
      </x:c>
      <x:c r="C26" s="76" t="n">
        <x:v>45474</x:v>
      </x:c>
      <x:c r="D26" s="79" t="n">
        <x:v>8</x:v>
      </x:c>
      <x:c r="E26" s="79" t="n">
        <x:v>8</x:v>
      </x:c>
      <x:c r="F26" s="79" t="n">
        <x:v>32</x:v>
      </x:c>
      <x:c r="G26" s="17" t="str">
        <x:v>Dense</x:v>
      </x:c>
      <x:c r="H26" s="17" t="str">
        <x:v>Non-reasoning</x:v>
      </x:c>
      <x:c r="I26" s="17" t="str">
        <x:v>Text</x:v>
      </x:c>
      <x:c r="J26" s="20" t="n">
        <x:v>0.097</x:v>
      </x:c>
      <x:c r="K26" s="20" t="n">
        <x:v>0.034</x:v>
      </x:c>
      <x:c r="L26" s="20" t="n">
        <x:v>0</x:v>
      </x:c>
      <x:c r="M26" s="20" t="n">
        <x:v>0.279</x:v>
      </x:c>
    </x:row>
    <x:row r="27">
      <x:c r="A27" s="17" t="str">
        <x:v>Llama</x:v>
      </x:c>
      <x:c r="B27" s="17" t="str">
        <x:v>Llama 3.1 70B Instruct</x:v>
      </x:c>
      <x:c r="C27" s="76" t="n">
        <x:v>45474</x:v>
      </x:c>
      <x:c r="D27" s="79" t="n">
        <x:v>70</x:v>
      </x:c>
      <x:c r="E27" s="79" t="n">
        <x:v>70</x:v>
      </x:c>
      <x:c r="F27" s="79" t="n">
        <x:v>80</x:v>
      </x:c>
      <x:c r="G27" s="17" t="str">
        <x:v>Dense</x:v>
      </x:c>
      <x:c r="H27" s="17" t="str">
        <x:v>Non-reasoning</x:v>
      </x:c>
      <x:c r="I27" s="17" t="str">
        <x:v>Text</x:v>
      </x:c>
      <x:c r="J27" s="20" t="n">
        <x:v>0.407</x:v>
      </x:c>
      <x:c r="K27" s="20" t="n">
        <x:v>0.195</x:v>
      </x:c>
      <x:c r="L27" s="20" t="n">
        <x:v>0.022</x:v>
      </x:c>
      <x:c r="M27" s="20" t="n">
        <x:v>0.762</x:v>
      </x:c>
    </x:row>
    <x:row r="28">
      <x:c r="A28" s="17" t="str">
        <x:v>Llama</x:v>
      </x:c>
      <x:c r="B28" s="17" t="str">
        <x:v>Llama 3.2 1B Instruct</x:v>
      </x:c>
      <x:c r="C28" s="76" t="n">
        <x:v>45536</x:v>
      </x:c>
      <x:c r="D28" s="79" t="n">
        <x:v>1</x:v>
      </x:c>
      <x:c r="E28" s="79" t="n">
        <x:v>1</x:v>
      </x:c>
      <x:c r="F28" s="79" t="n">
        <x:v>16</x:v>
      </x:c>
      <x:c r="G28" s="17" t="str">
        <x:v>Dense</x:v>
      </x:c>
      <x:c r="H28" s="17" t="str">
        <x:v>Non-reasoning</x:v>
      </x:c>
      <x:c r="I28" s="17" t="str">
        <x:v>Text</x:v>
      </x:c>
      <x:c r="J28" s="20" t="n">
        <x:v>0.055</x:v>
      </x:c>
      <x:c r="K28" s="20" t="n">
        <x:v>0.021</x:v>
      </x:c>
      <x:c r="L28" s="20" t="n">
        <x:v>0</x:v>
      </x:c>
      <x:c r="M28" s="20" t="n">
        <x:v>0.084</x:v>
      </x:c>
    </x:row>
    <x:row r="29">
      <x:c r="A29" s="17" t="str">
        <x:v>Llama</x:v>
      </x:c>
      <x:c r="B29" s="17" t="str">
        <x:v>Llama 3.2 3B Instruct</x:v>
      </x:c>
      <x:c r="C29" s="76" t="n">
        <x:v>45536</x:v>
      </x:c>
      <x:c r="D29" s="79" t="n">
        <x:v>3</x:v>
      </x:c>
      <x:c r="E29" s="79" t="n">
        <x:v>3</x:v>
      </x:c>
      <x:c r="F29" s="79" t="n">
        <x:v>28</x:v>
      </x:c>
      <x:c r="G29" s="17" t="str">
        <x:v>Dense</x:v>
      </x:c>
      <x:c r="H29" s="17" t="str">
        <x:v>Non-reasoning</x:v>
      </x:c>
      <x:c r="I29" s="17" t="str">
        <x:v>Text</x:v>
      </x:c>
      <x:c r="J29" s="20" t="n">
        <x:v>0.146</x:v>
      </x:c>
      <x:c r="K29" s="20" t="n">
        <x:v>0.06</x:v>
      </x:c>
      <x:c r="L29" s="20" t="n">
        <x:v>0</x:v>
      </x:c>
      <x:c r="M29" s="20" t="n">
        <x:v>0.297</x:v>
      </x:c>
    </x:row>
    <x:row r="30">
      <x:c r="A30" s="17" t="str">
        <x:v>Llama</x:v>
      </x:c>
      <x:c r="B30" s="17" t="str">
        <x:v>Llama 3.3 70B Instruct</x:v>
      </x:c>
      <x:c r="C30" s="76" t="n">
        <x:v>45627</x:v>
      </x:c>
      <x:c r="D30" s="79" t="n">
        <x:v>70</x:v>
      </x:c>
      <x:c r="E30" s="79" t="n">
        <x:v>70</x:v>
      </x:c>
      <x:c r="F30" s="79" t="n">
        <x:v>80</x:v>
      </x:c>
      <x:c r="G30" s="17" t="str">
        <x:v>Dense</x:v>
      </x:c>
      <x:c r="H30" s="17" t="str">
        <x:v>Non-reasoning</x:v>
      </x:c>
      <x:c r="I30" s="17" t="str">
        <x:v>Text</x:v>
      </x:c>
      <x:c r="J30" s="20" t="n">
        <x:v>0.513</x:v>
      </x:c>
      <x:c r="K30" s="20" t="n">
        <x:v>0.263</x:v>
      </x:c>
      <x:c r="L30" s="20" t="n">
        <x:v>0.012</x:v>
      </x:c>
      <x:c r="M30" s="20" t="n">
        <x:v>0.861</x:v>
      </x:c>
    </x:row>
    <x:row r="31">
      <x:c r="A31" s="17" t="str">
        <x:v>Llama</x:v>
      </x:c>
      <x:c r="B31" s="17" t="str">
        <x:v>Llama 4 Scout</x:v>
      </x:c>
      <x:c r="C31" s="76" t="n">
        <x:v>45748</x:v>
      </x:c>
      <x:c r="D31" s="79" t="n">
        <x:v>109</x:v>
      </x:c>
      <x:c r="E31" s="79" t="n">
        <x:v>17</x:v>
      </x:c>
      <x:c r="F31" s="79" t="n">
        <x:v>48</x:v>
      </x:c>
      <x:c r="G31" s="17" t="str">
        <x:v>MoE</x:v>
      </x:c>
      <x:c r="H31" s="17" t="str">
        <x:v>Non-reasoning</x:v>
      </x:c>
      <x:c r="I31" s="17" t="str">
        <x:v>VL</x:v>
      </x:c>
      <x:c r="J31" s="20" t="n">
        <x:v>0.102</x:v>
      </x:c>
      <x:c r="K31" s="20" t="n">
        <x:v>0.037</x:v>
      </x:c>
      <x:c r="L31" s="20" t="n">
        <x:v>0.001</x:v>
      </x:c>
      <x:c r="M31" s="20" t="n">
        <x:v>0.231</x:v>
      </x:c>
    </x:row>
    <x:row r="32">
      <x:c r="A32" s="17" t="str">
        <x:v>Llama</x:v>
      </x:c>
      <x:c r="B32" s="17" t="str">
        <x:v>Llama 4 Maverick</x:v>
      </x:c>
      <x:c r="C32" s="76" t="n">
        <x:v>45748</x:v>
      </x:c>
      <x:c r="D32" s="79" t="n">
        <x:v>400</x:v>
      </x:c>
      <x:c r="E32" s="79" t="n">
        <x:v>17</x:v>
      </x:c>
      <x:c r="F32" s="79" t="n">
        <x:v>48</x:v>
      </x:c>
      <x:c r="G32" s="17" t="str">
        <x:v>MoE</x:v>
      </x:c>
      <x:c r="H32" s="17" t="str">
        <x:v>Non-reasoning</x:v>
      </x:c>
      <x:c r="I32" s="17" t="str">
        <x:v>VL</x:v>
      </x:c>
      <x:c r="J32" s="20" t="n">
        <x:v>0.391</x:v>
      </x:c>
      <x:c r="K32" s="20" t="n">
        <x:v>0.19</x:v>
      </x:c>
      <x:c r="L32" s="20" t="n">
        <x:v>0.004</x:v>
      </x:c>
      <x:c r="M32" s="20" t="n">
        <x:v>0.732</x:v>
      </x:c>
    </x:row>
    <x:row r="33">
      <x:c r="A33" s="17" t="str">
        <x:v>Mistral</x:v>
      </x:c>
      <x:c r="B33" s="17" t="str">
        <x:v>Mistral Nemo 12B</x:v>
      </x:c>
      <x:c r="C33" s="76" t="n">
        <x:v>45474</x:v>
      </x:c>
      <x:c r="D33" s="79" t="n">
        <x:v>12</x:v>
      </x:c>
      <x:c r="E33" s="79" t="n">
        <x:v>12</x:v>
      </x:c>
      <x:c r="F33" s="79" t="n">
        <x:v>40</x:v>
      </x:c>
      <x:c r="G33" s="17" t="str">
        <x:v>Dense</x:v>
      </x:c>
      <x:c r="H33" s="17" t="str">
        <x:v>Non-reasoning</x:v>
      </x:c>
      <x:c r="I33" s="17" t="str">
        <x:v>Text</x:v>
      </x:c>
      <x:c r="J33" s="20" t="n">
        <x:v>0.126</x:v>
      </x:c>
      <x:c r="K33" s="20" t="n">
        <x:v>0.048</x:v>
      </x:c>
      <x:c r="L33" s="20" t="n">
        <x:v>0.002</x:v>
      </x:c>
      <x:c r="M33" s="20" t="n">
        <x:v>0.3</x:v>
      </x:c>
    </x:row>
    <x:row r="34">
      <x:c r="A34" s="17" t="str">
        <x:v>Mistral</x:v>
      </x:c>
      <x:c r="B34" s="17" t="str">
        <x:v>Ministral 3 3B</x:v>
      </x:c>
      <x:c r="C34" s="76" t="n">
        <x:v>45992</x:v>
      </x:c>
      <x:c r="D34" s="79" t="n">
        <x:v>3</x:v>
      </x:c>
      <x:c r="E34" s="79" t="n">
        <x:v>3</x:v>
      </x:c>
      <x:c r="F34" s="79" t="n">
        <x:v>26</x:v>
      </x:c>
      <x:c r="G34" s="17" t="str">
        <x:v>Dense</x:v>
      </x:c>
      <x:c r="H34" s="17" t="str">
        <x:v>Non-reasoning</x:v>
      </x:c>
      <x:c r="I34" s="17" t="str">
        <x:v>VL</x:v>
      </x:c>
      <x:c r="J34" s="20" t="n">
        <x:v>0.096</x:v>
      </x:c>
      <x:c r="K34" s="20" t="n">
        <x:v>0.036</x:v>
      </x:c>
      <x:c r="L34" s="20" t="n">
        <x:v>0</x:v>
      </x:c>
      <x:c r="M34" s="20" t="n">
        <x:v>0.194</x:v>
      </x:c>
    </x:row>
    <x:row r="35">
      <x:c r="A35" s="17" t="str">
        <x:v>Mistral</x:v>
      </x:c>
      <x:c r="B35" s="17" t="str">
        <x:v>Ministral 3 8B</x:v>
      </x:c>
      <x:c r="C35" s="76" t="n">
        <x:v>45992</x:v>
      </x:c>
      <x:c r="D35" s="79" t="n">
        <x:v>8</x:v>
      </x:c>
      <x:c r="E35" s="79" t="n">
        <x:v>8</x:v>
      </x:c>
      <x:c r="F35" s="79" t="n">
        <x:v>32</x:v>
      </x:c>
      <x:c r="G35" s="17" t="str">
        <x:v>Dense</x:v>
      </x:c>
      <x:c r="H35" s="17" t="str">
        <x:v>Non-reasoning</x:v>
      </x:c>
      <x:c r="I35" s="17" t="str">
        <x:v>VL</x:v>
      </x:c>
      <x:c r="J35" s="20" t="n">
        <x:v>0.282</x:v>
      </x:c>
      <x:c r="K35" s="20" t="n">
        <x:v>0.132</x:v>
      </x:c>
      <x:c r="L35" s="20" t="n">
        <x:v>0.002</x:v>
      </x:c>
      <x:c r="M35" s="20" t="n">
        <x:v>0.482</x:v>
      </x:c>
    </x:row>
    <x:row r="36">
      <x:c r="A36" s="17" t="str">
        <x:v>Mistral</x:v>
      </x:c>
      <x:c r="B36" s="17" t="str">
        <x:v>Ministral 3 14B</x:v>
      </x:c>
      <x:c r="C36" s="76" t="n">
        <x:v>45992</x:v>
      </x:c>
      <x:c r="D36" s="79" t="n">
        <x:v>14</x:v>
      </x:c>
      <x:c r="E36" s="79" t="n">
        <x:v>14</x:v>
      </x:c>
      <x:c r="F36" s="79" t="n">
        <x:v>40</x:v>
      </x:c>
      <x:c r="G36" s="17" t="str">
        <x:v>Dense</x:v>
      </x:c>
      <x:c r="H36" s="17" t="str">
        <x:v>Non-reasoning</x:v>
      </x:c>
      <x:c r="I36" s="17" t="str">
        <x:v>VL</x:v>
      </x:c>
      <x:c r="J36" s="20" t="n">
        <x:v>0.367</x:v>
      </x:c>
      <x:c r="K36" s="20" t="n">
        <x:v>0.178</x:v>
      </x:c>
      <x:c r="L36" s="20" t="n">
        <x:v>0.004</x:v>
      </x:c>
      <x:c r="M36" s="20" t="n">
        <x:v>0.625</x:v>
      </x:c>
    </x:row>
    <x:row r="37">
      <x:c r="A37" s="17" t="str">
        <x:v>Qwen</x:v>
      </x:c>
      <x:c r="B37" s="17" t="str">
        <x:v>Qwen 3 8B</x:v>
      </x:c>
      <x:c r="C37" s="76" t="n">
        <x:v>45748</x:v>
      </x:c>
      <x:c r="D37" s="79" t="n">
        <x:v>8</x:v>
      </x:c>
      <x:c r="E37" s="79" t="n">
        <x:v>8</x:v>
      </x:c>
      <x:c r="F37" s="79" t="n">
        <x:v>36</x:v>
      </x:c>
      <x:c r="G37" s="17" t="str">
        <x:v>Dense</x:v>
      </x:c>
      <x:c r="H37" s="17" t="str">
        <x:v>Hybrid-reasoning</x:v>
      </x:c>
      <x:c r="I37" s="17" t="str">
        <x:v>Text</x:v>
      </x:c>
      <x:c r="J37" s="20" t="n">
        <x:v>0.23</x:v>
      </x:c>
      <x:c r="K37" s="20" t="n">
        <x:v>0.101</x:v>
      </x:c>
      <x:c r="L37" s="20" t="n">
        <x:v>0.001</x:v>
      </x:c>
      <x:c r="M37" s="20" t="n">
        <x:v>0.377</x:v>
      </x:c>
    </x:row>
    <x:row r="38">
      <x:c r="A38" s="17" t="str">
        <x:v>Qwen</x:v>
      </x:c>
      <x:c r="B38" s="17" t="str">
        <x:v>Qwen 3 14B</x:v>
      </x:c>
      <x:c r="C38" s="76" t="n">
        <x:v>45748</x:v>
      </x:c>
      <x:c r="D38" s="79" t="n">
        <x:v>14</x:v>
      </x:c>
      <x:c r="E38" s="79" t="n">
        <x:v>14</x:v>
      </x:c>
      <x:c r="F38" s="79" t="n">
        <x:v>40</x:v>
      </x:c>
      <x:c r="G38" s="17" t="str">
        <x:v>Dense</x:v>
      </x:c>
      <x:c r="H38" s="17" t="str">
        <x:v>Hybrid-reasoning</x:v>
      </x:c>
      <x:c r="I38" s="17" t="str">
        <x:v>Text</x:v>
      </x:c>
      <x:c r="J38" s="20" t="n">
        <x:v>0.258</x:v>
      </x:c>
      <x:c r="K38" s="20" t="n">
        <x:v>0.117</x:v>
      </x:c>
      <x:c r="L38" s="20" t="n">
        <x:v>0.005</x:v>
      </x:c>
      <x:c r="M38" s="20" t="n">
        <x:v>0.436</x:v>
      </x:c>
    </x:row>
    <x:row r="39">
      <x:c r="A39" s="17" t="str">
        <x:v>Qwen</x:v>
      </x:c>
      <x:c r="B39" s="17" t="str">
        <x:v>Qwen 3 32B</x:v>
      </x:c>
      <x:c r="C39" s="76" t="n">
        <x:v>45748</x:v>
      </x:c>
      <x:c r="D39" s="79" t="n">
        <x:v>32</x:v>
      </x:c>
      <x:c r="E39" s="79" t="n">
        <x:v>32</x:v>
      </x:c>
      <x:c r="F39" s="79" t="n">
        <x:v>64</x:v>
      </x:c>
      <x:c r="G39" s="17" t="str">
        <x:v>Dense</x:v>
      </x:c>
      <x:c r="H39" s="17" t="str">
        <x:v>Hybrid-reasoning</x:v>
      </x:c>
      <x:c r="I39" s="17" t="str">
        <x:v>Text</x:v>
      </x:c>
      <x:c r="J39" s="20" t="n">
        <x:v>0.346</x:v>
      </x:c>
      <x:c r="K39" s="20" t="n">
        <x:v>0.164</x:v>
      </x:c>
      <x:c r="L39" s="20" t="n">
        <x:v>0.013</x:v>
      </x:c>
      <x:c r="M39" s="20" t="n">
        <x:v>0.531</x:v>
      </x:c>
    </x:row>
    <x:row r="40">
      <x:c r="A40" s="17" t="str">
        <x:v>Qwen</x:v>
      </x:c>
      <x:c r="B40" s="17" t="str">
        <x:v>Qwen 3 30B-A3B (2507)</x:v>
      </x:c>
      <x:c r="C40" s="76" t="n">
        <x:v>45839</x:v>
      </x:c>
      <x:c r="D40" s="79" t="n">
        <x:v>30</x:v>
      </x:c>
      <x:c r="E40" s="79" t="n">
        <x:v>3</x:v>
      </x:c>
      <x:c r="F40" s="79" t="n">
        <x:v>48</x:v>
      </x:c>
      <x:c r="G40" s="17" t="str">
        <x:v>MoE</x:v>
      </x:c>
      <x:c r="H40" s="17" t="str">
        <x:v>Non-reasoning</x:v>
      </x:c>
      <x:c r="I40" s="17" t="str">
        <x:v>Text</x:v>
      </x:c>
      <x:c r="J40" s="20" t="n">
        <x:v>0.384</x:v>
      </x:c>
      <x:c r="K40" s="20" t="n">
        <x:v>0.186</x:v>
      </x:c>
      <x:c r="L40" s="20" t="n">
        <x:v>0.006</x:v>
      </x:c>
      <x:c r="M40" s="20" t="n">
        <x:v>0.663</x:v>
      </x:c>
    </x:row>
    <x:row r="41">
      <x:c r="A41" s="17" t="str">
        <x:v>Qwen</x:v>
      </x:c>
      <x:c r="B41" s="17" t="str">
        <x:v>Qwen 3 235B-A22B (2507)</x:v>
      </x:c>
      <x:c r="C41" s="76" t="n">
        <x:v>45839</x:v>
      </x:c>
      <x:c r="D41" s="79" t="n">
        <x:v>235</x:v>
      </x:c>
      <x:c r="E41" s="79" t="n">
        <x:v>22</x:v>
      </x:c>
      <x:c r="F41" s="79" t="n">
        <x:v>94</x:v>
      </x:c>
      <x:c r="G41" s="17" t="str">
        <x:v>MoE</x:v>
      </x:c>
      <x:c r="H41" s="17" t="str">
        <x:v>Non-reasoning</x:v>
      </x:c>
      <x:c r="I41" s="17" t="str">
        <x:v>Text</x:v>
      </x:c>
      <x:c r="J41" s="20" t="n">
        <x:v>0.988</x:v>
      </x:c>
      <x:c r="K41" s="20" t="n">
        <x:v>0.612</x:v>
      </x:c>
      <x:c r="L41" s="20" t="n">
        <x:v>0.132</x:v>
      </x:c>
      <x:c r="M41" s="20" t="n">
        <x:v>1.43</x:v>
      </x:c>
    </x:row>
    <x:row r="42">
      <x:c r="A42" s="17" t="str">
        <x:v>Qwen</x:v>
      </x:c>
      <x:c r="B42" s="17" t="str">
        <x:v>Qwen 3-Next 80B-A3B</x:v>
      </x:c>
      <x:c r="C42" s="76" t="n">
        <x:v>45901</x:v>
      </x:c>
      <x:c r="D42" s="79" t="n">
        <x:v>80</x:v>
      </x:c>
      <x:c r="E42" s="79" t="n">
        <x:v>3</x:v>
      </x:c>
      <x:c r="F42" s="79" t="n">
        <x:v>48</x:v>
      </x:c>
      <x:c r="G42" s="17" t="str">
        <x:v>MoE</x:v>
      </x:c>
      <x:c r="H42" s="17" t="str">
        <x:v>Non-reasoning</x:v>
      </x:c>
      <x:c r="I42" s="17" t="str">
        <x:v>Text</x:v>
      </x:c>
      <x:c r="J42" s="20" t="n">
        <x:v>0.702</x:v>
      </x:c>
      <x:c r="K42" s="20" t="n">
        <x:v>0.405</x:v>
      </x:c>
      <x:c r="L42" s="20" t="n">
        <x:v>0.04</x:v>
      </x:c>
      <x:c r="M42" s="20" t="n">
        <x:v>1.137</x:v>
      </x:c>
    </x:row>
    <x:row r="43">
      <x:c r="A43" s="17" t="str">
        <x:v>Qwen</x:v>
      </x:c>
      <x:c r="B43" s="17" t="str">
        <x:v>Qwen 3.5 9B</x:v>
      </x:c>
      <x:c r="C43" s="76" t="n">
        <x:v>46054</x:v>
      </x:c>
      <x:c r="D43" s="79" t="n">
        <x:v>9</x:v>
      </x:c>
      <x:c r="E43" s="79" t="n">
        <x:v>9</x:v>
      </x:c>
      <x:c r="F43" s="79" t="n">
        <x:v>32</x:v>
      </x:c>
      <x:c r="G43" s="17" t="str">
        <x:v>Dense</x:v>
      </x:c>
      <x:c r="H43" s="17" t="str">
        <x:v>Hybrid-reasoning</x:v>
      </x:c>
      <x:c r="I43" s="17" t="str">
        <x:v>VL</x:v>
      </x:c>
      <x:c r="J43" s="20" t="n">
        <x:v>0.345</x:v>
      </x:c>
      <x:c r="K43" s="20" t="n">
        <x:v>0.171</x:v>
      </x:c>
      <x:c r="L43" s="20" t="n">
        <x:v>0.009</x:v>
      </x:c>
      <x:c r="M43" s="20" t="n">
        <x:v>0.559</x:v>
      </x:c>
    </x:row>
    <x:row r="44">
      <x:c r="A44" s="17" t="str">
        <x:v>Qwen</x:v>
      </x:c>
      <x:c r="B44" s="17" t="str">
        <x:v>Qwen 3.5 27B</x:v>
      </x:c>
      <x:c r="C44" s="76" t="n">
        <x:v>46054</x:v>
      </x:c>
      <x:c r="D44" s="79" t="n">
        <x:v>27</x:v>
      </x:c>
      <x:c r="E44" s="79" t="n">
        <x:v>27</x:v>
      </x:c>
      <x:c r="F44" s="79" t="n">
        <x:v>64</x:v>
      </x:c>
      <x:c r="G44" s="17" t="str">
        <x:v>Dense</x:v>
      </x:c>
      <x:c r="H44" s="17" t="str">
        <x:v>Hybrid-reasoning</x:v>
      </x:c>
      <x:c r="I44" s="17" t="str">
        <x:v>VL</x:v>
      </x:c>
      <x:c r="J44" s="20" t="n">
        <x:v>0.192</x:v>
      </x:c>
      <x:c r="K44" s="20" t="n">
        <x:v>0.088</x:v>
      </x:c>
      <x:c r="L44" s="20" t="n">
        <x:v>0.002</x:v>
      </x:c>
      <x:c r="M44" s="20" t="n">
        <x:v>0.346</x:v>
      </x:c>
    </x:row>
    <x:row r="45">
      <x:c r="A45" s="17" t="str">
        <x:v>Qwen</x:v>
      </x:c>
      <x:c r="B45" s="17" t="str">
        <x:v>Qwen 3.5 35B-A3B</x:v>
      </x:c>
      <x:c r="C45" s="76" t="n">
        <x:v>46054</x:v>
      </x:c>
      <x:c r="D45" s="79" t="n">
        <x:v>35</x:v>
      </x:c>
      <x:c r="E45" s="79" t="n">
        <x:v>3</x:v>
      </x:c>
      <x:c r="F45" s="79" t="n">
        <x:v>40</x:v>
      </x:c>
      <x:c r="G45" s="17" t="str">
        <x:v>MoE</x:v>
      </x:c>
      <x:c r="H45" s="17" t="str">
        <x:v>Hybrid-reasoning</x:v>
      </x:c>
      <x:c r="I45" s="17" t="str">
        <x:v>VL</x:v>
      </x:c>
      <x:c r="J45" s="20" t="n">
        <x:v>0.406</x:v>
      </x:c>
      <x:c r="K45" s="20" t="n">
        <x:v>0.209</x:v>
      </x:c>
      <x:c r="L45" s="20" t="n">
        <x:v>0.016</x:v>
      </x:c>
      <x:c r="M45" s="20" t="n">
        <x:v>0.645</x:v>
      </x:c>
    </x:row>
    <x:row r="46">
      <x:c r="A46" s="17" t="str">
        <x:v>Qwen</x:v>
      </x:c>
      <x:c r="B46" s="17" t="str">
        <x:v>Qwen 3.5 122B-A10B</x:v>
      </x:c>
      <x:c r="C46" s="76" t="n">
        <x:v>46054</x:v>
      </x:c>
      <x:c r="D46" s="79" t="n">
        <x:v>122</x:v>
      </x:c>
      <x:c r="E46" s="79" t="n">
        <x:v>10</x:v>
      </x:c>
      <x:c r="F46" s="79" t="n">
        <x:v>48</x:v>
      </x:c>
      <x:c r="G46" s="17" t="str">
        <x:v>MoE</x:v>
      </x:c>
      <x:c r="H46" s="17" t="str">
        <x:v>Hybrid-reasoning</x:v>
      </x:c>
      <x:c r="I46" s="17" t="str">
        <x:v>VL</x:v>
      </x:c>
      <x:c r="J46" s="20" t="n">
        <x:v>0.636</x:v>
      </x:c>
      <x:c r="K46" s="20" t="n">
        <x:v>0.334</x:v>
      </x:c>
      <x:c r="L46" s="20" t="n">
        <x:v>0.068</x:v>
      </x:c>
      <x:c r="M46" s="20" t="n">
        <x:v>0.856</x:v>
      </x:c>
    </x:row>
    <x:row r="47">
      <x:c r="A47" s="17" t="str">
        <x:v>Qwen</x:v>
      </x:c>
      <x:c r="B47" s="17" t="str">
        <x:v>Qwen 3.5 397B-A17B</x:v>
      </x:c>
      <x:c r="C47" s="76" t="n">
        <x:v>46054</x:v>
      </x:c>
      <x:c r="D47" s="79" t="n">
        <x:v>397</x:v>
      </x:c>
      <x:c r="E47" s="79" t="n">
        <x:v>17</x:v>
      </x:c>
      <x:c r="F47" s="79" t="n">
        <x:v>60</x:v>
      </x:c>
      <x:c r="G47" s="17" t="str">
        <x:v>MoE</x:v>
      </x:c>
      <x:c r="H47" s="17" t="str">
        <x:v>Hybrid-reasoning</x:v>
      </x:c>
      <x:c r="I47" s="17" t="str">
        <x:v>VL</x:v>
      </x:c>
      <x:c r="J47" s="20" t="n">
        <x:v>1.085</x:v>
      </x:c>
      <x:c r="K47" s="20" t="n">
        <x:v>0.705</x:v>
      </x:c>
      <x:c r="L47" s="20" t="n">
        <x:v>0.183</x:v>
      </x:c>
      <x:c r="M47" s="20" t="n">
        <x:v>1.677</x:v>
      </x:c>
    </x:row>
    <x:row r="48">
      <x:c r="A48" s="17" t="str">
        <x:v>Gemma</x:v>
      </x:c>
      <x:c r="B48" s="17" t="str">
        <x:v>Gemma 3 4B IT</x:v>
      </x:c>
      <x:c r="C48" s="76" t="n">
        <x:v>45717</x:v>
      </x:c>
      <x:c r="D48" s="79" t="n">
        <x:v>4</x:v>
      </x:c>
      <x:c r="E48" s="79" t="n">
        <x:v>4</x:v>
      </x:c>
      <x:c r="F48" s="79" t="n">
        <x:v>34</x:v>
      </x:c>
      <x:c r="G48" s="17" t="str">
        <x:v>Dense</x:v>
      </x:c>
      <x:c r="H48" s="17" t="str">
        <x:v>Non-reasoning</x:v>
      </x:c>
      <x:c r="I48" s="17" t="str">
        <x:v>VL</x:v>
      </x:c>
      <x:c r="J48" s="20" t="n">
        <x:v>0.154</x:v>
      </x:c>
      <x:c r="K48" s="20" t="n">
        <x:v>0.063</x:v>
      </x:c>
      <x:c r="L48" s="20" t="n">
        <x:v>0</x:v>
      </x:c>
      <x:c r="M48" s="20" t="n">
        <x:v>0.305</x:v>
      </x:c>
    </x:row>
    <x:row r="49">
      <x:c r="A49" s="17" t="str">
        <x:v>Gemma</x:v>
      </x:c>
      <x:c r="B49" s="17" t="str">
        <x:v>Gemma 3 12B IT</x:v>
      </x:c>
      <x:c r="C49" s="76" t="n">
        <x:v>45717</x:v>
      </x:c>
      <x:c r="D49" s="79" t="n">
        <x:v>12</x:v>
      </x:c>
      <x:c r="E49" s="79" t="n">
        <x:v>12</x:v>
      </x:c>
      <x:c r="F49" s="79" t="n">
        <x:v>48</x:v>
      </x:c>
      <x:c r="G49" s="17" t="str">
        <x:v>Dense</x:v>
      </x:c>
      <x:c r="H49" s="17" t="str">
        <x:v>Non-reasoning</x:v>
      </x:c>
      <x:c r="I49" s="17" t="str">
        <x:v>VL</x:v>
      </x:c>
      <x:c r="J49" s="20" t="n">
        <x:v>0.322</x:v>
      </x:c>
      <x:c r="K49" s="20" t="n">
        <x:v>0.15</x:v>
      </x:c>
      <x:c r="L49" s="20" t="n">
        <x:v>0.006</x:v>
      </x:c>
      <x:c r="M49" s="20" t="n">
        <x:v>0.52</x:v>
      </x:c>
    </x:row>
    <x:row r="50">
      <x:c r="A50" s="17" t="str">
        <x:v>Gemma</x:v>
      </x:c>
      <x:c r="B50" s="17" t="str">
        <x:v>Gemma 3 27B IT</x:v>
      </x:c>
      <x:c r="C50" s="76" t="n">
        <x:v>45717</x:v>
      </x:c>
      <x:c r="D50" s="79" t="n">
        <x:v>27</x:v>
      </x:c>
      <x:c r="E50" s="79" t="n">
        <x:v>27</x:v>
      </x:c>
      <x:c r="F50" s="79" t="n">
        <x:v>62</x:v>
      </x:c>
      <x:c r="G50" s="17" t="str">
        <x:v>Dense</x:v>
      </x:c>
      <x:c r="H50" s="17" t="str">
        <x:v>Non-reasoning</x:v>
      </x:c>
      <x:c r="I50" s="17" t="str">
        <x:v>VL</x:v>
      </x:c>
      <x:c r="J50" s="20" t="n">
        <x:v>0.512</x:v>
      </x:c>
      <x:c r="K50" s="20" t="n">
        <x:v>0.264</x:v>
      </x:c>
      <x:c r="L50" s="20" t="n">
        <x:v>0.025</x:v>
      </x:c>
      <x:c r="M50" s="20" t="n">
        <x:v>0.761</x:v>
      </x:c>
    </x:row>
    <x:row r="51">
      <x:c r="A51" s="17" t="str">
        <x:v>Gemma</x:v>
      </x:c>
      <x:c r="B51" s="17" t="str">
        <x:v>Gemma 4 26B-A4B</x:v>
      </x:c>
      <x:c r="C51" s="76" t="n">
        <x:v>46113</x:v>
      </x:c>
      <x:c r="D51" s="79" t="n">
        <x:v>26</x:v>
      </x:c>
      <x:c r="E51" s="79" t="n">
        <x:v>4</x:v>
      </x:c>
      <x:c r="F51" s="79" t="n">
        <x:v>60</x:v>
      </x:c>
      <x:c r="G51" s="17" t="str">
        <x:v>MoE</x:v>
      </x:c>
      <x:c r="H51" s="17" t="str">
        <x:v>Hybrid-reasoning</x:v>
      </x:c>
      <x:c r="I51" s="17" t="str">
        <x:v>VL</x:v>
      </x:c>
      <x:c r="J51" s="20" t="n">
        <x:v>0.449</x:v>
      </x:c>
      <x:c r="K51" s="20" t="n">
        <x:v>0.231</x:v>
      </x:c>
      <x:c r="L51" s="20" t="n">
        <x:v>0.021</x:v>
      </x:c>
      <x:c r="M51" s="20" t="n">
        <x:v>0.747</x:v>
      </x:c>
    </x:row>
    <x:row r="52">
      <x:c r="A52" s="17" t="str">
        <x:v>Gemma</x:v>
      </x:c>
      <x:c r="B52" s="17" t="str">
        <x:v>Gemma 4 31B</x:v>
      </x:c>
      <x:c r="C52" s="76" t="n">
        <x:v>46113</x:v>
      </x:c>
      <x:c r="D52" s="79" t="n">
        <x:v>31</x:v>
      </x:c>
      <x:c r="E52" s="79" t="n">
        <x:v>31</x:v>
      </x:c>
      <x:c r="F52" s="79" t="n">
        <x:v>60</x:v>
      </x:c>
      <x:c r="G52" s="17" t="str">
        <x:v>Dense</x:v>
      </x:c>
      <x:c r="H52" s="17" t="str">
        <x:v>Hybrid-reasoning</x:v>
      </x:c>
      <x:c r="I52" s="17" t="str">
        <x:v>VL</x:v>
      </x:c>
      <x:c r="J52" s="20" t="n">
        <x:v>1.054</x:v>
      </x:c>
      <x:c r="K52" s="20" t="n">
        <x:v>0.688</x:v>
      </x:c>
      <x:c r="L52" s="20" t="n">
        <x:v>0.245</x:v>
      </x:c>
      <x:c r="M52" s="20" t="n">
        <x:v>1.416</x:v>
      </x:c>
    </x:row>
    <x:row r="53">
      <x:c r="A53" s="17" t="str">
        <x:v>DeepSeek</x:v>
      </x:c>
      <x:c r="B53" s="17" t="str">
        <x:v>DeepSeek V3 (0324)</x:v>
      </x:c>
      <x:c r="C53" s="76" t="n">
        <x:v>45717</x:v>
      </x:c>
      <x:c r="D53" s="79" t="n">
        <x:v>671</x:v>
      </x:c>
      <x:c r="E53" s="79" t="n">
        <x:v>37</x:v>
      </x:c>
      <x:c r="F53" s="79" t="n">
        <x:v>61</x:v>
      </x:c>
      <x:c r="G53" s="17" t="str">
        <x:v>MoE</x:v>
      </x:c>
      <x:c r="H53" s="17" t="str">
        <x:v>Non-reasoning</x:v>
      </x:c>
      <x:c r="I53" s="17" t="str">
        <x:v>Text</x:v>
      </x:c>
      <x:c r="J53" s="20" t="n">
        <x:v>0.746</x:v>
      </x:c>
      <x:c r="K53" s="20" t="n">
        <x:v>0.429</x:v>
      </x:c>
      <x:c r="L53" s="20" t="n">
        <x:v>0.08</x:v>
      </x:c>
      <x:c r="M53" s="20" t="n">
        <x:v>1.064</x:v>
      </x:c>
    </x:row>
    <x:row r="54">
      <x:c r="A54" s="17" t="str">
        <x:v>DeepSeek</x:v>
      </x:c>
      <x:c r="B54" s="17" t="str">
        <x:v>DeepSeek V3.1-terminus</x:v>
      </x:c>
      <x:c r="C54" s="76" t="n">
        <x:v>45901</x:v>
      </x:c>
      <x:c r="D54" s="79" t="n">
        <x:v>671</x:v>
      </x:c>
      <x:c r="E54" s="79" t="n">
        <x:v>37</x:v>
      </x:c>
      <x:c r="F54" s="79" t="n">
        <x:v>61</x:v>
      </x:c>
      <x:c r="G54" s="17" t="str">
        <x:v>MoE</x:v>
      </x:c>
      <x:c r="H54" s="17" t="str">
        <x:v>Hybrid-reasoning</x:v>
      </x:c>
      <x:c r="I54" s="17" t="str">
        <x:v>Text</x:v>
      </x:c>
      <x:c r="J54" s="20" t="n">
        <x:v>0.954</x:v>
      </x:c>
      <x:c r="K54" s="20" t="n">
        <x:v>0.599</x:v>
      </x:c>
      <x:c r="L54" s="20" t="n">
        <x:v>0.148</x:v>
      </x:c>
      <x:c r="M54" s="20" t="n">
        <x:v>1.346</x:v>
      </x:c>
    </x:row>
    <x:row r="55">
      <x:c r="A55" s="17" t="str">
        <x:v>DeepSeek</x:v>
      </x:c>
      <x:c r="B55" s="17" t="str">
        <x:v>DeepSeek V3.2</x:v>
      </x:c>
      <x:c r="C55" s="76" t="n">
        <x:v>45901</x:v>
      </x:c>
      <x:c r="D55" s="79" t="n">
        <x:v>671</x:v>
      </x:c>
      <x:c r="E55" s="79" t="n">
        <x:v>37</x:v>
      </x:c>
      <x:c r="F55" s="79" t="n">
        <x:v>61</x:v>
      </x:c>
      <x:c r="G55" s="17" t="str">
        <x:v>MoE</x:v>
      </x:c>
      <x:c r="H55" s="17" t="str">
        <x:v>Hybrid-reasoning</x:v>
      </x:c>
      <x:c r="I55" s="17" t="str">
        <x:v>Text</x:v>
      </x:c>
      <x:c r="J55" s="20" t="n">
        <x:v>0.678</x:v>
      </x:c>
      <x:c r="K55" s="20" t="n">
        <x:v>0.373</x:v>
      </x:c>
      <x:c r="L55" s="20" t="n">
        <x:v>0.062</x:v>
      </x:c>
      <x:c r="M55" s="20" t="n">
        <x:v>1.102</x:v>
      </x:c>
    </x:row>
    <x:row r="56">
      <x:c r="A56" s="17" t="str">
        <x:v>DeepSeek</x:v>
      </x:c>
      <x:c r="B56" s="17" t="str">
        <x:v>DeepSeek V4-flash</x:v>
      </x:c>
      <x:c r="C56" s="76" t="n">
        <x:v>46113</x:v>
      </x:c>
      <x:c r="D56" s="79" t="n">
        <x:v>284</x:v>
      </x:c>
      <x:c r="E56" s="79" t="n">
        <x:v>13</x:v>
      </x:c>
      <x:c r="F56" s="79" t="n">
        <x:v>48</x:v>
      </x:c>
      <x:c r="G56" s="17" t="str">
        <x:v>MoE</x:v>
      </x:c>
      <x:c r="H56" s="17" t="str">
        <x:v>Hybrid-reasoning</x:v>
      </x:c>
      <x:c r="I56" s="17" t="str">
        <x:v>Text</x:v>
      </x:c>
      <x:c r="J56" s="20" t="n">
        <x:v>0.695</x:v>
      </x:c>
      <x:c r="K56" s="20" t="n">
        <x:v>0.403</x:v>
      </x:c>
      <x:c r="L56" s="20" t="n">
        <x:v>0.069</x:v>
      </x:c>
      <x:c r="M56" s="20" t="n">
        <x:v>1.032</x:v>
      </x:c>
    </x:row>
    <x:row r="57">
      <x:c r="A57" s="17" t="str">
        <x:v>Kimi</x:v>
      </x:c>
      <x:c r="B57" s="17" t="str">
        <x:v>Kimi K2-0905</x:v>
      </x:c>
      <x:c r="C57" s="76" t="n">
        <x:v>45901</x:v>
      </x:c>
      <x:c r="D57" s="79" t="n">
        <x:v>1000</x:v>
      </x:c>
      <x:c r="E57" s="79" t="n">
        <x:v>32</x:v>
      </x:c>
      <x:c r="F57" s="79" t="n">
        <x:v>61</x:v>
      </x:c>
      <x:c r="G57" s="17" t="str">
        <x:v>MoE</x:v>
      </x:c>
      <x:c r="H57" s="17" t="str">
        <x:v>Non-reasoning</x:v>
      </x:c>
      <x:c r="I57" s="17" t="str">
        <x:v>Text</x:v>
      </x:c>
      <x:c r="J57" s="20" t="n">
        <x:v>0.724</x:v>
      </x:c>
      <x:c r="K57" s="20" t="n">
        <x:v>0.417</x:v>
      </x:c>
      <x:c r="L57" s="20" t="n">
        <x:v>0.087</x:v>
      </x:c>
      <x:c r="M57" s="20" t="n">
        <x:v>1.071</x:v>
      </x:c>
    </x:row>
    <x:row r="58">
      <x:c r="A58" s="17" t="str">
        <x:v>Kimi</x:v>
      </x:c>
      <x:c r="B58" s="17" t="str">
        <x:v>Kimi K2.5</x:v>
      </x:c>
      <x:c r="C58" s="76" t="n">
        <x:v>46023</x:v>
      </x:c>
      <x:c r="D58" s="79" t="n">
        <x:v>1000</x:v>
      </x:c>
      <x:c r="E58" s="79" t="n">
        <x:v>32</x:v>
      </x:c>
      <x:c r="F58" s="79" t="n">
        <x:v>61</x:v>
      </x:c>
      <x:c r="G58" s="17" t="str">
        <x:v>MoE</x:v>
      </x:c>
      <x:c r="H58" s="17" t="str">
        <x:v>Hybrid-reasoning</x:v>
      </x:c>
      <x:c r="I58" s="17" t="str">
        <x:v>VL</x:v>
      </x:c>
      <x:c r="J58" s="20" t="n">
        <x:v>1.102</x:v>
      </x:c>
      <x:c r="K58" s="20" t="n">
        <x:v>0.738</x:v>
      </x:c>
      <x:c r="L58" s="20" t="n">
        <x:v>0.169</x:v>
      </x:c>
      <x:c r="M58" s="20" t="n">
        <x:v>1.943</x:v>
      </x:c>
    </x:row>
    <x:row r="59">
      <x:c r="A59" s="18" t="str">
        <x:v>Kimi</x:v>
      </x:c>
      <x:c r="B59" s="18" t="str">
        <x:v>Kimi K2.6</x:v>
      </x:c>
      <x:c r="C59" s="77" t="n">
        <x:v>46113</x:v>
      </x:c>
      <x:c r="D59" s="80" t="n">
        <x:v>1000</x:v>
      </x:c>
      <x:c r="E59" s="80" t="n">
        <x:v>32</x:v>
      </x:c>
      <x:c r="F59" s="80" t="n">
        <x:v>61</x:v>
      </x:c>
      <x:c r="G59" s="18" t="str">
        <x:v>MoE</x:v>
      </x:c>
      <x:c r="H59" s="18" t="str">
        <x:v>Hybrid-reasoning</x:v>
      </x:c>
      <x:c r="I59" s="18" t="str">
        <x:v>VL</x:v>
      </x:c>
      <x:c r="J59" s="21" t="n">
        <x:v>0.508</x:v>
      </x:c>
      <x:c r="K59" s="21" t="n">
        <x:v>0.272</x:v>
      </x:c>
      <x:c r="L59" s="21" t="n">
        <x:v>0.059</x:v>
      </x:c>
      <x:c r="M59" s="21" t="n">
        <x:v>0.791</x:v>
      </x:c>
    </x:row>
    <x:row r="62">
      <x:c r="A62" s="84" t="str">
        <x:v>Source archive: ~/Downloads/arXiv-2606.07157v3.tar.gz
Paper: https://arxiv.org/pdf/2606.07157
Extraction scope deliberately excludes task-level raw-accuracy tables because they do not enter the parameter model; every model-level horizon, parameter, architecture, and uncertainty field does.</x:v>
      </x:c>
      <x:c r="B62" s="84"/>
      <x:c r="C62" s="84"/>
      <x:c r="D62" s="84"/>
      <x:c r="E62" s="84"/>
      <x:c r="F62" s="84"/>
      <x:c r="G62" s="84"/>
      <x:c r="H62" s="84"/>
      <x:c r="I62" s="84"/>
      <x:c r="J62" s="84"/>
      <x:c r="K62" s="84"/>
      <x:c r="L62" s="84"/>
      <x:c r="M62" s="84"/>
    </x:row>
    <x:row r="63">
      <x:c r="A63" s="84"/>
      <x:c r="B63" s="84"/>
      <x:c r="C63" s="84"/>
      <x:c r="D63" s="84"/>
      <x:c r="E63" s="84"/>
      <x:c r="F63" s="84"/>
      <x:c r="G63" s="84"/>
      <x:c r="H63" s="84"/>
      <x:c r="I63" s="84"/>
      <x:c r="J63" s="84"/>
      <x:c r="K63" s="84"/>
      <x:c r="L63" s="84"/>
      <x:c r="M63" s="84"/>
    </x:row>
  </x:sheetData>
  <x:mergeCells>
    <x:mergeCell ref="A1:M1"/>
    <x:mergeCell ref="A2:M3"/>
    <x:mergeCell ref="A5:M5"/>
    <x:mergeCell ref="A23:M23"/>
    <x:mergeCell ref="A62:M63"/>
  </x:mergeCells>
  <x:conditionalFormatting sqref="G25:G59">
    <x:cfRule type="containsText" dxfId="2" priority="1" operator="containsText" text="MoE"/>
  </x:conditionalFormatting>
  <x:pageMargins left="0.7" right="0.7" top="0.75" bottom="0.75" header="0.3" footer="0.3"/>
  <x:tableParts count="2">
    <x:tablePart xmlns:r="http://schemas.openxmlformats.org/officeDocument/2006/relationships" r:id="R01a136e52ed447de"/>
    <x:tablePart xmlns:r="http://schemas.openxmlformats.org/officeDocument/2006/relationships" r:id="R53b9b993c64f48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55" hidden="0" customWidth="1"/>
    <x:col min="4" max="4" width="16" hidden="0" customWidth="1"/>
    <x:col min="5" max="5" width="10" hidden="0" customWidth="1"/>
    <x:col min="6" max="6" width="3" hidden="0" customWidth="1"/>
    <x:col min="7" max="7" width="32" hidden="0" customWidth="1"/>
    <x:col min="8" max="8" width="14" hidden="0" customWidth="1"/>
  </x:cols>
  <x:sheetData>
    <x:row r="1" ht="36" customHeight="1">
      <x:c r="A1" s="66" t="str">
        <x:v>Horizon laws and Bayesian calibration</x:v>
      </x:c>
      <x:c r="B1" s="66"/>
      <x:c r="C1" s="66"/>
      <x:c r="D1" s="66"/>
      <x:c r="E1" s="66"/>
      <x:c r="F1" s="66"/>
      <x:c r="G1" s="66"/>
      <x:c r="H1" s="66"/>
    </x:row>
    <x:row r="2">
      <x:c r="A2" s="6" t="str">
        <x:v>The horizon branch receives 30% log weight. The authors' 35-model open-weight panel supplies the absolute parameter elasticity; proprietary no-CoT horizons supply relative base placement. With-CoT METR is used only to identify post-training leverage, not to map directly to base size.</x:v>
      </x:c>
      <x:c r="B2" s="6"/>
      <x:c r="C2" s="6"/>
      <x:c r="D2" s="6"/>
      <x:c r="E2" s="6"/>
      <x:c r="F2" s="6"/>
      <x:c r="G2" s="6"/>
      <x:c r="H2" s="6"/>
    </x:row>
    <x:row r="3">
      <x:c r="A3" s="6"/>
      <x:c r="B3" s="6"/>
      <x:c r="C3" s="6"/>
      <x:c r="D3" s="6"/>
      <x:c r="E3" s="6"/>
      <x:c r="F3" s="6"/>
      <x:c r="G3" s="6"/>
      <x:c r="H3" s="6"/>
    </x:row>
    <x:row r="5" ht="34" customHeight="1">
      <x:c r="A5" s="74" t="str">
        <x:v>Input / assumption</x:v>
      </x:c>
      <x:c r="B5" s="74" t="str">
        <x:v>Value</x:v>
      </x:c>
      <x:c r="C5" s="74" t="str">
        <x:v>Interpretation</x:v>
      </x:c>
    </x:row>
    <x:row r="6">
      <x:c r="A6" s="16" t="str">
        <x:v>Horizon log weight</x:v>
      </x:c>
      <x:c r="B6" s="33" t="n">
        <x:v>0.3</x:v>
      </x:c>
      <x:c r="C6" s="16" t="str">
        <x:v>Requested weight for the paper branch</x:v>
      </x:c>
    </x:row>
    <x:row r="7">
      <x:c r="A7" s="17" t="str">
        <x:v>Existing benchmark + price weight</x:v>
      </x:c>
      <x:c r="B7" s="34" t="n">
        <x:f>1-B6</x:f>
        <x:v>0.7</x:v>
      </x:c>
      <x:c r="C7" s="17" t="str">
        <x:v>1 − horizon weight</x:v>
      </x:c>
    </x:row>
    <x:row r="8">
      <x:c r="A8" s="17" t="str">
        <x:v>Kimi K3 disclosed total (T)</x:v>
      </x:c>
      <x:c r="B8" s="20" t="n">
        <x:v>2.8</x:v>
      </x:c>
      <x:c r="C8" s="17" t="str">
        <x:v>Absolute anchor</x:v>
      </x:c>
    </x:row>
    <x:row r="9">
      <x:c r="A9" s="17" t="str">
        <x:v>K3 pretrain-equivalent TH (min)</x:v>
      </x:c>
      <x:c r="B9" s="20" t="n">
        <x:f>'No-CoT Evidence'!C16</x:f>
        <x:v>2.4</x:v>
      </x:c>
      <x:c r="C9" s="17" t="str">
        <x:v>Ryan Greenblatt correction: K3 pretrain ≈ Opus 4.5</x:v>
      </x:c>
    </x:row>
    <x:row r="10">
      <x:c r="A10" s="17" t="str">
        <x:v>Total params per TH doubling</x:v>
      </x:c>
      <x:c r="B10" s="20" t="n">
        <x:v>4.2</x:v>
      </x:c>
      <x:c r="C10" s="17" t="str">
        <x:v>Reported pooled Pareto slope, 35 open-weight models</x:v>
      </x:c>
    </x:row>
    <x:row r="11">
      <x:c r="A11" s="17" t="str">
        <x:v>Parameter elasticity α</x:v>
      </x:c>
      <x:c r="B11" s="20" t="n">
        <x:f>LN(B10)/LN(2)</x:f>
        <x:v>2.070389327891398</x:v>
      </x:c>
      <x:c r="C11" s="17" t="str">
        <x:v>log2(total-parameter multiplier)</x:v>
      </x:c>
    </x:row>
    <x:row r="12">
      <x:c r="A12" s="17" t="str">
        <x:v>No-CoT TH doubling (days)</x:v>
      </x:c>
      <x:c r="B12" s="20" t="n">
        <x:v>373</x:v>
      </x:c>
      <x:c r="C12" s="17" t="str">
        <x:v>Paper point estimate</x:v>
      </x:c>
    </x:row>
    <x:row r="13">
      <x:c r="A13" s="17" t="str">
        <x:v>No-CoT TH doubling CI low</x:v>
      </x:c>
      <x:c r="B13" s="20" t="n">
        <x:v>167</x:v>
      </x:c>
      <x:c r="C13" s="17" t="str">
        <x:v>Paper 95% CI</x:v>
      </x:c>
    </x:row>
    <x:row r="14">
      <x:c r="A14" s="17" t="str">
        <x:v>No-CoT TH doubling CI high</x:v>
      </x:c>
      <x:c r="B14" s="20" t="n">
        <x:v>691</x:v>
      </x:c>
      <x:c r="C14" s="17" t="str">
        <x:v>Paper 95% CI</x:v>
      </x:c>
    </x:row>
    <x:row r="15">
      <x:c r="A15" s="17" t="str">
        <x:v>Token-horizon doubling (days)</x:v>
      </x:c>
      <x:c r="B15" s="20" t="n">
        <x:v>437</x:v>
      </x:c>
      <x:c r="C15" s="17" t="str">
        <x:v>Paper point estimate</x:v>
      </x:c>
    </x:row>
    <x:row r="16">
      <x:c r="A16" s="17" t="str">
        <x:v>Token-horizon CI low</x:v>
      </x:c>
      <x:c r="B16" s="20" t="n">
        <x:v>341</x:v>
      </x:c>
      <x:c r="C16" s="17" t="str">
        <x:v>Paper 95% CI</x:v>
      </x:c>
    </x:row>
    <x:row r="17">
      <x:c r="A17" s="17" t="str">
        <x:v>Token-horizon CI high</x:v>
      </x:c>
      <x:c r="B17" s="20" t="n">
        <x:v>571</x:v>
      </x:c>
      <x:c r="C17" s="17" t="str">
        <x:v>Paper 95% CI</x:v>
      </x:c>
    </x:row>
    <x:row r="18">
      <x:c r="A18" s="17" t="str">
        <x:v>METR from-2023 doubling (days)</x:v>
      </x:c>
      <x:c r="B18" s="20" t="n">
        <x:v>128.744</x:v>
      </x:c>
      <x:c r="C18" s="17" t="str">
        <x:v>User-supplied METR-Horizon-v1.1</x:v>
      </x:c>
    </x:row>
    <x:row r="19">
      <x:c r="A19" s="17" t="str">
        <x:v>METR CI low</x:v>
      </x:c>
      <x:c r="B19" s="20" t="n">
        <x:v>104.428</x:v>
      </x:c>
      <x:c r="C19" s="17" t="str">
        <x:v>User-supplied</x:v>
      </x:c>
    </x:row>
    <x:row r="20">
      <x:c r="A20" s="17" t="str">
        <x:v>METR CI high</x:v>
      </x:c>
      <x:c r="B20" s="20" t="n">
        <x:v>158.012</x:v>
      </x:c>
      <x:c r="C20" s="17" t="str">
        <x:v>User-supplied</x:v>
      </x:c>
    </x:row>
    <x:row r="21">
      <x:c r="A21" s="18" t="str">
        <x:v>Ryan K3→Anthropic pretrain gap (months)</x:v>
      </x:c>
      <x:c r="B21" s="21" t="n">
        <x:v>8</x:v>
      </x:c>
      <x:c r="C21" s="18" t="str">
        <x:v>Corrected qualitative estimate; conservative point</x:v>
      </x:c>
    </x:row>
    <x:row r="24">
      <x:c r="A24" s="69" t="str">
        <x:v>Exact reported open-weight relationships</x:v>
      </x:c>
      <x:c r="B24" s="69"/>
      <x:c r="C24" s="69"/>
      <x:c r="D24" s="69"/>
      <x:c r="E24" s="69"/>
      <x:c r="F24" s="69"/>
      <x:c r="G24" s="69"/>
      <x:c r="H24" s="69"/>
    </x:row>
    <x:row r="25" ht="34" customHeight="1">
      <x:c r="A25" s="74" t="str">
        <x:v>Axis</x:v>
      </x:c>
      <x:c r="B25" s="74" t="str">
        <x:v>Factor per TH doubling</x:v>
      </x:c>
      <x:c r="C25" s="74" t="str">
        <x:v>Spearman ρ</x:v>
      </x:c>
      <x:c r="D25" s="74" t="str">
        <x:v>p-value</x:v>
      </x:c>
      <x:c r="E25" s="74" t="str">
        <x:v>n</x:v>
      </x:c>
      <x:c r="G25" s="74" t="str">
        <x:v>Architecture contrast</x:v>
      </x:c>
      <x:c r="H25" s="74" t="str">
        <x:v>Factor</x:v>
      </x:c>
    </x:row>
    <x:row r="26">
      <x:c r="A26" s="16" t="str">
        <x:v>Total parameters</x:v>
      </x:c>
      <x:c r="B26" s="85" t="n">
        <x:v>4.2</x:v>
      </x:c>
      <x:c r="C26" s="87" t="n">
        <x:v>0.81</x:v>
      </x:c>
      <x:c r="D26" s="90" t="n">
        <x:v>3.5000000000000003e-9</x:v>
      </x:c>
      <x:c r="E26" s="78" t="n">
        <x:v>35</x:v>
      </x:c>
      <x:c r="G26" s="16" t="str">
        <x:v>Dense total parameters</x:v>
      </x:c>
      <x:c r="H26" s="93" t="n">
        <x:v>2.2</x:v>
      </x:c>
    </x:row>
    <x:row r="27">
      <x:c r="A27" s="17" t="str">
        <x:v>Layer count</x:v>
      </x:c>
      <x:c r="B27" s="41" t="n">
        <x:v>1.3</x:v>
      </x:c>
      <x:c r="C27" s="88" t="n">
        <x:v>0.67</x:v>
      </x:c>
      <x:c r="D27" s="91" t="n">
        <x:v>0.000013000000000000001</x:v>
      </x:c>
      <x:c r="E27" s="79" t="n">
        <x:v>35</x:v>
      </x:c>
      <x:c r="G27" s="17" t="str">
        <x:v>MoE total parameters</x:v>
      </x:c>
      <x:c r="H27" s="94" t="n">
        <x:v>8.1</x:v>
      </x:c>
    </x:row>
    <x:row r="28">
      <x:c r="A28" s="17" t="str">
        <x:v>AA Intelligence Index</x:v>
      </x:c>
      <x:c r="B28" s="41" t="n">
        <x:v>1.7</x:v>
      </x:c>
      <x:c r="C28" s="88" t="n">
        <x:v>0.66</x:v>
      </x:c>
      <x:c r="D28" s="91" t="n">
        <x:v>0.00044000000000000007</x:v>
      </x:c>
      <x:c r="E28" s="79" t="n">
        <x:v>24</x:v>
      </x:c>
      <x:c r="G28" s="17" t="str">
        <x:v>Dense active parameters</x:v>
      </x:c>
      <x:c r="H28" s="94" t="n">
        <x:v>2.2</x:v>
      </x:c>
    </x:row>
    <x:row r="29">
      <x:c r="A29" s="17" t="str">
        <x:v>Active parameters</x:v>
      </x:c>
      <x:c r="B29" s="41" t="n">
        <x:v>2.1</x:v>
      </x:c>
      <x:c r="C29" s="88" t="n">
        <x:v>0.55</x:v>
      </x:c>
      <x:c r="D29" s="91" t="n">
        <x:v>0.00068</x:v>
      </x:c>
      <x:c r="E29" s="79" t="n">
        <x:v>35</x:v>
      </x:c>
      <x:c r="G29" s="17" t="str">
        <x:v>MoE active parameters</x:v>
      </x:c>
      <x:c r="H29" s="94" t="n">
        <x:v>13</x:v>
      </x:c>
    </x:row>
    <x:row r="30">
      <x:c r="A30" s="17" t="str">
        <x:v>Total training FLOPs</x:v>
      </x:c>
      <x:c r="B30" s="41"/>
      <x:c r="C30" s="88" t="n">
        <x:v>0.51</x:v>
      </x:c>
      <x:c r="D30" s="91" t="n">
        <x:v>0.044000000000000004</x:v>
      </x:c>
      <x:c r="E30" s="79" t="n">
        <x:v>16</x:v>
      </x:c>
      <x:c r="G30" s="17" t="str">
        <x:v>Dense layers</x:v>
      </x:c>
      <x:c r="H30" s="94" t="n">
        <x:v>1.29</x:v>
      </x:c>
    </x:row>
    <x:row r="31">
      <x:c r="A31" s="18" t="str">
        <x:v>Pretraining FLOPs</x:v>
      </x:c>
      <x:c r="B31" s="86" t="n">
        <x:v>3.1</x:v>
      </x:c>
      <x:c r="C31" s="89" t="n">
        <x:v>0.47</x:v>
      </x:c>
      <x:c r="D31" s="92" t="n">
        <x:v>0.0045000000000000005</x:v>
      </x:c>
      <x:c r="E31" s="80" t="n">
        <x:v>35</x:v>
      </x:c>
      <x:c r="G31" s="17" t="str">
        <x:v>MoE layers</x:v>
      </x:c>
      <x:c r="H31" s="94" t="n">
        <x:v>1.27</x:v>
      </x:c>
    </x:row>
    <x:row r="32">
      <x:c r="G32" s="18" t="str">
        <x:v>Dense TH intercept advantage</x:v>
      </x:c>
      <x:c r="H32" s="95" t="n">
        <x:v>1.7</x:v>
      </x:c>
    </x:row>
    <x:row r="35">
      <x:c r="A35" s="69" t="str">
        <x:v>Derived horizon priors</x:v>
      </x:c>
      <x:c r="B35" s="69"/>
      <x:c r="C35" s="69"/>
      <x:c r="D35" s="69"/>
      <x:c r="E35" s="69"/>
      <x:c r="F35" s="69"/>
      <x:c r="G35" s="69"/>
      <x:c r="H35" s="69"/>
    </x:row>
    <x:row r="36" ht="34" customHeight="1">
      <x:c r="A36" s="74" t="str">
        <x:v>Derived quantity</x:v>
      </x:c>
      <x:c r="B36" s="74" t="str">
        <x:v>Formula result</x:v>
      </x:c>
      <x:c r="C36" s="74" t="str">
        <x:v>Use</x:v>
      </x:c>
      <x:c r="E36" s="102" t="str">
        <x:v>Interpretation: Opus 4.5→4.6 barely changes no-CoT TH (~1.04×) while the user-supplied with-CoT METR horizon grows ~2.45×. That is direct same-base evidence that RL/inference gains can dominate agentic benchmark gains without implying a larger pretrain. Therefore METR changes the decomposition, not the absolute parameter scale.</x:v>
      </x:c>
      <x:c r="F36" s="103"/>
      <x:c r="G36" s="103"/>
      <x:c r="H36" s="103"/>
    </x:row>
    <x:row r="37">
      <x:c r="A37" s="16" t="str">
        <x:v>Opus shared-base TH (min)</x:v>
      </x:c>
      <x:c r="B37" s="19" t="n">
        <x:f>POWER('No-CoT Evidence'!C16*'No-CoT Evidence'!C17*'No-CoT Evidence'!C19,1/3)</x:f>
        <x:v>2.561158329974988</x:v>
      </x:c>
      <x:c r="C37" s="16" t="str">
        <x:v>Geometric mean of Opus 4.5 / 4.6 / 4.7</x:v>
      </x:c>
      <x:c r="E37" s="102"/>
      <x:c r="F37" s="103"/>
      <x:c r="G37" s="103"/>
      <x:c r="H37" s="103"/>
    </x:row>
    <x:row r="38">
      <x:c r="A38" s="17" t="str">
        <x:v>GPT shared-base TH (min)</x:v>
      </x:c>
      <x:c r="B38" s="20" t="n">
        <x:f>SQRT('No-CoT Evidence'!C18*'No-CoT Evidence'!C20)</x:f>
        <x:v>2.0493901531919194</x:v>
      </x:c>
      <x:c r="C38" s="17" t="str">
        <x:v>Geometric mean of GPT-5.4 / GPT-5.5</x:v>
      </x:c>
      <x:c r="E38" s="102"/>
      <x:c r="F38" s="103"/>
      <x:c r="G38" s="103"/>
      <x:c r="H38" s="103"/>
    </x:row>
    <x:row r="39">
      <x:c r="A39" s="17" t="str">
        <x:v>Opus shared-base prior (T)</x:v>
      </x:c>
      <x:c r="B39" s="20" t="n">
        <x:f>$B$8*POWER(B37/$B$9,$B$11)</x:f>
        <x:v>3.203281859170802</x:v>
      </x:c>
      <x:c r="C39" s="17" t="str">
        <x:v>K3 anchor × TH ratio^α</x:v>
      </x:c>
      <x:c r="E39" s="102"/>
      <x:c r="F39" s="103"/>
      <x:c r="G39" s="103"/>
      <x:c r="H39" s="103"/>
    </x:row>
    <x:row r="40">
      <x:c r="A40" s="17" t="str">
        <x:v>GPT-5.5 prior (T)</x:v>
      </x:c>
      <x:c r="B40" s="20" t="n">
        <x:f>$B$8*POWER(B38/$B$9,$B$11)</x:f>
        <x:v>2.0190964903578963</x:v>
      </x:c>
      <x:c r="C40" s="17" t="str">
        <x:v>K3 anchor × TH ratio^α</x:v>
      </x:c>
      <x:c r="E40" s="102"/>
      <x:c r="F40" s="103"/>
      <x:c r="G40" s="103"/>
      <x:c r="H40" s="103"/>
    </x:row>
    <x:row r="41">
      <x:c r="A41" s="17" t="str">
        <x:v>GPT effective release date</x:v>
      </x:c>
      <x:c r="B41" s="76" t="n">
        <x:f>AVERAGE(DATE(2026,3,5),DATE(2026,4,23))</x:f>
        <x:v>46110.5</x:v>
      </x:c>
      <x:c r="C41" s="17" t="str">
        <x:v>Exact dates from the user-supplied METR extract</x:v>
      </x:c>
    </x:row>
    <x:row r="42">
      <x:c r="A42" s="17" t="str">
        <x:v>GPT effective→Sol days</x:v>
      </x:c>
      <x:c r="B42" s="20" t="n">
        <x:f>'Frontier Estimates'!A7-B41</x:f>
        <x:v>101.5</x:v>
      </x:c>
      <x:c r="C42" s="17" t="str">
        <x:v>Date projection interval</x:v>
      </x:c>
      <x:c r="E42" s="110" t="str">
        <x:v>Ryan Greenblatt correction used here: K3's pretrain looked roughly halfway from Opus 4 to Opus 4.5 and approximately comparable to Opus 4.5 overall, about eight months behind Anthropic. His earlier view that K3 pretrain was between Opus 4.8 and Mythos was explicitly retracted. This is a qualitative prior, not a measurement.</x:v>
      </x:c>
      <x:c r="F42" s="111"/>
      <x:c r="G42" s="111"/>
      <x:c r="H42" s="111"/>
    </x:row>
    <x:row r="43">
      <x:c r="A43" s="17" t="str">
        <x:v>Sol projected TH (min)</x:v>
      </x:c>
      <x:c r="B43" s="20" t="n">
        <x:f>B38*POWER(2,B42/$B$12)</x:f>
        <x:v>2.47480117907748</x:v>
      </x:c>
      <x:c r="C43" s="17" t="str">
        <x:v>GPT shared TH advanced on 373-day law</x:v>
      </x:c>
      <x:c r="E43" s="110"/>
      <x:c r="F43" s="111"/>
      <x:c r="G43" s="111"/>
      <x:c r="H43" s="111"/>
    </x:row>
    <x:row r="44">
      <x:c r="A44" s="17" t="str">
        <x:v>Sol horizon prior (T)</x:v>
      </x:c>
      <x:c r="B44" s="20" t="n">
        <x:f>$B$8*POWER(B43/$B$9,$B$11)</x:f>
        <x:v>2.983694824019499</x:v>
      </x:c>
      <x:c r="C44" s="17" t="str">
        <x:v>K3 anchor × TH ratio^α</x:v>
      </x:c>
      <x:c r="E44" s="110"/>
      <x:c r="F44" s="111"/>
      <x:c r="G44" s="111"/>
      <x:c r="H44" s="111"/>
    </x:row>
    <x:row r="45">
      <x:c r="A45" s="17" t="str">
        <x:v>Opus 4.5→Fable days</x:v>
      </x:c>
      <x:c r="B45" s="20" t="n">
        <x:f>'Frontier Estimates'!A6-DATE(2025,11,24)</x:f>
        <x:v>197</x:v>
      </x:c>
      <x:c r="C45" s="17" t="str">
        <x:v>Exact Opus 4.5 date from the user-supplied METR extract</x:v>
      </x:c>
      <x:c r="E45" s="110"/>
      <x:c r="F45" s="111"/>
      <x:c r="G45" s="111"/>
      <x:c r="H45" s="111"/>
    </x:row>
    <x:row r="46">
      <x:c r="A46" s="17" t="str">
        <x:v>Fable date-projected TH (min)</x:v>
      </x:c>
      <x:c r="B46" s="20" t="n">
        <x:f>$B$9*POWER(2,B45/$B$12)</x:f>
        <x:v>3.460989440604091</x:v>
      </x:c>
      <x:c r="C46" s="17" t="str">
        <x:v>No-CoT time law</x:v>
      </x:c>
      <x:c r="E46" s="110"/>
      <x:c r="F46" s="111"/>
      <x:c r="G46" s="111"/>
      <x:c r="H46" s="111"/>
    </x:row>
    <x:row r="47">
      <x:c r="A47" s="17" t="str">
        <x:v>Fable Ryan-gap TH (min)</x:v>
      </x:c>
      <x:c r="B47" s="20" t="n">
        <x:f>$B$9*POWER(2,$B$21*365.25/12/$B$12)</x:f>
        <x:v>3.773359140062272</x:v>
      </x:c>
      <x:c r="C47" s="17" t="str">
        <x:v>8-month pretrain lead over K3</x:v>
      </x:c>
      <x:c r="E47" s="110"/>
      <x:c r="F47" s="111"/>
      <x:c r="G47" s="111"/>
      <x:c r="H47" s="111"/>
    </x:row>
    <x:row r="48">
      <x:c r="A48" s="17" t="str">
        <x:v>Fable combined TH (min)</x:v>
      </x:c>
      <x:c r="B48" s="20" t="n">
        <x:f>SQRT(B46*B47)</x:f>
        <x:v>3.613800788555238</x:v>
      </x:c>
      <x:c r="C48" s="17" t="str">
        <x:v>Geometric pooling of date and Ryan priors</x:v>
      </x:c>
    </x:row>
    <x:row r="49">
      <x:c r="A49" s="17" t="str">
        <x:v>Fable horizon prior (T)</x:v>
      </x:c>
      <x:c r="B49" s="20" t="n">
        <x:f>$B$8*POWER(B48/$B$9,$B$11)</x:f>
        <x:v>6.533951047522359</x:v>
      </x:c>
      <x:c r="C49" s="17" t="str">
        <x:v>K3 anchor × TH ratio^α</x:v>
      </x:c>
    </x:row>
    <x:row r="50">
      <x:c r="A50" s="17" t="str">
        <x:v>No-CoT / METR doubling ratio</x:v>
      </x:c>
      <x:c r="B50" s="20" t="n">
        <x:f>$B$12/$B$18</x:f>
        <x:v>2.89722239483005</x:v>
      </x:c>
      <x:c r="C50" s="17" t="str">
        <x:v>With-CoT capability is improving much faster</x:v>
      </x:c>
    </x:row>
    <x:row r="51">
      <x:c r="A51" s="17" t="str">
        <x:v>Opus 4.5→4.6 no-CoT ratio</x:v>
      </x:c>
      <x:c r="B51" s="20" t="n">
        <x:f>'No-CoT Evidence'!C17 / 'No-CoT Evidence'!C16</x:f>
        <x:v>1.0416666666666667</x:v>
      </x:c>
      <x:c r="C51" s="17" t="str">
        <x:v>Same-base post-training sensitivity</x:v>
      </x:c>
    </x:row>
    <x:row r="52">
      <x:c r="A52" s="18" t="str">
        <x:v>Opus 4.5→4.6 METR ratio</x:v>
      </x:c>
      <x:c r="B52" s="21" t="n">
        <x:f>718.80683/292.994594</x:f>
        <x:v>2.453310896241314</x:v>
      </x:c>
      <x:c r="C52" s="18" t="str">
        <x:v>Same-base with-CoT sensitivity</x:v>
      </x:c>
    </x:row>
    <x:row r="55">
      <x:c r="A55" s="84" t="str">
        <x:v>Primary paper: https://arxiv.org/pdf/2606.07157
Submitted source archive: ~/Downloads/arXiv-2606.07157v3.tar.gz
METR values and Ryan Greenblatt text: user-supplied in this Codex task on 2026-07-17.</x:v>
      </x:c>
      <x:c r="B55" s="84"/>
      <x:c r="C55" s="84"/>
      <x:c r="D55" s="84"/>
      <x:c r="E55" s="84"/>
      <x:c r="F55" s="84"/>
      <x:c r="G55" s="84"/>
      <x:c r="H55" s="84"/>
    </x:row>
    <x:row r="56">
      <x:c r="A56" s="84"/>
      <x:c r="B56" s="84"/>
      <x:c r="C56" s="84"/>
      <x:c r="D56" s="84"/>
      <x:c r="E56" s="84"/>
      <x:c r="F56" s="84"/>
      <x:c r="G56" s="84"/>
      <x:c r="H56" s="84"/>
    </x:row>
    <x:row r="57">
      <x:c r="A57" s="84"/>
      <x:c r="B57" s="84"/>
      <x:c r="C57" s="84"/>
      <x:c r="D57" s="84"/>
      <x:c r="E57" s="84"/>
      <x:c r="F57" s="84"/>
      <x:c r="G57" s="84"/>
      <x:c r="H57" s="84"/>
    </x:row>
  </x:sheetData>
  <x:mergeCells>
    <x:mergeCell ref="A1:H1"/>
    <x:mergeCell ref="A2:H3"/>
    <x:mergeCell ref="A24:H24"/>
    <x:mergeCell ref="A35:H35"/>
    <x:mergeCell ref="E36:H40"/>
    <x:mergeCell ref="E42:H47"/>
    <x:mergeCell ref="A55:H57"/>
  </x:mergeCells>
  <x:pageMargins left="0.7" right="0.7" top="0.75" bottom="0.75" header="0.3" footer="0.3"/>
  <x:legacyDrawing xmlns:r="http://schemas.openxmlformats.org/officeDocument/2006/relationships" r:id="Rd82c930cb3f84e7b"/>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5" hidden="0" customWidth="1"/>
    <x:col min="11" max="11" width="25" hidden="0" customWidth="1"/>
    <x:col min="12" max="12" width="64" hidden="0" customWidth="1"/>
  </x:cols>
  <x:sheetData>
    <x:row r="1" ht="36" customHeight="1">
      <x:c r="A1" s="66" t="str">
        <x:v>Horizon-informed frontier parameter posterior</x:v>
      </x:c>
      <x:c r="B1" s="66"/>
      <x:c r="C1" s="66"/>
      <x:c r="D1" s="66"/>
      <x:c r="E1" s="66"/>
      <x:c r="F1" s="66"/>
      <x:c r="G1" s="66"/>
      <x:c r="H1" s="66"/>
      <x:c r="I1" s="66"/>
      <x:c r="J1" s="66"/>
      <x:c r="K1" s="66"/>
      <x:c r="L1" s="66"/>
    </x:row>
    <x:row r="2">
      <x:c r="A2" s="6" t="str">
        <x:v>Posterior = 70% log weight on the existing price-informed benchmark model and 30% on the no-CoT horizon branch. The existing branch is itself 85% AA+ECI benchmark / 15% API price, giving effective weights of 59.5% benchmark, 10.5% price, and 30% horizon. Crowd estimates are shown as a check, not treated as independent observations.</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4" t="str">
        <x:v>Model / base</x:v>
      </x:c>
      <x:c r="B5" s="74" t="str">
        <x:v>Existing central (T)</x:v>
      </x:c>
      <x:c r="C5" s="74" t="str">
        <x:v>TH proxy (min)</x:v>
      </x:c>
      <x:c r="D5" s="74" t="str">
        <x:v>Horizon prior (T)</x:v>
      </x:c>
      <x:c r="E5" s="74" t="str">
        <x:v>Existing weight</x:v>
      </x:c>
      <x:c r="F5" s="74" t="str">
        <x:v>Horizon weight</x:v>
      </x:c>
      <x:c r="G5" s="74" t="str">
        <x:v>Posterior (T)</x:v>
      </x:c>
      <x:c r="H5" s="74" t="str">
        <x:v>Crowd point (T)</x:v>
      </x:c>
      <x:c r="I5" s="74" t="str">
        <x:v>Posterior / crowd</x:v>
      </x:c>
      <x:c r="J5" s="74" t="str">
        <x:v>Horizon evidence</x:v>
      </x:c>
      <x:c r="K5" s="74" t="str">
        <x:v>Status</x:v>
      </x:c>
      <x:c r="L5" s="74" t="str">
        <x:v>Method note</x:v>
      </x:c>
    </x:row>
    <x:row r="6">
      <x:c r="A6" s="16" t="str">
        <x:v>Claude Fable 5</x:v>
      </x:c>
      <x:c r="B6" s="19" t="n">
        <x:f>'Frontier Estimates'!M6</x:f>
        <x:v>3.420619147282</x:v>
      </x:c>
      <x:c r="C6" s="19" t="n">
        <x:f>'Horizon Laws'!B48</x:f>
        <x:v>3.613800788555238</x:v>
      </x:c>
      <x:c r="D6" s="19" t="n">
        <x:f>'Horizon Laws'!B49</x:f>
        <x:v>6.533951047522359</x:v>
      </x:c>
      <x:c r="E6" s="33" t="n">
        <x:f>'Horizon Laws'!B7</x:f>
        <x:v>0.7</x:v>
      </x:c>
      <x:c r="F6" s="33" t="n">
        <x:f>'Horizon Laws'!B6</x:f>
        <x:v>0.3</x:v>
      </x:c>
      <x:c r="G6" s="115" t="n">
        <x:f>IF(K6="Disclosed anchor",B6,POWER(B6,E6)*POWER(D6,F6))</x:f>
        <x:v>4.153613368813049</x:v>
      </x:c>
      <x:c r="H6" s="112" t="n">
        <x:v>3.4</x:v>
      </x:c>
      <x:c r="I6" s="112" t="n">
        <x:f>G6/H6</x:f>
        <x:v>1.2216509908273676</x:v>
      </x:c>
      <x:c r="J6" s="22" t="str">
        <x:v>Projected new pretrain</x:v>
      </x:c>
      <x:c r="K6" s="22" t="str">
        <x:v>Regression estimate</x:v>
      </x:c>
      <x:c r="L6" s="22" t="str">
        <x:v>Date law and Ryan's corrected 8-month pretrain gap pooled geometrically.</x:v>
      </x:c>
    </x:row>
    <x:row r="7">
      <x:c r="A7" s="17" t="str">
        <x:v>GPT-5.6 Sol</x:v>
      </x:c>
      <x:c r="B7" s="20" t="n">
        <x:f>'Frontier Estimates'!M7</x:f>
        <x:v>3.337143079854522</x:v>
      </x:c>
      <x:c r="C7" s="20" t="n">
        <x:f>'Horizon Laws'!B43</x:f>
        <x:v>2.47480117907748</x:v>
      </x:c>
      <x:c r="D7" s="20" t="n">
        <x:f>'Horizon Laws'!B44</x:f>
        <x:v>2.983694824019499</x:v>
      </x:c>
      <x:c r="E7" s="34" t="n">
        <x:f>'Horizon Laws'!B7</x:f>
        <x:v>0.7</x:v>
      </x:c>
      <x:c r="F7" s="34" t="n">
        <x:f>'Horizon Laws'!B6</x:f>
        <x:v>0.3</x:v>
      </x:c>
      <x:c r="G7" s="116" t="n">
        <x:f>IF(K7="Disclosed anchor",B7,POWER(B7,E7)*POWER(D7,F7))</x:f>
        <x:v>3.226923720371106</x:v>
      </x:c>
      <x:c r="H7" s="113" t="n">
        <x:v>2.3</x:v>
      </x:c>
      <x:c r="I7" s="113" t="n">
        <x:f>G7/H7</x:f>
        <x:v>1.4030103132048288</x:v>
      </x:c>
      <x:c r="J7" s="23" t="str">
        <x:v>Same-family/date projection</x:v>
      </x:c>
      <x:c r="K7" s="23" t="str">
        <x:v>Regression estimate</x:v>
      </x:c>
      <x:c r="L7" s="23" t="str">
        <x:v>GPT-5.4/5.5 no-CoT shared-base proxy advanced to Sol's release.</x:v>
      </x:c>
    </x:row>
    <x:row r="8">
      <x:c r="A8" s="17" t="str">
        <x:v>Kimi K3</x:v>
      </x:c>
      <x:c r="B8" s="20" t="n">
        <x:f>'Frontier Estimates'!M8</x:f>
        <x:v>2.8</x:v>
      </x:c>
      <x:c r="C8" s="20" t="n">
        <x:f>'Horizon Laws'!B9</x:f>
        <x:v>2.4</x:v>
      </x:c>
      <x:c r="D8" s="20" t="n">
        <x:f>'Horizon Laws'!B8</x:f>
        <x:v>2.8</x:v>
      </x:c>
      <x:c r="E8" s="34" t="n">
        <x:f>'Horizon Laws'!B7</x:f>
        <x:v>0.7</x:v>
      </x:c>
      <x:c r="F8" s="34" t="n">
        <x:f>'Horizon Laws'!B6</x:f>
        <x:v>0.3</x:v>
      </x:c>
      <x:c r="G8" s="116" t="n">
        <x:f>IF(K8="Disclosed anchor",B8,POWER(B8,E8)*POWER(D8,F8))</x:f>
        <x:v>2.8</x:v>
      </x:c>
      <x:c r="H8" s="113"/>
      <x:c r="I8" s="113"/>
      <x:c r="J8" s="23" t="str">
        <x:v>Absolute anchor</x:v>
      </x:c>
      <x:c r="K8" s="23" t="str">
        <x:v>Disclosed anchor</x:v>
      </x:c>
      <x:c r="L8" s="23" t="str">
        <x:v>2.8T disclosed; horizon branch cannot move an exact anchor.</x:v>
      </x:c>
    </x:row>
    <x:row r="9">
      <x:c r="A9" s="17" t="str">
        <x:v>Claude Opus 4.7 / 4.8 shared base</x:v>
      </x:c>
      <x:c r="B9" s="20" t="n">
        <x:f>'Frontier Estimates'!M10</x:f>
        <x:v>2.3318329775695745</x:v>
      </x:c>
      <x:c r="C9" s="20" t="n">
        <x:f>'Horizon Laws'!B37</x:f>
        <x:v>2.561158329974988</x:v>
      </x:c>
      <x:c r="D9" s="20" t="n">
        <x:f>'Horizon Laws'!B39</x:f>
        <x:v>3.203281859170802</x:v>
      </x:c>
      <x:c r="E9" s="34" t="n">
        <x:f>'Horizon Laws'!B7</x:f>
        <x:v>0.7</x:v>
      </x:c>
      <x:c r="F9" s="34" t="n">
        <x:f>'Horizon Laws'!B6</x:f>
        <x:v>0.3</x:v>
      </x:c>
      <x:c r="G9" s="116" t="n">
        <x:f>IF(K9="Disclosed anchor",B9,POWER(B9,E9)*POWER(D9,F9))</x:f>
        <x:v>2.5648782467513835</x:v>
      </x:c>
      <x:c r="H9" s="113"/>
      <x:c r="I9" s="113"/>
      <x:c r="J9" s="23" t="str">
        <x:v>Measured shared-base proxy</x:v>
      </x:c>
      <x:c r="K9" s="23" t="str">
        <x:v>Regression estimate</x:v>
      </x:c>
      <x:c r="L9" s="23" t="str">
        <x:v>Opus 4.5/4.6/4.7 collapsed; 4.7 and 4.8 remain one base.</x:v>
      </x:c>
    </x:row>
    <x:row r="10">
      <x:c r="A10" s="17" t="str">
        <x:v>GPT-5.5</x:v>
      </x:c>
      <x:c r="B10" s="20" t="n">
        <x:f>'Frontier Estimates'!M9</x:f>
        <x:v>2.672015154705486</x:v>
      </x:c>
      <x:c r="C10" s="20" t="n">
        <x:f>'Horizon Laws'!B38</x:f>
        <x:v>2.0493901531919194</x:v>
      </x:c>
      <x:c r="D10" s="20" t="n">
        <x:f>'Horizon Laws'!B40</x:f>
        <x:v>2.0190964903578963</x:v>
      </x:c>
      <x:c r="E10" s="34" t="n">
        <x:f>'Horizon Laws'!B7</x:f>
        <x:v>0.7</x:v>
      </x:c>
      <x:c r="F10" s="34" t="n">
        <x:f>'Horizon Laws'!B6</x:f>
        <x:v>0.3</x:v>
      </x:c>
      <x:c r="G10" s="116" t="n">
        <x:f>IF(K10="Disclosed anchor",B10,POWER(B10,E10)*POWER(D10,F10))</x:f>
        <x:v>2.456599527874213</x:v>
      </x:c>
      <x:c r="H10" s="113"/>
      <x:c r="I10" s="113"/>
      <x:c r="J10" s="23" t="str">
        <x:v>Measured shared-base proxy</x:v>
      </x:c>
      <x:c r="K10" s="23" t="str">
        <x:v>Regression estimate</x:v>
      </x:c>
      <x:c r="L10" s="23" t="str">
        <x:v>GPT-5.4 and 5.5 treated as same-base post-training variants.</x:v>
      </x:c>
    </x:row>
    <x:row r="11">
      <x:c r="A11" s="17" t="str">
        <x:v>GPT-5.6 Terra</x:v>
      </x:c>
      <x:c r="B11" s="20" t="n">
        <x:f>'Frontier Estimates'!M11</x:f>
        <x:v>2.2630037831413268</x:v>
      </x:c>
      <x:c r="C11" s="20"/>
      <x:c r="D11" s="20" t="n">
        <x:f>'Horizon Laws'!B44*'Frontier Estimates'!M11/'Frontier Estimates'!M7</x:f>
        <x:v>2.0233212999634618</x:v>
      </x:c>
      <x:c r="E11" s="34" t="n">
        <x:f>'Horizon Laws'!B7</x:f>
        <x:v>0.7</x:v>
      </x:c>
      <x:c r="F11" s="34" t="n">
        <x:f>'Horizon Laws'!B6</x:f>
        <x:v>0.3</x:v>
      </x:c>
      <x:c r="G11" s="116" t="n">
        <x:f>IF(K11="Disclosed anchor",B11,POWER(B11,E11)*POWER(D11,F11))</x:f>
        <x:v>2.188261160029926</x:v>
      </x:c>
      <x:c r="H11" s="113"/>
      <x:c r="I11" s="113"/>
      <x:c r="J11" s="23" t="str">
        <x:v>Relative to Sol</x:v>
      </x:c>
      <x:c r="K11" s="23" t="str">
        <x:v>Regression estimate</x:v>
      </x:c>
      <x:c r="L11" s="23" t="str">
        <x:v>Preserves Terra/Sol scale ratio while applying Sol's horizon correction.</x:v>
      </x:c>
    </x:row>
    <x:row r="12">
      <x:c r="A12" s="17" t="str">
        <x:v>Claude Sonnet 5</x:v>
      </x:c>
      <x:c r="B12" s="20" t="n">
        <x:f>'Frontier Estimates'!M12</x:f>
        <x:v>1.5616446066762157</x:v>
      </x:c>
      <x:c r="C12" s="20"/>
      <x:c r="D12" s="20" t="n">
        <x:f>'Frontier Estimates'!M12</x:f>
        <x:v>1.5616446066762157</x:v>
      </x:c>
      <x:c r="E12" s="34" t="n">
        <x:f>'Horizon Laws'!B7</x:f>
        <x:v>0.7</x:v>
      </x:c>
      <x:c r="F12" s="34" t="n">
        <x:f>'Horizon Laws'!B6</x:f>
        <x:v>0.3</x:v>
      </x:c>
      <x:c r="G12" s="116" t="n">
        <x:f>IF(K12="Disclosed anchor",B12,POWER(B12,E12)*POWER(D12,F12))</x:f>
        <x:v>1.5616446066762157</x:v>
      </x:c>
      <x:c r="H12" s="113"/>
      <x:c r="I12" s="113"/>
      <x:c r="J12" s="23" t="str">
        <x:v>Neutral</x:v>
      </x:c>
      <x:c r="K12" s="23" t="str">
        <x:v>Regression estimate</x:v>
      </x:c>
      <x:c r="L12" s="23" t="str">
        <x:v>No direct Sonnet 5 no-CoT point; horizon branch left neutral.</x:v>
      </x:c>
    </x:row>
    <x:row r="13">
      <x:c r="A13" s="17" t="str">
        <x:v>GPT-5.6 Luna</x:v>
      </x:c>
      <x:c r="B13" s="20" t="n">
        <x:f>'Frontier Estimates'!M13</x:f>
        <x:v>1.5489971200785368</x:v>
      </x:c>
      <x:c r="C13" s="20"/>
      <x:c r="D13" s="20" t="n">
        <x:f>'Horizon Laws'!B44*'Frontier Estimates'!M13/'Frontier Estimates'!M7</x:f>
        <x:v>1.3849375286003376</x:v>
      </x:c>
      <x:c r="E13" s="34" t="n">
        <x:f>'Horizon Laws'!B7</x:f>
        <x:v>0.7</x:v>
      </x:c>
      <x:c r="F13" s="34" t="n">
        <x:f>'Horizon Laws'!B6</x:f>
        <x:v>0.3</x:v>
      </x:c>
      <x:c r="G13" s="116" t="n">
        <x:f>IF(K13="Disclosed anchor",B13,POWER(B13,E13)*POWER(D13,F13))</x:f>
        <x:v>1.4978367513645425</x:v>
      </x:c>
      <x:c r="H13" s="113"/>
      <x:c r="I13" s="113"/>
      <x:c r="J13" s="23" t="str">
        <x:v>Relative to Sol</x:v>
      </x:c>
      <x:c r="K13" s="23" t="str">
        <x:v>Regression estimate</x:v>
      </x:c>
      <x:c r="L13" s="23" t="str">
        <x:v>Preserves Luna/Sol scale ratio while applying Sol's horizon correction.</x:v>
      </x:c>
    </x:row>
    <x:row r="14">
      <x:c r="A14" s="18" t="str">
        <x:v>Grok 4.5</x:v>
      </x:c>
      <x:c r="B14" s="21" t="n">
        <x:f>'Frontier Estimates'!M15</x:f>
        <x:v>1.5</x:v>
      </x:c>
      <x:c r="C14" s="21"/>
      <x:c r="D14" s="21" t="n">
        <x:f>'Frontier Estimates'!M15</x:f>
        <x:v>1.5</x:v>
      </x:c>
      <x:c r="E14" s="29" t="n">
        <x:f>'Horizon Laws'!B7</x:f>
        <x:v>0.7</x:v>
      </x:c>
      <x:c r="F14" s="29" t="n">
        <x:f>'Horizon Laws'!B6</x:f>
        <x:v>0.3</x:v>
      </x:c>
      <x:c r="G14" s="117" t="n">
        <x:f>IF(K14="Disclosed anchor",B14,POWER(B14,E14)*POWER(D14,F14))</x:f>
        <x:v>1.5</x:v>
      </x:c>
      <x:c r="H14" s="114"/>
      <x:c r="I14" s="114"/>
      <x:c r="J14" s="24" t="str">
        <x:v>Absolute anchor</x:v>
      </x:c>
      <x:c r="K14" s="24" t="str">
        <x:v>Disclosed anchor</x:v>
      </x:c>
      <x:c r="L14" s="24" t="str">
        <x:v>1.5T disclosed peg; horizon branch cannot move an exact anchor.</x:v>
      </x:c>
    </x:row>
    <x:row r="17">
      <x:c r="A17" s="69" t="str">
        <x:v>Bayesian interpretation</x:v>
      </x:c>
      <x:c r="B17" s="69"/>
      <x:c r="C17" s="69"/>
      <x:c r="D17" s="69"/>
      <x:c r="E17" s="69"/>
      <x:c r="F17" s="69"/>
      <x:c r="G17" s="69"/>
      <x:c r="H17" s="69"/>
      <x:c r="I17" s="69"/>
      <x:c r="J17" s="69"/>
      <x:c r="K17" s="69"/>
      <x:c r="L17" s="69"/>
    </x:row>
    <x:row r="19">
      <x:c r="A19" s="123" t="str">
        <x:v>The 35-model open-weight panel is informative but not clean: pooled total parameters correlate strongly with TH (ρ=0.81), yet dense and MoE slopes differ sharply (2.2× vs 8.1× total parameters per TH doubling), and absolute open/proprietary TH levels use different benchmark suites. The model therefore uses the paper's pooled 4.2× slope only as a 30% branch anchored to K3, not as a standalone inversion.</x:v>
      </x:c>
      <x:c r="B19" s="124"/>
      <x:c r="C19" s="124"/>
      <x:c r="D19" s="124"/>
      <x:c r="E19" s="124"/>
      <x:c r="F19" s="124"/>
      <x:c r="G19" s="124"/>
      <x:c r="H19" s="124"/>
      <x:c r="I19" s="124"/>
      <x:c r="J19" s="124"/>
      <x:c r="K19" s="124"/>
      <x:c r="L19" s="124"/>
    </x:row>
    <x:row r="20">
      <x:c r="A20" s="123"/>
      <x:c r="B20" s="124"/>
      <x:c r="C20" s="124"/>
      <x:c r="D20" s="124"/>
      <x:c r="E20" s="124"/>
      <x:c r="F20" s="124"/>
      <x:c r="G20" s="124"/>
      <x:c r="H20" s="124"/>
      <x:c r="I20" s="124"/>
      <x:c r="J20" s="124"/>
      <x:c r="K20" s="124"/>
      <x:c r="L20" s="124"/>
    </x:row>
    <x:row r="21">
      <x:c r="A21" s="123"/>
      <x:c r="B21" s="124"/>
      <x:c r="C21" s="124"/>
      <x:c r="D21" s="124"/>
      <x:c r="E21" s="124"/>
      <x:c r="F21" s="124"/>
      <x:c r="G21" s="124"/>
      <x:c r="H21" s="124"/>
      <x:c r="I21" s="124"/>
      <x:c r="J21" s="124"/>
      <x:c r="K21" s="124"/>
      <x:c r="L21" s="124"/>
    </x:row>
    <x:row r="23">
      <x:c r="A23" s="129" t="str">
        <x:v>The human crowd registry currently centers Fable at 3.4T and Sol at 2.3T. Those forecasts are useful for calibration awareness but are relayed, unscored, and probably correlated. They remain posterior checks rather than receiving pseudo-precision as an independent likelihood.</x:v>
      </x:c>
      <x:c r="B23" s="130"/>
      <x:c r="C23" s="130"/>
      <x:c r="D23" s="130"/>
      <x:c r="E23" s="130"/>
      <x:c r="F23" s="130"/>
      <x:c r="G23" s="130"/>
      <x:c r="H23" s="130"/>
      <x:c r="I23" s="130"/>
      <x:c r="J23" s="130"/>
      <x:c r="K23" s="130"/>
      <x:c r="L23" s="130"/>
    </x:row>
    <x:row r="24">
      <x:c r="A24" s="129"/>
      <x:c r="B24" s="130"/>
      <x:c r="C24" s="130"/>
      <x:c r="D24" s="130"/>
      <x:c r="E24" s="130"/>
      <x:c r="F24" s="130"/>
      <x:c r="G24" s="130"/>
      <x:c r="H24" s="130"/>
      <x:c r="I24" s="130"/>
      <x:c r="J24" s="130"/>
      <x:c r="K24" s="130"/>
      <x:c r="L24" s="130"/>
    </x:row>
    <x:row r="25">
      <x:c r="A25" s="129"/>
      <x:c r="B25" s="130"/>
      <x:c r="C25" s="130"/>
      <x:c r="D25" s="130"/>
      <x:c r="E25" s="130"/>
      <x:c r="F25" s="130"/>
      <x:c r="G25" s="130"/>
      <x:c r="H25" s="130"/>
      <x:c r="I25" s="130"/>
      <x:c r="J25" s="130"/>
      <x:c r="K25" s="130"/>
      <x:c r="L25" s="130"/>
    </x:row>
  </x:sheetData>
  <x:mergeCells>
    <x:mergeCell ref="A1:L1"/>
    <x:mergeCell ref="A2:L3"/>
    <x:mergeCell ref="A17:L17"/>
    <x:mergeCell ref="A19:L21"/>
    <x:mergeCell ref="A23:L25"/>
  </x:mergeCells>
  <x:conditionalFormatting sqref="K6:K14">
    <x:cfRule type="containsText" dxfId="3" priority="1" operator="containsText" text="Disclosed"/>
  </x:conditionalFormatting>
  <x:pageMargins left="0.7" right="0.7" top="0.75" bottom="0.75" header="0.3" footer="0.3"/>
  <x:legacyDrawing xmlns:r="http://schemas.openxmlformats.org/officeDocument/2006/relationships" r:id="Rf39a9cae52024d86"/>
  <x:tableParts count="1">
    <x:tablePart xmlns:r="http://schemas.openxmlformats.org/officeDocument/2006/relationships" r:id="R23e9ddf010364974"/>
  </x:tableParts>
</x:worksheet>
</file>