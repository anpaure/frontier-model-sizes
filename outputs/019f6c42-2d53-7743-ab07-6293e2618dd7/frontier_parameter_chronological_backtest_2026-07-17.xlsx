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21f6298bca54ed8" /></Relationships>
</file>

<file path=xl/workbook.xml><?xml version="1.0" encoding="utf-8"?>
<x:workbook xmlns:x="http://schemas.openxmlformats.org/spreadsheetml/2006/main">
  <x:sheets>
    <x:sheet xmlns:r="http://schemas.openxmlformats.org/officeDocument/2006/relationships" name="Executive Summary" sheetId="1" r:id="R900a208d28e54866"/>
    <x:sheet xmlns:r="http://schemas.openxmlformats.org/officeDocument/2006/relationships" name="Model Comparison" sheetId="2" r:id="Rc01474a683be45bf"/>
    <x:sheet xmlns:r="http://schemas.openxmlformats.org/officeDocument/2006/relationships" name="OOS Predictions" sheetId="3" r:id="R4a3b241c498d4b7b"/>
    <x:sheet xmlns:r="http://schemas.openxmlformats.org/officeDocument/2006/relationships" name="Ensemble Backtest" sheetId="4" r:id="R8aeaa0af46d64873"/>
    <x:sheet xmlns:r="http://schemas.openxmlformats.org/officeDocument/2006/relationships" name="External Checks" sheetId="5" r:id="R9d824568e450481f"/>
    <x:sheet xmlns:r="http://schemas.openxmlformats.org/officeDocument/2006/relationships" name="Method and Limits" sheetId="6" r:id="R5c81c91884c04ab0"/>
  </x:sheets>
</x:workbook>
</file>

<file path=xl/comments1.xml><?xml version="1.0" encoding="utf-8"?>
<x:comments xmlns:x="http://schemas.openxmlformats.org/spreadsheetml/2006/main">
  <x:authors>
    <x:author>tc={5BCCBB34-6BD6-50D0-FA5E-E54C284F0A05}</x:author>
  </x:authors>
  <x:commentList>
    <x:comment ref="C12" authorId="0">
      <x:text>
        <x:r>
          <x:t>[Threaded comment]
Your version of Excel allows you to read this threaded comment; however, any edits to it will get removed if the file is opened in a newer version of Excel. Learn more: https://go.microsoft.com/fwlink/?linkid=870924
Comment:
    The ensemble row is not a full-pipeline backtest: price and crowd are unavailable, and models contribute only where at least two component OOS predictions match conservatively.</x:t>
        </x:r>
      </x:text>
    </x:comment>
  </x:commentList>
</x:comments>
</file>

<file path=xl/comments2.xml><?xml version="1.0" encoding="utf-8"?>
<x:comments xmlns:x="http://schemas.openxmlformats.org/spreadsheetml/2006/main">
  <x:authors>
    <x:author>tc={ED4B7BBB-4E4D-83D4-B96A-549733F9ED0A}</x:author>
    <x:author>tc={109F75FB-593F-AE95-3E31-EAD36EBA5B97}</x:author>
  </x:authors>
  <x:commentList>
    <x:comment ref="B26" authorId="0">
      <x:text>
        <x:r>
          <x:t>[Threaded comment]
Your version of Excel allows you to read this threaded comment; however, any edits to it will get removed if the file is opened in a newer version of Excel. Learn more: https://go.microsoft.com/fwlink/?linkid=870924
Comment:
    The ECI live branch is a 60/40 score-only/dated log blend. The date coefficient remains because chronology matters, but the backtest does not support treating it as a stable law.</x:t>
        </x:r>
      </x:text>
    </x:comment>
    <x:comment ref="B27" authorId="1">
      <x:text>
        <x:r>
          <x:t>[Threaded comment]
Your version of Excel allows you to read this threaded comment; however, any edits to it will get removed if the file is opened in a newer version of Excel. Learn more: https://go.microsoft.com/fwlink/?linkid=870924
Comment:
    No-CoT retains the user's 50% evidence-level prior in the live model. This backtest shows useful signal but does not identify that weight as optimal.</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0x"/>
    <x:numFmt numFmtId="202" formatCode="0%"/>
    <x:numFmt numFmtId="203" formatCode="0.0 &quot;T&quot;"/>
    <x:numFmt numFmtId="204" formatCode="0.000"/>
    <x:numFmt numFmtId="205" formatCode="yyyy-mm-dd"/>
    <x:numFmt numFmtId="206" formatCode="#,##0.0"/>
  </x:numFmts>
  <x:fonts count="9">
    <x:font>
      <x:sz val="11"/>
      <x:name val="Carlito"/>
    </x:font>
    <x:font>
      <x:b/>
      <x:sz val="18"/>
      <x:color rgb="FFFFFFFF"/>
      <x:name val="Aptos Display"/>
    </x:font>
    <x:font>
      <x:sz val="10"/>
      <x:color rgb="FF354646"/>
      <x:name val="Aptos"/>
    </x:font>
    <x:font>
      <x:b/>
      <x:sz val="11"/>
      <x:color rgb="FF087879"/>
      <x:name val="Aptos"/>
    </x:font>
    <x:font>
      <x:b/>
      <x:sz val="9"/>
      <x:color rgb="FFFFFFFF"/>
      <x:name val="Aptos"/>
    </x:font>
    <x:font>
      <x:sz val="9"/>
      <x:color rgb="FF354646"/>
      <x:name val="Aptos"/>
    </x:font>
    <x:font>
      <x:b/>
      <x:sz val="9"/>
      <x:color rgb="FF354646"/>
      <x:name val="Aptos"/>
    </x:font>
    <x:font>
      <x:b/>
      <x:sz val="10"/>
      <x:color rgb="FF213A3A"/>
      <x:name val="Aptos"/>
    </x:font>
    <x:font>
      <x:i/>
      <x:sz val="9"/>
      <x:color rgb="FF354646"/>
      <x:name val="Aptos"/>
    </x:font>
  </x:fonts>
  <x:fills count="7">
    <x:fill>
      <x:patternFill patternType="none"/>
    </x:fill>
    <x:fill>
      <x:patternFill patternType="gray125"/>
    </x:fill>
    <x:fill>
      <x:patternFill patternType="solid">
        <x:fgColor rgb="FF213A3A"/>
      </x:patternFill>
    </x:fill>
    <x:fill>
      <x:patternFill patternType="solid">
        <x:fgColor rgb="FFE7F4F4"/>
      </x:patternFill>
    </x:fill>
    <x:fill>
      <x:patternFill patternType="solid">
        <x:fgColor rgb="FF087879"/>
      </x:patternFill>
    </x:fill>
    <x:fill>
      <x:patternFill patternType="solid">
        <x:fgColor rgb="FFFFF3D8"/>
      </x:patternFill>
    </x:fill>
    <x:fill>
      <x:patternFill patternType="solid">
        <x:fgColor rgb="FFFFF0F5"/>
      </x:patternFill>
    </x:fill>
  </x:fills>
  <x:borders count="8">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C88400"/>
      </x:left>
    </x:border>
    <x:border>
      <x:left style="medium">
        <x:color rgb="FFD33A7C"/>
      </x:left>
    </x:border>
  </x:borders>
  <x:cellStyleXfs count="1">
    <x:xf numFmtId="0" fontId="0" fillId="0" borderId="0"/>
  </x:cellStyleXfs>
  <x:cellXfs count="7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2" xfId="0" applyNumberFormat="1" applyFont="1" applyFill="1" applyBorder="1" applyAlignment="1">
      <x:alignment vertical="center"/>
    </x:xf>
    <x:xf numFmtId="0" fontId="5" fillId="0" borderId="3" xfId="0" applyNumberFormat="1" applyFont="1" applyFill="1" applyBorder="1" applyAlignment="1">
      <x:alignment vertical="center"/>
    </x:xf>
    <x:xf numFmtId="0" fontId="5" fillId="0" borderId="4"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201" fontId="5" fillId="0" borderId="2" xfId="0" applyNumberFormat="1" applyFont="1" applyFill="1" applyBorder="1" applyAlignment="1">
      <x:alignment vertical="center"/>
    </x:xf>
    <x:xf numFmtId="201" fontId="5" fillId="0" borderId="3" xfId="0" applyNumberFormat="1" applyFont="1" applyFill="1" applyBorder="1" applyAlignment="1">
      <x:alignment vertical="center"/>
    </x:xf>
    <x:xf numFmtId="201" fontId="5" fillId="0" borderId="4" xfId="0" applyNumberFormat="1" applyFont="1" applyFill="1" applyBorder="1" applyAlignment="1">
      <x:alignment vertical="center"/>
    </x:xf>
    <x:xf numFmtId="202" fontId="5" fillId="0" borderId="2" xfId="0" applyNumberFormat="1" applyFont="1" applyFill="1" applyBorder="1" applyAlignment="1">
      <x:alignment vertical="center"/>
    </x:xf>
    <x:xf numFmtId="202" fontId="5" fillId="0" borderId="3" xfId="0" applyNumberFormat="1" applyFont="1" applyFill="1" applyBorder="1" applyAlignment="1">
      <x:alignment vertical="center"/>
    </x:xf>
    <x:xf numFmtId="202" fontId="5" fillId="0" borderId="4" xfId="0" applyNumberFormat="1" applyFont="1" applyFill="1" applyBorder="1" applyAlignment="1">
      <x:alignment vertical="center"/>
    </x:xf>
    <x:xf numFmtId="0" fontId="6" fillId="3" borderId="4" xfId="0" applyNumberFormat="1" applyFont="1" applyFill="1" applyBorder="1" applyAlignment="1">
      <x:alignment vertical="center"/>
    </x:xf>
    <x:xf numFmtId="200" fontId="5" fillId="3" borderId="4" xfId="0" applyNumberFormat="1" applyFont="1" applyFill="1" applyBorder="1" applyAlignment="1">
      <x:alignment vertical="center"/>
    </x:xf>
    <x:xf numFmtId="201" fontId="5" fillId="3" borderId="4" xfId="0" applyNumberFormat="1" applyFont="1" applyFill="1" applyBorder="1" applyAlignment="1">
      <x:alignment vertical="center"/>
    </x:xf>
    <x:xf numFmtId="202" fontId="5" fillId="3" borderId="4" xfId="0" applyNumberFormat="1" applyFont="1" applyFill="1" applyBorder="1" applyAlignment="1">
      <x:alignment vertical="center"/>
    </x:xf>
    <x:xf numFmtId="203" fontId="5" fillId="0" borderId="2" xfId="0" applyNumberFormat="1" applyFont="1" applyFill="1" applyBorder="1" applyAlignment="1">
      <x:alignment vertical="center"/>
    </x:xf>
    <x:xf numFmtId="203" fontId="5" fillId="0" borderId="3" xfId="0" applyNumberFormat="1" applyFont="1" applyFill="1" applyBorder="1" applyAlignment="1">
      <x:alignment vertical="center"/>
    </x:xf>
    <x:xf numFmtId="203" fontId="5" fillId="0" borderId="4" xfId="0" applyNumberFormat="1" applyFont="1" applyFill="1" applyBorder="1" applyAlignment="1">
      <x:alignment vertical="center"/>
    </x:xf>
    <x:xf numFmtId="0" fontId="7" fillId="3" borderId="0" xfId="0" applyNumberFormat="1" applyFont="1" applyFill="1" applyBorder="1"/>
    <x:xf numFmtId="0" fontId="7" fillId="3" borderId="5" xfId="0" applyNumberFormat="1" applyFont="1" applyFill="1" applyBorder="1"/>
    <x:xf numFmtId="0" fontId="7" fillId="3" borderId="5" xfId="0" applyNumberFormat="1" applyFont="1" applyFill="1" applyBorder="1" applyAlignment="1">
      <x:alignment wrapText="1"/>
    </x:xf>
    <x:xf numFmtId="0" fontId="7" fillId="3" borderId="0" xfId="0" applyNumberFormat="1" applyFont="1" applyFill="1" applyBorder="1" applyAlignment="1">
      <x:alignment wrapText="1"/>
    </x:xf>
    <x:xf numFmtId="0" fontId="7" fillId="3" borderId="5" xfId="0" applyNumberFormat="1" applyFont="1" applyFill="1" applyBorder="1" applyAlignment="1">
      <x:alignment vertical="center" wrapText="1"/>
    </x:xf>
    <x:xf numFmtId="0" fontId="7" fillId="3" borderId="0" xfId="0" applyNumberFormat="1" applyFont="1" applyFill="1" applyBorder="1" applyAlignment="1">
      <x:alignment vertical="center" wrapText="1"/>
    </x:xf>
    <x:xf numFmtId="0" fontId="0" fillId="5" borderId="0" xfId="0" applyNumberFormat="1" applyFont="1" applyFill="1" applyBorder="1"/>
    <x:xf numFmtId="0" fontId="5" fillId="5" borderId="0" xfId="0" applyNumberFormat="1" applyFont="1" applyFill="1" applyBorder="1"/>
    <x:xf numFmtId="0" fontId="5" fillId="5" borderId="6" xfId="0" applyNumberFormat="1" applyFont="1" applyFill="1" applyBorder="1"/>
    <x:xf numFmtId="0" fontId="5" fillId="5" borderId="6"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6"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7" xfId="0" applyNumberFormat="1" applyFont="1" applyFill="1" applyBorder="1"/>
    <x:xf numFmtId="0" fontId="8" fillId="6" borderId="7"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7"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204" fontId="5" fillId="0" borderId="2" xfId="0" applyNumberFormat="1" applyFont="1" applyFill="1" applyBorder="1" applyAlignment="1">
      <x:alignment vertical="center"/>
    </x:xf>
    <x:xf numFmtId="204" fontId="5" fillId="0" borderId="3" xfId="0" applyNumberFormat="1" applyFont="1" applyFill="1" applyBorder="1" applyAlignment="1">
      <x:alignment vertical="center"/>
    </x:xf>
    <x:xf numFmtId="204" fontId="5" fillId="0" borderId="4" xfId="0" applyNumberFormat="1" applyFont="1" applyFill="1" applyBorder="1" applyAlignment="1">
      <x:alignment vertical="center"/>
    </x:xf>
    <x:xf numFmtId="205" fontId="5" fillId="0" borderId="2" xfId="0" applyNumberFormat="1" applyFont="1" applyFill="1" applyBorder="1" applyAlignment="1">
      <x:alignment vertical="center"/>
    </x:xf>
    <x:xf numFmtId="205" fontId="5" fillId="0" borderId="3" xfId="0" applyNumberFormat="1" applyFont="1" applyFill="1" applyBorder="1" applyAlignment="1">
      <x:alignment vertical="center"/>
    </x:xf>
    <x:xf numFmtId="205" fontId="5" fillId="0" borderId="4" xfId="0" applyNumberFormat="1" applyFont="1" applyFill="1" applyBorder="1" applyAlignment="1">
      <x:alignment vertical="center"/>
    </x:xf>
    <x:xf numFmtId="206" fontId="5" fillId="0" borderId="2" xfId="0" applyNumberFormat="1" applyFont="1" applyFill="1" applyBorder="1" applyAlignment="1">
      <x:alignment vertical="center"/>
    </x:xf>
    <x:xf numFmtId="206" fontId="5" fillId="0" borderId="3" xfId="0" applyNumberFormat="1" applyFont="1" applyFill="1" applyBorder="1" applyAlignment="1">
      <x:alignment vertical="center"/>
    </x:xf>
    <x:xf numFmtId="206" fontId="5" fillId="0" borderId="4" xfId="0" applyNumberFormat="1" applyFont="1" applyFill="1" applyBorder="1" applyAlignment="1">
      <x:alignment vertical="center"/>
    </x:xf>
    <x:xf numFmtId="0" fontId="5" fillId="0" borderId="2"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5" fillId="0" borderId="4" xfId="0" applyNumberFormat="1" applyFont="1" applyFill="1" applyBorder="1" applyAlignment="1">
      <x:alignment vertical="center" wrapText="1"/>
    </x:xf>
  </x:cellXfs>
  <x:cellStyles count="1">
    <x:cellStyle name="Normal" xfId="0"/>
  </x:cellStyles>
  <x:dxfs count="5">
    <x:dxf>
      <x:font>
        <x:b/>
        <x:color rgb="FFA33A3A"/>
      </x:font>
      <x:fill>
        <x:patternFill patternType="solid">
          <x:bgColor rgb="FFFFF0F5"/>
        </x:patternFill>
      </x:fill>
    </x:dxf>
    <x:dxf>
      <x:font>
        <x:b/>
        <x:color rgb="FF1F6B4F"/>
      </x:font>
      <x:fill>
        <x:patternFill patternType="solid">
          <x:bgColor rgb="FFE7F4F4"/>
        </x:patternFill>
      </x:fill>
    </x:dxf>
    <x:dxf>
      <x:font>
        <x:color rgb="FFA33A3A"/>
      </x:font>
      <x:fill>
        <x:patternFill patternType="solid">
          <x:bgColor rgb="FFFFF0F5"/>
        </x:patternFill>
      </x:fill>
    </x:dxf>
    <x:dxf>
      <x:font>
        <x:color rgb="FFA33A3A"/>
      </x:font>
      <x:fill>
        <x:patternFill patternType="solid">
          <x:bgColor rgb="FFFFF0F5"/>
        </x:patternFill>
      </x:fill>
    </x:dxf>
    <x:dxf>
      <x:font>
        <x:b/>
        <x:color rgb="FFA33A3A"/>
      </x:font>
      <x:fill>
        <x:patternFill patternType="solid">
          <x:bgColor rgb="FFFFF0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9582bbed984369" /><Relationship Type="http://schemas.openxmlformats.org/officeDocument/2006/relationships/theme" Target="/xl/theme/theme1.xml" Id="R1780d747a71d4d0c" /><Relationship Type="http://schemas.openxmlformats.org/officeDocument/2006/relationships/sharedStrings" Target="/xl/sharedStrings.xml" Id="R05efd9d3b9bd47c0" /><Relationship Type="http://schemas.openxmlformats.org/officeDocument/2006/relationships/worksheet" Target="/xl/worksheets/sheet1.xml" Id="R900a208d28e54866" /><Relationship Type="http://schemas.openxmlformats.org/officeDocument/2006/relationships/worksheet" Target="/xl/worksheets/sheet2.xml" Id="Rc01474a683be45bf" /><Relationship Type="http://schemas.openxmlformats.org/officeDocument/2006/relationships/worksheet" Target="/xl/worksheets/sheet3.xml" Id="R4a3b241c498d4b7b" /><Relationship Type="http://schemas.openxmlformats.org/officeDocument/2006/relationships/worksheet" Target="/xl/worksheets/sheet4.xml" Id="R8aeaa0af46d64873" /><Relationship Type="http://schemas.openxmlformats.org/officeDocument/2006/relationships/worksheet" Target="/xl/worksheets/sheet5.xml" Id="R9d824568e450481f" /><Relationship Type="http://schemas.openxmlformats.org/officeDocument/2006/relationships/worksheet" Target="/xl/worksheets/sheet6.xml" Id="R5c81c91884c04ab0" /><Relationship Type="http://schemas.microsoft.com/office/2017/10/relationships/person" Target="/xl/persons/person.xml" Id="R96fe4fd920dc4550" /></Relationships>
</file>

<file path=xl/drawings/_rels/drawing1.xml.rels>&#65279;<?xml version="1.0" encoding="utf-8"?><Relationships xmlns="http://schemas.openxmlformats.org/package/2006/relationships"><Relationship Type="http://schemas.openxmlformats.org/officeDocument/2006/relationships/chart" Target="/xl/drawings/charts/chart1.xml" Id="R40cf17a9c1d74af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Strict chronological median error (lower is better)</a:t>
            </a:r>
          </a:p>
        </c:rich>
      </c:tx>
      <c:overlay val="0"/>
    </c:title>
    <c:plotArea>
      <c:barChart>
        <c:barDir val="col"/>
        <c:varyColors val="0"/>
        <c:ser>
          <c:idx val="0"/>
          <c:order val="0"/>
          <c:tx>
            <c:v>Median error factor</c:v>
          </c:tx>
          <c:spPr>
            <a:solidFill xmlns:a="http://schemas.openxmlformats.org/drawingml/2006/main">
              <a:srgbClr val="00A5A6"/>
            </a:solidFill>
          </c:spPr>
          <c:cat>
            <c:strRef>
              <c:f>'Executive Summary'!$A$8:$A$12</c:f>
              <c:strCache>
                <c:ptCount val="0"/>
              </c:strCache>
            </c:strRef>
          </c:cat>
          <c:val>
            <c:numRef>
              <c:f>'Executive Summary'!$C$8:$C$12</c:f>
              <c:numCache>
                <c:formatCode>0.0x</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3"/>
          <c:min val="0"/>
        </c:scaling>
        <c:delete val="0"/>
        <c:axPos val="l"/>
        <c:majorGridlines>
          <c:spPr>
            <a:ln xmlns:a="http://schemas.openxmlformats.org/drawingml/2006/main" w="9525">
              <a:solidFill>
                <a:srgbClr val="CCCCCC"/>
              </a:solidFill>
              <a:prstDash val="dash"/>
            </a:ln>
          </c:spPr>
        </c:majorGridlines>
        <c:numFmt formatCode="0.0x"/>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5</xdr:row>
      <xdr:rowOff>0</xdr:rowOff>
    </xdr:from>
    <xdr:to>
      <xdr:col>16</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cf17a9c1d74af3"/>
        </a:graphicData>
      </a:graphic>
    </xdr:graphicFrame>
    <xdr:clientData/>
  </xdr:twoCellAnchor>
</xdr:wsDr>
</file>

<file path=xl/persons/person.xml><?xml version="1.0" encoding="utf-8"?>
<xltc:personList xmlns:xltc="http://schemas.microsoft.com/office/spreadsheetml/2018/threadedcomments">
  <xltc:person displayName="Codex" id="{9880DB29-1A54-415F-8236-4210258137F2}"/>
</xltc:personList>
</file>

<file path=xl/tables/table1.xml><?xml version="1.0" encoding="utf-8"?>
<x:table xmlns:x="http://schemas.openxmlformats.org/spreadsheetml/2006/main" id="1" name="ModelComparisonTable" displayName="ModelComparisonTable" ref="A5:N43" headerRowCount="1" totalsRowCount="0" totalsRowShown="0">
  <x:tableColumns count="14">
    <x:tableColumn id="1" name="Panel"/>
    <x:tableColumn id="2" name="Split"/>
    <x:tableColumn id="3" name="Specification"/>
    <x:tableColumn id="4" name="Current-like"/>
    <x:tableColumn id="5" name="n"/>
    <x:tableColumn id="6" name="Median error"/>
    <x:tableColumn id="7" name="Geo-mean error"/>
    <x:tableColumn id="8" name="RMSE log10"/>
    <x:tableColumn id="9" name="Bias ratio"/>
    <x:tableColumn id="10" name="Within 1.5x"/>
    <x:tableColumn id="11" name="Within 2x"/>
    <x:tableColumn id="12" name="Within 3x"/>
    <x:tableColumn id="13" name="P80 error"/>
    <x:tableColumn id="14" name="P90 error"/>
  </x:tableColumns>
  <x:tableStyleInfo name="TableStyleMedium2" showFirstColumn="0" showLastColumn="0" showRowStripes="1" showColumnStripes="0"/>
</x:table>
</file>

<file path=xl/tables/table2.xml><?xml version="1.0" encoding="utf-8"?>
<x:table xmlns:x="http://schemas.openxmlformats.org/spreadsheetml/2006/main" id="2" name="OOSPredictionTable" displayName="OOSPredictionTable" ref="A5:M387" headerRowCount="1" totalsRowCount="0" totalsRowShown="0">
  <x:tableColumns count="13">
    <x:tableColumn id="1" name="Panel"/>
    <x:tableColumn id="2" name="Release"/>
    <x:tableColumn id="3" name="Model"/>
    <x:tableColumn id="4" name="Family"/>
    <x:tableColumn id="5" name="Actual (B)"/>
    <x:tableColumn id="6" name="Predicted (B)"/>
    <x:tableColumn id="7" name="Factor error"/>
    <x:tableColumn id="8" name="Pred / actual"/>
    <x:tableColumn id="9" name="Train n"/>
    <x:tableColumn id="10" name="Train families"/>
    <x:tableColumn id="11" name="Train max date"/>
    <x:tableColumn id="12" name="Frontier rank"/>
    <x:tableColumn id="13" name="Components"/>
  </x:tableColumns>
  <x:tableStyleInfo name="TableStyleMedium2" showFirstColumn="0" showLastColumn="0" showRowStripes="1" showColumnStripes="0"/>
</x:table>
</file>

<file path=xl/tables/table3.xml><?xml version="1.0" encoding="utf-8"?>
<x:table xmlns:x="http://schemas.openxmlformats.org/spreadsheetml/2006/main" id="3" name="EnsemblePredictionTable" displayName="EnsemblePredictionTable" ref="A15:J59" headerRowCount="1" totalsRowCount="0" totalsRowShown="0">
  <x:tableColumns count="10">
    <x:tableColumn id="1" name="Release"/>
    <x:tableColumn id="2" name="Model"/>
    <x:tableColumn id="3" name="Actual (B)"/>
    <x:tableColumn id="4" name="Predicted (B)"/>
    <x:tableColumn id="5" name="Factor error"/>
    <x:tableColumn id="6" name="Pred / actual"/>
    <x:tableColumn id="7" name="Components"/>
    <x:tableColumn id="8" name="Component predictions"/>
    <x:tableColumn id="9" name="Train max date"/>
    <x:tableColumn id="10" name="Frontier rank"/>
  </x:tableColumns>
  <x:tableStyleInfo name="TableStyleMedium2" showFirstColumn="0" showLastColumn="0" showRowStripes="1" showColumnStripes="0"/>
</x:table>
</file>

<file path=xl/tables/table4.xml><?xml version="1.0" encoding="utf-8"?>
<x:table xmlns:x="http://schemas.openxmlformats.org/spreadsheetml/2006/main" id="4" name="ExternalChecksTable" displayName="ExternalChecksTable" ref="A5:H10" headerRowCount="1" totalsRowCount="0" totalsRowShown="0">
  <x:tableColumns count="8">
    <x:tableColumn id="1" name="Anchor"/>
    <x:tableColumn id="2" name="Method"/>
    <x:tableColumn id="3" name="Actual (B)"/>
    <x:tableColumn id="4" name="Predicted (B)"/>
    <x:tableColumn id="5" name="Factor error"/>
    <x:tableColumn id="6" name="Train n"/>
    <x:tableColumn id="7" name="Coefficients"/>
    <x:tableColumn id="8"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12" dT="2026-08-01T18:06:22.458" personId="{9880DB29-1A54-415F-8236-4210258137F2}" id="{5BCCBB34-6BD6-50D0-FA5E-E54C284F0A05}">
    <xltc:text>The ensemble row is not a full-pipeline backtest: price and crowd are unavailable, and models contribute only where at least two component OOS predictions match conservatively.</xltc:text>
  </xltc:threadedComment>
</xltc:ThreadedComments>
</file>

<file path=xl/threadedcomments/threadedcomment2.xml><?xml version="1.0" encoding="utf-8"?>
<xltc:ThreadedComments xmlns:xltc="http://schemas.microsoft.com/office/spreadsheetml/2018/threadedcomments">
  <xltc:threadedComment ref="B26" dT="2026-08-01T18:06:22.458" personId="{9880DB29-1A54-415F-8236-4210258137F2}" id="{ED4B7BBB-4E4D-83D4-B96A-549733F9ED0A}">
    <xltc:text>The ECI live branch is a 60/40 score-only/dated log blend. The date coefficient remains because chronology matters, but the backtest does not support treating it as a stable law.</xltc:text>
  </xltc:threadedComment>
  <xltc:threadedComment ref="B27" dT="2026-08-01T18:06:22.458" personId="{9880DB29-1A54-415F-8236-4210258137F2}" id="{109F75FB-593F-AE95-3E31-EAD36EBA5B97}">
    <xltc:text>No-CoT retains the user's 50% evidence-level prior in the live model. This backtest shows useful signal but does not identify that weight as optimal.</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60174552b96b464b" /><Relationship Type="http://schemas.openxmlformats.org/officeDocument/2006/relationships/vmlDrawing" Target="/xl/drawings/vmldrawing.vml" Id="Rb9d9ac4a54d24366" /><Relationship Type="http://schemas.microsoft.com/office/2017/10/relationships/threadedComment" Target="/xl/threadedcomments/threadedcomment.xml" Id="Rc9cf825fc9034b84" /><Relationship Type="http://schemas.openxmlformats.org/officeDocument/2006/relationships/drawing" Target="/xl/drawings/drawing1.xml" Id="Rd784a177074f4914" /></Relationships>
</file>

<file path=xl/worksheets/_rels/sheet2.xml.rels>&#65279;<?xml version="1.0" encoding="utf-8"?><Relationships xmlns="http://schemas.openxmlformats.org/package/2006/relationships"><Relationship Type="http://schemas.openxmlformats.org/officeDocument/2006/relationships/table" Target="/xl/tables/table1.xml" Id="R8a0afd6a24bd4c66" /></Relationships>
</file>

<file path=xl/worksheets/_rels/sheet3.xml.rels>&#65279;<?xml version="1.0" encoding="utf-8"?><Relationships xmlns="http://schemas.openxmlformats.org/package/2006/relationships"><Relationship Type="http://schemas.openxmlformats.org/officeDocument/2006/relationships/table" Target="/xl/tables/table2.xml" Id="R4758edda1305431a" /></Relationships>
</file>

<file path=xl/worksheets/_rels/sheet4.xml.rels>&#65279;<?xml version="1.0" encoding="utf-8"?><Relationships xmlns="http://schemas.openxmlformats.org/package/2006/relationships"><Relationship Type="http://schemas.openxmlformats.org/officeDocument/2006/relationships/table" Target="/xl/tables/table3.xml" Id="R8ce8dbed486d4b5a" /></Relationships>
</file>

<file path=xl/worksheets/_rels/sheet5.xml.rels>&#65279;<?xml version="1.0" encoding="utf-8"?><Relationships xmlns="http://schemas.openxmlformats.org/package/2006/relationships"><Relationship Type="http://schemas.openxmlformats.org/officeDocument/2006/relationships/table" Target="/xl/tables/table4.xml" Id="R05ac6106ab8e418f" /></Relationships>
</file>

<file path=xl/worksheets/_rels/sheet6.xml.rels>&#65279;<?xml version="1.0" encoding="utf-8"?><Relationships xmlns="http://schemas.openxmlformats.org/package/2006/relationships"><Relationship Type="http://schemas.openxmlformats.org/officeDocument/2006/relationships/comments" Target="/xl/comments2.xml" Id="R403fd4bba153452e" /><Relationship Type="http://schemas.openxmlformats.org/officeDocument/2006/relationships/vmlDrawing" Target="/xl/drawings/vmldrawing2.vml" Id="R2c32aab4b1a44b0d" /><Relationship Type="http://schemas.microsoft.com/office/2017/10/relationships/threadedComment" Target="/xl/threadedcomments/threadedcomment2.xml" Id="R6ee83a7d08654bb5"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6" hidden="0" customWidth="1"/>
    <x:col min="4" max="4" width="16" hidden="0" customWidth="1"/>
    <x:col min="5" max="5" width="16" hidden="0" customWidth="1"/>
    <x:col min="6" max="6" width="16" hidden="0" customWidth="1"/>
    <x:col min="7" max="7" width="16" hidden="0" customWidth="1"/>
    <x:col min="8" max="8" width="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s>
  <x:sheetData>
    <x:row r="1" ht="36" customHeight="1">
      <x:c r="A1" s="3" t="str">
        <x:v>Frontier parameter model — chronological backtest</x:v>
      </x:c>
      <x:c r="B1" s="3"/>
      <x:c r="C1" s="3"/>
      <x:c r="D1" s="3"/>
      <x:c r="E1" s="3"/>
      <x:c r="F1" s="3"/>
      <x:c r="G1" s="3"/>
      <x:c r="H1" s="3"/>
      <x:c r="I1" s="3"/>
      <x:c r="J1" s="3"/>
      <x:c r="K1" s="3"/>
      <x:c r="L1" s="3"/>
      <x:c r="M1" s="3"/>
      <x:c r="N1" s="3"/>
      <x:c r="O1" s="3"/>
      <x:c r="P1" s="3"/>
    </x:row>
    <x:row r="2">
      <x:c r="A2" s="6" t="str">
        <x:v>Each held-out checkpoint is predicted using only strictly earlier releases. The preferred test also removes the checkpoint's entire family/lab from training. Target: disclosed total parameters. Scores are from current snapshots, so this is a pseudo-chronological mapping test rather than a fully vintage real-time forecast.</x:v>
      </x:c>
      <x:c r="B2" s="6"/>
      <x:c r="C2" s="6"/>
      <x:c r="D2" s="6"/>
      <x:c r="E2" s="6"/>
      <x:c r="F2" s="6"/>
      <x:c r="G2" s="6"/>
      <x:c r="H2" s="6"/>
      <x:c r="I2" s="6"/>
      <x:c r="J2" s="6"/>
      <x:c r="K2" s="6"/>
      <x:c r="L2" s="6"/>
      <x:c r="M2" s="6"/>
      <x:c r="N2" s="6"/>
      <x:c r="O2" s="6"/>
      <x:c r="P2" s="6"/>
    </x:row>
    <x:row r="3">
      <x:c r="A3" s="6"/>
      <x:c r="B3" s="6"/>
      <x:c r="C3" s="6"/>
      <x:c r="D3" s="6"/>
      <x:c r="E3" s="6"/>
      <x:c r="F3" s="6"/>
      <x:c r="G3" s="6"/>
      <x:c r="H3" s="6"/>
      <x:c r="I3" s="6"/>
      <x:c r="J3" s="6"/>
      <x:c r="K3" s="6"/>
      <x:c r="L3" s="6"/>
      <x:c r="M3" s="6"/>
      <x:c r="N3" s="6"/>
      <x:c r="O3" s="6"/>
      <x:c r="P3" s="6"/>
    </x:row>
    <x:row r="4">
      <x:c r="A4" s="6"/>
      <x:c r="B4" s="6"/>
      <x:c r="C4" s="6"/>
      <x:c r="D4" s="6"/>
      <x:c r="E4" s="6"/>
      <x:c r="F4" s="6"/>
      <x:c r="G4" s="6"/>
      <x:c r="H4" s="6"/>
      <x:c r="I4" s="6"/>
      <x:c r="J4" s="6"/>
      <x:c r="K4" s="6"/>
      <x:c r="L4" s="6"/>
      <x:c r="M4" s="6"/>
      <x:c r="N4" s="6"/>
      <x:c r="O4" s="6"/>
      <x:c r="P4" s="6"/>
    </x:row>
    <x:row r="6">
      <x:c r="A6" s="9" t="str">
        <x:v>Current-like specifications, strict family-held-out split</x:v>
      </x:c>
      <x:c r="B6" s="9"/>
      <x:c r="C6" s="9"/>
      <x:c r="D6" s="9"/>
      <x:c r="E6" s="9"/>
      <x:c r="F6" s="9"/>
      <x:c r="G6" s="9"/>
    </x:row>
    <x:row r="7" ht="32" customHeight="1">
      <x:c r="A7" s="14" t="str">
        <x:v>Component</x:v>
      </x:c>
      <x:c r="B7" s="14" t="str">
        <x:v>OOS n</x:v>
      </x:c>
      <x:c r="C7" s="14" t="str">
        <x:v>Median error</x:v>
      </x:c>
      <x:c r="D7" s="14" t="str">
        <x:v>Within 2x</x:v>
      </x:c>
      <x:c r="E7" s="14" t="str">
        <x:v>80th pct error</x:v>
      </x:c>
      <x:c r="F7" s="14" t="str">
        <x:v>Bias ratio</x:v>
      </x:c>
      <x:c r="G7" s="14" t="str">
        <x:v>Frontier-like median</x:v>
      </x:c>
    </x:row>
    <x:row r="8">
      <x:c r="A8" s="22" t="str">
        <x:v>AA</x:v>
      </x:c>
      <x:c r="B8" s="25" t="n">
        <x:v>34</x:v>
      </x:c>
      <x:c r="C8" s="28" t="n">
        <x:v>2.70082658858217</x:v>
      </x:c>
      <x:c r="D8" s="31" t="n">
        <x:v>0.4117647058823529</x:v>
      </x:c>
      <x:c r="E8" s="28" t="n">
        <x:v>11.609087361061977</x:v>
      </x:c>
      <x:c r="F8" s="28" t="n">
        <x:v>2.2284788227133836</x:v>
      </x:c>
      <x:c r="G8" s="28" t="n">
        <x:v>1.9823153978544241</x:v>
      </x:c>
    </x:row>
    <x:row r="9">
      <x:c r="A9" s="23" t="str">
        <x:v>ECI</x:v>
      </x:c>
      <x:c r="B9" s="26" t="n">
        <x:v>69</x:v>
      </x:c>
      <x:c r="C9" s="29" t="n">
        <x:v>2.5962758629332074</x:v>
      </x:c>
      <x:c r="D9" s="32" t="n">
        <x:v>0.4057971014492754</x:v>
      </x:c>
      <x:c r="E9" s="29" t="n">
        <x:v>5.579796226324883</x:v>
      </x:c>
      <x:c r="F9" s="29" t="n">
        <x:v>0.8924812284316762</x:v>
      </x:c>
      <x:c r="G9" s="29" t="n">
        <x:v>2.3899893518704016</x:v>
      </x:c>
    </x:row>
    <x:row r="10">
      <x:c r="A10" s="23" t="str">
        <x:v>No-CoT</x:v>
      </x:c>
      <x:c r="B10" s="26" t="n">
        <x:v>22</x:v>
      </x:c>
      <x:c r="C10" s="29" t="n">
        <x:v>2.2568768541150135</x:v>
      </x:c>
      <x:c r="D10" s="32" t="n">
        <x:v>0.36363636363636365</x:v>
      </x:c>
      <x:c r="E10" s="29" t="n">
        <x:v>6.073386078057711</x:v>
      </x:c>
      <x:c r="F10" s="29" t="n">
        <x:v>1.163331518682907</x:v>
      </x:c>
      <x:c r="G10" s="29" t="n">
        <x:v>2.0752476779208324</x:v>
      </x:c>
    </x:row>
    <x:row r="11">
      <x:c r="A11" s="23" t="str">
        <x:v>Compute</x:v>
      </x:c>
      <x:c r="B11" s="26" t="n">
        <x:v>212</x:v>
      </x:c>
      <x:c r="C11" s="29" t="n">
        <x:v>2.705812123184848</x:v>
      </x:c>
      <x:c r="D11" s="32" t="n">
        <x:v>0.33962264150943394</x:v>
      </x:c>
      <x:c r="E11" s="29" t="n">
        <x:v>5.73863839172346</x:v>
      </x:c>
      <x:c r="F11" s="29" t="n">
        <x:v>1.0937001408010636</x:v>
      </x:c>
      <x:c r="G11" s="29" t="n">
        <x:v>2.4158185886873382</x:v>
      </x:c>
    </x:row>
    <x:row r="12">
      <x:c r="A12" s="34" t="str">
        <x:v>Available-components ensemble</x:v>
      </x:c>
      <x:c r="B12" s="35" t="n">
        <x:v>44</x:v>
      </x:c>
      <x:c r="C12" s="36" t="n">
        <x:v>2.1364127981098613</x:v>
      </x:c>
      <x:c r="D12" s="37" t="n">
        <x:v>0.45454545454545453</x:v>
      </x:c>
      <x:c r="E12" s="36" t="n">
        <x:v>5.1511709166892645</x:v>
      </x:c>
      <x:c r="F12" s="36" t="n">
        <x:v>1.1125539481707916</x:v>
      </x:c>
      <x:c r="G12" s="36" t="n">
        <x:v>2.0237034416634527</x:v>
      </x:c>
    </x:row>
    <x:row r="15">
      <x:c r="A15" s="9" t="str">
        <x:v>External anchors not used as locked predictions</x:v>
      </x:c>
      <x:c r="B15" s="9"/>
      <x:c r="C15" s="9"/>
      <x:c r="D15" s="9"/>
      <x:c r="E15" s="9"/>
      <x:c r="F15" s="9"/>
      <x:c r="G15" s="9"/>
    </x:row>
    <x:row r="16" ht="32" customHeight="1">
      <x:c r="A16" s="14" t="str">
        <x:v>Anchor</x:v>
      </x:c>
      <x:c r="B16" s="14" t="str">
        <x:v>Method</x:v>
      </x:c>
      <x:c r="C16" s="14" t="str">
        <x:v>Actual (T)</x:v>
      </x:c>
      <x:c r="D16" s="14" t="str">
        <x:v>Predicted (T)</x:v>
      </x:c>
      <x:c r="E16" s="14" t="str">
        <x:v>Error</x:v>
      </x:c>
    </x:row>
    <x:row r="17">
      <x:c r="A17" s="19" t="str">
        <x:v>Kimi K3</x:v>
      </x:c>
      <x:c r="B17" s="19" t="str">
        <x:v>AA expanding fit</x:v>
      </x:c>
      <x:c r="C17" s="38" t="n">
        <x:v>2.78</x:v>
      </x:c>
      <x:c r="D17" s="38" t="n">
        <x:v>2.5069559161671764</x:v>
      </x:c>
      <x:c r="E17" s="28" t="n">
        <x:v>1.108914593221198</x:v>
      </x:c>
    </x:row>
    <x:row r="18">
      <x:c r="A18" s="20" t="str">
        <x:v>Kimi K3</x:v>
      </x:c>
      <x:c r="B18" s="20" t="str">
        <x:v>AA expanding fit; all Kimi held out</x:v>
      </x:c>
      <x:c r="C18" s="39" t="n">
        <x:v>2.78</x:v>
      </x:c>
      <x:c r="D18" s="39" t="n">
        <x:v>2.2428774539771252</x:v>
      </x:c>
      <x:c r="E18" s="29" t="n">
        <x:v>1.2394792212434236</x:v>
      </x:c>
    </x:row>
    <x:row r="19">
      <x:c r="A19" s="21" t="str">
        <x:v>Grok 4.5</x:v>
      </x:c>
      <x:c r="B19" s="21" t="str">
        <x:v>AA/ECI direct geometric ensemble before anchor lock</x:v>
      </x:c>
      <x:c r="C19" s="40" t="n">
        <x:v>1.5</x:v>
      </x:c>
      <x:c r="D19" s="40" t="n">
        <x:v>0.7956246412929038</x:v>
      </x:c>
      <x:c r="E19" s="30" t="n">
        <x:v>1.8853111406435001</x:v>
      </x:c>
    </x:row>
    <x:row r="22">
      <x:c r="A22" s="45" t="str">
        <x:v>Verdict: there is real signal, but not literal-weight precision. Individual components recover held-out parameter counts with roughly 2.5–2.7× median error. The current available-component ensemble reaches 2.1× median error on 44 matched checkpoints, with a 5.2× 80th-percentile miss. K3's all-Kimi-held-out AA check is 2.24T versus 2.78T; after the much lower ECI/compute proxies are included, its corrected incomplete-component ensemble is 0.84T / 3.31×. Grok's AA/ECI external check is 0.80T versus 1.5T. These are stress checks, not proof of tight calibration.</x:v>
      </x:c>
      <x:c r="B22" s="46"/>
      <x:c r="C22" s="46"/>
      <x:c r="D22" s="46"/>
      <x:c r="E22" s="46"/>
      <x:c r="F22" s="46"/>
      <x:c r="G22" s="46"/>
      <x:c r="H22" s="46"/>
      <x:c r="I22" s="46"/>
      <x:c r="J22" s="46"/>
      <x:c r="K22" s="46"/>
      <x:c r="L22" s="46"/>
      <x:c r="M22" s="46"/>
      <x:c r="N22" s="46"/>
      <x:c r="O22" s="46"/>
      <x:c r="P22" s="46"/>
    </x:row>
    <x:row r="23">
      <x:c r="A23" s="45"/>
      <x:c r="B23" s="46"/>
      <x:c r="C23" s="46"/>
      <x:c r="D23" s="46"/>
      <x:c r="E23" s="46"/>
      <x:c r="F23" s="46"/>
      <x:c r="G23" s="46"/>
      <x:c r="H23" s="46"/>
      <x:c r="I23" s="46"/>
      <x:c r="J23" s="46"/>
      <x:c r="K23" s="46"/>
      <x:c r="L23" s="46"/>
      <x:c r="M23" s="46"/>
      <x:c r="N23" s="46"/>
      <x:c r="O23" s="46"/>
      <x:c r="P23" s="46"/>
    </x:row>
    <x:row r="24">
      <x:c r="A24" s="45"/>
      <x:c r="B24" s="46"/>
      <x:c r="C24" s="46"/>
      <x:c r="D24" s="46"/>
      <x:c r="E24" s="46"/>
      <x:c r="F24" s="46"/>
      <x:c r="G24" s="46"/>
      <x:c r="H24" s="46"/>
      <x:c r="I24" s="46"/>
      <x:c r="J24" s="46"/>
      <x:c r="K24" s="46"/>
      <x:c r="L24" s="46"/>
      <x:c r="M24" s="46"/>
      <x:c r="N24" s="46"/>
      <x:c r="O24" s="46"/>
      <x:c r="P24" s="46"/>
    </x:row>
    <x:row r="25">
      <x:c r="A25" s="45"/>
      <x:c r="B25" s="46"/>
      <x:c r="C25" s="46"/>
      <x:c r="D25" s="46"/>
      <x:c r="E25" s="46"/>
      <x:c r="F25" s="46"/>
      <x:c r="G25" s="46"/>
      <x:c r="H25" s="46"/>
      <x:c r="I25" s="46"/>
      <x:c r="J25" s="46"/>
      <x:c r="K25" s="46"/>
      <x:c r="L25" s="46"/>
      <x:c r="M25" s="46"/>
      <x:c r="N25" s="46"/>
      <x:c r="O25" s="46"/>
      <x:c r="P25" s="46"/>
    </x:row>
    <x:row r="27">
      <x:c r="A27" s="52" t="str">
        <x:v>Implication for Fable/Sol: the point estimates remain plausible, but the backtest does not justify interpreting one-decimal outputs as precise physical counts. The date term is not consistently helpful out of sample, and a 50% No-CoT evidence weight is not decisively validated: current weights have a slightly better median, while equal available-component weights have better RMSE, bias, and tail error. Keep the date law shrunk/model-averaged and report broad scenario ranges.</x:v>
      </x:c>
      <x:c r="B27" s="53"/>
      <x:c r="C27" s="53"/>
      <x:c r="D27" s="53"/>
      <x:c r="E27" s="53"/>
      <x:c r="F27" s="53"/>
      <x:c r="G27" s="53"/>
      <x:c r="H27" s="53"/>
      <x:c r="I27" s="53"/>
      <x:c r="J27" s="53"/>
      <x:c r="K27" s="53"/>
      <x:c r="L27" s="53"/>
      <x:c r="M27" s="53"/>
      <x:c r="N27" s="53"/>
      <x:c r="O27" s="53"/>
      <x:c r="P27" s="53"/>
    </x:row>
    <x:row r="28">
      <x:c r="A28" s="52"/>
      <x:c r="B28" s="53"/>
      <x:c r="C28" s="53"/>
      <x:c r="D28" s="53"/>
      <x:c r="E28" s="53"/>
      <x:c r="F28" s="53"/>
      <x:c r="G28" s="53"/>
      <x:c r="H28" s="53"/>
      <x:c r="I28" s="53"/>
      <x:c r="J28" s="53"/>
      <x:c r="K28" s="53"/>
      <x:c r="L28" s="53"/>
      <x:c r="M28" s="53"/>
      <x:c r="N28" s="53"/>
      <x:c r="O28" s="53"/>
      <x:c r="P28" s="53"/>
    </x:row>
    <x:row r="29">
      <x:c r="A29" s="52"/>
      <x:c r="B29" s="53"/>
      <x:c r="C29" s="53"/>
      <x:c r="D29" s="53"/>
      <x:c r="E29" s="53"/>
      <x:c r="F29" s="53"/>
      <x:c r="G29" s="53"/>
      <x:c r="H29" s="53"/>
      <x:c r="I29" s="53"/>
      <x:c r="J29" s="53"/>
      <x:c r="K29" s="53"/>
      <x:c r="L29" s="53"/>
      <x:c r="M29" s="53"/>
      <x:c r="N29" s="53"/>
      <x:c r="O29" s="53"/>
      <x:c r="P29" s="53"/>
    </x:row>
    <x:row r="30">
      <x:c r="A30" s="52"/>
      <x:c r="B30" s="53"/>
      <x:c r="C30" s="53"/>
      <x:c r="D30" s="53"/>
      <x:c r="E30" s="53"/>
      <x:c r="F30" s="53"/>
      <x:c r="G30" s="53"/>
      <x:c r="H30" s="53"/>
      <x:c r="I30" s="53"/>
      <x:c r="J30" s="53"/>
      <x:c r="K30" s="53"/>
      <x:c r="L30" s="53"/>
      <x:c r="M30" s="53"/>
      <x:c r="N30" s="53"/>
      <x:c r="O30" s="53"/>
      <x:c r="P30" s="53"/>
    </x:row>
    <x:row r="32">
      <x:c r="A32" s="59" t="str">
        <x:v>What this does not validate: the human crowd (targets still undisclosed), API price (too few clean disclosed bases), or independence among AA, ECI, No-CoT, and compute. These signals share model quality, training compute, and benchmark construction, so multiplying them as independent likelihoods would overstate confidence.</x:v>
      </x:c>
      <x:c r="B32" s="60"/>
      <x:c r="C32" s="60"/>
      <x:c r="D32" s="60"/>
      <x:c r="E32" s="60"/>
      <x:c r="F32" s="60"/>
      <x:c r="G32" s="60"/>
      <x:c r="H32" s="60"/>
      <x:c r="I32" s="60"/>
      <x:c r="J32" s="60"/>
      <x:c r="K32" s="60"/>
      <x:c r="L32" s="60"/>
      <x:c r="M32" s="60"/>
      <x:c r="N32" s="60"/>
      <x:c r="O32" s="60"/>
      <x:c r="P32" s="60"/>
    </x:row>
    <x:row r="33">
      <x:c r="A33" s="59"/>
      <x:c r="B33" s="60"/>
      <x:c r="C33" s="60"/>
      <x:c r="D33" s="60"/>
      <x:c r="E33" s="60"/>
      <x:c r="F33" s="60"/>
      <x:c r="G33" s="60"/>
      <x:c r="H33" s="60"/>
      <x:c r="I33" s="60"/>
      <x:c r="J33" s="60"/>
      <x:c r="K33" s="60"/>
      <x:c r="L33" s="60"/>
      <x:c r="M33" s="60"/>
      <x:c r="N33" s="60"/>
      <x:c r="O33" s="60"/>
      <x:c r="P33" s="60"/>
    </x:row>
    <x:row r="34">
      <x:c r="A34" s="59"/>
      <x:c r="B34" s="60"/>
      <x:c r="C34" s="60"/>
      <x:c r="D34" s="60"/>
      <x:c r="E34" s="60"/>
      <x:c r="F34" s="60"/>
      <x:c r="G34" s="60"/>
      <x:c r="H34" s="60"/>
      <x:c r="I34" s="60"/>
      <x:c r="J34" s="60"/>
      <x:c r="K34" s="60"/>
      <x:c r="L34" s="60"/>
      <x:c r="M34" s="60"/>
      <x:c r="N34" s="60"/>
      <x:c r="O34" s="60"/>
      <x:c r="P34" s="60"/>
    </x:row>
    <x:row r="35">
      <x:c r="A35" s="59"/>
      <x:c r="B35" s="60"/>
      <x:c r="C35" s="60"/>
      <x:c r="D35" s="60"/>
      <x:c r="E35" s="60"/>
      <x:c r="F35" s="60"/>
      <x:c r="G35" s="60"/>
      <x:c r="H35" s="60"/>
      <x:c r="I35" s="60"/>
      <x:c r="J35" s="60"/>
      <x:c r="K35" s="60"/>
      <x:c r="L35" s="60"/>
      <x:c r="M35" s="60"/>
      <x:c r="N35" s="60"/>
      <x:c r="O35" s="60"/>
      <x:c r="P35" s="60"/>
    </x:row>
  </x:sheetData>
  <x:mergeCells>
    <x:mergeCell ref="A1:P1"/>
    <x:mergeCell ref="A2:P4"/>
    <x:mergeCell ref="A6:G6"/>
    <x:mergeCell ref="A15:G15"/>
    <x:mergeCell ref="A22:P25"/>
    <x:mergeCell ref="A27:P30"/>
    <x:mergeCell ref="A32:P35"/>
  </x:mergeCells>
  <x:conditionalFormatting sqref="C8:C12">
    <x:cfRule type="cellIs" dxfId="0" priority="1" operator="greaterThan">
      <x:formula>3</x:formula>
    </x:cfRule>
  </x:conditionalFormatting>
  <x:pageMargins left="0.7" right="0.7" top="0.75" bottom="0.75" header="0.3" footer="0.3"/>
  <x:drawing xmlns:r="http://schemas.openxmlformats.org/officeDocument/2006/relationships" r:id="Rd784a177074f4914"/>
  <x:legacyDrawing xmlns:r="http://schemas.openxmlformats.org/officeDocument/2006/relationships" r:id="Rb9d9ac4a54d24366"/>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36" hidden="0" customWidth="1"/>
    <x:col min="4" max="4" width="14" hidden="0" customWidth="1"/>
    <x:col min="5" max="5" width="14"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36" customHeight="1">
      <x:c r="A1" s="3" t="str">
        <x:v>Model specification comparison</x:v>
      </x:c>
      <x:c r="B1" s="3"/>
      <x:c r="C1" s="3"/>
      <x:c r="D1" s="3"/>
      <x:c r="E1" s="3"/>
      <x:c r="F1" s="3"/>
      <x:c r="G1" s="3"/>
      <x:c r="H1" s="3"/>
      <x:c r="I1" s="3"/>
      <x:c r="J1" s="3"/>
      <x:c r="K1" s="3"/>
      <x:c r="L1" s="3"/>
      <x:c r="M1" s="3"/>
      <x:c r="N1" s="3"/>
    </x:row>
    <x:row r="2">
      <x:c r="A2" s="6" t="str">
        <x:v>All rows use expanding windows and strict date ordering. 'Chronological' may retain older siblings; 'chronological_family_holdout' removes the test family and is the preferred leakage-resistant estimate. Current-like specifications were fixed by the live pipeline before this backtest was read.</x:v>
      </x:c>
      <x:c r="B2" s="6"/>
      <x:c r="C2" s="6"/>
      <x:c r="D2" s="6"/>
      <x:c r="E2" s="6"/>
      <x:c r="F2" s="6"/>
      <x:c r="G2" s="6"/>
      <x:c r="H2" s="6"/>
      <x:c r="I2" s="6"/>
      <x:c r="J2" s="6"/>
      <x:c r="K2" s="6"/>
      <x:c r="L2" s="6"/>
      <x:c r="M2" s="6"/>
      <x:c r="N2" s="6"/>
    </x:row>
    <x:row r="3">
      <x:c r="A3" s="6"/>
      <x:c r="B3" s="6"/>
      <x:c r="C3" s="6"/>
      <x:c r="D3" s="6"/>
      <x:c r="E3" s="6"/>
      <x:c r="F3" s="6"/>
      <x:c r="G3" s="6"/>
      <x:c r="H3" s="6"/>
      <x:c r="I3" s="6"/>
      <x:c r="J3" s="6"/>
      <x:c r="K3" s="6"/>
      <x:c r="L3" s="6"/>
      <x:c r="M3" s="6"/>
      <x:c r="N3" s="6"/>
    </x:row>
    <x:row r="5" ht="32" customHeight="1">
      <x:c r="A5" s="14" t="str">
        <x:v>Panel</x:v>
      </x:c>
      <x:c r="B5" s="14" t="str">
        <x:v>Split</x:v>
      </x:c>
      <x:c r="C5" s="14" t="str">
        <x:v>Specification</x:v>
      </x:c>
      <x:c r="D5" s="14" t="str">
        <x:v>Current-like</x:v>
      </x:c>
      <x:c r="E5" s="14" t="str">
        <x:v>n</x:v>
      </x:c>
      <x:c r="F5" s="14" t="str">
        <x:v>Median error</x:v>
      </x:c>
      <x:c r="G5" s="14" t="str">
        <x:v>Geo-mean error</x:v>
      </x:c>
      <x:c r="H5" s="14" t="str">
        <x:v>RMSE log10</x:v>
      </x:c>
      <x:c r="I5" s="14" t="str">
        <x:v>Bias ratio</x:v>
      </x:c>
      <x:c r="J5" s="14" t="str">
        <x:v>Within 1.5x</x:v>
      </x:c>
      <x:c r="K5" s="14" t="str">
        <x:v>Within 2x</x:v>
      </x:c>
      <x:c r="L5" s="14" t="str">
        <x:v>Within 3x</x:v>
      </x:c>
      <x:c r="M5" s="14" t="str">
        <x:v>P80 error</x:v>
      </x:c>
      <x:c r="N5" s="14" t="str">
        <x:v>P90 error</x:v>
      </x:c>
    </x:row>
    <x:row r="6">
      <x:c r="A6" s="19" t="str">
        <x:v>AA</x:v>
      </x:c>
      <x:c r="B6" s="19" t="str">
        <x:v>chronological</x:v>
      </x:c>
      <x:c r="C6" s="19" t="str">
        <x:v>score_date</x:v>
      </x:c>
      <x:c r="D6" s="19" t="str">
        <x:v>Yes</x:v>
      </x:c>
      <x:c r="E6" s="25" t="n">
        <x:v>34</x:v>
      </x:c>
      <x:c r="F6" s="28" t="n">
        <x:v>2.564505915426542</x:v>
      </x:c>
      <x:c r="G6" s="28" t="n">
        <x:v>3.1691449022964275</x:v>
      </x:c>
      <x:c r="H6" s="61" t="n">
        <x:v>0.6617571348160812</x:v>
      </x:c>
      <x:c r="I6" s="28" t="n">
        <x:v>2.0684804193357555</x:v>
      </x:c>
      <x:c r="J6" s="31" t="n">
        <x:v>0.2647058823529412</x:v>
      </x:c>
      <x:c r="K6" s="31" t="n">
        <x:v>0.4411764705882353</x:v>
      </x:c>
      <x:c r="L6" s="31" t="n">
        <x:v>0.6176470588235294</x:v>
      </x:c>
      <x:c r="M6" s="28" t="n">
        <x:v>9.812624181374247</x:v>
      </x:c>
      <x:c r="N6" s="28" t="n">
        <x:v>13.103402998709255</x:v>
      </x:c>
    </x:row>
    <x:row r="7">
      <x:c r="A7" s="20" t="str">
        <x:v>AA</x:v>
      </x:c>
      <x:c r="B7" s="20" t="str">
        <x:v>chronological</x:v>
      </x:c>
      <x:c r="C7" s="20" t="str">
        <x:v>geometric_prior</x:v>
      </x:c>
      <x:c r="D7" s="20" t="str">
        <x:v>No</x:v>
      </x:c>
      <x:c r="E7" s="26" t="n">
        <x:v>34</x:v>
      </x:c>
      <x:c r="F7" s="29" t="n">
        <x:v>4.60525020497303</x:v>
      </x:c>
      <x:c r="G7" s="29" t="n">
        <x:v>4.61698957605518</x:v>
      </x:c>
      <x:c r="H7" s="62" t="n">
        <x:v>0.8158357319498281</x:v>
      </x:c>
      <x:c r="I7" s="29" t="n">
        <x:v>1.0236063325375009</x:v>
      </x:c>
      <x:c r="J7" s="32" t="n">
        <x:v>0.08823529411764706</x:v>
      </x:c>
      <x:c r="K7" s="32" t="n">
        <x:v>0.23529411764705882</x:v>
      </x:c>
      <x:c r="L7" s="32" t="n">
        <x:v>0.4117647058823529</x:v>
      </x:c>
      <x:c r="M7" s="29" t="n">
        <x:v>7.215392893922788</x:v>
      </x:c>
      <x:c r="N7" s="29" t="n">
        <x:v>14.424081825111733</x:v>
      </x:c>
    </x:row>
    <x:row r="8">
      <x:c r="A8" s="20" t="str">
        <x:v>AA</x:v>
      </x:c>
      <x:c r="B8" s="20" t="str">
        <x:v>chronological</x:v>
      </x:c>
      <x:c r="C8" s="20" t="str">
        <x:v>score_date_moe</x:v>
      </x:c>
      <x:c r="D8" s="20" t="str">
        <x:v>No</x:v>
      </x:c>
      <x:c r="E8" s="26" t="n">
        <x:v>34</x:v>
      </x:c>
      <x:c r="F8" s="29" t="n">
        <x:v>2.373634813180343</x:v>
      </x:c>
      <x:c r="G8" s="29" t="n">
        <x:v>2.8271239172023988</x:v>
      </x:c>
      <x:c r="H8" s="62" t="n">
        <x:v>0.5602018907600712</x:v>
      </x:c>
      <x:c r="I8" s="29" t="n">
        <x:v>1.9439465492051171</x:v>
      </x:c>
      <x:c r="J8" s="32" t="n">
        <x:v>0.23529411764705882</x:v>
      </x:c>
      <x:c r="K8" s="32" t="n">
        <x:v>0.38235294117647056</x:v>
      </x:c>
      <x:c r="L8" s="32" t="n">
        <x:v>0.7058823529411765</x:v>
      </x:c>
      <x:c r="M8" s="29" t="n">
        <x:v>7.0458678574817855</x:v>
      </x:c>
      <x:c r="N8" s="29" t="n">
        <x:v>9.982783640913985</x:v>
      </x:c>
    </x:row>
    <x:row r="9">
      <x:c r="A9" s="20" t="str">
        <x:v>AA</x:v>
      </x:c>
      <x:c r="B9" s="20" t="str">
        <x:v>chronological</x:v>
      </x:c>
      <x:c r="C9" s="20" t="str">
        <x:v>score_date_moe_reasoning</x:v>
      </x:c>
      <x:c r="D9" s="20" t="str">
        <x:v>No</x:v>
      </x:c>
      <x:c r="E9" s="26" t="n">
        <x:v>34</x:v>
      </x:c>
      <x:c r="F9" s="29" t="n">
        <x:v>2.225271992256491</x:v>
      </x:c>
      <x:c r="G9" s="29" t="n">
        <x:v>2.8079145088879427</x:v>
      </x:c>
      <x:c r="H9" s="62" t="n">
        <x:v>0.5633251533400693</x:v>
      </x:c>
      <x:c r="I9" s="29" t="n">
        <x:v>1.9200433446840086</x:v>
      </x:c>
      <x:c r="J9" s="32" t="n">
        <x:v>0.2647058823529412</x:v>
      </x:c>
      <x:c r="K9" s="32" t="n">
        <x:v>0.4411764705882353</x:v>
      </x:c>
      <x:c r="L9" s="32" t="n">
        <x:v>0.6470588235294118</x:v>
      </x:c>
      <x:c r="M9" s="29" t="n">
        <x:v>6.284949090187025</x:v>
      </x:c>
      <x:c r="N9" s="29" t="n">
        <x:v>9.685383097053776</x:v>
      </x:c>
    </x:row>
    <x:row r="10">
      <x:c r="A10" s="20" t="str">
        <x:v>AA</x:v>
      </x:c>
      <x:c r="B10" s="20" t="str">
        <x:v>chronological</x:v>
      </x:c>
      <x:c r="C10" s="20" t="str">
        <x:v>score_only</x:v>
      </x:c>
      <x:c r="D10" s="20" t="str">
        <x:v>No</x:v>
      </x:c>
      <x:c r="E10" s="26" t="n">
        <x:v>34</x:v>
      </x:c>
      <x:c r="F10" s="29" t="n">
        <x:v>2.0018568834423034</x:v>
      </x:c>
      <x:c r="G10" s="29" t="n">
        <x:v>3.2547120765942092</x:v>
      </x:c>
      <x:c r="H10" s="62" t="n">
        <x:v>0.6690547768189095</x:v>
      </x:c>
      <x:c r="I10" s="29" t="n">
        <x:v>2.3999346844457476</x:v>
      </x:c>
      <x:c r="J10" s="32" t="n">
        <x:v>0.23529411764705882</x:v>
      </x:c>
      <x:c r="K10" s="32" t="n">
        <x:v>0.5</x:v>
      </x:c>
      <x:c r="L10" s="32" t="n">
        <x:v>0.6470588235294118</x:v>
      </x:c>
      <x:c r="M10" s="29" t="n">
        <x:v>10.016993336330005</x:v>
      </x:c>
      <x:c r="N10" s="29" t="n">
        <x:v>15.698830243492585</x:v>
      </x:c>
    </x:row>
    <x:row r="11">
      <x:c r="A11" s="20" t="str">
        <x:v>AA</x:v>
      </x:c>
      <x:c r="B11" s="20" t="str">
        <x:v>chronological_family_holdout</x:v>
      </x:c>
      <x:c r="C11" s="20" t="str">
        <x:v>score_date</x:v>
      </x:c>
      <x:c r="D11" s="20" t="str">
        <x:v>Yes</x:v>
      </x:c>
      <x:c r="E11" s="26" t="n">
        <x:v>34</x:v>
      </x:c>
      <x:c r="F11" s="29" t="n">
        <x:v>2.70082658858217</x:v>
      </x:c>
      <x:c r="G11" s="29" t="n">
        <x:v>3.5205146185709055</x:v>
      </x:c>
      <x:c r="H11" s="62" t="n">
        <x:v>0.7219346953500286</x:v>
      </x:c>
      <x:c r="I11" s="29" t="n">
        <x:v>2.2284788227133836</x:v>
      </x:c>
      <x:c r="J11" s="32" t="n">
        <x:v>0.2647058823529412</x:v>
      </x:c>
      <x:c r="K11" s="32" t="n">
        <x:v>0.4117647058823529</x:v>
      </x:c>
      <x:c r="L11" s="32" t="n">
        <x:v>0.5882352941176471</x:v>
      </x:c>
      <x:c r="M11" s="29" t="n">
        <x:v>11.609087361061977</x:v>
      </x:c>
      <x:c r="N11" s="29" t="n">
        <x:v>18.705724535511067</x:v>
      </x:c>
    </x:row>
    <x:row r="12">
      <x:c r="A12" s="20" t="str">
        <x:v>AA</x:v>
      </x:c>
      <x:c r="B12" s="20" t="str">
        <x:v>chronological_family_holdout</x:v>
      </x:c>
      <x:c r="C12" s="20" t="str">
        <x:v>geometric_prior</x:v>
      </x:c>
      <x:c r="D12" s="20" t="str">
        <x:v>No</x:v>
      </x:c>
      <x:c r="E12" s="26" t="n">
        <x:v>34</x:v>
      </x:c>
      <x:c r="F12" s="29" t="n">
        <x:v>4.5276363195025695</x:v>
      </x:c>
      <x:c r="G12" s="29" t="n">
        <x:v>4.710261341699626</x:v>
      </x:c>
      <x:c r="H12" s="62" t="n">
        <x:v>0.8248976727277976</x:v>
      </x:c>
      <x:c r="I12" s="29" t="n">
        <x:v>1.0192295078359055</x:v>
      </x:c>
      <x:c r="J12" s="32" t="n">
        <x:v>0.08823529411764706</x:v>
      </x:c>
      <x:c r="K12" s="32" t="n">
        <x:v>0.20588235294117646</x:v>
      </x:c>
      <x:c r="L12" s="32" t="n">
        <x:v>0.4117647058823529</x:v>
      </x:c>
      <x:c r="M12" s="29" t="n">
        <x:v>7.939304540865874</x:v>
      </x:c>
      <x:c r="N12" s="29" t="n">
        <x:v>14.902387838429423</x:v>
      </x:c>
    </x:row>
    <x:row r="13">
      <x:c r="A13" s="20" t="str">
        <x:v>AA</x:v>
      </x:c>
      <x:c r="B13" s="20" t="str">
        <x:v>chronological_family_holdout</x:v>
      </x:c>
      <x:c r="C13" s="20" t="str">
        <x:v>score_date_moe</x:v>
      </x:c>
      <x:c r="D13" s="20" t="str">
        <x:v>No</x:v>
      </x:c>
      <x:c r="E13" s="26" t="n">
        <x:v>34</x:v>
      </x:c>
      <x:c r="F13" s="29" t="n">
        <x:v>2.6539575838087903</x:v>
      </x:c>
      <x:c r="G13" s="29" t="n">
        <x:v>3.2235761000211456</x:v>
      </x:c>
      <x:c r="H13" s="62" t="n">
        <x:v>0.6335085145465755</x:v>
      </x:c>
      <x:c r="I13" s="29" t="n">
        <x:v>2.1578391607321086</x:v>
      </x:c>
      <x:c r="J13" s="32" t="n">
        <x:v>0.20588235294117646</x:v>
      </x:c>
      <x:c r="K13" s="32" t="n">
        <x:v>0.35294117647058826</x:v>
      </x:c>
      <x:c r="L13" s="32" t="n">
        <x:v>0.6176470588235294</x:v>
      </x:c>
      <x:c r="M13" s="29" t="n">
        <x:v>9.108792929478293</x:v>
      </x:c>
      <x:c r="N13" s="29" t="n">
        <x:v>11.345551968462548</x:v>
      </x:c>
    </x:row>
    <x:row r="14">
      <x:c r="A14" s="20" t="str">
        <x:v>AA</x:v>
      </x:c>
      <x:c r="B14" s="20" t="str">
        <x:v>chronological_family_holdout</x:v>
      </x:c>
      <x:c r="C14" s="20" t="str">
        <x:v>score_date_moe_reasoning</x:v>
      </x:c>
      <x:c r="D14" s="20" t="str">
        <x:v>No</x:v>
      </x:c>
      <x:c r="E14" s="26" t="n">
        <x:v>34</x:v>
      </x:c>
      <x:c r="F14" s="29" t="n">
        <x:v>2.279347465943068</x:v>
      </x:c>
      <x:c r="G14" s="29" t="n">
        <x:v>3.1823073139190696</x:v>
      </x:c>
      <x:c r="H14" s="62" t="n">
        <x:v>0.6339242830410845</x:v>
      </x:c>
      <x:c r="I14" s="29" t="n">
        <x:v>2.1139195868373353</x:v>
      </x:c>
      <x:c r="J14" s="32" t="n">
        <x:v>0.23529411764705882</x:v>
      </x:c>
      <x:c r="K14" s="32" t="n">
        <x:v>0.4117647058823529</x:v>
      </x:c>
      <x:c r="L14" s="32" t="n">
        <x:v>0.6176470588235294</x:v>
      </x:c>
      <x:c r="M14" s="29" t="n">
        <x:v>8.462518228500178</x:v>
      </x:c>
      <x:c r="N14" s="29" t="n">
        <x:v>11.430613272604946</x:v>
      </x:c>
    </x:row>
    <x:row r="15">
      <x:c r="A15" s="20" t="str">
        <x:v>AA</x:v>
      </x:c>
      <x:c r="B15" s="20" t="str">
        <x:v>chronological_family_holdout</x:v>
      </x:c>
      <x:c r="C15" s="20" t="str">
        <x:v>score_only</x:v>
      </x:c>
      <x:c r="D15" s="20" t="str">
        <x:v>No</x:v>
      </x:c>
      <x:c r="E15" s="26" t="n">
        <x:v>34</x:v>
      </x:c>
      <x:c r="F15" s="29" t="n">
        <x:v>2.0635712928899865</x:v>
      </x:c>
      <x:c r="G15" s="29" t="n">
        <x:v>3.4265074894522813</x:v>
      </x:c>
      <x:c r="H15" s="62" t="n">
        <x:v>0.6909939134185884</x:v>
      </x:c>
      <x:c r="I15" s="29" t="n">
        <x:v>2.440439742805293</x:v>
      </x:c>
      <x:c r="J15" s="32" t="n">
        <x:v>0.14705882352941177</x:v>
      </x:c>
      <x:c r="K15" s="32" t="n">
        <x:v>0.47058823529411764</x:v>
      </x:c>
      <x:c r="L15" s="32" t="n">
        <x:v>0.6470588235294118</x:v>
      </x:c>
      <x:c r="M15" s="29" t="n">
        <x:v>10.472486884144367</x:v>
      </x:c>
      <x:c r="N15" s="29" t="n">
        <x:v>19.98989279543081</x:v>
      </x:c>
    </x:row>
    <x:row r="16">
      <x:c r="A16" s="20" t="str">
        <x:v>Available-components ensemble</x:v>
      </x:c>
      <x:c r="B16" s="20" t="str">
        <x:v>chronological_family_holdout</x:v>
      </x:c>
      <x:c r="C16" s="20" t="str">
        <x:v>current_available_weights</x:v>
      </x:c>
      <x:c r="D16" s="20" t="str">
        <x:v>Yes</x:v>
      </x:c>
      <x:c r="E16" s="26" t="n">
        <x:v>44</x:v>
      </x:c>
      <x:c r="F16" s="29" t="n">
        <x:v>2.1364127981098613</x:v>
      </x:c>
      <x:c r="G16" s="29" t="n">
        <x:v>2.357047548186792</x:v>
      </x:c>
      <x:c r="H16" s="62" t="n">
        <x:v>0.4548058018663915</x:v>
      </x:c>
      <x:c r="I16" s="29" t="n">
        <x:v>1.1125539481707916</x:v>
      </x:c>
      <x:c r="J16" s="32" t="n">
        <x:v>0.29545454545454547</x:v>
      </x:c>
      <x:c r="K16" s="32" t="n">
        <x:v>0.45454545454545453</x:v>
      </x:c>
      <x:c r="L16" s="32" t="n">
        <x:v>0.6363636363636364</x:v>
      </x:c>
      <x:c r="M16" s="29" t="n">
        <x:v>5.1511709166892645</x:v>
      </x:c>
      <x:c r="N16" s="29" t="n">
        <x:v>5.360520943556449</x:v>
      </x:c>
    </x:row>
    <x:row r="17">
      <x:c r="A17" s="20" t="str">
        <x:v>Available-components ensemble</x:v>
      </x:c>
      <x:c r="B17" s="20" t="str">
        <x:v>chronological_family_holdout</x:v>
      </x:c>
      <x:c r="C17" s="20" t="str">
        <x:v>equal_available_weights</x:v>
      </x:c>
      <x:c r="D17" s="20" t="str">
        <x:v>No</x:v>
      </x:c>
      <x:c r="E17" s="26" t="n">
        <x:v>44</x:v>
      </x:c>
      <x:c r="F17" s="29" t="n">
        <x:v>2.1476917925854377</x:v>
      </x:c>
      <x:c r="G17" s="29" t="n">
        <x:v>2.2799641708795813</x:v>
      </x:c>
      <x:c r="H17" s="62" t="n">
        <x:v>0.4331496690868388</x:v>
      </x:c>
      <x:c r="I17" s="29" t="n">
        <x:v>1.0231743088490786</x:v>
      </x:c>
      <x:c r="J17" s="32" t="n">
        <x:v>0.3181818181818182</x:v>
      </x:c>
      <x:c r="K17" s="32" t="n">
        <x:v>0.4090909090909091</x:v>
      </x:c>
      <x:c r="L17" s="32" t="n">
        <x:v>0.5909090909090909</x:v>
      </x:c>
      <x:c r="M17" s="29" t="n">
        <x:v>3.756996566542479</x:v>
      </x:c>
      <x:c r="N17" s="29" t="n">
        <x:v>4.5969103384059915</x:v>
      </x:c>
    </x:row>
    <x:row r="18">
      <x:c r="A18" s="20" t="str">
        <x:v>Compute</x:v>
      </x:c>
      <x:c r="B18" s="20" t="str">
        <x:v>chronological</x:v>
      </x:c>
      <x:c r="C18" s="20" t="str">
        <x:v>log_compute_date</x:v>
      </x:c>
      <x:c r="D18" s="20" t="str">
        <x:v>Yes</x:v>
      </x:c>
      <x:c r="E18" s="26" t="n">
        <x:v>212</x:v>
      </x:c>
      <x:c r="F18" s="29" t="n">
        <x:v>2.696983672299876</x:v>
      </x:c>
      <x:c r="G18" s="29" t="n">
        <x:v>3.0393680402611474</x:v>
      </x:c>
      <x:c r="H18" s="62" t="n">
        <x:v>0.5857825002736566</x:v>
      </x:c>
      <x:c r="I18" s="29" t="n">
        <x:v>1.0865856171196726</x:v>
      </x:c>
      <x:c r="J18" s="32" t="n">
        <x:v>0.19811320754716982</x:v>
      </x:c>
      <x:c r="K18" s="32" t="n">
        <x:v>0.3490566037735849</x:v>
      </x:c>
      <x:c r="L18" s="32" t="n">
        <x:v>0.5801886792452831</x:v>
      </x:c>
      <x:c r="M18" s="29" t="n">
        <x:v>5.695962247791793</x:v>
      </x:c>
      <x:c r="N18" s="29" t="n">
        <x:v>9.366572210481177</x:v>
      </x:c>
    </x:row>
    <x:row r="19">
      <x:c r="A19" s="20" t="str">
        <x:v>Compute</x:v>
      </x:c>
      <x:c r="B19" s="20" t="str">
        <x:v>chronological</x:v>
      </x:c>
      <x:c r="C19" s="20" t="str">
        <x:v>geometric_prior</x:v>
      </x:c>
      <x:c r="D19" s="20" t="str">
        <x:v>No</x:v>
      </x:c>
      <x:c r="E19" s="26" t="n">
        <x:v>212</x:v>
      </x:c>
      <x:c r="F19" s="29" t="n">
        <x:v>3.46069714783865</x:v>
      </x:c>
      <x:c r="G19" s="29" t="n">
        <x:v>4.586612336830865</x:v>
      </x:c>
      <x:c r="H19" s="62" t="n">
        <x:v>0.8719810743701625</x:v>
      </x:c>
      <x:c r="I19" s="29" t="n">
        <x:v>0.5133911171126295</x:v>
      </x:c>
      <x:c r="J19" s="32" t="n">
        <x:v>0.2783018867924528</x:v>
      </x:c>
      <x:c r="K19" s="32" t="n">
        <x:v>0.3443396226415094</x:v>
      </x:c>
      <x:c r="L19" s="32" t="n">
        <x:v>0.45754716981132076</x:v>
      </x:c>
      <x:c r="M19" s="29" t="n">
        <x:v>15.420809589229222</x:v>
      </x:c>
      <x:c r="N19" s="29" t="n">
        <x:v>37.583405388333716</x:v>
      </x:c>
    </x:row>
    <x:row r="20">
      <x:c r="A20" s="20" t="str">
        <x:v>Compute</x:v>
      </x:c>
      <x:c r="B20" s="20" t="str">
        <x:v>chronological</x:v>
      </x:c>
      <x:c r="C20" s="20" t="str">
        <x:v>log_compute_only</x:v>
      </x:c>
      <x:c r="D20" s="20" t="str">
        <x:v>No</x:v>
      </x:c>
      <x:c r="E20" s="26" t="n">
        <x:v>212</x:v>
      </x:c>
      <x:c r="F20" s="29" t="n">
        <x:v>2.9406760329611803</x:v>
      </x:c>
      <x:c r="G20" s="29" t="n">
        <x:v>3.205911989460752</x:v>
      </x:c>
      <x:c r="H20" s="62" t="n">
        <x:v>0.6020713517637667</x:v>
      </x:c>
      <x:c r="I20" s="29" t="n">
        <x:v>1.316713422104789</x:v>
      </x:c>
      <x:c r="J20" s="32" t="n">
        <x:v>0.19339622641509435</x:v>
      </x:c>
      <x:c r="K20" s="32" t="n">
        <x:v>0.30660377358490565</x:v>
      </x:c>
      <x:c r="L20" s="32" t="n">
        <x:v>0.5141509433962265</x:v>
      </x:c>
      <x:c r="M20" s="29" t="n">
        <x:v>5.770759861280002</x:v>
      </x:c>
      <x:c r="N20" s="29" t="n">
        <x:v>9.659210007919146</x:v>
      </x:c>
    </x:row>
    <x:row r="21">
      <x:c r="A21" s="20" t="str">
        <x:v>Compute</x:v>
      </x:c>
      <x:c r="B21" s="20" t="str">
        <x:v>chronological_family_holdout</x:v>
      </x:c>
      <x:c r="C21" s="20" t="str">
        <x:v>log_compute_date</x:v>
      </x:c>
      <x:c r="D21" s="20" t="str">
        <x:v>Yes</x:v>
      </x:c>
      <x:c r="E21" s="26" t="n">
        <x:v>212</x:v>
      </x:c>
      <x:c r="F21" s="29" t="n">
        <x:v>2.705812123184848</x:v>
      </x:c>
      <x:c r="G21" s="29" t="n">
        <x:v>3.0585271260798876</x:v>
      </x:c>
      <x:c r="H21" s="62" t="n">
        <x:v>0.5888280313057508</x:v>
      </x:c>
      <x:c r="I21" s="29" t="n">
        <x:v>1.0937001408010636</x:v>
      </x:c>
      <x:c r="J21" s="32" t="n">
        <x:v>0.19339622641509435</x:v>
      </x:c>
      <x:c r="K21" s="32" t="n">
        <x:v>0.33962264150943394</x:v>
      </x:c>
      <x:c r="L21" s="32" t="n">
        <x:v>0.5754716981132075</x:v>
      </x:c>
      <x:c r="M21" s="29" t="n">
        <x:v>5.73863839172346</x:v>
      </x:c>
      <x:c r="N21" s="29" t="n">
        <x:v>9.366572210481177</x:v>
      </x:c>
    </x:row>
    <x:row r="22">
      <x:c r="A22" s="20" t="str">
        <x:v>Compute</x:v>
      </x:c>
      <x:c r="B22" s="20" t="str">
        <x:v>chronological_family_holdout</x:v>
      </x:c>
      <x:c r="C22" s="20" t="str">
        <x:v>geometric_prior</x:v>
      </x:c>
      <x:c r="D22" s="20" t="str">
        <x:v>No</x:v>
      </x:c>
      <x:c r="E22" s="26" t="n">
        <x:v>212</x:v>
      </x:c>
      <x:c r="F22" s="29" t="n">
        <x:v>3.4759945714086493</x:v>
      </x:c>
      <x:c r="G22" s="29" t="n">
        <x:v>4.5967920167088225</x:v>
      </x:c>
      <x:c r="H22" s="62" t="n">
        <x:v>0.8733616303060344</x:v>
      </x:c>
      <x:c r="I22" s="29" t="n">
        <x:v>0.5124210296502296</x:v>
      </x:c>
      <x:c r="J22" s="32" t="n">
        <x:v>0.2783018867924528</x:v>
      </x:c>
      <x:c r="K22" s="32" t="n">
        <x:v>0.3443396226415094</x:v>
      </x:c>
      <x:c r="L22" s="32" t="n">
        <x:v>0.45754716981132076</x:v>
      </x:c>
      <x:c r="M22" s="29" t="n">
        <x:v>15.425386710346029</x:v>
      </x:c>
      <x:c r="N22" s="29" t="n">
        <x:v>37.55325355913662</x:v>
      </x:c>
    </x:row>
    <x:row r="23">
      <x:c r="A23" s="20" t="str">
        <x:v>Compute</x:v>
      </x:c>
      <x:c r="B23" s="20" t="str">
        <x:v>chronological_family_holdout</x:v>
      </x:c>
      <x:c r="C23" s="20" t="str">
        <x:v>log_compute_only</x:v>
      </x:c>
      <x:c r="D23" s="20" t="str">
        <x:v>No</x:v>
      </x:c>
      <x:c r="E23" s="26" t="n">
        <x:v>212</x:v>
      </x:c>
      <x:c r="F23" s="29" t="n">
        <x:v>2.943575010255926</x:v>
      </x:c>
      <x:c r="G23" s="29" t="n">
        <x:v>3.2156536756247482</x:v>
      </x:c>
      <x:c r="H23" s="62" t="n">
        <x:v>0.6036228282007073</x:v>
      </x:c>
      <x:c r="I23" s="29" t="n">
        <x:v>1.3205147405763202</x:v>
      </x:c>
      <x:c r="J23" s="32" t="n">
        <x:v>0.19339622641509435</x:v>
      </x:c>
      <x:c r="K23" s="32" t="n">
        <x:v>0.3113207547169811</x:v>
      </x:c>
      <x:c r="L23" s="32" t="n">
        <x:v>0.5141509433962265</x:v>
      </x:c>
      <x:c r="M23" s="29" t="n">
        <x:v>5.821237009393886</x:v>
      </x:c>
      <x:c r="N23" s="29" t="n">
        <x:v>9.625112264750793</x:v>
      </x:c>
    </x:row>
    <x:row r="24">
      <x:c r="A24" s="20" t="str">
        <x:v>ECI</x:v>
      </x:c>
      <x:c r="B24" s="20" t="str">
        <x:v>chronological</x:v>
      </x:c>
      <x:c r="C24" s="20" t="str">
        <x:v>blend_60_score_40_score_date</x:v>
      </x:c>
      <x:c r="D24" s="20" t="str">
        <x:v>Yes</x:v>
      </x:c>
      <x:c r="E24" s="26" t="n">
        <x:v>69</x:v>
      </x:c>
      <x:c r="F24" s="29" t="n">
        <x:v>2.4891279499532724</x:v>
      </x:c>
      <x:c r="G24" s="29" t="n">
        <x:v>2.634715837097109</x:v>
      </x:c>
      <x:c r="H24" s="62" t="n">
        <x:v>0.48960200708639223</x:v>
      </x:c>
      <x:c r="I24" s="29" t="n">
        <x:v>0.9181739354013486</x:v>
      </x:c>
      <x:c r="J24" s="32" t="n">
        <x:v>0.21739130434782608</x:v>
      </x:c>
      <x:c r="K24" s="32" t="n">
        <x:v>0.42028985507246375</x:v>
      </x:c>
      <x:c r="L24" s="32" t="n">
        <x:v>0.5942028985507246</x:v>
      </x:c>
      <x:c r="M24" s="29" t="n">
        <x:v>5.321522810550858</x:v>
      </x:c>
      <x:c r="N24" s="29" t="n">
        <x:v>6.243078224533799</x:v>
      </x:c>
    </x:row>
    <x:row r="25">
      <x:c r="A25" s="20" t="str">
        <x:v>ECI</x:v>
      </x:c>
      <x:c r="B25" s="20" t="str">
        <x:v>chronological</x:v>
      </x:c>
      <x:c r="C25" s="20" t="str">
        <x:v>geometric_prior</x:v>
      </x:c>
      <x:c r="D25" s="20" t="str">
        <x:v>No</x:v>
      </x:c>
      <x:c r="E25" s="26" t="n">
        <x:v>69</x:v>
      </x:c>
      <x:c r="F25" s="29" t="n">
        <x:v>4.217677800895297</x:v>
      </x:c>
      <x:c r="G25" s="29" t="n">
        <x:v>4.797540269773871</x:v>
      </x:c>
      <x:c r="H25" s="62" t="n">
        <x:v>0.814730036311696</x:v>
      </x:c>
      <x:c r="I25" s="29" t="n">
        <x:v>0.38263936309770413</x:v>
      </x:c>
      <x:c r="J25" s="32" t="n">
        <x:v>0.13043478260869565</x:v>
      </x:c>
      <x:c r="K25" s="32" t="n">
        <x:v>0.30434782608695654</x:v>
      </x:c>
      <x:c r="L25" s="32" t="n">
        <x:v>0.36231884057971014</x:v>
      </x:c>
      <x:c r="M25" s="29" t="n">
        <x:v>15.374968340640653</x:v>
      </x:c>
      <x:c r="N25" s="29" t="n">
        <x:v>20.896536586959925</x:v>
      </x:c>
    </x:row>
    <x:row r="26">
      <x:c r="A26" s="20" t="str">
        <x:v>ECI</x:v>
      </x:c>
      <x:c r="B26" s="20" t="str">
        <x:v>chronological</x:v>
      </x:c>
      <x:c r="C26" s="20" t="str">
        <x:v>score_date</x:v>
      </x:c>
      <x:c r="D26" s="20" t="str">
        <x:v>No</x:v>
      </x:c>
      <x:c r="E26" s="26" t="n">
        <x:v>69</x:v>
      </x:c>
      <x:c r="F26" s="29" t="n">
        <x:v>2.390241476950587</x:v>
      </x:c>
      <x:c r="G26" s="29" t="n">
        <x:v>2.738694639373567</x:v>
      </x:c>
      <x:c r="H26" s="62" t="n">
        <x:v>0.5126606433675773</x:v>
      </x:c>
      <x:c r="I26" s="29" t="n">
        <x:v>0.7015414644974189</x:v>
      </x:c>
      <x:c r="J26" s="32" t="n">
        <x:v>0.18840579710144928</x:v>
      </x:c>
      <x:c r="K26" s="32" t="n">
        <x:v>0.3333333333333333</x:v>
      </x:c>
      <x:c r="L26" s="32" t="n">
        <x:v>0.5797101449275363</x:v>
      </x:c>
      <x:c r="M26" s="29" t="n">
        <x:v>4.611850536307735</x:v>
      </x:c>
      <x:c r="N26" s="29" t="n">
        <x:v>7.124440136898071</x:v>
      </x:c>
    </x:row>
    <x:row r="27">
      <x:c r="A27" s="20" t="str">
        <x:v>ECI</x:v>
      </x:c>
      <x:c r="B27" s="20" t="str">
        <x:v>chronological</x:v>
      </x:c>
      <x:c r="C27" s="20" t="str">
        <x:v>score_date_moe</x:v>
      </x:c>
      <x:c r="D27" s="20" t="str">
        <x:v>No</x:v>
      </x:c>
      <x:c r="E27" s="26" t="n">
        <x:v>69</x:v>
      </x:c>
      <x:c r="F27" s="29" t="n">
        <x:v>2.1806813117789985</x:v>
      </x:c>
      <x:c r="G27" s="29" t="n">
        <x:v>2.3298396212224626</x:v>
      </x:c>
      <x:c r="H27" s="62" t="n">
        <x:v>0.4408079488679818</x:v>
      </x:c>
      <x:c r="I27" s="29" t="n">
        <x:v>0.765540607552367</x:v>
      </x:c>
      <x:c r="J27" s="32" t="n">
        <x:v>0.2608695652173913</x:v>
      </x:c>
      <x:c r="K27" s="32" t="n">
        <x:v>0.463768115942029</x:v>
      </x:c>
      <x:c r="L27" s="32" t="n">
        <x:v>0.6956521739130435</x:v>
      </x:c>
      <x:c r="M27" s="29" t="n">
        <x:v>3.3589314946661646</x:v>
      </x:c>
      <x:c r="N27" s="29" t="n">
        <x:v>4.8901279985368244</x:v>
      </x:c>
    </x:row>
    <x:row r="28">
      <x:c r="A28" s="20" t="str">
        <x:v>ECI</x:v>
      </x:c>
      <x:c r="B28" s="20" t="str">
        <x:v>chronological</x:v>
      </x:c>
      <x:c r="C28" s="20" t="str">
        <x:v>score_date_moe_reasoning</x:v>
      </x:c>
      <x:c r="D28" s="20" t="str">
        <x:v>No</x:v>
      </x:c>
      <x:c r="E28" s="26" t="n">
        <x:v>69</x:v>
      </x:c>
      <x:c r="F28" s="29" t="n">
        <x:v>2.2375152164132692</x:v>
      </x:c>
      <x:c r="G28" s="29" t="n">
        <x:v>2.3611305449563034</x:v>
      </x:c>
      <x:c r="H28" s="62" t="n">
        <x:v>0.44516818181262025</x:v>
      </x:c>
      <x:c r="I28" s="29" t="n">
        <x:v>0.7420613579412696</x:v>
      </x:c>
      <x:c r="J28" s="32" t="n">
        <x:v>0.2463768115942029</x:v>
      </x:c>
      <x:c r="K28" s="32" t="n">
        <x:v>0.42028985507246375</x:v>
      </x:c>
      <x:c r="L28" s="32" t="n">
        <x:v>0.7101449275362319</x:v>
      </x:c>
      <x:c r="M28" s="29" t="n">
        <x:v>3.475382692303297</x:v>
      </x:c>
      <x:c r="N28" s="29" t="n">
        <x:v>4.886079041290193</x:v>
      </x:c>
    </x:row>
    <x:row r="29">
      <x:c r="A29" s="20" t="str">
        <x:v>ECI</x:v>
      </x:c>
      <x:c r="B29" s="20" t="str">
        <x:v>chronological</x:v>
      </x:c>
      <x:c r="C29" s="20" t="str">
        <x:v>score_only</x:v>
      </x:c>
      <x:c r="D29" s="20" t="str">
        <x:v>No</x:v>
      </x:c>
      <x:c r="E29" s="26" t="n">
        <x:v>69</x:v>
      </x:c>
      <x:c r="F29" s="29" t="n">
        <x:v>2.5569187723682045</x:v>
      </x:c>
      <x:c r="G29" s="29" t="n">
        <x:v>2.648923326495357</x:v>
      </x:c>
      <x:c r="H29" s="62" t="n">
        <x:v>0.49927125512786413</x:v>
      </x:c>
      <x:c r="I29" s="29" t="n">
        <x:v>1.0985994320057302</x:v>
      </x:c>
      <x:c r="J29" s="32" t="n">
        <x:v>0.2318840579710145</x:v>
      </x:c>
      <x:c r="K29" s="32" t="n">
        <x:v>0.4057971014492754</x:v>
      </x:c>
      <x:c r="L29" s="32" t="n">
        <x:v>0.5507246376811594</x:v>
      </x:c>
      <x:c r="M29" s="29" t="n">
        <x:v>4.9220105191604375</x:v>
      </x:c>
      <x:c r="N29" s="29" t="n">
        <x:v>6.448955332491447</x:v>
      </x:c>
    </x:row>
    <x:row r="30">
      <x:c r="A30" s="20" t="str">
        <x:v>ECI</x:v>
      </x:c>
      <x:c r="B30" s="20" t="str">
        <x:v>chronological_family_holdout</x:v>
      </x:c>
      <x:c r="C30" s="20" t="str">
        <x:v>blend_60_score_40_score_date</x:v>
      </x:c>
      <x:c r="D30" s="20" t="str">
        <x:v>Yes</x:v>
      </x:c>
      <x:c r="E30" s="26" t="n">
        <x:v>69</x:v>
      </x:c>
      <x:c r="F30" s="29" t="n">
        <x:v>2.5962758629332074</x:v>
      </x:c>
      <x:c r="G30" s="29" t="n">
        <x:v>2.749013911872191</x:v>
      </x:c>
      <x:c r="H30" s="62" t="n">
        <x:v>0.512126608638526</x:v>
      </x:c>
      <x:c r="I30" s="29" t="n">
        <x:v>0.8924812284316762</x:v>
      </x:c>
      <x:c r="J30" s="32" t="n">
        <x:v>0.2028985507246377</x:v>
      </x:c>
      <x:c r="K30" s="32" t="n">
        <x:v>0.4057971014492754</x:v>
      </x:c>
      <x:c r="L30" s="32" t="n">
        <x:v>0.5797101449275363</x:v>
      </x:c>
      <x:c r="M30" s="29" t="n">
        <x:v>5.579796226324883</x:v>
      </x:c>
      <x:c r="N30" s="29" t="n">
        <x:v>6.4988177917435515</x:v>
      </x:c>
    </x:row>
    <x:row r="31">
      <x:c r="A31" s="20" t="str">
        <x:v>ECI</x:v>
      </x:c>
      <x:c r="B31" s="20" t="str">
        <x:v>chronological_family_holdout</x:v>
      </x:c>
      <x:c r="C31" s="20" t="str">
        <x:v>geometric_prior</x:v>
      </x:c>
      <x:c r="D31" s="20" t="str">
        <x:v>No</x:v>
      </x:c>
      <x:c r="E31" s="26" t="n">
        <x:v>69</x:v>
      </x:c>
      <x:c r="F31" s="29" t="n">
        <x:v>4.217677800895297</x:v>
      </x:c>
      <x:c r="G31" s="29" t="n">
        <x:v>4.951705143425892</x:v>
      </x:c>
      <x:c r="H31" s="62" t="n">
        <x:v>0.8331613013998107</x:v>
      </x:c>
      <x:c r="I31" s="29" t="n">
        <x:v>0.3759654765540877</x:v>
      </x:c>
      <x:c r="J31" s="32" t="n">
        <x:v>0.13043478260869565</x:v>
      </x:c>
      <x:c r="K31" s="32" t="n">
        <x:v>0.2898550724637681</x:v>
      </x:c>
      <x:c r="L31" s="32" t="n">
        <x:v>0.36231884057971014</x:v>
      </x:c>
      <x:c r="M31" s="29" t="n">
        <x:v>16.424473827678263</x:v>
      </x:c>
      <x:c r="N31" s="29" t="n">
        <x:v>23.876038215574262</x:v>
      </x:c>
    </x:row>
    <x:row r="32">
      <x:c r="A32" s="20" t="str">
        <x:v>ECI</x:v>
      </x:c>
      <x:c r="B32" s="20" t="str">
        <x:v>chronological_family_holdout</x:v>
      </x:c>
      <x:c r="C32" s="20" t="str">
        <x:v>score_date</x:v>
      </x:c>
      <x:c r="D32" s="20" t="str">
        <x:v>No</x:v>
      </x:c>
      <x:c r="E32" s="26" t="n">
        <x:v>69</x:v>
      </x:c>
      <x:c r="F32" s="29" t="n">
        <x:v>2.594290849321566</x:v>
      </x:c>
      <x:c r="G32" s="29" t="n">
        <x:v>2.899221112762148</x:v>
      </x:c>
      <x:c r="H32" s="62" t="n">
        <x:v>0.5403540887982552</x:v>
      </x:c>
      <x:c r="I32" s="29" t="n">
        <x:v>0.677926192291467</x:v>
      </x:c>
      <x:c r="J32" s="32" t="n">
        <x:v>0.15942028985507245</x:v>
      </x:c>
      <x:c r="K32" s="32" t="n">
        <x:v>0.3333333333333333</x:v>
      </x:c>
      <x:c r="L32" s="32" t="n">
        <x:v>0.5507246376811594</x:v>
      </x:c>
      <x:c r="M32" s="29" t="n">
        <x:v>5.020106879469488</x:v>
      </x:c>
      <x:c r="N32" s="29" t="n">
        <x:v>7.168166553654829</x:v>
      </x:c>
    </x:row>
    <x:row r="33">
      <x:c r="A33" s="20" t="str">
        <x:v>ECI</x:v>
      </x:c>
      <x:c r="B33" s="20" t="str">
        <x:v>chronological_family_holdout</x:v>
      </x:c>
      <x:c r="C33" s="20" t="str">
        <x:v>score_date_moe</x:v>
      </x:c>
      <x:c r="D33" s="20" t="str">
        <x:v>No</x:v>
      </x:c>
      <x:c r="E33" s="26" t="n">
        <x:v>69</x:v>
      </x:c>
      <x:c r="F33" s="29" t="n">
        <x:v>2.2765218965919845</x:v>
      </x:c>
      <x:c r="G33" s="29" t="n">
        <x:v>2.5024527874038904</x:v>
      </x:c>
      <x:c r="H33" s="62" t="n">
        <x:v>0.4725621409875618</x:v>
      </x:c>
      <x:c r="I33" s="29" t="n">
        <x:v>0.7377053110964877</x:v>
      </x:c>
      <x:c r="J33" s="32" t="n">
        <x:v>0.2028985507246377</x:v>
      </x:c>
      <x:c r="K33" s="32" t="n">
        <x:v>0.43478260869565216</x:v>
      </x:c>
      <x:c r="L33" s="32" t="n">
        <x:v>0.6666666666666666</x:v>
      </x:c>
      <x:c r="M33" s="29" t="n">
        <x:v>3.9013039507752696</x:v>
      </x:c>
      <x:c r="N33" s="29" t="n">
        <x:v>5.749987796611271</x:v>
      </x:c>
    </x:row>
    <x:row r="34">
      <x:c r="A34" s="20" t="str">
        <x:v>ECI</x:v>
      </x:c>
      <x:c r="B34" s="20" t="str">
        <x:v>chronological_family_holdout</x:v>
      </x:c>
      <x:c r="C34" s="20" t="str">
        <x:v>score_date_moe_reasoning</x:v>
      </x:c>
      <x:c r="D34" s="20" t="str">
        <x:v>No</x:v>
      </x:c>
      <x:c r="E34" s="26" t="n">
        <x:v>69</x:v>
      </x:c>
      <x:c r="F34" s="29" t="n">
        <x:v>2.3157866263181512</x:v>
      </x:c>
      <x:c r="G34" s="29" t="n">
        <x:v>2.5298880941284834</x:v>
      </x:c>
      <x:c r="H34" s="62" t="n">
        <x:v>0.47619504290435744</x:v>
      </x:c>
      <x:c r="I34" s="29" t="n">
        <x:v>0.715510227694152</x:v>
      </x:c>
      <x:c r="J34" s="32" t="n">
        <x:v>0.18840579710144928</x:v>
      </x:c>
      <x:c r="K34" s="32" t="n">
        <x:v>0.391304347826087</x:v>
      </x:c>
      <x:c r="L34" s="32" t="n">
        <x:v>0.6956521739130435</x:v>
      </x:c>
      <x:c r="M34" s="29" t="n">
        <x:v>3.994620875651571</x:v>
      </x:c>
      <x:c r="N34" s="29" t="n">
        <x:v>5.558016800761724</x:v>
      </x:c>
    </x:row>
    <x:row r="35">
      <x:c r="A35" s="20" t="str">
        <x:v>ECI</x:v>
      </x:c>
      <x:c r="B35" s="20" t="str">
        <x:v>chronological_family_holdout</x:v>
      </x:c>
      <x:c r="C35" s="20" t="str">
        <x:v>score_only</x:v>
      </x:c>
      <x:c r="D35" s="20" t="str">
        <x:v>No</x:v>
      </x:c>
      <x:c r="E35" s="26" t="n">
        <x:v>69</x:v>
      </x:c>
      <x:c r="F35" s="29" t="n">
        <x:v>2.7161241168367076</x:v>
      </x:c>
      <x:c r="G35" s="29" t="n">
        <x:v>2.7530922159151667</x:v>
      </x:c>
      <x:c r="H35" s="62" t="n">
        <x:v>0.5181286056244258</x:v>
      </x:c>
      <x:c r="I35" s="29" t="n">
        <x:v>1.0720380699858867</x:v>
      </x:c>
      <x:c r="J35" s="32" t="n">
        <x:v>0.2318840579710145</x:v>
      </x:c>
      <x:c r="K35" s="32" t="n">
        <x:v>0.391304347826087</x:v>
      </x:c>
      <x:c r="L35" s="32" t="n">
        <x:v>0.5217391304347826</x:v>
      </x:c>
      <x:c r="M35" s="29" t="n">
        <x:v>5.5090145842145</x:v>
      </x:c>
      <x:c r="N35" s="29" t="n">
        <x:v>6.475877835176383</x:v>
      </x:c>
    </x:row>
    <x:row r="36">
      <x:c r="A36" s="20" t="str">
        <x:v>No-CoT</x:v>
      </x:c>
      <x:c r="B36" s="20" t="str">
        <x:v>chronological</x:v>
      </x:c>
      <x:c r="C36" s="20" t="str">
        <x:v>log_horizon_date_moe</x:v>
      </x:c>
      <x:c r="D36" s="20" t="str">
        <x:v>Yes</x:v>
      </x:c>
      <x:c r="E36" s="26" t="n">
        <x:v>22</x:v>
      </x:c>
      <x:c r="F36" s="29" t="n">
        <x:v>2.0585683889438613</x:v>
      </x:c>
      <x:c r="G36" s="29" t="n">
        <x:v>2.4807797777603366</x:v>
      </x:c>
      <x:c r="H36" s="62" t="n">
        <x:v>0.48498193620084656</x:v>
      </x:c>
      <x:c r="I36" s="29" t="n">
        <x:v>1.0994140044198424</x:v>
      </x:c>
      <x:c r="J36" s="32" t="n">
        <x:v>0.3181818181818182</x:v>
      </x:c>
      <x:c r="K36" s="32" t="n">
        <x:v>0.45454545454545453</x:v>
      </x:c>
      <x:c r="L36" s="32" t="n">
        <x:v>0.6363636363636364</x:v>
      </x:c>
      <x:c r="M36" s="29" t="n">
        <x:v>5.68729588418094</x:v>
      </x:c>
      <x:c r="N36" s="29" t="n">
        <x:v>5.965936581179303</x:v>
      </x:c>
    </x:row>
    <x:row r="37">
      <x:c r="A37" s="20" t="str">
        <x:v>No-CoT</x:v>
      </x:c>
      <x:c r="B37" s="20" t="str">
        <x:v>chronological</x:v>
      </x:c>
      <x:c r="C37" s="20" t="str">
        <x:v>geometric_prior</x:v>
      </x:c>
      <x:c r="D37" s="20" t="str">
        <x:v>No</x:v>
      </x:c>
      <x:c r="E37" s="26" t="n">
        <x:v>22</x:v>
      </x:c>
      <x:c r="F37" s="29" t="n">
        <x:v>4.595347889374663</x:v>
      </x:c>
      <x:c r="G37" s="29" t="n">
        <x:v>4.771694846654405</x:v>
      </x:c>
      <x:c r="H37" s="62" t="n">
        <x:v>0.7963487891419911</x:v>
      </x:c>
      <x:c r="I37" s="29" t="n">
        <x:v>0.7756871143191821</x:v>
      </x:c>
      <x:c r="J37" s="32" t="n">
        <x:v>0.13636363636363635</x:v>
      </x:c>
      <x:c r="K37" s="32" t="n">
        <x:v>0.2727272727272727</x:v>
      </x:c>
      <x:c r="L37" s="32" t="n">
        <x:v>0.4090909090909091</x:v>
      </x:c>
      <x:c r="M37" s="29" t="n">
        <x:v>10.480527519700276</x:v>
      </x:c>
      <x:c r="N37" s="29" t="n">
        <x:v>17.228734852690017</x:v>
      </x:c>
    </x:row>
    <x:row r="38">
      <x:c r="A38" s="20" t="str">
        <x:v>No-CoT</x:v>
      </x:c>
      <x:c r="B38" s="20" t="str">
        <x:v>chronological</x:v>
      </x:c>
      <x:c r="C38" s="20" t="str">
        <x:v>log_horizon_date</x:v>
      </x:c>
      <x:c r="D38" s="20" t="str">
        <x:v>No</x:v>
      </x:c>
      <x:c r="E38" s="26" t="n">
        <x:v>22</x:v>
      </x:c>
      <x:c r="F38" s="29" t="n">
        <x:v>2.333018503359313</x:v>
      </x:c>
      <x:c r="G38" s="29" t="n">
        <x:v>2.991871716328271</x:v>
      </x:c>
      <x:c r="H38" s="62" t="n">
        <x:v>0.5873439037784437</x:v>
      </x:c>
      <x:c r="I38" s="29" t="n">
        <x:v>1.639523262404305</x:v>
      </x:c>
      <x:c r="J38" s="32" t="n">
        <x:v>0.18181818181818182</x:v>
      </x:c>
      <x:c r="K38" s="32" t="n">
        <x:v>0.4090909090909091</x:v>
      </x:c>
      <x:c r="L38" s="32" t="n">
        <x:v>0.5909090909090909</x:v>
      </x:c>
      <x:c r="M38" s="29" t="n">
        <x:v>6.11864306062287</x:v>
      </x:c>
      <x:c r="N38" s="29" t="n">
        <x:v>8.044033398603498</x:v>
      </x:c>
    </x:row>
    <x:row r="39">
      <x:c r="A39" s="20" t="str">
        <x:v>No-CoT</x:v>
      </x:c>
      <x:c r="B39" s="20" t="str">
        <x:v>chronological</x:v>
      </x:c>
      <x:c r="C39" s="20" t="str">
        <x:v>log_horizon_only</x:v>
      </x:c>
      <x:c r="D39" s="20" t="str">
        <x:v>No</x:v>
      </x:c>
      <x:c r="E39" s="26" t="n">
        <x:v>22</x:v>
      </x:c>
      <x:c r="F39" s="29" t="n">
        <x:v>2.270286274179426</x:v>
      </x:c>
      <x:c r="G39" s="29" t="n">
        <x:v>2.833141825970615</x:v>
      </x:c>
      <x:c r="H39" s="62" t="n">
        <x:v>0.5502641425850023</x:v>
      </x:c>
      <x:c r="I39" s="29" t="n">
        <x:v>1.6635795798784536</x:v>
      </x:c>
      <x:c r="J39" s="32" t="n">
        <x:v>0.18181818181818182</x:v>
      </x:c>
      <x:c r="K39" s="32" t="n">
        <x:v>0.36363636363636365</x:v>
      </x:c>
      <x:c r="L39" s="32" t="n">
        <x:v>0.5909090909090909</x:v>
      </x:c>
      <x:c r="M39" s="29" t="n">
        <x:v>5.0800760547598305</x:v>
      </x:c>
      <x:c r="N39" s="29" t="n">
        <x:v>5.3800079295972765</x:v>
      </x:c>
    </x:row>
    <x:row r="40">
      <x:c r="A40" s="20" t="str">
        <x:v>No-CoT</x:v>
      </x:c>
      <x:c r="B40" s="20" t="str">
        <x:v>chronological_family_holdout</x:v>
      </x:c>
      <x:c r="C40" s="20" t="str">
        <x:v>log_horizon_date_moe</x:v>
      </x:c>
      <x:c r="D40" s="20" t="str">
        <x:v>Yes</x:v>
      </x:c>
      <x:c r="E40" s="26" t="n">
        <x:v>22</x:v>
      </x:c>
      <x:c r="F40" s="29" t="n">
        <x:v>2.2568768541150135</x:v>
      </x:c>
      <x:c r="G40" s="29" t="n">
        <x:v>2.6556666328623377</x:v>
      </x:c>
      <x:c r="H40" s="62" t="n">
        <x:v>0.5273330008162219</x:v>
      </x:c>
      <x:c r="I40" s="29" t="n">
        <x:v>1.163331518682907</x:v>
      </x:c>
      <x:c r="J40" s="32" t="n">
        <x:v>0.2727272727272727</x:v>
      </x:c>
      <x:c r="K40" s="32" t="n">
        <x:v>0.36363636363636365</x:v>
      </x:c>
      <x:c r="L40" s="32" t="n">
        <x:v>0.6363636363636364</x:v>
      </x:c>
      <x:c r="M40" s="29" t="n">
        <x:v>6.073386078057711</x:v>
      </x:c>
      <x:c r="N40" s="29" t="n">
        <x:v>7.696511648526315</x:v>
      </x:c>
    </x:row>
    <x:row r="41">
      <x:c r="A41" s="20" t="str">
        <x:v>No-CoT</x:v>
      </x:c>
      <x:c r="B41" s="20" t="str">
        <x:v>chronological_family_holdout</x:v>
      </x:c>
      <x:c r="C41" s="20" t="str">
        <x:v>geometric_prior</x:v>
      </x:c>
      <x:c r="D41" s="20" t="str">
        <x:v>No</x:v>
      </x:c>
      <x:c r="E41" s="26" t="n">
        <x:v>22</x:v>
      </x:c>
      <x:c r="F41" s="29" t="n">
        <x:v>6.169387799486827</x:v>
      </x:c>
      <x:c r="G41" s="29" t="n">
        <x:v>5.71214819862817</x:v>
      </x:c>
      <x:c r="H41" s="62" t="n">
        <x:v>0.8912517645664482</x:v>
      </x:c>
      <x:c r="I41" s="29" t="n">
        <x:v>0.7702060548717329</x:v>
      </x:c>
      <x:c r="J41" s="32" t="n">
        <x:v>0.13636363636363635</x:v>
      </x:c>
      <x:c r="K41" s="32" t="n">
        <x:v>0.22727272727272727</x:v>
      </x:c>
      <x:c r="L41" s="32" t="n">
        <x:v>0.36363636363636365</x:v>
      </x:c>
      <x:c r="M41" s="29" t="n">
        <x:v>16.767170139213007</x:v>
      </x:c>
      <x:c r="N41" s="29" t="n">
        <x:v>29.119051261833164</x:v>
      </x:c>
    </x:row>
    <x:row r="42">
      <x:c r="A42" s="20" t="str">
        <x:v>No-CoT</x:v>
      </x:c>
      <x:c r="B42" s="20" t="str">
        <x:v>chronological_family_holdout</x:v>
      </x:c>
      <x:c r="C42" s="20" t="str">
        <x:v>log_horizon_date</x:v>
      </x:c>
      <x:c r="D42" s="20" t="str">
        <x:v>No</x:v>
      </x:c>
      <x:c r="E42" s="26" t="n">
        <x:v>22</x:v>
      </x:c>
      <x:c r="F42" s="29" t="n">
        <x:v>2.5173710237943574</x:v>
      </x:c>
      <x:c r="G42" s="29" t="n">
        <x:v>3.6409562795962156</x:v>
      </x:c>
      <x:c r="H42" s="62" t="n">
        <x:v>0.6546293386489554</x:v>
      </x:c>
      <x:c r="I42" s="29" t="n">
        <x:v>1.7303046877171018</x:v>
      </x:c>
      <x:c r="J42" s="32" t="n">
        <x:v>0.045454545454545456</x:v>
      </x:c>
      <x:c r="K42" s="32" t="n">
        <x:v>0.18181818181818182</x:v>
      </x:c>
      <x:c r="L42" s="32" t="n">
        <x:v>0.5909090909090909</x:v>
      </x:c>
      <x:c r="M42" s="29" t="n">
        <x:v>7.134481891750131</x:v>
      </x:c>
      <x:c r="N42" s="29" t="n">
        <x:v>9.850947129086922</x:v>
      </x:c>
    </x:row>
    <x:row r="43">
      <x:c r="A43" s="21" t="str">
        <x:v>No-CoT</x:v>
      </x:c>
      <x:c r="B43" s="21" t="str">
        <x:v>chronological_family_holdout</x:v>
      </x:c>
      <x:c r="C43" s="21" t="str">
        <x:v>log_horizon_only</x:v>
      </x:c>
      <x:c r="D43" s="21" t="str">
        <x:v>No</x:v>
      </x:c>
      <x:c r="E43" s="27" t="n">
        <x:v>22</x:v>
      </x:c>
      <x:c r="F43" s="30" t="n">
        <x:v>2.551993741452823</x:v>
      </x:c>
      <x:c r="G43" s="30" t="n">
        <x:v>3.260538876641104</x:v>
      </x:c>
      <x:c r="H43" s="63" t="n">
        <x:v>0.5956011083156787</x:v>
      </x:c>
      <x:c r="I43" s="30" t="n">
        <x:v>1.6007493916653095</x:v>
      </x:c>
      <x:c r="J43" s="33" t="n">
        <x:v>0.09090909090909091</x:v>
      </x:c>
      <x:c r="K43" s="33" t="n">
        <x:v>0.2727272727272727</x:v>
      </x:c>
      <x:c r="L43" s="33" t="n">
        <x:v>0.5909090909090909</x:v>
      </x:c>
      <x:c r="M43" s="30" t="n">
        <x:v>4.634323466497207</x:v>
      </x:c>
      <x:c r="N43" s="30" t="n">
        <x:v>6.138524101501086</x:v>
      </x:c>
    </x:row>
  </x:sheetData>
  <x:mergeCells>
    <x:mergeCell ref="A1:N1"/>
    <x:mergeCell ref="A2:N3"/>
  </x:mergeCells>
  <x:conditionalFormatting sqref="D6:D43">
    <x:cfRule type="containsText" dxfId="1" priority="1" operator="containsText" text="Yes"/>
  </x:conditionalFormatting>
  <x:pageMargins left="0.7" right="0.7" top="0.75" bottom="0.75" header="0.3" footer="0.3"/>
  <x:tableParts count="1">
    <x:tablePart xmlns:r="http://schemas.openxmlformats.org/officeDocument/2006/relationships" r:id="R8a0afd6a24bd4c6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3" hidden="0" customWidth="1"/>
    <x:col min="3" max="3" width="42" hidden="0" customWidth="1"/>
    <x:col min="4" max="4" width="2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s>
  <x:sheetData>
    <x:row r="1" ht="36" customHeight="1">
      <x:c r="A1" s="3" t="str">
        <x:v>Preferred out-of-sample predictions</x:v>
      </x:c>
      <x:c r="B1" s="3"/>
      <x:c r="C1" s="3"/>
      <x:c r="D1" s="3"/>
      <x:c r="E1" s="3"/>
      <x:c r="F1" s="3"/>
      <x:c r="G1" s="3"/>
      <x:c r="H1" s="3"/>
      <x:c r="I1" s="3"/>
      <x:c r="J1" s="3"/>
      <x:c r="K1" s="3"/>
      <x:c r="L1" s="3"/>
      <x:c r="M1" s="3"/>
    </x:row>
    <x:row r="2">
      <x:c r="A2" s="6" t="str">
        <x:v>Current-like specification for each component plus the current-weight available-component ensemble. Every row is strictly chronological and family-held-out. Factor error and signed ratio are workbook formulas so the arithmetic remains inspectable.</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ht="32" customHeight="1">
      <x:c r="A5" s="14" t="str">
        <x:v>Panel</x:v>
      </x:c>
      <x:c r="B5" s="14" t="str">
        <x:v>Release</x:v>
      </x:c>
      <x:c r="C5" s="14" t="str">
        <x:v>Model</x:v>
      </x:c>
      <x:c r="D5" s="14" t="str">
        <x:v>Family</x:v>
      </x:c>
      <x:c r="E5" s="14" t="str">
        <x:v>Actual (B)</x:v>
      </x:c>
      <x:c r="F5" s="14" t="str">
        <x:v>Predicted (B)</x:v>
      </x:c>
      <x:c r="G5" s="14" t="str">
        <x:v>Factor error</x:v>
      </x:c>
      <x:c r="H5" s="14" t="str">
        <x:v>Pred / actual</x:v>
      </x:c>
      <x:c r="I5" s="14" t="str">
        <x:v>Train n</x:v>
      </x:c>
      <x:c r="J5" s="14" t="str">
        <x:v>Train families</x:v>
      </x:c>
      <x:c r="K5" s="14" t="str">
        <x:v>Train max date</x:v>
      </x:c>
      <x:c r="L5" s="14" t="str">
        <x:v>Frontier rank</x:v>
      </x:c>
      <x:c r="M5" s="14" t="str">
        <x:v>Components</x:v>
      </x:c>
    </x:row>
    <x:row r="6">
      <x:c r="A6" s="19" t="str">
        <x:v>AA</x:v>
      </x:c>
      <x:c r="B6" s="64" t="n">
        <x:v>46006</x:v>
      </x:c>
      <x:c r="C6" s="19" t="str">
        <x:v>Nemotron 3 Nano 30B A3B Reasoning</x:v>
      </x:c>
      <x:c r="D6" s="19" t="str">
        <x:v>nemotron3</x:v>
      </x:c>
      <x:c r="E6" s="67" t="n">
        <x:v>31.6</x:v>
      </x:c>
      <x:c r="F6" s="67" t="n">
        <x:v>194.69020613919378</x:v>
      </x:c>
      <x:c r="G6" s="28" t="n">
        <x:f>MAX(F6/E6,E6/F6)</x:f>
        <x:v>6.161082472759296</x:v>
      </x:c>
      <x:c r="H6" s="28" t="n">
        <x:f>F6/E6</x:f>
        <x:v>6.161082472759296</x:v>
      </x:c>
      <x:c r="I6" s="25" t="n">
        <x:v>16</x:v>
      </x:c>
      <x:c r="J6" s="25" t="n">
        <x:v>11</x:v>
      </x:c>
      <x:c r="K6" s="64" t="n">
        <x:v>46003</x:v>
      </x:c>
      <x:c r="L6" s="31" t="n">
        <x:v>0.125</x:v>
      </x:c>
      <x:c r="M6" s="25" t="n">
        <x:v>1</x:v>
      </x:c>
    </x:row>
    <x:row r="7">
      <x:c r="A7" s="20" t="str">
        <x:v>AA</x:v>
      </x:c>
      <x:c r="B7" s="65" t="n">
        <x:v>46007</x:v>
      </x:c>
      <x:c r="C7" s="20" t="str">
        <x:v>MiMo-V2-Flash Reasoning</x:v>
      </x:c>
      <x:c r="D7" s="20" t="str">
        <x:v>mimo_v2</x:v>
      </x:c>
      <x:c r="E7" s="68" t="n">
        <x:v>309</x:v>
      </x:c>
      <x:c r="F7" s="68" t="n">
        <x:v>839.5993682509024</x:v>
      </x:c>
      <x:c r="G7" s="29" t="n">
        <x:f>MAX(F7/E7,E7/F7)</x:f>
        <x:v>2.717150059064409</x:v>
      </x:c>
      <x:c r="H7" s="29" t="n">
        <x:f>F7/E7</x:f>
        <x:v>2.717150059064409</x:v>
      </x:c>
      <x:c r="I7" s="26" t="n">
        <x:v>17</x:v>
      </x:c>
      <x:c r="J7" s="26" t="n">
        <x:v>12</x:v>
      </x:c>
      <x:c r="K7" s="65" t="n">
        <x:v>46006</x:v>
      </x:c>
      <x:c r="L7" s="32" t="n">
        <x:v>0.8823529411764706</x:v>
      </x:c>
      <x:c r="M7" s="26" t="n">
        <x:v>1</x:v>
      </x:c>
    </x:row>
    <x:row r="8">
      <x:c r="A8" s="20" t="str">
        <x:v>AA</x:v>
      </x:c>
      <x:c r="B8" s="65" t="n">
        <x:v>46013</x:v>
      </x:c>
      <x:c r="C8" s="20" t="str">
        <x:v>GLM-4.7 Reasoning</x:v>
      </x:c>
      <x:c r="D8" s="20" t="str">
        <x:v>glm</x:v>
      </x:c>
      <x:c r="E8" s="68" t="n">
        <x:v>358</x:v>
      </x:c>
      <x:c r="F8" s="68" t="n">
        <x:v>709.6689124318841</x:v>
      </x:c>
      <x:c r="G8" s="29" t="n">
        <x:f>MAX(F8/E8,E8/F8)</x:f>
        <x:v>1.9823153978544248</x:v>
      </x:c>
      <x:c r="H8" s="29" t="n">
        <x:f>F8/E8</x:f>
        <x:v>1.9823153978544248</x:v>
      </x:c>
      <x:c r="I8" s="26" t="n">
        <x:v>16</x:v>
      </x:c>
      <x:c r="J8" s="26" t="n">
        <x:v>12</x:v>
      </x:c>
      <x:c r="K8" s="65" t="n">
        <x:v>46014</x:v>
      </x:c>
      <x:c r="L8" s="32" t="n">
        <x:v>1</x:v>
      </x:c>
      <x:c r="M8" s="26" t="n">
        <x:v>1</x:v>
      </x:c>
    </x:row>
    <x:row r="9">
      <x:c r="A9" s="20" t="str">
        <x:v>AA</x:v>
      </x:c>
      <x:c r="B9" s="65" t="n">
        <x:v>46014</x:v>
      </x:c>
      <x:c r="C9" s="20" t="str">
        <x:v>MiniMax-M2.1</x:v>
      </x:c>
      <x:c r="D9" s="20" t="str">
        <x:v>minimax_m2</x:v>
      </x:c>
      <x:c r="E9" s="68" t="n">
        <x:v>230</x:v>
      </x:c>
      <x:c r="F9" s="68" t="n">
        <x:v>627.5611752868404</x:v>
      </x:c>
      <x:c r="G9" s="29" t="n">
        <x:f>MAX(F9/E9,E9/F9)</x:f>
        <x:v>2.728526849073219</x:v>
      </x:c>
      <x:c r="H9" s="29" t="n">
        <x:f>F9/E9</x:f>
        <x:v>2.728526849073219</x:v>
      </x:c>
      <x:c r="I9" s="26" t="n">
        <x:v>17</x:v>
      </x:c>
      <x:c r="J9" s="26" t="n">
        <x:v>12</x:v>
      </x:c>
      <x:c r="K9" s="65" t="n">
        <x:v>46007</x:v>
      </x:c>
      <x:c r="L9" s="32" t="n">
        <x:v>0.8888888888888888</x:v>
      </x:c>
      <x:c r="M9" s="26" t="n">
        <x:v>1</x:v>
      </x:c>
    </x:row>
    <x:row r="10">
      <x:c r="A10" s="20" t="str">
        <x:v>AA</x:v>
      </x:c>
      <x:c r="B10" s="65" t="n">
        <x:v>46022</x:v>
      </x:c>
      <x:c r="C10" s="20" t="str">
        <x:v>K-EXAONE</x:v>
      </x:c>
      <x:c r="D10" s="20" t="str">
        <x:v>k_exaone</x:v>
      </x:c>
      <x:c r="E10" s="68" t="n">
        <x:v>236</x:v>
      </x:c>
      <x:c r="F10" s="68" t="n">
        <x:v>196.5695003197419</x:v>
      </x:c>
      <x:c r="G10" s="29" t="n">
        <x:f>MAX(F10/E10,E10/F10)</x:f>
        <x:v>1.2005931724714163</x:v>
      </x:c>
      <x:c r="H10" s="29" t="n">
        <x:f>F10/E10</x:f>
        <x:v>0.8329216115243301</x:v>
      </x:c>
      <x:c r="I10" s="26" t="n">
        <x:v>20</x:v>
      </x:c>
      <x:c r="J10" s="26" t="n">
        <x:v>13</x:v>
      </x:c>
      <x:c r="K10" s="65" t="n">
        <x:v>46018</x:v>
      </x:c>
      <x:c r="L10" s="32" t="n">
        <x:v>0.6</x:v>
      </x:c>
      <x:c r="M10" s="26" t="n">
        <x:v>1</x:v>
      </x:c>
    </x:row>
    <x:row r="11">
      <x:c r="A11" s="20" t="str">
        <x:v>AA</x:v>
      </x:c>
      <x:c r="B11" s="65" t="n">
        <x:v>46049</x:v>
      </x:c>
      <x:c r="C11" s="20" t="str">
        <x:v>Kimi K2.5 Reasoning</x:v>
      </x:c>
      <x:c r="D11" s="20" t="str">
        <x:v>kimi_k2</x:v>
      </x:c>
      <x:c r="E11" s="68" t="n">
        <x:v>1040</x:v>
      </x:c>
      <x:c r="F11" s="68" t="n">
        <x:v>740.1901350363972</x:v>
      </x:c>
      <x:c r="G11" s="29" t="n">
        <x:f>MAX(F11/E11,E11/F11)</x:f>
        <x:v>1.4050443943688338</x:v>
      </x:c>
      <x:c r="H11" s="29" t="n">
        <x:f>F11/E11</x:f>
        <x:v>0.7117212836888435</x:v>
      </x:c>
      <x:c r="I11" s="26" t="n">
        <x:v>20</x:v>
      </x:c>
      <x:c r="J11" s="26" t="n">
        <x:v>13</x:v>
      </x:c>
      <x:c r="K11" s="65" t="n">
        <x:v>46030</x:v>
      </x:c>
      <x:c r="L11" s="32" t="n">
        <x:v>1</x:v>
      </x:c>
      <x:c r="M11" s="26" t="n">
        <x:v>1</x:v>
      </x:c>
    </x:row>
    <x:row r="12">
      <x:c r="A12" s="20" t="str">
        <x:v>AA</x:v>
      </x:c>
      <x:c r="B12" s="65" t="n">
        <x:v>46050</x:v>
      </x:c>
      <x:c r="C12" s="20" t="str">
        <x:v>LongCat Flash Lite</x:v>
      </x:c>
      <x:c r="D12" s="20" t="str">
        <x:v>longcat</x:v>
      </x:c>
      <x:c r="E12" s="68" t="n">
        <x:v>68.5</x:v>
      </x:c>
      <x:c r="F12" s="68" t="n">
        <x:v>129.89782564780887</x:v>
      </x:c>
      <x:c r="G12" s="29" t="n">
        <x:f>MAX(F12/E12,E12/F12)</x:f>
        <x:v>1.89631862259575</x:v>
      </x:c>
      <x:c r="H12" s="29" t="n">
        <x:f>F12/E12</x:f>
        <x:v>1.89631862259575</x:v>
      </x:c>
      <x:c r="I12" s="26" t="n">
        <x:v>22</x:v>
      </x:c>
      <x:c r="J12" s="26" t="n">
        <x:v>14</x:v>
      </x:c>
      <x:c r="K12" s="65" t="n">
        <x:v>46049</x:v>
      </x:c>
      <x:c r="L12" s="32" t="n">
        <x:v>0.3181818181818182</x:v>
      </x:c>
      <x:c r="M12" s="26" t="n">
        <x:v>1</x:v>
      </x:c>
    </x:row>
    <x:row r="13">
      <x:c r="A13" s="20" t="str">
        <x:v>AA</x:v>
      </x:c>
      <x:c r="B13" s="65" t="n">
        <x:v>46064</x:v>
      </x:c>
      <x:c r="C13" s="20" t="str">
        <x:v>GLM-5 Reasoning</x:v>
      </x:c>
      <x:c r="D13" s="20" t="str">
        <x:v>glm</x:v>
      </x:c>
      <x:c r="E13" s="68" t="n">
        <x:v>744</x:v>
      </x:c>
      <x:c r="F13" s="68" t="n">
        <x:v>1420.2968513885826</x:v>
      </x:c>
      <x:c r="G13" s="29" t="n">
        <x:f>MAX(F13/E13,E13/F13)</x:f>
        <x:v>1.9090011443394928</x:v>
      </x:c>
      <x:c r="H13" s="29" t="n">
        <x:f>F13/E13</x:f>
        <x:v>1.9090011443394928</x:v>
      </x:c>
      <x:c r="I13" s="26" t="n">
        <x:v>19</x:v>
      </x:c>
      <x:c r="J13" s="26" t="n">
        <x:v>14</x:v>
      </x:c>
      <x:c r="K13" s="65" t="n">
        <x:v>46051</x:v>
      </x:c>
      <x:c r="L13" s="32" t="n">
        <x:v>1</x:v>
      </x:c>
      <x:c r="M13" s="26" t="n">
        <x:v>1</x:v>
      </x:c>
    </x:row>
    <x:row r="14">
      <x:c r="A14" s="20" t="str">
        <x:v>AA</x:v>
      </x:c>
      <x:c r="B14" s="65" t="n">
        <x:v>46065</x:v>
      </x:c>
      <x:c r="C14" s="20" t="str">
        <x:v>MiniMax-M2.5</x:v>
      </x:c>
      <x:c r="D14" s="20" t="str">
        <x:v>minimax_m2</x:v>
      </x:c>
      <x:c r="E14" s="68" t="n">
        <x:v>228.703644928</x:v>
      </x:c>
      <x:c r="F14" s="68" t="n">
        <x:v>745.0640459948384</x:v>
      </x:c>
      <x:c r="G14" s="29" t="n">
        <x:f>MAX(F14/E14,E14/F14)</x:f>
        <x:v>3.2577707549409536</x:v>
      </x:c>
      <x:c r="H14" s="29" t="n">
        <x:f>F14/E14</x:f>
        <x:v>3.2577707549409536</x:v>
      </x:c>
      <x:c r="I14" s="26" t="n">
        <x:v>22</x:v>
      </x:c>
      <x:c r="J14" s="26" t="n">
        <x:v>14</x:v>
      </x:c>
      <x:c r="K14" s="65" t="n">
        <x:v>46064</x:v>
      </x:c>
      <x:c r="L14" s="32" t="n">
        <x:v>0.875</x:v>
      </x:c>
      <x:c r="M14" s="26" t="n">
        <x:v>1</x:v>
      </x:c>
    </x:row>
    <x:row r="15">
      <x:c r="A15" s="20" t="str">
        <x:v>AA</x:v>
      </x:c>
      <x:c r="B15" s="65" t="n">
        <x:v>46069</x:v>
      </x:c>
      <x:c r="C15" s="20" t="str">
        <x:v>Qwen3.5-397B-A17B Reasoning</x:v>
      </x:c>
      <x:c r="D15" s="20" t="str">
        <x:v>qwen35</x:v>
      </x:c>
      <x:c r="E15" s="68" t="n">
        <x:v>397</x:v>
      </x:c>
      <x:c r="F15" s="68" t="n">
        <x:v>653.9825289742425</x:v>
      </x:c>
      <x:c r="G15" s="29" t="n">
        <x:f>MAX(F15/E15,E15/F15)</x:f>
        <x:v>1.6473111561064044</x:v>
      </x:c>
      <x:c r="H15" s="29" t="n">
        <x:f>F15/E15</x:f>
        <x:v>1.6473111561064044</x:v>
      </x:c>
      <x:c r="I15" s="26" t="n">
        <x:v>25</x:v>
      </x:c>
      <x:c r="J15" s="26" t="n">
        <x:v>15</x:v>
      </x:c>
      <x:c r="K15" s="65" t="n">
        <x:v>46065</x:v>
      </x:c>
      <x:c r="L15" s="32" t="n">
        <x:v>0.88</x:v>
      </x:c>
      <x:c r="M15" s="26" t="n">
        <x:v>1</x:v>
      </x:c>
    </x:row>
    <x:row r="16">
      <x:c r="A16" s="20" t="str">
        <x:v>AA</x:v>
      </x:c>
      <x:c r="B16" s="65" t="n">
        <x:v>46077</x:v>
      </x:c>
      <x:c r="C16" s="20" t="str">
        <x:v>Qwen3.5-122B-A10B Reasoning</x:v>
      </x:c>
      <x:c r="D16" s="20" t="str">
        <x:v>qwen35</x:v>
      </x:c>
      <x:c r="E16" s="68" t="n">
        <x:v>125</x:v>
      </x:c>
      <x:c r="F16" s="68" t="n">
        <x:v>569.0048539054807</x:v>
      </x:c>
      <x:c r="G16" s="29" t="n">
        <x:f>MAX(F16/E16,E16/F16)</x:f>
        <x:v>4.552038831243846</x:v>
      </x:c>
      <x:c r="H16" s="29" t="n">
        <x:f>F16/E16</x:f>
        <x:v>4.552038831243846</x:v>
      </x:c>
      <x:c r="I16" s="26" t="n">
        <x:v>25</x:v>
      </x:c>
      <x:c r="J16" s="26" t="n">
        <x:v>15</x:v>
      </x:c>
      <x:c r="K16" s="65" t="n">
        <x:v>46065</x:v>
      </x:c>
      <x:c r="L16" s="32" t="n">
        <x:v>0.75</x:v>
      </x:c>
      <x:c r="M16" s="26" t="n">
        <x:v>1</x:v>
      </x:c>
    </x:row>
    <x:row r="17">
      <x:c r="A17" s="20" t="str">
        <x:v>AA</x:v>
      </x:c>
      <x:c r="B17" s="65" t="n">
        <x:v>46077</x:v>
      </x:c>
      <x:c r="C17" s="20" t="str">
        <x:v>Qwen3.5-27B Reasoning</x:v>
      </x:c>
      <x:c r="D17" s="20" t="str">
        <x:v>qwen35</x:v>
      </x:c>
      <x:c r="E17" s="68" t="n">
        <x:v>27.8</x:v>
      </x:c>
      <x:c r="F17" s="68" t="n">
        <x:v>666.6952846469917</x:v>
      </x:c>
      <x:c r="G17" s="29" t="n">
        <x:f>MAX(F17/E17,E17/F17)</x:f>
        <x:v>23.98184477147452</x:v>
      </x:c>
      <x:c r="H17" s="29" t="n">
        <x:f>F17/E17</x:f>
        <x:v>23.98184477147452</x:v>
      </x:c>
      <x:c r="I17" s="26" t="n">
        <x:v>25</x:v>
      </x:c>
      <x:c r="J17" s="26" t="n">
        <x:v>15</x:v>
      </x:c>
      <x:c r="K17" s="65" t="n">
        <x:v>46065</x:v>
      </x:c>
      <x:c r="L17" s="32" t="n">
        <x:v>0.9230769230769231</x:v>
      </x:c>
      <x:c r="M17" s="26" t="n">
        <x:v>1</x:v>
      </x:c>
    </x:row>
    <x:row r="18">
      <x:c r="A18" s="20" t="str">
        <x:v>AA</x:v>
      </x:c>
      <x:c r="B18" s="65" t="n">
        <x:v>46077</x:v>
      </x:c>
      <x:c r="C18" s="20" t="str">
        <x:v>Qwen3.5-35B-A3B Reasoning</x:v>
      </x:c>
      <x:c r="D18" s="20" t="str">
        <x:v>qwen35</x:v>
      </x:c>
      <x:c r="E18" s="68" t="n">
        <x:v>36</x:v>
      </x:c>
      <x:c r="F18" s="68" t="n">
        <x:v>413.36214846677666</x:v>
      </x:c>
      <x:c r="G18" s="29" t="n">
        <x:f>MAX(F18/E18,E18/F18)</x:f>
        <x:v>11.482281901854908</x:v>
      </x:c>
      <x:c r="H18" s="29" t="n">
        <x:f>F18/E18</x:f>
        <x:v>11.482281901854908</x:v>
      </x:c>
      <x:c r="I18" s="26" t="n">
        <x:v>25</x:v>
      </x:c>
      <x:c r="J18" s="26" t="n">
        <x:v>15</x:v>
      </x:c>
      <x:c r="K18" s="65" t="n">
        <x:v>46065</x:v>
      </x:c>
      <x:c r="L18" s="32" t="n">
        <x:v>0.6538461538461539</x:v>
      </x:c>
      <x:c r="M18" s="26" t="n">
        <x:v>1</x:v>
      </x:c>
    </x:row>
    <x:row r="19">
      <x:c r="A19" s="20" t="str">
        <x:v>AA</x:v>
      </x:c>
      <x:c r="B19" s="65" t="n">
        <x:v>46083</x:v>
      </x:c>
      <x:c r="C19" s="20" t="str">
        <x:v>Qwen3.5-0.8B Reasoning</x:v>
      </x:c>
      <x:c r="D19" s="20" t="str">
        <x:v>qwen35</x:v>
      </x:c>
      <x:c r="E19" s="68" t="n">
        <x:v>0.873</x:v>
      </x:c>
      <x:c r="F19" s="68" t="n">
        <x:v>33.52919681846597</x:v>
      </x:c>
      <x:c r="G19" s="29" t="n">
        <x:f>MAX(F19/E19,E19/F19)</x:f>
        <x:v>38.4068692078648</x:v>
      </x:c>
      <x:c r="H19" s="29" t="n">
        <x:f>F19/E19</x:f>
        <x:v>38.4068692078648</x:v>
      </x:c>
      <x:c r="I19" s="26" t="n">
        <x:v>25</x:v>
      </x:c>
      <x:c r="J19" s="26" t="n">
        <x:v>15</x:v>
      </x:c>
      <x:c r="K19" s="65" t="n">
        <x:v>46065</x:v>
      </x:c>
      <x:c r="L19" s="32" t="n">
        <x:v>0</x:v>
      </x:c>
      <x:c r="M19" s="26" t="n">
        <x:v>1</x:v>
      </x:c>
    </x:row>
    <x:row r="20">
      <x:c r="A20" s="20" t="str">
        <x:v>AA</x:v>
      </x:c>
      <x:c r="B20" s="65" t="n">
        <x:v>46083</x:v>
      </x:c>
      <x:c r="C20" s="20" t="str">
        <x:v>Qwen3.5-2B Reasoning</x:v>
      </x:c>
      <x:c r="D20" s="20" t="str">
        <x:v>qwen35</x:v>
      </x:c>
      <x:c r="E20" s="68" t="n">
        <x:v>2.27</x:v>
      </x:c>
      <x:c r="F20" s="68" t="n">
        <x:v>42.2164548061548</x:v>
      </x:c>
      <x:c r="G20" s="29" t="n">
        <x:f>MAX(F20/E20,E20/F20)</x:f>
        <x:v>18.597557183328107</x:v>
      </x:c>
      <x:c r="H20" s="29" t="n">
        <x:f>F20/E20</x:f>
        <x:v>18.597557183328107</x:v>
      </x:c>
      <x:c r="I20" s="26" t="n">
        <x:v>25</x:v>
      </x:c>
      <x:c r="J20" s="26" t="n">
        <x:v>15</x:v>
      </x:c>
      <x:c r="K20" s="65" t="n">
        <x:v>46065</x:v>
      </x:c>
      <x:c r="L20" s="32" t="n">
        <x:v>0.03333333333333333</x:v>
      </x:c>
      <x:c r="M20" s="26" t="n">
        <x:v>1</x:v>
      </x:c>
    </x:row>
    <x:row r="21">
      <x:c r="A21" s="20" t="str">
        <x:v>AA</x:v>
      </x:c>
      <x:c r="B21" s="65" t="n">
        <x:v>46083</x:v>
      </x:c>
      <x:c r="C21" s="20" t="str">
        <x:v>Qwen3.5-4B Reasoning</x:v>
      </x:c>
      <x:c r="D21" s="20" t="str">
        <x:v>qwen35</x:v>
      </x:c>
      <x:c r="E21" s="68" t="n">
        <x:v>4.66</x:v>
      </x:c>
      <x:c r="F21" s="68" t="n">
        <x:v>157.66279166998893</x:v>
      </x:c>
      <x:c r="G21" s="29" t="n">
        <x:f>MAX(F21/E21,E21/F21)</x:f>
        <x:v>33.83321709656415</x:v>
      </x:c>
      <x:c r="H21" s="29" t="n">
        <x:f>F21/E21</x:f>
        <x:v>33.83321709656415</x:v>
      </x:c>
      <x:c r="I21" s="26" t="n">
        <x:v>25</x:v>
      </x:c>
      <x:c r="J21" s="26" t="n">
        <x:v>15</x:v>
      </x:c>
      <x:c r="K21" s="65" t="n">
        <x:v>46065</x:v>
      </x:c>
      <x:c r="L21" s="32" t="n">
        <x:v>0.41379310344827586</x:v>
      </x:c>
      <x:c r="M21" s="26" t="n">
        <x:v>1</x:v>
      </x:c>
    </x:row>
    <x:row r="22">
      <x:c r="A22" s="20" t="str">
        <x:v>AA</x:v>
      </x:c>
      <x:c r="B22" s="65" t="n">
        <x:v>46083</x:v>
      </x:c>
      <x:c r="C22" s="20" t="str">
        <x:v>Qwen3.5-9B Reasoning</x:v>
      </x:c>
      <x:c r="D22" s="20" t="str">
        <x:v>qwen35</x:v>
      </x:c>
      <x:c r="E22" s="68" t="n">
        <x:v>9.7</x:v>
      </x:c>
      <x:c r="F22" s="68" t="n">
        <x:v>181.89706117922705</x:v>
      </x:c>
      <x:c r="G22" s="29" t="n">
        <x:f>MAX(F22/E22,E22/F22)</x:f>
        <x:v>18.752274348373923</x:v>
      </x:c>
      <x:c r="H22" s="29" t="n">
        <x:f>F22/E22</x:f>
        <x:v>18.752274348373923</x:v>
      </x:c>
      <x:c r="I22" s="26" t="n">
        <x:v>25</x:v>
      </x:c>
      <x:c r="J22" s="26" t="n">
        <x:v>15</x:v>
      </x:c>
      <x:c r="K22" s="65" t="n">
        <x:v>46065</x:v>
      </x:c>
      <x:c r="L22" s="32" t="n">
        <x:v>0.4666666666666667</x:v>
      </x:c>
      <x:c r="M22" s="26" t="n">
        <x:v>1</x:v>
      </x:c>
    </x:row>
    <x:row r="23">
      <x:c r="A23" s="20" t="str">
        <x:v>AA</x:v>
      </x:c>
      <x:c r="B23" s="65" t="n">
        <x:v>46092</x:v>
      </x:c>
      <x:c r="C23" s="20" t="str">
        <x:v>Nemotron 3 Super 120B A12B</x:v>
      </x:c>
      <x:c r="D23" s="20" t="str">
        <x:v>nemotron3</x:v>
      </x:c>
      <x:c r="E23" s="68" t="n">
        <x:v>120.6</x:v>
      </x:c>
      <x:c r="F23" s="68" t="n">
        <x:v>160.1177431566194</x:v>
      </x:c>
      <x:c r="G23" s="29" t="n">
        <x:f>MAX(F23/E23,E23/F23)</x:f>
        <x:v>1.3276761455772754</x:v>
      </x:c>
      <x:c r="H23" s="29" t="n">
        <x:f>F23/E23</x:f>
        <x:v>1.3276761455772754</x:v>
      </x:c>
      <x:c r="I23" s="26" t="n">
        <x:v>32</x:v>
      </x:c>
      <x:c r="J23" s="26" t="n">
        <x:v>15</x:v>
      </x:c>
      <x:c r="K23" s="65" t="n">
        <x:v>46085</x:v>
      </x:c>
      <x:c r="L23" s="32" t="n">
        <x:v>0.5757575757575758</x:v>
      </x:c>
      <x:c r="M23" s="26" t="n">
        <x:v>1</x:v>
      </x:c>
    </x:row>
    <x:row r="24">
      <x:c r="A24" s="20" t="str">
        <x:v>AA</x:v>
      </x:c>
      <x:c r="B24" s="65" t="n">
        <x:v>46099</x:v>
      </x:c>
      <x:c r="C24" s="20" t="str">
        <x:v>MiniMax-M2.7</x:v>
      </x:c>
      <x:c r="D24" s="20" t="str">
        <x:v>minimax_m2</x:v>
      </x:c>
      <x:c r="E24" s="68" t="n">
        <x:v>228.703644928</x:v>
      </x:c>
      <x:c r="F24" s="68" t="n">
        <x:v>757.8206914199975</x:v>
      </x:c>
      <x:c r="G24" s="29" t="n">
        <x:f>MAX(F24/E24,E24/F24)</x:f>
        <x:v>3.3135488140496103</x:v>
      </x:c>
      <x:c r="H24" s="29" t="n">
        <x:f>F24/E24</x:f>
        <x:v>3.3135488140496103</x:v>
      </x:c>
      <x:c r="I24" s="26" t="n">
        <x:v>31</x:v>
      </x:c>
      <x:c r="J24" s="26" t="n">
        <x:v>15</x:v>
      </x:c>
      <x:c r="K24" s="65" t="n">
        <x:v>46092</x:v>
      </x:c>
      <x:c r="L24" s="32" t="n">
        <x:v>0.9705882352941176</x:v>
      </x:c>
      <x:c r="M24" s="26" t="n">
        <x:v>1</x:v>
      </x:c>
    </x:row>
    <x:row r="25">
      <x:c r="A25" s="20" t="str">
        <x:v>AA</x:v>
      </x:c>
      <x:c r="B25" s="65" t="n">
        <x:v>46119</x:v>
      </x:c>
      <x:c r="C25" s="20" t="str">
        <x:v>GLM-5.1 Reasoning</x:v>
      </x:c>
      <x:c r="D25" s="20" t="str">
        <x:v>glm</x:v>
      </x:c>
      <x:c r="E25" s="68" t="n">
        <x:v>744</x:v>
      </x:c>
      <x:c r="F25" s="68" t="n">
        <x:v>882.5063349110201</x:v>
      </x:c>
      <x:c r="G25" s="29" t="n">
        <x:f>MAX(F25/E25,E25/F25)</x:f>
        <x:v>1.1861644286438442</x:v>
      </x:c>
      <x:c r="H25" s="29" t="n">
        <x:f>F25/E25</x:f>
        <x:v>1.1861644286438442</x:v>
      </x:c>
      <x:c r="I25" s="26" t="n">
        <x:v>29</x:v>
      </x:c>
      <x:c r="J25" s="26" t="n">
        <x:v>15</x:v>
      </x:c>
      <x:c r="K25" s="65" t="n">
        <x:v>46092</x:v>
      </x:c>
      <x:c r="L25" s="32" t="n">
        <x:v>1</x:v>
      </x:c>
      <x:c r="M25" s="26" t="n">
        <x:v>1</x:v>
      </x:c>
    </x:row>
    <x:row r="26">
      <x:c r="A26" s="20" t="str">
        <x:v>AA</x:v>
      </x:c>
      <x:c r="B26" s="65" t="n">
        <x:v>46128</x:v>
      </x:c>
      <x:c r="C26" s="20" t="str">
        <x:v>Qwen3.6-35B-A3B Reasoning</x:v>
      </x:c>
      <x:c r="D26" s="20" t="str">
        <x:v>qwen36</x:v>
      </x:c>
      <x:c r="E26" s="68" t="n">
        <x:v>36</x:v>
      </x:c>
      <x:c r="F26" s="68" t="n">
        <x:v>258.7216708688151</x:v>
      </x:c>
      <x:c r="G26" s="29" t="n">
        <x:f>MAX(F26/E26,E26/F26)</x:f>
        <x:v>7.186713079689309</x:v>
      </x:c>
      <x:c r="H26" s="29" t="n">
        <x:f>F26/E26</x:f>
        <x:v>7.186713079689309</x:v>
      </x:c>
      <x:c r="I26" s="26" t="n">
        <x:v>36</x:v>
      </x:c>
      <x:c r="J26" s="26" t="n">
        <x:v>16</x:v>
      </x:c>
      <x:c r="K26" s="65" t="n">
        <x:v>46121</x:v>
      </x:c>
      <x:c r="L26" s="32" t="n">
        <x:v>0.6944444444444444</x:v>
      </x:c>
      <x:c r="M26" s="26" t="n">
        <x:v>1</x:v>
      </x:c>
    </x:row>
    <x:row r="27">
      <x:c r="A27" s="20" t="str">
        <x:v>AA</x:v>
      </x:c>
      <x:c r="B27" s="65" t="n">
        <x:v>46132</x:v>
      </x:c>
      <x:c r="C27" s="20" t="str">
        <x:v>Kimi K2.6 Reasoning</x:v>
      </x:c>
      <x:c r="D27" s="20" t="str">
        <x:v>kimi_k2</x:v>
      </x:c>
      <x:c r="E27" s="68" t="n">
        <x:v>1040</x:v>
      </x:c>
      <x:c r="F27" s="68" t="n">
        <x:v>456.3346381260432</x:v>
      </x:c>
      <x:c r="G27" s="29" t="n">
        <x:f>MAX(F27/E27,E27/F27)</x:f>
        <x:v>2.2790292761268405</x:v>
      </x:c>
      <x:c r="H27" s="29" t="n">
        <x:f>F27/E27</x:f>
        <x:v>0.4387833058904262</x:v>
      </x:c>
      <x:c r="I27" s="26" t="n">
        <x:v>35</x:v>
      </x:c>
      <x:c r="J27" s="26" t="n">
        <x:v>16</x:v>
      </x:c>
      <x:c r="K27" s="65" t="n">
        <x:v>46129</x:v>
      </x:c>
      <x:c r="L27" s="32" t="n">
        <x:v>1</x:v>
      </x:c>
      <x:c r="M27" s="26" t="n">
        <x:v>1</x:v>
      </x:c>
    </x:row>
    <x:row r="28">
      <x:c r="A28" s="20" t="str">
        <x:v>AA</x:v>
      </x:c>
      <x:c r="B28" s="65" t="n">
        <x:v>46134</x:v>
      </x:c>
      <x:c r="C28" s="20" t="str">
        <x:v>MiMo-V2.5</x:v>
      </x:c>
      <x:c r="D28" s="20" t="str">
        <x:v>mimo_v2</x:v>
      </x:c>
      <x:c r="E28" s="68" t="n">
        <x:v>310</x:v>
      </x:c>
      <x:c r="F28" s="68" t="n">
        <x:v>310.89512108355206</x:v>
      </x:c>
      <x:c r="G28" s="29" t="n">
        <x:f>MAX(F28/E28,E28/F28)</x:f>
        <x:v>1.002887487366297</x:v>
      </x:c>
      <x:c r="H28" s="29" t="n">
        <x:f>F28/E28</x:f>
        <x:v>1.002887487366297</x:v>
      </x:c>
      <x:c r="I28" s="26" t="n">
        <x:v>39</x:v>
      </x:c>
      <x:c r="J28" s="26" t="n">
        <x:v>17</x:v>
      </x:c>
      <x:c r="K28" s="65" t="n">
        <x:v>46136</x:v>
      </x:c>
      <x:c r="L28" s="32" t="n">
        <x:v>0.875</x:v>
      </x:c>
      <x:c r="M28" s="26" t="n">
        <x:v>1</x:v>
      </x:c>
    </x:row>
    <x:row r="29">
      <x:c r="A29" s="20" t="str">
        <x:v>AA</x:v>
      </x:c>
      <x:c r="B29" s="65" t="n">
        <x:v>46134</x:v>
      </x:c>
      <x:c r="C29" s="20" t="str">
        <x:v>Qwen3.6-27B Reasoning</x:v>
      </x:c>
      <x:c r="D29" s="20" t="str">
        <x:v>qwen36</x:v>
      </x:c>
      <x:c r="E29" s="68" t="n">
        <x:v>27.8</x:v>
      </x:c>
      <x:c r="F29" s="68" t="n">
        <x:v>457.18166134122646</x:v>
      </x:c>
      <x:c r="G29" s="29" t="n">
        <x:f>MAX(F29/E29,E29/F29)</x:f>
        <x:v>16.445383501482965</x:v>
      </x:c>
      <x:c r="H29" s="29" t="n">
        <x:f>F29/E29</x:f>
        <x:v>16.445383501482965</x:v>
      </x:c>
      <x:c r="I29" s="26" t="n">
        <x:v>37</x:v>
      </x:c>
      <x:c r="J29" s="26" t="n">
        <x:v>16</x:v>
      </x:c>
      <x:c r="K29" s="65" t="n">
        <x:v>46132</x:v>
      </x:c>
      <x:c r="L29" s="32" t="n">
        <x:v>0.8947368421052632</x:v>
      </x:c>
      <x:c r="M29" s="26" t="n">
        <x:v>1</x:v>
      </x:c>
    </x:row>
    <x:row r="30">
      <x:c r="A30" s="20" t="str">
        <x:v>AA</x:v>
      </x:c>
      <x:c r="B30" s="65" t="n">
        <x:v>46136</x:v>
      </x:c>
      <x:c r="C30" s="20" t="str">
        <x:v>DeepSeek-V4-Pro (max)</x:v>
      </x:c>
      <x:c r="D30" s="20" t="str">
        <x:v>deepseek_v4</x:v>
      </x:c>
      <x:c r="E30" s="68" t="n">
        <x:v>1600</x:v>
      </x:c>
      <x:c r="F30" s="68" t="n">
        <x:v>491.98860389442603</x:v>
      </x:c>
      <x:c r="G30" s="29" t="n">
        <x:f>MAX(F30/E30,E30/F30)</x:f>
        <x:v>3.2521078483015797</x:v>
      </x:c>
      <x:c r="H30" s="29" t="n">
        <x:f>F30/E30</x:f>
        <x:v>0.30749287743401627</x:v>
      </x:c>
      <x:c r="I30" s="26" t="n">
        <x:v>39</x:v>
      </x:c>
      <x:c r="J30" s="26" t="n">
        <x:v>17</x:v>
      </x:c>
      <x:c r="K30" s="65" t="n">
        <x:v>46135</x:v>
      </x:c>
      <x:c r="L30" s="32" t="n">
        <x:v>1</x:v>
      </x:c>
      <x:c r="M30" s="26" t="n">
        <x:v>1</x:v>
      </x:c>
    </x:row>
    <x:row r="31">
      <x:c r="A31" s="20" t="str">
        <x:v>AA</x:v>
      </x:c>
      <x:c r="B31" s="65" t="n">
        <x:v>46174</x:v>
      </x:c>
      <x:c r="C31" s="20" t="str">
        <x:v>MiniMax-M3</x:v>
      </x:c>
      <x:c r="D31" s="20" t="str">
        <x:v>minimax_m3</x:v>
      </x:c>
      <x:c r="E31" s="68" t="n">
        <x:v>428</x:v>
      </x:c>
      <x:c r="F31" s="68" t="n">
        <x:v>591.1897224745194</x:v>
      </x:c>
      <x:c r="G31" s="29" t="n">
        <x:f>MAX(F31/E31,E31/F31)</x:f>
        <x:v>1.3812843983049519</x:v>
      </x:c>
      <x:c r="H31" s="29" t="n">
        <x:f>F31/E31</x:f>
        <x:v>1.3812843983049519</x:v>
      </x:c>
      <x:c r="I31" s="26" t="n">
        <x:v>41</x:v>
      </x:c>
      <x:c r="J31" s="26" t="n">
        <x:v>18</x:v>
      </x:c>
      <x:c r="K31" s="65" t="n">
        <x:v>46139</x:v>
      </x:c>
      <x:c r="L31" s="32" t="n">
        <x:v>1</x:v>
      </x:c>
      <x:c r="M31" s="26" t="n">
        <x:v>1</x:v>
      </x:c>
    </x:row>
    <x:row r="32">
      <x:c r="A32" s="20" t="str">
        <x:v>AA</x:v>
      </x:c>
      <x:c r="B32" s="65" t="n">
        <x:v>46175</x:v>
      </x:c>
      <x:c r="C32" s="20" t="str">
        <x:v>Nex-N2-Pro</x:v>
      </x:c>
      <x:c r="D32" s="20" t="str">
        <x:v>qwen35</x:v>
      </x:c>
      <x:c r="E32" s="68" t="n">
        <x:v>397</x:v>
      </x:c>
      <x:c r="F32" s="68" t="n">
        <x:v>419.04189220658435</x:v>
      </x:c>
      <x:c r="G32" s="29" t="n">
        <x:f>MAX(F32/E32,E32/F32)</x:f>
        <x:v>1.0555211390594064</x:v>
      </x:c>
      <x:c r="H32" s="29" t="n">
        <x:f>F32/E32</x:f>
        <x:v>1.0555211390594064</x:v>
      </x:c>
      <x:c r="I32" s="26" t="n">
        <x:v>38</x:v>
      </x:c>
      <x:c r="J32" s="26" t="n">
        <x:v>19</x:v>
      </x:c>
      <x:c r="K32" s="65" t="n">
        <x:v>46189</x:v>
      </x:c>
      <x:c r="L32" s="32" t="n">
        <x:v>0.8913043478260869</x:v>
      </x:c>
      <x:c r="M32" s="26" t="n">
        <x:v>1</x:v>
      </x:c>
    </x:row>
    <x:row r="33">
      <x:c r="A33" s="20" t="str">
        <x:v>AA</x:v>
      </x:c>
      <x:c r="B33" s="65" t="n">
        <x:v>46177</x:v>
      </x:c>
      <x:c r="C33" s="20" t="str">
        <x:v>Nemotron 3 Ultra 550B A55B</x:v>
      </x:c>
      <x:c r="D33" s="20" t="str">
        <x:v>nemotron3</x:v>
      </x:c>
      <x:c r="E33" s="68" t="n">
        <x:v>550</x:v>
      </x:c>
      <x:c r="F33" s="68" t="n">
        <x:v>256.8178199729902</x:v>
      </x:c>
      <x:c r="G33" s="29" t="n">
        <x:f>MAX(F33/E33,E33/F33)</x:f>
        <x:v>2.1415959377657052</x:v>
      </x:c>
      <x:c r="H33" s="29" t="n">
        <x:f>F33/E33</x:f>
        <x:v>0.4669414908599822</x:v>
      </x:c>
      <x:c r="I33" s="26" t="n">
        <x:v>39</x:v>
      </x:c>
      <x:c r="J33" s="26" t="n">
        <x:v>17</x:v>
      </x:c>
      <x:c r="K33" s="65" t="n">
        <x:v>46139</x:v>
      </x:c>
      <x:c r="L33" s="32" t="n">
        <x:v>0.8780487804878049</x:v>
      </x:c>
      <x:c r="M33" s="26" t="n">
        <x:v>1</x:v>
      </x:c>
    </x:row>
    <x:row r="34">
      <x:c r="A34" s="20" t="str">
        <x:v>AA</x:v>
      </x:c>
      <x:c r="B34" s="65" t="n">
        <x:v>46182</x:v>
      </x:c>
      <x:c r="C34" s="20" t="str">
        <x:v>North Mini Code</x:v>
      </x:c>
      <x:c r="D34" s="20" t="str">
        <x:v>north</x:v>
      </x:c>
      <x:c r="E34" s="68" t="n">
        <x:v>30</x:v>
      </x:c>
      <x:c r="F34" s="68" t="n">
        <x:v>31.1751030198417</x:v>
      </x:c>
      <x:c r="G34" s="29" t="n">
        <x:f>MAX(F34/E34,E34/F34)</x:f>
        <x:v>1.03917010066139</x:v>
      </x:c>
      <x:c r="H34" s="29" t="n">
        <x:f>F34/E34</x:f>
        <x:v>1.03917010066139</x:v>
      </x:c>
      <x:c r="I34" s="26" t="n">
        <x:v>42</x:v>
      </x:c>
      <x:c r="J34" s="26" t="n">
        <x:v>18</x:v>
      </x:c>
      <x:c r="K34" s="65" t="n">
        <x:v>46177</x:v>
      </x:c>
      <x:c r="L34" s="32" t="n">
        <x:v>0.3333333333333333</x:v>
      </x:c>
      <x:c r="M34" s="26" t="n">
        <x:v>1</x:v>
      </x:c>
    </x:row>
    <x:row r="35">
      <x:c r="A35" s="20" t="str">
        <x:v>AA</x:v>
      </x:c>
      <x:c r="B35" s="65" t="n">
        <x:v>46185</x:v>
      </x:c>
      <x:c r="C35" s="20" t="str">
        <x:v>Kimi K2.7 Code</x:v>
      </x:c>
      <x:c r="D35" s="20" t="str">
        <x:v>kimi_k2</x:v>
      </x:c>
      <x:c r="E35" s="68" t="n">
        <x:v>1040</x:v>
      </x:c>
      <x:c r="F35" s="68" t="n">
        <x:v>371.06023004219134</x:v>
      </x:c>
      <x:c r="G35" s="29" t="n">
        <x:f>MAX(F35/E35,E35/F35)</x:f>
        <x:v>2.802779483755904</x:v>
      </x:c>
      <x:c r="H35" s="29" t="n">
        <x:f>F35/E35</x:f>
        <x:v>0.3567886827328763</x:v>
      </x:c>
      <x:c r="I35" s="26" t="n">
        <x:v>41</x:v>
      </x:c>
      <x:c r="J35" s="26" t="n">
        <x:v>19</x:v>
      </x:c>
      <x:c r="K35" s="65" t="n">
        <x:v>46185</x:v>
      </x:c>
      <x:c r="L35" s="32" t="n">
        <x:v>0.9318181818181818</x:v>
      </x:c>
      <x:c r="M35" s="26" t="n">
        <x:v>1</x:v>
      </x:c>
    </x:row>
    <x:row r="36">
      <x:c r="A36" s="20" t="str">
        <x:v>AA</x:v>
      </x:c>
      <x:c r="B36" s="65" t="n">
        <x:v>46189</x:v>
      </x:c>
      <x:c r="C36" s="20" t="str">
        <x:v>GLM-5.2 (max)</x:v>
      </x:c>
      <x:c r="D36" s="20" t="str">
        <x:v>glm</x:v>
      </x:c>
      <x:c r="E36" s="68" t="n">
        <x:v>744</x:v>
      </x:c>
      <x:c r="F36" s="68" t="n">
        <x:v>1130.7784769069672</x:v>
      </x:c>
      <x:c r="G36" s="29" t="n">
        <x:f>MAX(F36/E36,E36/F36)</x:f>
        <x:v>1.5198635442297945</x:v>
      </x:c>
      <x:c r="H36" s="29" t="n">
        <x:f>F36/E36</x:f>
        <x:v>1.5198635442297945</x:v>
      </x:c>
      <x:c r="I36" s="26" t="n">
        <x:v>38</x:v>
      </x:c>
      <x:c r="J36" s="26" t="n">
        <x:v>19</x:v>
      </x:c>
      <x:c r="K36" s="65" t="n">
        <x:v>46185</x:v>
      </x:c>
      <x:c r="L36" s="32" t="n">
        <x:v>1</x:v>
      </x:c>
      <x:c r="M36" s="26" t="n">
        <x:v>1</x:v>
      </x:c>
    </x:row>
    <x:row r="37">
      <x:c r="A37" s="20" t="str">
        <x:v>AA</x:v>
      </x:c>
      <x:c r="B37" s="65" t="n">
        <x:v>46202</x:v>
      </x:c>
      <x:c r="C37" s="20" t="str">
        <x:v>LongCat 2.0</x:v>
      </x:c>
      <x:c r="D37" s="20" t="str">
        <x:v>longcat</x:v>
      </x:c>
      <x:c r="E37" s="68" t="n">
        <x:v>1600</x:v>
      </x:c>
      <x:c r="F37" s="68" t="n">
        <x:v>135.571091236498</x:v>
      </x:c>
      <x:c r="G37" s="29" t="n">
        <x:f>MAX(F37/E37,E37/F37)</x:f>
        <x:v>11.801926099487302</x:v>
      </x:c>
      <x:c r="H37" s="29" t="n">
        <x:f>F37/E37</x:f>
        <x:v>0.08473193202281125</x:v>
      </x:c>
      <x:c r="I37" s="26" t="n">
        <x:v>47</x:v>
      </x:c>
      <x:c r="J37" s="26" t="n">
        <x:v>20</x:v>
      </x:c>
      <x:c r="K37" s="65" t="n">
        <x:v>46216</x:v>
      </x:c>
      <x:c r="L37" s="32" t="n">
        <x:v>0.625</x:v>
      </x:c>
      <x:c r="M37" s="26" t="n">
        <x:v>1</x:v>
      </x:c>
    </x:row>
    <x:row r="38">
      <x:c r="A38" s="20" t="str">
        <x:v>AA</x:v>
      </x:c>
      <x:c r="B38" s="65" t="n">
        <x:v>46209</x:v>
      </x:c>
      <x:c r="C38" s="20" t="str">
        <x:v>Hy3</x:v>
      </x:c>
      <x:c r="D38" s="20" t="str">
        <x:v>hy3</x:v>
      </x:c>
      <x:c r="E38" s="68" t="n">
        <x:v>295</x:v>
      </x:c>
      <x:c r="F38" s="68" t="n">
        <x:v>334.9723576113284</x:v>
      </x:c>
      <x:c r="G38" s="29" t="n">
        <x:f>MAX(F38/E38,E38/F38)</x:f>
        <x:v>1.135499517326537</x:v>
      </x:c>
      <x:c r="H38" s="29" t="n">
        <x:f>F38/E38</x:f>
        <x:v>1.135499517326537</x:v>
      </x:c>
      <x:c r="I38" s="26" t="n">
        <x:v>47</x:v>
      </x:c>
      <x:c r="J38" s="26" t="n">
        <x:v>20</x:v>
      </x:c>
      <x:c r="K38" s="65" t="n">
        <x:v>46197</x:v>
      </x:c>
      <x:c r="L38" s="32" t="n">
        <x:v>0.8936170212765957</x:v>
      </x:c>
      <x:c r="M38" s="26" t="n">
        <x:v>1</x:v>
      </x:c>
    </x:row>
    <x:row r="39">
      <x:c r="A39" s="20" t="str">
        <x:v>AA</x:v>
      </x:c>
      <x:c r="B39" s="65" t="n">
        <x:v>46218</x:v>
      </x:c>
      <x:c r="C39" s="20" t="str">
        <x:v>Inkling (xhigh)</x:v>
      </x:c>
      <x:c r="D39" s="20" t="str">
        <x:v>inkling</x:v>
      </x:c>
      <x:c r="E39" s="68" t="n">
        <x:v>975</x:v>
      </x:c>
      <x:c r="F39" s="68" t="n">
        <x:v>363.18243706213843</x:v>
      </x:c>
      <x:c r="G39" s="29" t="n">
        <x:f>MAX(F39/E39,E39/F39)</x:f>
        <x:v>2.6846011824993155</x:v>
      </x:c>
      <x:c r="H39" s="29" t="n">
        <x:f>F39/E39</x:f>
        <x:v>0.37249480724321893</x:v>
      </x:c>
      <x:c r="I39" s="26" t="n">
        <x:v>49</x:v>
      </x:c>
      <x:c r="J39" s="26" t="n">
        <x:v>21</x:v>
      </x:c>
      <x:c r="K39" s="65" t="n">
        <x:v>46217</x:v>
      </x:c>
      <x:c r="L39" s="32" t="n">
        <x:v>0.8571428571428571</x:v>
      </x:c>
      <x:c r="M39" s="26" t="n">
        <x:v>1</x:v>
      </x:c>
    </x:row>
    <x:row r="40">
      <x:c r="A40" s="20" t="str">
        <x:v>AA</x:v>
      </x:c>
      <x:c r="B40" s="65" t="n">
        <x:v>46219</x:v>
      </x:c>
      <x:c r="C40" s="20" t="str">
        <x:v>Kimi K3</x:v>
      </x:c>
      <x:c r="D40" s="20" t="str">
        <x:v>kimi_k2</x:v>
      </x:c>
      <x:c r="E40" s="68" t="n">
        <x:v>2780</x:v>
      </x:c>
      <x:c r="F40" s="68" t="n">
        <x:v>2242.8774539771252</x:v>
      </x:c>
      <x:c r="G40" s="29" t="n">
        <x:f>MAX(F40/E40,E40/F40)</x:f>
        <x:v>1.2394792212434236</x:v>
      </x:c>
      <x:c r="H40" s="29" t="n">
        <x:f>F40/E40</x:f>
        <x:v>0.8067904510709084</x:v>
      </x:c>
      <x:c r="I40" s="26" t="n">
        <x:v>46</x:v>
      </x:c>
      <x:c r="J40" s="26" t="n">
        <x:v>21</x:v>
      </x:c>
      <x:c r="K40" s="65" t="n">
        <x:v>46218</x:v>
      </x:c>
      <x:c r="L40" s="32" t="n">
        <x:v>1</x:v>
      </x:c>
      <x:c r="M40" s="26" t="n">
        <x:v>1</x:v>
      </x:c>
    </x:row>
    <x:row r="41">
      <x:c r="A41" s="20" t="str">
        <x:v>Available-components ensemble</x:v>
      </x:c>
      <x:c r="B41" s="65" t="n">
        <x:v>45252</x:v>
      </x:c>
      <x:c r="C41" s="20" t="str">
        <x:v>Yi-34B</x:v>
      </x:c>
      <x:c r="D41" s="20" t="str">
        <x:v>yi</x:v>
      </x:c>
      <x:c r="E41" s="68" t="n">
        <x:v>34</x:v>
      </x:c>
      <x:c r="F41" s="68" t="n">
        <x:v>24.354852344319646</x:v>
      </x:c>
      <x:c r="G41" s="29" t="n">
        <x:f>MAX(F41/E41,E41/F41)</x:f>
        <x:v>1.3960257085249757</x:v>
      </x:c>
      <x:c r="H41" s="29" t="n">
        <x:f>F41/E41</x:f>
        <x:v>0.7163191865976366</x:v>
      </x:c>
      <x:c r="I41" s="26" t="n">
        <x:v>26</x:v>
      </x:c>
      <x:c r="J41" s="26" t="n">
        <x:v>12</x:v>
      </x:c>
      <x:c r="K41" s="65" t="n">
        <x:v>45245</x:v>
      </x:c>
      <x:c r="L41" s="32" t="n">
        <x:v>0.9855769230769231</x:v>
      </x:c>
      <x:c r="M41" s="26" t="n">
        <x:v>2</x:v>
      </x:c>
    </x:row>
    <x:row r="42">
      <x:c r="A42" s="20" t="str">
        <x:v>Available-components ensemble</x:v>
      </x:c>
      <x:c r="B42" s="65" t="n">
        <x:v>45271</x:v>
      </x:c>
      <x:c r="C42" s="20" t="str">
        <x:v>Mixtral 8x7B</x:v>
      </x:c>
      <x:c r="D42" s="20" t="str">
        <x:v>mixtral</x:v>
      </x:c>
      <x:c r="E42" s="68" t="n">
        <x:v>46.7</x:v>
      </x:c>
      <x:c r="F42" s="68" t="n">
        <x:v>25.846933447529654</x:v>
      </x:c>
      <x:c r="G42" s="29" t="n">
        <x:f>MAX(F42/E42,E42/F42)</x:f>
        <x:v>1.8067907395979077</x:v>
      </x:c>
      <x:c r="H42" s="29" t="n">
        <x:f>F42/E42</x:f>
        <x:v>0.5534675256430333</x:v>
      </x:c>
      <x:c r="I42" s="26" t="n">
        <x:v>28</x:v>
      </x:c>
      <x:c r="J42" s="26" t="n">
        <x:v>13</x:v>
      </x:c>
      <x:c r="K42" s="65" t="n">
        <x:v>45268</x:v>
      </x:c>
      <x:c r="L42" s="32" t="n">
        <x:v>0.9776785714285714</x:v>
      </x:c>
      <x:c r="M42" s="26" t="n">
        <x:v>2</x:v>
      </x:c>
    </x:row>
    <x:row r="43">
      <x:c r="A43" s="20" t="str">
        <x:v>Available-components ensemble</x:v>
      </x:c>
      <x:c r="B43" s="65" t="n">
        <x:v>45272</x:v>
      </x:c>
      <x:c r="C43" s="20" t="str">
        <x:v>Phi-2</x:v>
      </x:c>
      <x:c r="D43" s="20" t="str">
        <x:v>phi</x:v>
      </x:c>
      <x:c r="E43" s="68" t="n">
        <x:v>2.7</x:v>
      </x:c>
      <x:c r="F43" s="68" t="n">
        <x:v>14.221378554198127</x:v>
      </x:c>
      <x:c r="G43" s="29" t="n">
        <x:f>MAX(F43/E43,E43/F43)</x:f>
        <x:v>5.2671772422956025</x:v>
      </x:c>
      <x:c r="H43" s="29" t="n">
        <x:f>F43/E43</x:f>
        <x:v>5.2671772422956025</x:v>
      </x:c>
      <x:c r="I43" s="26" t="n">
        <x:v>28</x:v>
      </x:c>
      <x:c r="J43" s="26" t="n">
        <x:v>13</x:v>
      </x:c>
      <x:c r="K43" s="65" t="n">
        <x:v>45271</x:v>
      </x:c>
      <x:c r="L43" s="32" t="n">
        <x:v>0.5707646176911544</x:v>
      </x:c>
      <x:c r="M43" s="26" t="n">
        <x:v>2</x:v>
      </x:c>
    </x:row>
    <x:row r="44">
      <x:c r="A44" s="20" t="str">
        <x:v>Available-components ensemble</x:v>
      </x:c>
      <x:c r="B44" s="65" t="n">
        <x:v>45342</x:v>
      </x:c>
      <x:c r="C44" s="20" t="str">
        <x:v>StarCoder 2 15B</x:v>
      </x:c>
      <x:c r="D44" s="20" t="str">
        <x:v>starcoder2</x:v>
      </x:c>
      <x:c r="E44" s="68" t="n">
        <x:v>15</x:v>
      </x:c>
      <x:c r="F44" s="68" t="n">
        <x:v>12.798096927184892</x:v>
      </x:c>
      <x:c r="G44" s="29" t="n">
        <x:f>MAX(F44/E44,E44/F44)</x:f>
        <x:v>1.1720492574281078</x:v>
      </x:c>
      <x:c r="H44" s="29" t="n">
        <x:f>F44/E44</x:f>
        <x:v>0.8532064618123261</x:v>
      </x:c>
      <x:c r="I44" s="26" t="n">
        <x:v>30</x:v>
      </x:c>
      <x:c r="J44" s="26" t="n">
        <x:v>14</x:v>
      </x:c>
      <x:c r="K44" s="65" t="n">
        <x:v>45326</x:v>
      </x:c>
      <x:c r="L44" s="32" t="n">
        <x:v>0.750381679389313</x:v>
      </x:c>
      <x:c r="M44" s="26" t="n">
        <x:v>2</x:v>
      </x:c>
    </x:row>
    <x:row r="45">
      <x:c r="A45" s="20" t="str">
        <x:v>Available-components ensemble</x:v>
      </x:c>
      <x:c r="B45" s="65" t="n">
        <x:v>45342</x:v>
      </x:c>
      <x:c r="C45" s="20" t="str">
        <x:v>StarCoder 2 7B</x:v>
      </x:c>
      <x:c r="D45" s="20" t="str">
        <x:v>starcoder2</x:v>
      </x:c>
      <x:c r="E45" s="68" t="n">
        <x:v>7</x:v>
      </x:c>
      <x:c r="F45" s="68" t="n">
        <x:v>7.169681209759811</x:v>
      </x:c>
      <x:c r="G45" s="29" t="n">
        <x:f>MAX(F45/E45,E45/F45)</x:f>
        <x:v>1.02424017282283</x:v>
      </x:c>
      <x:c r="H45" s="29" t="n">
        <x:f>F45/E45</x:f>
        <x:v>1.02424017282283</x:v>
      </x:c>
      <x:c r="I45" s="26" t="n">
        <x:v>30</x:v>
      </x:c>
      <x:c r="J45" s="26" t="n">
        <x:v>14</x:v>
      </x:c>
      <x:c r="K45" s="65" t="n">
        <x:v>45326</x:v>
      </x:c>
      <x:c r="L45" s="32" t="n">
        <x:v>0.4907124681933842</x:v>
      </x:c>
      <x:c r="M45" s="26" t="n">
        <x:v>2</x:v>
      </x:c>
    </x:row>
    <x:row r="46">
      <x:c r="A46" s="20" t="str">
        <x:v>Available-components ensemble</x:v>
      </x:c>
      <x:c r="B46" s="65" t="n">
        <x:v>45344</x:v>
      </x:c>
      <x:c r="C46" s="20" t="str">
        <x:v>StarCoder 2 3B</x:v>
      </x:c>
      <x:c r="D46" s="20" t="str">
        <x:v>starcoder2</x:v>
      </x:c>
      <x:c r="E46" s="68" t="n">
        <x:v>3</x:v>
      </x:c>
      <x:c r="F46" s="68" t="n">
        <x:v>4.853682607138027</x:v>
      </x:c>
      <x:c r="G46" s="29" t="n">
        <x:f>MAX(F46/E46,E46/F46)</x:f>
        <x:v>1.6178942023793423</x:v>
      </x:c>
      <x:c r="H46" s="29" t="n">
        <x:f>F46/E46</x:f>
        <x:v>1.6178942023793423</x:v>
      </x:c>
      <x:c r="I46" s="26" t="n">
        <x:v>32</x:v>
      </x:c>
      <x:c r="J46" s="26" t="n">
        <x:v>15</x:v>
      </x:c>
      <x:c r="K46" s="65" t="n">
        <x:v>45343</x:v>
      </x:c>
      <x:c r="L46" s="32" t="n">
        <x:v>0.30348583877995644</x:v>
      </x:c>
      <x:c r="M46" s="26" t="n">
        <x:v>2</x:v>
      </x:c>
    </x:row>
    <x:row r="47">
      <x:c r="A47" s="20" t="str">
        <x:v>Available-components ensemble</x:v>
      </x:c>
      <x:c r="B47" s="65" t="n">
        <x:v>45399</x:v>
      </x:c>
      <x:c r="C47" s="20" t="str">
        <x:v>Mixtral 8x22B</x:v>
      </x:c>
      <x:c r="D47" s="20" t="str">
        <x:v>mixtral</x:v>
      </x:c>
      <x:c r="E47" s="68" t="n">
        <x:v>141</x:v>
      </x:c>
      <x:c r="F47" s="68" t="n">
        <x:v>22.79182746394447</x:v>
      </x:c>
      <x:c r="G47" s="29" t="n">
        <x:f>MAX(F47/E47,E47/F47)</x:f>
        <x:v>6.186428017808355</x:v>
      </x:c>
      <x:c r="H47" s="29" t="n">
        <x:f>F47/E47</x:f>
        <x:v>0.16164416641095367</x:v>
      </x:c>
      <x:c r="I47" s="26" t="n">
        <x:v>34</x:v>
      </x:c>
      <x:c r="J47" s="26" t="n">
        <x:v>15</x:v>
      </x:c>
      <x:c r="K47" s="65" t="n">
        <x:v>45390</x:v>
      </x:c>
      <x:c r="L47" s="32" t="n">
        <x:v>0.9894366197183099</x:v>
      </x:c>
      <x:c r="M47" s="26" t="n">
        <x:v>2</x:v>
      </x:c>
    </x:row>
    <x:row r="48">
      <x:c r="A48" s="20" t="str">
        <x:v>Available-components ensemble</x:v>
      </x:c>
      <x:c r="B48" s="65" t="n">
        <x:v>45400</x:v>
      </x:c>
      <x:c r="C48" s="20" t="str">
        <x:v>Llama 3-70B</x:v>
      </x:c>
      <x:c r="D48" s="20" t="str">
        <x:v>llama3</x:v>
      </x:c>
      <x:c r="E48" s="68" t="n">
        <x:v>70</x:v>
      </x:c>
      <x:c r="F48" s="68" t="n">
        <x:v>38.40323498159941</x:v>
      </x:c>
      <x:c r="G48" s="29" t="n">
        <x:f>MAX(F48/E48,E48/F48)</x:f>
        <x:v>1.8227631092417063</x:v>
      </x:c>
      <x:c r="H48" s="29" t="n">
        <x:f>F48/E48</x:f>
        <x:v>0.5486176425942773</x:v>
      </x:c>
      <x:c r="I48" s="26" t="n">
        <x:v>36</x:v>
      </x:c>
      <x:c r="J48" s="26" t="n">
        <x:v>16</x:v>
      </x:c>
      <x:c r="K48" s="65" t="n">
        <x:v>45399</x:v>
      </x:c>
      <x:c r="L48" s="32" t="n">
        <x:v>1</x:v>
      </x:c>
      <x:c r="M48" s="26" t="n">
        <x:v>2</x:v>
      </x:c>
    </x:row>
    <x:row r="49">
      <x:c r="A49" s="20" t="str">
        <x:v>Available-components ensemble</x:v>
      </x:c>
      <x:c r="B49" s="65" t="n">
        <x:v>45400</x:v>
      </x:c>
      <x:c r="C49" s="20" t="str">
        <x:v>Llama 3-8B</x:v>
      </x:c>
      <x:c r="D49" s="20" t="str">
        <x:v>llama3</x:v>
      </x:c>
      <x:c r="E49" s="68" t="n">
        <x:v>8</x:v>
      </x:c>
      <x:c r="F49" s="68" t="n">
        <x:v>23.17546818653554</x:v>
      </x:c>
      <x:c r="G49" s="29" t="n">
        <x:f>MAX(F49/E49,E49/F49)</x:f>
        <x:v>2.8969335233169424</x:v>
      </x:c>
      <x:c r="H49" s="29" t="n">
        <x:f>F49/E49</x:f>
        <x:v>2.8969335233169424</x:v>
      </x:c>
      <x:c r="I49" s="26" t="n">
        <x:v>36</x:v>
      </x:c>
      <x:c r="J49" s="26" t="n">
        <x:v>16</x:v>
      </x:c>
      <x:c r="K49" s="65" t="n">
        <x:v>45399</x:v>
      </x:c>
      <x:c r="L49" s="32" t="n">
        <x:v>0.9094794094794094</x:v>
      </x:c>
      <x:c r="M49" s="26" t="n">
        <x:v>2</x:v>
      </x:c>
    </x:row>
    <x:row r="50">
      <x:c r="A50" s="20" t="str">
        <x:v>Available-components ensemble</x:v>
      </x:c>
      <x:c r="B50" s="65" t="n">
        <x:v>45405</x:v>
      </x:c>
      <x:c r="C50" s="20" t="str">
        <x:v>phi-3-medium 14B</x:v>
      </x:c>
      <x:c r="D50" s="20" t="str">
        <x:v>phi</x:v>
      </x:c>
      <x:c r="E50" s="68" t="n">
        <x:v>14</x:v>
      </x:c>
      <x:c r="F50" s="68" t="n">
        <x:v>31.694296926261732</x:v>
      </x:c>
      <x:c r="G50" s="29" t="n">
        <x:f>MAX(F50/E50,E50/F50)</x:f>
        <x:v>2.263878351875838</x:v>
      </x:c>
      <x:c r="H50" s="29" t="n">
        <x:f>F50/E50</x:f>
        <x:v>2.263878351875838</x:v>
      </x:c>
      <x:c r="I50" s="26" t="n">
        <x:v>36</x:v>
      </x:c>
      <x:c r="J50" s="26" t="n">
        <x:v>16</x:v>
      </x:c>
      <x:c r="K50" s="65" t="n">
        <x:v>45400</x:v>
      </x:c>
      <x:c r="L50" s="32" t="n">
        <x:v>0.9188896899783705</x:v>
      </x:c>
      <x:c r="M50" s="26" t="n">
        <x:v>2</x:v>
      </x:c>
    </x:row>
    <x:row r="51">
      <x:c r="A51" s="20" t="str">
        <x:v>Available-components ensemble</x:v>
      </x:c>
      <x:c r="B51" s="65" t="n">
        <x:v>45405</x:v>
      </x:c>
      <x:c r="C51" s="20" t="str">
        <x:v>phi-3-mini 3.8B</x:v>
      </x:c>
      <x:c r="D51" s="20" t="str">
        <x:v>phi</x:v>
      </x:c>
      <x:c r="E51" s="68" t="n">
        <x:v>3.8</x:v>
      </x:c>
      <x:c r="F51" s="68" t="n">
        <x:v>22.55730300184776</x:v>
      </x:c>
      <x:c r="G51" s="29" t="n">
        <x:f>MAX(F51/E51,E51/F51)</x:f>
        <x:v>5.936132368907305</x:v>
      </x:c>
      <x:c r="H51" s="29" t="n">
        <x:f>F51/E51</x:f>
        <x:v>5.936132368907305</x:v>
      </x:c>
      <x:c r="I51" s="26" t="n">
        <x:v>36</x:v>
      </x:c>
      <x:c r="J51" s="26" t="n">
        <x:v>16</x:v>
      </x:c>
      <x:c r="K51" s="65" t="n">
        <x:v>45400</x:v>
      </x:c>
      <x:c r="L51" s="32" t="n">
        <x:v>0.7247656813266041</x:v>
      </x:c>
      <x:c r="M51" s="26" t="n">
        <x:v>2</x:v>
      </x:c>
    </x:row>
    <x:row r="52">
      <x:c r="A52" s="20" t="str">
        <x:v>Available-components ensemble</x:v>
      </x:c>
      <x:c r="B52" s="65" t="n">
        <x:v>45405</x:v>
      </x:c>
      <x:c r="C52" s="20" t="str">
        <x:v>phi-3-small 7.4B</x:v>
      </x:c>
      <x:c r="D52" s="20" t="str">
        <x:v>phi</x:v>
      </x:c>
      <x:c r="E52" s="68" t="n">
        <x:v>7.4</x:v>
      </x:c>
      <x:c r="F52" s="68" t="n">
        <x:v>30.688589819992462</x:v>
      </x:c>
      <x:c r="G52" s="29" t="n">
        <x:f>MAX(F52/E52,E52/F52)</x:f>
        <x:v>4.147106732431413</x:v>
      </x:c>
      <x:c r="H52" s="29" t="n">
        <x:f>F52/E52</x:f>
        <x:v>4.147106732431413</x:v>
      </x:c>
      <x:c r="I52" s="26" t="n">
        <x:v>36</x:v>
      </x:c>
      <x:c r="J52" s="26" t="n">
        <x:v>16</x:v>
      </x:c>
      <x:c r="K52" s="65" t="n">
        <x:v>45400</x:v>
      </x:c>
      <x:c r="L52" s="32" t="n">
        <x:v>0.8704037490987744</x:v>
      </x:c>
      <x:c r="M52" s="26" t="n">
        <x:v>2</x:v>
      </x:c>
    </x:row>
    <x:row r="53">
      <x:c r="A53" s="20" t="str">
        <x:v>Available-components ensemble</x:v>
      </x:c>
      <x:c r="B53" s="65" t="n">
        <x:v>45421</x:v>
      </x:c>
      <x:c r="C53" s="20" t="str">
        <x:v>Falcon 2 11B</x:v>
      </x:c>
      <x:c r="D53" s="20" t="str">
        <x:v>falcon2</x:v>
      </x:c>
      <x:c r="E53" s="68" t="n">
        <x:v>11</x:v>
      </x:c>
      <x:c r="F53" s="68" t="n">
        <x:v>20.738076393522974</x:v>
      </x:c>
      <x:c r="G53" s="29" t="n">
        <x:f>MAX(F53/E53,E53/F53)</x:f>
        <x:v>1.8852796721384522</x:v>
      </x:c>
      <x:c r="H53" s="29" t="n">
        <x:f>F53/E53</x:f>
        <x:v>1.8852796721384522</x:v>
      </x:c>
      <x:c r="I53" s="26" t="n">
        <x:v>42</x:v>
      </x:c>
      <x:c r="J53" s="26" t="n">
        <x:v>18</x:v>
      </x:c>
      <x:c r="K53" s="65" t="n">
        <x:v>45419</x:v>
      </x:c>
      <x:c r="L53" s="32" t="n">
        <x:v>0.7367389993972273</x:v>
      </x:c>
      <x:c r="M53" s="26" t="n">
        <x:v>2</x:v>
      </x:c>
    </x:row>
    <x:row r="54">
      <x:c r="A54" s="20" t="str">
        <x:v>Available-components ensemble</x:v>
      </x:c>
      <x:c r="B54" s="65" t="n">
        <x:v>45450</x:v>
      </x:c>
      <x:c r="C54" s="20" t="str">
        <x:v>Qwen2-72B</x:v>
      </x:c>
      <x:c r="D54" s="20" t="str">
        <x:v>qwen2</x:v>
      </x:c>
      <x:c r="E54" s="68" t="n">
        <x:v>72.71</x:v>
      </x:c>
      <x:c r="F54" s="68" t="n">
        <x:v>60.08058242863954</x:v>
      </x:c>
      <x:c r="G54" s="29" t="n">
        <x:f>MAX(F54/E54,E54/F54)</x:f>
        <x:v>1.2102079750368764</x:v>
      </x:c>
      <x:c r="H54" s="29" t="n">
        <x:f>F54/E54</x:f>
        <x:v>0.8263042556545117</x:v>
      </x:c>
      <x:c r="I54" s="26" t="n">
        <x:v>43</x:v>
      </x:c>
      <x:c r="J54" s="26" t="n">
        <x:v>19</x:v>
      </x:c>
      <x:c r="K54" s="65" t="n">
        <x:v>45446</x:v>
      </x:c>
      <x:c r="L54" s="32" t="n">
        <x:v>0.9941176470588236</x:v>
      </x:c>
      <x:c r="M54" s="26" t="n">
        <x:v>2</x:v>
      </x:c>
    </x:row>
    <x:row r="55">
      <x:c r="A55" s="20" t="str">
        <x:v>Available-components ensemble</x:v>
      </x:c>
      <x:c r="B55" s="65" t="n">
        <x:v>45467</x:v>
      </x:c>
      <x:c r="C55" s="20" t="str">
        <x:v>Gemma 2 27B</x:v>
      </x:c>
      <x:c r="D55" s="20" t="str">
        <x:v>gemma2</x:v>
      </x:c>
      <x:c r="E55" s="68" t="n">
        <x:v>27</x:v>
      </x:c>
      <x:c r="F55" s="68" t="n">
        <x:v>50.39566220493507</x:v>
      </x:c>
      <x:c r="G55" s="29" t="n">
        <x:f>MAX(F55/E55,E55/F55)</x:f>
        <x:v>1.8665060075901878</x:v>
      </x:c>
      <x:c r="H55" s="29" t="n">
        <x:f>F55/E55</x:f>
        <x:v>1.8665060075901878</x:v>
      </x:c>
      <x:c r="I55" s="26" t="n">
        <x:v>44</x:v>
      </x:c>
      <x:c r="J55" s="26" t="n">
        <x:v>20</x:v>
      </x:c>
      <x:c r="K55" s="65" t="n">
        <x:v>45458</x:v>
      </x:c>
      <x:c r="L55" s="32" t="n">
        <x:v>0.9462461695607762</x:v>
      </x:c>
      <x:c r="M55" s="26" t="n">
        <x:v>2</x:v>
      </x:c>
    </x:row>
    <x:row r="56">
      <x:c r="A56" s="20" t="str">
        <x:v>Available-components ensemble</x:v>
      </x:c>
      <x:c r="B56" s="65" t="n">
        <x:v>45467</x:v>
      </x:c>
      <x:c r="C56" s="20" t="str">
        <x:v>Gemma 2 9B</x:v>
      </x:c>
      <x:c r="D56" s="20" t="str">
        <x:v>gemma2</x:v>
      </x:c>
      <x:c r="E56" s="68" t="n">
        <x:v>9</x:v>
      </x:c>
      <x:c r="F56" s="68" t="n">
        <x:v>36.532879283168825</x:v>
      </x:c>
      <x:c r="G56" s="29" t="n">
        <x:f>MAX(F56/E56,E56/F56)</x:f>
        <x:v>4.059208809240981</x:v>
      </x:c>
      <x:c r="H56" s="29" t="n">
        <x:f>F56/E56</x:f>
        <x:v>4.059208809240981</x:v>
      </x:c>
      <x:c r="I56" s="26" t="n">
        <x:v>44</x:v>
      </x:c>
      <x:c r="J56" s="26" t="n">
        <x:v>20</x:v>
      </x:c>
      <x:c r="K56" s="65" t="n">
        <x:v>45458</x:v>
      </x:c>
      <x:c r="L56" s="32" t="n">
        <x:v>0.8728294177732381</x:v>
      </x:c>
      <x:c r="M56" s="26" t="n">
        <x:v>2</x:v>
      </x:c>
    </x:row>
    <x:row r="57">
      <x:c r="A57" s="20" t="str">
        <x:v>Available-components ensemble</x:v>
      </x:c>
      <x:c r="B57" s="65" t="n">
        <x:v>45496</x:v>
      </x:c>
      <x:c r="C57" s="20" t="str">
        <x:v>Llama 3.1-405B</x:v>
      </x:c>
      <x:c r="D57" s="20" t="str">
        <x:v>llama31</x:v>
      </x:c>
      <x:c r="E57" s="68" t="n">
        <x:v>405</x:v>
      </x:c>
      <x:c r="F57" s="68" t="n">
        <x:v>78.2385824764537</x:v>
      </x:c>
      <x:c r="G57" s="29" t="n">
        <x:f>MAX(F57/E57,E57/F57)</x:f>
        <x:v>5.176474153553163</x:v>
      </x:c>
      <x:c r="H57" s="29" t="n">
        <x:f>F57/E57</x:f>
        <x:v>0.19318168512704617</x:v>
      </x:c>
      <x:c r="I57" s="26" t="n">
        <x:v>47</x:v>
      </x:c>
      <x:c r="J57" s="26" t="n">
        <x:v>22</x:v>
      </x:c>
      <x:c r="K57" s="65" t="n">
        <x:v>45493</x:v>
      </x:c>
      <x:c r="L57" s="32" t="n">
        <x:v>1</x:v>
      </x:c>
      <x:c r="M57" s="26" t="n">
        <x:v>2</x:v>
      </x:c>
    </x:row>
    <x:row r="58">
      <x:c r="A58" s="20" t="str">
        <x:v>Available-components ensemble</x:v>
      </x:c>
      <x:c r="B58" s="65" t="n">
        <x:v>45496</x:v>
      </x:c>
      <x:c r="C58" s="20" t="str">
        <x:v>Llama 3.1-70B</x:v>
      </x:c>
      <x:c r="D58" s="20" t="str">
        <x:v>llama31</x:v>
      </x:c>
      <x:c r="E58" s="68" t="n">
        <x:v>70</x:v>
      </x:c>
      <x:c r="F58" s="68" t="n">
        <x:v>55.42509713933745</x:v>
      </x:c>
      <x:c r="G58" s="29" t="n">
        <x:f>MAX(F58/E58,E58/F58)</x:f>
        <x:v>1.262965761233067</x:v>
      </x:c>
      <x:c r="H58" s="29" t="n">
        <x:f>F58/E58</x:f>
        <x:v>0.791787101990535</x:v>
      </x:c>
      <x:c r="I58" s="26" t="n">
        <x:v>47</x:v>
      </x:c>
      <x:c r="J58" s="26" t="n">
        <x:v>22</x:v>
      </x:c>
      <x:c r="K58" s="65" t="n">
        <x:v>45493</x:v>
      </x:c>
      <x:c r="L58" s="32" t="n">
        <x:v>0.9972826086956521</x:v>
      </x:c>
      <x:c r="M58" s="26" t="n">
        <x:v>2</x:v>
      </x:c>
    </x:row>
    <x:row r="59">
      <x:c r="A59" s="20" t="str">
        <x:v>Available-components ensemble</x:v>
      </x:c>
      <x:c r="B59" s="65" t="n">
        <x:v>45496</x:v>
      </x:c>
      <x:c r="C59" s="20" t="str">
        <x:v>Llama 3.1-8B</x:v>
      </x:c>
      <x:c r="D59" s="20" t="str">
        <x:v>llama31</x:v>
      </x:c>
      <x:c r="E59" s="68" t="n">
        <x:v>8</x:v>
      </x:c>
      <x:c r="F59" s="68" t="n">
        <x:v>26.358526112949235</x:v>
      </x:c>
      <x:c r="G59" s="29" t="n">
        <x:f>MAX(F59/E59,E59/F59)</x:f>
        <x:v>3.2948157641186544</x:v>
      </x:c>
      <x:c r="H59" s="29" t="n">
        <x:f>F59/E59</x:f>
        <x:v>3.2948157641186544</x:v>
      </x:c>
      <x:c r="I59" s="26" t="n">
        <x:v>47</x:v>
      </x:c>
      <x:c r="J59" s="26" t="n">
        <x:v>22</x:v>
      </x:c>
      <x:c r="K59" s="65" t="n">
        <x:v>45493</x:v>
      </x:c>
      <x:c r="L59" s="32" t="n">
        <x:v>0.8184551341350601</x:v>
      </x:c>
      <x:c r="M59" s="26" t="n">
        <x:v>2</x:v>
      </x:c>
    </x:row>
    <x:row r="60">
      <x:c r="A60" s="20" t="str">
        <x:v>Available-components ensemble</x:v>
      </x:c>
      <x:c r="B60" s="65" t="n">
        <x:v>45553</x:v>
      </x:c>
      <x:c r="C60" s="20" t="str">
        <x:v>Qwen2.5-Coder-32B</x:v>
      </x:c>
      <x:c r="D60" s="20" t="str">
        <x:v>qwen25_coder</x:v>
      </x:c>
      <x:c r="E60" s="68" t="n">
        <x:v>32.5</x:v>
      </x:c>
      <x:c r="F60" s="68" t="n">
        <x:v>34.52192587088393</x:v>
      </x:c>
      <x:c r="G60" s="29" t="n">
        <x:f>MAX(F60/E60,E60/F60)</x:f>
        <x:v>1.0622131037195057</x:v>
      </x:c>
      <x:c r="H60" s="29" t="n">
        <x:f>F60/E60</x:f>
        <x:v>1.0622131037195057</x:v>
      </x:c>
      <x:c r="I60" s="26" t="n">
        <x:v>51</x:v>
      </x:c>
      <x:c r="J60" s="26" t="n">
        <x:v>24</x:v>
      </x:c>
      <x:c r="K60" s="65" t="n">
        <x:v>45541</x:v>
      </x:c>
      <x:c r="L60" s="32" t="n">
        <x:v>0.8485671191553544</x:v>
      </x:c>
      <x:c r="M60" s="26" t="n">
        <x:v>2</x:v>
      </x:c>
    </x:row>
    <x:row r="61">
      <x:c r="A61" s="20" t="str">
        <x:v>Available-components ensemble</x:v>
      </x:c>
      <x:c r="B61" s="65" t="n">
        <x:v>45554</x:v>
      </x:c>
      <x:c r="C61" s="20" t="str">
        <x:v>Qwen2.5-72B</x:v>
      </x:c>
      <x:c r="D61" s="20" t="str">
        <x:v>qwen25</x:v>
      </x:c>
      <x:c r="E61" s="68" t="n">
        <x:v>72.7</x:v>
      </x:c>
      <x:c r="F61" s="68" t="n">
        <x:v>74.2356703760557</x:v>
      </x:c>
      <x:c r="G61" s="29" t="n">
        <x:f>MAX(F61/E61,E61/F61)</x:f>
        <x:v>1.021123388941619</x:v>
      </x:c>
      <x:c r="H61" s="29" t="n">
        <x:f>F61/E61</x:f>
        <x:v>1.021123388941619</x:v>
      </x:c>
      <x:c r="I61" s="26" t="n">
        <x:v>54</x:v>
      </x:c>
      <x:c r="J61" s="26" t="n">
        <x:v>25</x:v>
      </x:c>
      <x:c r="K61" s="65" t="n">
        <x:v>45553</x:v>
      </x:c>
      <x:c r="L61" s="32" t="n">
        <x:v>0.9900497512437811</x:v>
      </x:c>
      <x:c r="M61" s="26" t="n">
        <x:v>2</x:v>
      </x:c>
    </x:row>
    <x:row r="62">
      <x:c r="A62" s="20" t="str">
        <x:v>Available-components ensemble</x:v>
      </x:c>
      <x:c r="B62" s="65" t="n">
        <x:v>45632</x:v>
      </x:c>
      <x:c r="C62" s="20" t="str">
        <x:v>Llama 3.3 70B</x:v>
      </x:c>
      <x:c r="D62" s="20" t="str">
        <x:v>llama33</x:v>
      </x:c>
      <x:c r="E62" s="68" t="n">
        <x:v>70</x:v>
      </x:c>
      <x:c r="F62" s="68" t="n">
        <x:v>65.93034343188609</x:v>
      </x:c>
      <x:c r="G62" s="29" t="n">
        <x:f>MAX(F62/E62,E62/F62)</x:f>
        <x:v>1.0617266095742146</x:v>
      </x:c>
      <x:c r="H62" s="29" t="n">
        <x:f>F62/E62</x:f>
        <x:v>0.9418620490269441</x:v>
      </x:c>
      <x:c r="I62" s="26" t="n">
        <x:v>57</x:v>
      </x:c>
      <x:c r="J62" s="26" t="n">
        <x:v>27</x:v>
      </x:c>
      <x:c r="K62" s="65" t="n">
        <x:v>45631</x:v>
      </x:c>
      <x:c r="L62" s="32" t="n">
        <x:v>0.9513376200682702</x:v>
      </x:c>
      <x:c r="M62" s="26" t="n">
        <x:v>2</x:v>
      </x:c>
    </x:row>
    <x:row r="63">
      <x:c r="A63" s="20" t="str">
        <x:v>Available-components ensemble</x:v>
      </x:c>
      <x:c r="B63" s="65" t="n">
        <x:v>45638</x:v>
      </x:c>
      <x:c r="C63" s="20" t="str">
        <x:v>Phi-4</x:v>
      </x:c>
      <x:c r="D63" s="20" t="str">
        <x:v>phi</x:v>
      </x:c>
      <x:c r="E63" s="68" t="n">
        <x:v>14</x:v>
      </x:c>
      <x:c r="F63" s="68" t="n">
        <x:v>71.97322659306649</x:v>
      </x:c>
      <x:c r="G63" s="29" t="n">
        <x:f>MAX(F63/E63,E63/F63)</x:f>
        <x:v>5.140944756647606</x:v>
      </x:c>
      <x:c r="H63" s="29" t="n">
        <x:f>F63/E63</x:f>
        <x:v>5.140944756647606</x:v>
      </x:c>
      <x:c r="I63" s="26" t="n">
        <x:v>53</x:v>
      </x:c>
      <x:c r="J63" s="26" t="n">
        <x:v>27</x:v>
      </x:c>
      <x:c r="K63" s="65" t="n">
        <x:v>45635</x:v>
      </x:c>
      <x:c r="L63" s="32" t="n">
        <x:v>0.9444444444444444</x:v>
      </x:c>
      <x:c r="M63" s="26" t="n">
        <x:v>2</x:v>
      </x:c>
    </x:row>
    <x:row r="64">
      <x:c r="A64" s="20" t="str">
        <x:v>Available-components ensemble</x:v>
      </x:c>
      <x:c r="B64" s="65" t="n">
        <x:v>45752</x:v>
      </x:c>
      <x:c r="C64" s="20" t="str">
        <x:v>Llama 4 Maverick</x:v>
      </x:c>
      <x:c r="D64" s="20" t="str">
        <x:v>llama4</x:v>
      </x:c>
      <x:c r="E64" s="68" t="n">
        <x:v>400</x:v>
      </x:c>
      <x:c r="F64" s="68" t="n">
        <x:v>75.80926846302135</x:v>
      </x:c>
      <x:c r="G64" s="29" t="n">
        <x:f>MAX(F64/E64,E64/F64)</x:f>
        <x:v>5.27639968185571</x:v>
      </x:c>
      <x:c r="H64" s="29" t="n">
        <x:f>F64/E64</x:f>
        <x:v>0.18952317115755338</x:v>
      </x:c>
      <x:c r="I64" s="26" t="n">
        <x:v>64</x:v>
      </x:c>
      <x:c r="J64" s="26" t="n">
        <x:v>31</x:v>
      </x:c>
      <x:c r="K64" s="65" t="n">
        <x:v>45740</x:v>
      </x:c>
      <x:c r="L64" s="32" t="n">
        <x:v>0.9493955761316872</x:v>
      </x:c>
      <x:c r="M64" s="26" t="n">
        <x:v>2</x:v>
      </x:c>
    </x:row>
    <x:row r="65">
      <x:c r="A65" s="20" t="str">
        <x:v>Available-components ensemble</x:v>
      </x:c>
      <x:c r="B65" s="65" t="n">
        <x:v>45752</x:v>
      </x:c>
      <x:c r="C65" s="20" t="str">
        <x:v>Llama 4 Scout</x:v>
      </x:c>
      <x:c r="D65" s="20" t="str">
        <x:v>llama4</x:v>
      </x:c>
      <x:c r="E65" s="68" t="n">
        <x:v>109</x:v>
      </x:c>
      <x:c r="F65" s="68" t="n">
        <x:v>68.24703393140769</x:v>
      </x:c>
      <x:c r="G65" s="29" t="n">
        <x:f>MAX(F65/E65,E65/F65)</x:f>
        <x:v>1.5971390069427993</x:v>
      </x:c>
      <x:c r="H65" s="29" t="n">
        <x:f>F65/E65</x:f>
        <x:v>0.6261195773523641</x:v>
      </x:c>
      <x:c r="I65" s="26" t="n">
        <x:v>64</x:v>
      </x:c>
      <x:c r="J65" s="26" t="n">
        <x:v>31</x:v>
      </x:c>
      <x:c r="K65" s="65" t="n">
        <x:v>45740</x:v>
      </x:c>
      <x:c r="L65" s="32" t="n">
        <x:v>0.94653420781893</x:v>
      </x:c>
      <x:c r="M65" s="26" t="n">
        <x:v>2</x:v>
      </x:c>
    </x:row>
    <x:row r="66">
      <x:c r="A66" s="20" t="str">
        <x:v>Available-components ensemble</x:v>
      </x:c>
      <x:c r="B66" s="65" t="n">
        <x:v>45874</x:v>
      </x:c>
      <x:c r="C66" s="20" t="str">
        <x:v>gpt-oss-120b</x:v>
      </x:c>
      <x:c r="D66" s="20" t="str">
        <x:v>gpt_oss</x:v>
      </x:c>
      <x:c r="E66" s="68" t="n">
        <x:v>116.83</x:v>
      </x:c>
      <x:c r="F66" s="68" t="n">
        <x:v>166.30791112421136</x:v>
      </x:c>
      <x:c r="G66" s="29" t="n">
        <x:f>MAX(F66/E66,E66/F66)</x:f>
        <x:v>1.4235034761979917</x:v>
      </x:c>
      <x:c r="H66" s="29" t="n">
        <x:f>F66/E66</x:f>
        <x:v>1.4235034761979917</x:v>
      </x:c>
      <x:c r="I66" s="26" t="n">
        <x:v>72</x:v>
      </x:c>
      <x:c r="J66" s="26" t="n">
        <x:v>34</x:v>
      </x:c>
      <x:c r="K66" s="65" t="n">
        <x:v>45870</x:v>
      </x:c>
      <x:c r="L66" s="32" t="n">
        <x:v>0.9698067632850241</x:v>
      </x:c>
      <x:c r="M66" s="26" t="n">
        <x:v>2</x:v>
      </x:c>
    </x:row>
    <x:row r="67">
      <x:c r="A67" s="20" t="str">
        <x:v>Available-components ensemble</x:v>
      </x:c>
      <x:c r="B67" s="65" t="n">
        <x:v>45910</x:v>
      </x:c>
      <x:c r="C67" s="20" t="str">
        <x:v>Qwen3-Next-80B-A3B</x:v>
      </x:c>
      <x:c r="D67" s="20" t="str">
        <x:v>qwen</x:v>
      </x:c>
      <x:c r="E67" s="68" t="n">
        <x:v>80</x:v>
      </x:c>
      <x:c r="F67" s="68" t="n">
        <x:v>483.17740574444605</x:v>
      </x:c>
      <x:c r="G67" s="29" t="n">
        <x:f>MAX(F67/E67,E67/F67)</x:f>
        <x:v>6.039717571805576</x:v>
      </x:c>
      <x:c r="H67" s="29" t="n">
        <x:f>F67/E67</x:f>
        <x:v>6.039717571805576</x:v>
      </x:c>
      <x:c r="I67" s="26" t="n">
        <x:v>14</x:v>
      </x:c>
      <x:c r="J67" s="26" t="n">
        <x:v>5</x:v>
      </x:c>
      <x:c r="K67" s="65" t="n">
        <x:v>45905</x:v>
      </x:c>
      <x:c r="L67" s="32" t="n">
        <x:v>0.7235001840264998</x:v>
      </x:c>
      <x:c r="M67" s="26" t="n">
        <x:v>2</x:v>
      </x:c>
    </x:row>
    <x:row r="68">
      <x:c r="A68" s="20" t="str">
        <x:v>Available-components ensemble</x:v>
      </x:c>
      <x:c r="B68" s="65" t="n">
        <x:v>45930</x:v>
      </x:c>
      <x:c r="C68" s="20" t="str">
        <x:v>GLM-4.6</x:v>
      </x:c>
      <x:c r="D68" s="20" t="str">
        <x:v>glm</x:v>
      </x:c>
      <x:c r="E68" s="68" t="n">
        <x:v>357</x:v>
      </x:c>
      <x:c r="F68" s="68" t="n">
        <x:v>156.33053597831955</x:v>
      </x:c>
      <x:c r="G68" s="29" t="n">
        <x:f>MAX(F68/E68,E68/F68)</x:f>
        <x:v>2.2836229516254583</x:v>
      </x:c>
      <x:c r="H68" s="29" t="n">
        <x:f>F68/E68</x:f>
        <x:v>0.4379006610036962</x:v>
      </x:c>
      <x:c r="I68" s="26" t="n">
        <x:v>74</x:v>
      </x:c>
      <x:c r="J68" s="26" t="n">
        <x:v>35</x:v>
      </x:c>
      <x:c r="K68" s="65" t="n">
        <x:v>45929</x:v>
      </x:c>
      <x:c r="L68" s="32" t="n">
        <x:v>0.9555917986952469</x:v>
      </x:c>
      <x:c r="M68" s="26" t="n">
        <x:v>2</x:v>
      </x:c>
    </x:row>
    <x:row r="69">
      <x:c r="A69" s="20" t="str">
        <x:v>Available-components ensemble</x:v>
      </x:c>
      <x:c r="B69" s="65" t="n">
        <x:v>45992</x:v>
      </x:c>
      <x:c r="C69" s="20" t="str">
        <x:v>DeepSeek-V3.2</x:v>
      </x:c>
      <x:c r="D69" s="20" t="str">
        <x:v>deepseek_v3</x:v>
      </x:c>
      <x:c r="E69" s="68" t="n">
        <x:v>671</x:v>
      </x:c>
      <x:c r="F69" s="68" t="n">
        <x:v>316.16812460343056</x:v>
      </x:c>
      <x:c r="G69" s="29" t="n">
        <x:f>MAX(F69/E69,E69/F69)</x:f>
        <x:v>2.122288579348835</x:v>
      </x:c>
      <x:c r="H69" s="29" t="n">
        <x:f>F69/E69</x:f>
        <x:v>0.47118945544475493</x:v>
      </x:c>
      <x:c r="I69" s="26" t="n">
        <x:v>19</x:v>
      </x:c>
      <x:c r="J69" s="26" t="n">
        <x:v>5</x:v>
      </x:c>
      <x:c r="K69" s="65" t="n">
        <x:v>45967</x:v>
      </x:c>
      <x:c r="L69" s="32" t="n">
        <x:v>0.8809523809523809</x:v>
      </x:c>
      <x:c r="M69" s="26" t="n">
        <x:v>2</x:v>
      </x:c>
    </x:row>
    <x:row r="70">
      <x:c r="A70" s="20" t="str">
        <x:v>Available-components ensemble</x:v>
      </x:c>
      <x:c r="B70" s="65" t="n">
        <x:v>46006</x:v>
      </x:c>
      <x:c r="C70" s="20" t="str">
        <x:v>Nemotron 3 Nano 30B A3B Reasoning</x:v>
      </x:c>
      <x:c r="D70" s="20" t="str">
        <x:v>nemotron3</x:v>
      </x:c>
      <x:c r="E70" s="68" t="n">
        <x:v>31.6</x:v>
      </x:c>
      <x:c r="F70" s="68" t="n">
        <x:v>125.71407165192826</x:v>
      </x:c>
      <x:c r="G70" s="29" t="n">
        <x:f>MAX(F70/E70,E70/F70)</x:f>
        <x:v>3.9782934067065905</x:v>
      </x:c>
      <x:c r="H70" s="29" t="n">
        <x:f>F70/E70</x:f>
        <x:v>3.9782934067065905</x:v>
      </x:c>
      <x:c r="I70" s="26" t="n">
        <x:v>16</x:v>
      </x:c>
      <x:c r="J70" s="26" t="n">
        <x:v>11</x:v>
      </x:c>
      <x:c r="K70" s="65" t="n">
        <x:v>46003</x:v>
      </x:c>
      <x:c r="L70" s="32" t="n">
        <x:v>0.42156040268456374</x:v>
      </x:c>
      <x:c r="M70" s="26" t="n">
        <x:v>2</x:v>
      </x:c>
    </x:row>
    <x:row r="71">
      <x:c r="A71" s="20" t="str">
        <x:v>Available-components ensemble</x:v>
      </x:c>
      <x:c r="B71" s="65" t="n">
        <x:v>46007</x:v>
      </x:c>
      <x:c r="C71" s="20" t="str">
        <x:v>MiMo-V2-Flash Reasoning</x:v>
      </x:c>
      <x:c r="D71" s="20" t="str">
        <x:v>mimo_v2</x:v>
      </x:c>
      <x:c r="E71" s="68" t="n">
        <x:v>309</x:v>
      </x:c>
      <x:c r="F71" s="68" t="n">
        <x:v>472.86520857888615</x:v>
      </x:c>
      <x:c r="G71" s="29" t="n">
        <x:f>MAX(F71/E71,E71/F71)</x:f>
        <x:v>1.5303081183782723</x:v>
      </x:c>
      <x:c r="H71" s="29" t="n">
        <x:f>F71/E71</x:f>
        <x:v>1.5303081183782723</x:v>
      </x:c>
      <x:c r="I71" s="26" t="n">
        <x:v>17</x:v>
      </x:c>
      <x:c r="J71" s="26" t="n">
        <x:v>12</x:v>
      </x:c>
      <x:c r="K71" s="65" t="n">
        <x:v>46006</x:v>
      </x:c>
      <x:c r="L71" s="32" t="n">
        <x:v>0.8826480424945897</x:v>
      </x:c>
      <x:c r="M71" s="26" t="n">
        <x:v>2</x:v>
      </x:c>
    </x:row>
    <x:row r="72">
      <x:c r="A72" s="20" t="str">
        <x:v>Available-components ensemble</x:v>
      </x:c>
      <x:c r="B72" s="65" t="n">
        <x:v>46013</x:v>
      </x:c>
      <x:c r="C72" s="20" t="str">
        <x:v>GLM-4.7 Reasoning</x:v>
      </x:c>
      <x:c r="D72" s="20" t="str">
        <x:v>glm</x:v>
      </x:c>
      <x:c r="E72" s="68" t="n">
        <x:v>358</x:v>
      </x:c>
      <x:c r="F72" s="68" t="n">
        <x:v>403.04498671503956</x:v>
      </x:c>
      <x:c r="G72" s="29" t="n">
        <x:f>MAX(F72/E72,E72/F72)</x:f>
        <x:v>1.1258239852375407</x:v>
      </x:c>
      <x:c r="H72" s="29" t="n">
        <x:f>F72/E72</x:f>
        <x:v>1.1258239852375407</x:v>
      </x:c>
      <x:c r="I72" s="26" t="n">
        <x:v>16</x:v>
      </x:c>
      <x:c r="J72" s="26" t="n">
        <x:v>12</x:v>
      </x:c>
      <x:c r="K72" s="65" t="n">
        <x:v>46014</x:v>
      </x:c>
      <x:c r="L72" s="32" t="n">
        <x:v>0.974025974025974</x:v>
      </x:c>
      <x:c r="M72" s="26" t="n">
        <x:v>2</x:v>
      </x:c>
    </x:row>
    <x:row r="73">
      <x:c r="A73" s="20" t="str">
        <x:v>Available-components ensemble</x:v>
      </x:c>
      <x:c r="B73" s="65" t="n">
        <x:v>46049</x:v>
      </x:c>
      <x:c r="C73" s="20" t="str">
        <x:v>Kimi K2.5 Reasoning</x:v>
      </x:c>
      <x:c r="D73" s="20" t="str">
        <x:v>kimi_k2</x:v>
      </x:c>
      <x:c r="E73" s="68" t="n">
        <x:v>1040</x:v>
      </x:c>
      <x:c r="F73" s="68" t="n">
        <x:v>436.18783370611374</x:v>
      </x:c>
      <x:c r="G73" s="29" t="n">
        <x:f>MAX(F73/E73,E73/F73)</x:f>
        <x:v>2.384293920267183</x:v>
      </x:c>
      <x:c r="H73" s="29" t="n">
        <x:f>F73/E73</x:f>
        <x:v>0.4194113785635709</x:v>
      </x:c>
      <x:c r="I73" s="26" t="n">
        <x:v>20</x:v>
      </x:c>
      <x:c r="J73" s="26" t="n">
        <x:v>5</x:v>
      </x:c>
      <x:c r="K73" s="65" t="n">
        <x:v>46030</x:v>
      </x:c>
      <x:c r="L73" s="32" t="n">
        <x:v>0.9908333333333333</x:v>
      </x:c>
      <x:c r="M73" s="26" t="n">
        <x:v>4</x:v>
      </x:c>
    </x:row>
    <x:row r="74">
      <x:c r="A74" s="20" t="str">
        <x:v>Available-components ensemble</x:v>
      </x:c>
      <x:c r="B74" s="65" t="n">
        <x:v>46064</x:v>
      </x:c>
      <x:c r="C74" s="20" t="str">
        <x:v>GLM-5 Reasoning</x:v>
      </x:c>
      <x:c r="D74" s="20" t="str">
        <x:v>glm</x:v>
      </x:c>
      <x:c r="E74" s="68" t="n">
        <x:v>744</x:v>
      </x:c>
      <x:c r="F74" s="68" t="n">
        <x:v>498.1486752621221</x:v>
      </x:c>
      <x:c r="G74" s="29" t="n">
        <x:f>MAX(F74/E74,E74/F74)</x:f>
        <x:v>1.4935300181386868</x:v>
      </x:c>
      <x:c r="H74" s="29" t="n">
        <x:f>F74/E74</x:f>
        <x:v>0.6695546710512393</x:v>
      </x:c>
      <x:c r="I74" s="26" t="n">
        <x:v>19</x:v>
      </x:c>
      <x:c r="J74" s="26" t="n">
        <x:v>14</x:v>
      </x:c>
      <x:c r="K74" s="65" t="n">
        <x:v>46051</x:v>
      </x:c>
      <x:c r="L74" s="32" t="n">
        <x:v>0.9827018237380322</x:v>
      </x:c>
      <x:c r="M74" s="26" t="n">
        <x:v>3</x:v>
      </x:c>
    </x:row>
    <x:row r="75">
      <x:c r="A75" s="20" t="str">
        <x:v>Available-components ensemble</x:v>
      </x:c>
      <x:c r="B75" s="65" t="n">
        <x:v>46065</x:v>
      </x:c>
      <x:c r="C75" s="20" t="str">
        <x:v>MiniMax-M2.5</x:v>
      </x:c>
      <x:c r="D75" s="20" t="str">
        <x:v>minimax_m2</x:v>
      </x:c>
      <x:c r="E75" s="68" t="n">
        <x:v>228.703644928</x:v>
      </x:c>
      <x:c r="F75" s="68" t="n">
        <x:v>491.85715228430377</x:v>
      </x:c>
      <x:c r="G75" s="29" t="n">
        <x:f>MAX(F75/E75,E75/F75)</x:f>
        <x:v>2.150631016130719</x:v>
      </x:c>
      <x:c r="H75" s="29" t="n">
        <x:f>F75/E75</x:f>
        <x:v>2.150631016130719</x:v>
      </x:c>
      <x:c r="I75" s="26" t="n">
        <x:v>22</x:v>
      </x:c>
      <x:c r="J75" s="26" t="n">
        <x:v>14</x:v>
      </x:c>
      <x:c r="K75" s="65" t="n">
        <x:v>46064</x:v>
      </x:c>
      <x:c r="L75" s="32" t="n">
        <x:v>0.93125</x:v>
      </x:c>
      <x:c r="M75" s="26" t="n">
        <x:v>2</x:v>
      </x:c>
    </x:row>
    <x:row r="76">
      <x:c r="A76" s="20" t="str">
        <x:v>Available-components ensemble</x:v>
      </x:c>
      <x:c r="B76" s="65" t="n">
        <x:v>46099</x:v>
      </x:c>
      <x:c r="C76" s="20" t="str">
        <x:v>MiniMax-M2.7</x:v>
      </x:c>
      <x:c r="D76" s="20" t="str">
        <x:v>minimax_m2</x:v>
      </x:c>
      <x:c r="E76" s="68" t="n">
        <x:v>228.703644928</x:v>
      </x:c>
      <x:c r="F76" s="68" t="n">
        <x:v>462.8283533617697</x:v>
      </x:c>
      <x:c r="G76" s="29" t="n">
        <x:f>MAX(F76/E76,E76/F76)</x:f>
        <x:v>2.0237034416634523</x:v>
      </x:c>
      <x:c r="H76" s="29" t="n">
        <x:f>F76/E76</x:f>
        <x:v>2.0237034416634523</x:v>
      </x:c>
      <x:c r="I76" s="26" t="n">
        <x:v>31</x:v>
      </x:c>
      <x:c r="J76" s="26" t="n">
        <x:v>15</x:v>
      </x:c>
      <x:c r="K76" s="65" t="n">
        <x:v>46092</x:v>
      </x:c>
      <x:c r="L76" s="32" t="n">
        <x:v>0.9544299201161945</x:v>
      </x:c>
      <x:c r="M76" s="26" t="n">
        <x:v>2</x:v>
      </x:c>
    </x:row>
    <x:row r="77">
      <x:c r="A77" s="20" t="str">
        <x:v>Available-components ensemble</x:v>
      </x:c>
      <x:c r="B77" s="65" t="n">
        <x:v>46114</x:v>
      </x:c>
      <x:c r="C77" s="20" t="str">
        <x:v>Gemma 4 31B IT</x:v>
      </x:c>
      <x:c r="D77" s="20" t="str">
        <x:v>gemma4</x:v>
      </x:c>
      <x:c r="E77" s="68" t="n">
        <x:v>31</x:v>
      </x:c>
      <x:c r="F77" s="68" t="n">
        <x:v>85.18689716919434</x:v>
      </x:c>
      <x:c r="G77" s="29" t="n">
        <x:f>MAX(F77/E77,E77/F77)</x:f>
        <x:v>2.7479644248127206</x:v>
      </x:c>
      <x:c r="H77" s="29" t="n">
        <x:f>F77/E77</x:f>
        <x:v>2.7479644248127206</x:v>
      </x:c>
      <x:c r="I77" s="26" t="n">
        <x:v>28</x:v>
      </x:c>
      <x:c r="J77" s="26" t="n">
        <x:v>5</x:v>
      </x:c>
      <x:c r="K77" s="65" t="n">
        <x:v>46078</x:v>
      </x:c>
      <x:c r="L77" s="32" t="n">
        <x:v>0.9121863799283154</x:v>
      </x:c>
      <x:c r="M77" s="26" t="n">
        <x:v>2</x:v>
      </x:c>
    </x:row>
    <x:row r="78">
      <x:c r="A78" s="20" t="str">
        <x:v>Available-components ensemble</x:v>
      </x:c>
      <x:c r="B78" s="65" t="n">
        <x:v>46128</x:v>
      </x:c>
      <x:c r="C78" s="20" t="str">
        <x:v>Qwen3.6-35B-A3B Reasoning</x:v>
      </x:c>
      <x:c r="D78" s="20" t="str">
        <x:v>qwen36</x:v>
      </x:c>
      <x:c r="E78" s="68" t="n">
        <x:v>36</x:v>
      </x:c>
      <x:c r="F78" s="68" t="n">
        <x:v>224.6176021215034</x:v>
      </x:c>
      <x:c r="G78" s="29" t="n">
        <x:f>MAX(F78/E78,E78/F78)</x:f>
        <x:v>6.239377836708428</x:v>
      </x:c>
      <x:c r="H78" s="29" t="n">
        <x:f>F78/E78</x:f>
        <x:v>6.239377836708428</x:v>
      </x:c>
      <x:c r="I78" s="26" t="n">
        <x:v>36</x:v>
      </x:c>
      <x:c r="J78" s="26" t="n">
        <x:v>16</x:v>
      </x:c>
      <x:c r="K78" s="65" t="n">
        <x:v>46121</x:v>
      </x:c>
      <x:c r="L78" s="32" t="n">
        <x:v>0.7930053547523427</x:v>
      </x:c>
      <x:c r="M78" s="26" t="n">
        <x:v>2</x:v>
      </x:c>
    </x:row>
    <x:row r="79">
      <x:c r="A79" s="20" t="str">
        <x:v>Available-components ensemble</x:v>
      </x:c>
      <x:c r="B79" s="65" t="n">
        <x:v>46132</x:v>
      </x:c>
      <x:c r="C79" s="20" t="str">
        <x:v>Kimi K2.6 Reasoning</x:v>
      </x:c>
      <x:c r="D79" s="20" t="str">
        <x:v>kimi_k2</x:v>
      </x:c>
      <x:c r="E79" s="68" t="n">
        <x:v>1040</x:v>
      </x:c>
      <x:c r="F79" s="68" t="n">
        <x:v>192.70028255006272</x:v>
      </x:c>
      <x:c r="G79" s="29" t="n">
        <x:f>MAX(F79/E79,E79/F79)</x:f>
        <x:v>5.396982226685695</x:v>
      </x:c>
      <x:c r="H79" s="29" t="n">
        <x:f>F79/E79</x:f>
        <x:v>0.18528873322121417</x:v>
      </x:c>
      <x:c r="I79" s="26" t="n">
        <x:v>31</x:v>
      </x:c>
      <x:c r="J79" s="26" t="n">
        <x:v>5</x:v>
      </x:c>
      <x:c r="K79" s="65" t="n">
        <x:v>46129</x:v>
      </x:c>
      <x:c r="L79" s="32" t="n">
        <x:v>0.8787878787878788</x:v>
      </x:c>
      <x:c r="M79" s="26" t="n">
        <x:v>3</x:v>
      </x:c>
    </x:row>
    <x:row r="80">
      <x:c r="A80" s="20" t="str">
        <x:v>Available-components ensemble</x:v>
      </x:c>
      <x:c r="B80" s="65" t="n">
        <x:v>46136</x:v>
      </x:c>
      <x:c r="C80" s="20" t="str">
        <x:v>DeepSeek-V4-Flash</x:v>
      </x:c>
      <x:c r="D80" s="20" t="str">
        <x:v>deepseek</x:v>
      </x:c>
      <x:c r="E80" s="68" t="n">
        <x:v>284</x:v>
      </x:c>
      <x:c r="F80" s="68" t="n">
        <x:v>274.98376283018445</x:v>
      </x:c>
      <x:c r="G80" s="29" t="n">
        <x:f>MAX(F80/E80,E80/F80)</x:f>
        <x:v>1.0327882529390782</x:v>
      </x:c>
      <x:c r="H80" s="29" t="n">
        <x:f>F80/E80</x:f>
        <x:v>0.9682526860217762</x:v>
      </x:c>
      <x:c r="I80" s="26" t="n">
        <x:v>31</x:v>
      </x:c>
      <x:c r="J80" s="26" t="n">
        <x:v>5</x:v>
      </x:c>
      <x:c r="K80" s="65" t="n">
        <x:v>46135</x:v>
      </x:c>
      <x:c r="L80" s="32" t="n">
        <x:v>0.8186274509803921</x:v>
      </x:c>
      <x:c r="M80" s="26" t="n">
        <x:v>2</x:v>
      </x:c>
    </x:row>
    <x:row r="81">
      <x:c r="A81" s="20" t="str">
        <x:v>Available-components ensemble</x:v>
      </x:c>
      <x:c r="B81" s="65" t="n">
        <x:v>46136</x:v>
      </x:c>
      <x:c r="C81" s="20" t="str">
        <x:v>DeepSeek-V4-Pro (max)</x:v>
      </x:c>
      <x:c r="D81" s="20" t="str">
        <x:v>deepseek_v4</x:v>
      </x:c>
      <x:c r="E81" s="68" t="n">
        <x:v>1600</x:v>
      </x:c>
      <x:c r="F81" s="68" t="n">
        <x:v>309.68451354930505</x:v>
      </x:c>
      <x:c r="G81" s="29" t="n">
        <x:f>MAX(F81/E81,E81/F81)</x:f>
        <x:v>5.166548309640492</x:v>
      </x:c>
      <x:c r="H81" s="29" t="n">
        <x:f>F81/E81</x:f>
        <x:v>0.19355282096831566</x:v>
      </x:c>
      <x:c r="I81" s="26" t="n">
        <x:v>39</x:v>
      </x:c>
      <x:c r="J81" s="26" t="n">
        <x:v>17</x:v>
      </x:c>
      <x:c r="K81" s="65" t="n">
        <x:v>46135</x:v>
      </x:c>
      <x:c r="L81" s="32" t="n">
        <x:v>0.9938997821350762</x:v>
      </x:c>
      <x:c r="M81" s="26" t="n">
        <x:v>3</x:v>
      </x:c>
    </x:row>
    <x:row r="82">
      <x:c r="A82" s="20" t="str">
        <x:v>Available-components ensemble</x:v>
      </x:c>
      <x:c r="B82" s="65" t="n">
        <x:v>46185</x:v>
      </x:c>
      <x:c r="C82" s="20" t="str">
        <x:v>Kimi K2.7 Code</x:v>
      </x:c>
      <x:c r="D82" s="20" t="str">
        <x:v>kimi_k2</x:v>
      </x:c>
      <x:c r="E82" s="68" t="n">
        <x:v>1040</x:v>
      </x:c>
      <x:c r="F82" s="68" t="n">
        <x:v>322.9852346854934</x:v>
      </x:c>
      <x:c r="G82" s="29" t="n">
        <x:f>MAX(F82/E82,E82/F82)</x:f>
        <x:v>3.2199614357377637</x:v>
      </x:c>
      <x:c r="H82" s="29" t="n">
        <x:f>F82/E82</x:f>
        <x:v>0.3105627256591283</x:v>
      </x:c>
      <x:c r="I82" s="26" t="n">
        <x:v>41</x:v>
      </x:c>
      <x:c r="J82" s="26" t="n">
        <x:v>19</x:v>
      </x:c>
      <x:c r="K82" s="65" t="n">
        <x:v>46185</x:v>
      </x:c>
      <x:c r="L82" s="32" t="n">
        <x:v>0.9600951374207187</x:v>
      </x:c>
      <x:c r="M82" s="26" t="n">
        <x:v>2</x:v>
      </x:c>
    </x:row>
    <x:row r="83">
      <x:c r="A83" s="20" t="str">
        <x:v>Available-components ensemble</x:v>
      </x:c>
      <x:c r="B83" s="65" t="n">
        <x:v>46189</x:v>
      </x:c>
      <x:c r="C83" s="20" t="str">
        <x:v>GLM-5.2 (max)</x:v>
      </x:c>
      <x:c r="D83" s="20" t="str">
        <x:v>glm</x:v>
      </x:c>
      <x:c r="E83" s="68" t="n">
        <x:v>744</x:v>
      </x:c>
      <x:c r="F83" s="68" t="n">
        <x:v>625.3025547644878</x:v>
      </x:c>
      <x:c r="G83" s="29" t="n">
        <x:f>MAX(F83/E83,E83/F83)</x:f>
        <x:v>1.189824020917711</x:v>
      </x:c>
      <x:c r="H83" s="29" t="n">
        <x:f>F83/E83</x:f>
        <x:v>0.8404604230705481</x:v>
      </x:c>
      <x:c r="I83" s="26" t="n">
        <x:v>38</x:v>
      </x:c>
      <x:c r="J83" s="26" t="n">
        <x:v>19</x:v>
      </x:c>
      <x:c r="K83" s="65" t="n">
        <x:v>46185</x:v>
      </x:c>
      <x:c r="L83" s="32" t="n">
        <x:v>1</x:v>
      </x:c>
      <x:c r="M83" s="26" t="n">
        <x:v>2</x:v>
      </x:c>
    </x:row>
    <x:row r="84">
      <x:c r="A84" s="20" t="str">
        <x:v>Available-components ensemble</x:v>
      </x:c>
      <x:c r="B84" s="65" t="n">
        <x:v>46219</x:v>
      </x:c>
      <x:c r="C84" s="20" t="str">
        <x:v>Kimi K3</x:v>
      </x:c>
      <x:c r="D84" s="20" t="str">
        <x:v>kimi_k2</x:v>
      </x:c>
      <x:c r="E84" s="68" t="n">
        <x:v>2780</x:v>
      </x:c>
      <x:c r="F84" s="68" t="n">
        <x:v>838.686809173933</x:v>
      </x:c>
      <x:c r="G84" s="29" t="n">
        <x:f>MAX(F84/E84,E84/F84)</x:f>
        <x:v>3.3147057633327615</x:v>
      </x:c>
      <x:c r="H84" s="29" t="n">
        <x:f>F84/E84</x:f>
        <x:v>0.30168590258055145</x:v>
      </x:c>
      <x:c r="I84" s="26" t="n">
        <x:v>46</x:v>
      </x:c>
      <x:c r="J84" s="26" t="n">
        <x:v>21</x:v>
      </x:c>
      <x:c r="K84" s="65" t="n">
        <x:v>46218</x:v>
      </x:c>
      <x:c r="L84" s="32" t="n">
        <x:v>0.9989281886387996</x:v>
      </x:c>
      <x:c r="M84" s="26" t="n">
        <x:v>3</x:v>
      </x:c>
    </x:row>
    <x:row r="85">
      <x:c r="A85" s="20" t="str">
        <x:v>Compute</x:v>
      </x:c>
      <x:c r="B85" s="65" t="n">
        <x:v>45234</x:v>
      </x:c>
      <x:c r="C85" s="20" t="str">
        <x:v>Grok-1</x:v>
      </x:c>
      <x:c r="D85" s="20" t="str">
        <x:v>xai</x:v>
      </x:c>
      <x:c r="E85" s="68" t="n">
        <x:v>314</x:v>
      </x:c>
      <x:c r="F85" s="68" t="n">
        <x:v>66.59153866000257</x:v>
      </x:c>
      <x:c r="G85" s="29" t="n">
        <x:f>MAX(F85/E85,E85/F85)</x:f>
        <x:v>4.715313781878424</x:v>
      </x:c>
      <x:c r="H85" s="29" t="n">
        <x:f>F85/E85</x:f>
        <x:v>0.21207496388535851</x:v>
      </x:c>
      <x:c r="I85" s="26" t="n">
        <x:v>100</x:v>
      </x:c>
      <x:c r="J85" s="26" t="n">
        <x:v>55</x:v>
      </x:c>
      <x:c r="K85" s="65" t="n">
        <x:v>45232</x:v>
      </x:c>
      <x:c r="L85" s="32" t="n">
        <x:v>0.99</x:v>
      </x:c>
      <x:c r="M85" s="26" t="n">
        <x:v>1</x:v>
      </x:c>
    </x:row>
    <x:row r="86">
      <x:c r="A86" s="20" t="str">
        <x:v>Compute</x:v>
      </x:c>
      <x:c r="B86" s="65" t="n">
        <x:v>45238</x:v>
      </x:c>
      <x:c r="C86" s="20" t="str">
        <x:v>HGRN 1B (WT 103)</x:v>
      </x:c>
      <x:c r="D86" s="20" t="str">
        <x:v>shanghai_ai_lab_massachusetts_institute_of_technology_mit</x:v>
      </x:c>
      <x:c r="E86" s="68" t="n">
        <x:v>1</x:v>
      </x:c>
      <x:c r="F86" s="68" t="n">
        <x:v>0.15981864696209516</x:v>
      </x:c>
      <x:c r="G86" s="29" t="n">
        <x:f>MAX(F86/E86,E86/F86)</x:f>
        <x:v>6.2570921416771474</x:v>
      </x:c>
      <x:c r="H86" s="29" t="n">
        <x:f>F86/E86</x:f>
        <x:v>0.15981864696209516</x:v>
      </x:c>
      <x:c r="I86" s="26" t="n">
        <x:v>101</x:v>
      </x:c>
      <x:c r="J86" s="26" t="n">
        <x:v>56</x:v>
      </x:c>
      <x:c r="K86" s="65" t="n">
        <x:v>45234</x:v>
      </x:c>
      <x:c r="L86" s="32" t="n">
        <x:v>0.039603960396039604</x:v>
      </x:c>
      <x:c r="M86" s="26" t="n">
        <x:v>1</x:v>
      </x:c>
    </x:row>
    <x:row r="87">
      <x:c r="A87" s="20" t="str">
        <x:v>Compute</x:v>
      </x:c>
      <x:c r="B87" s="65" t="n">
        <x:v>45238</x:v>
      </x:c>
      <x:c r="C87" s="20" t="str">
        <x:v>Jais-30b (phase 1)																												 </x:v>
      </x:c>
      <x:c r="D87" s="20" t="str">
        <x:v>cerebras_systems_mohamed_bin_zayed_university_of_artificial_intelligence_mbzuai_inception_g42_g42</x:v>
      </x:c>
      <x:c r="E87" s="68" t="n">
        <x:v>30</x:v>
      </x:c>
      <x:c r="F87" s="68" t="n">
        <x:v>13.48443842824243</x:v>
      </x:c>
      <x:c r="G87" s="29" t="n">
        <x:f>MAX(F87/E87,E87/F87)</x:f>
        <x:v>2.224786753979062</x:v>
      </x:c>
      <x:c r="H87" s="29" t="n">
        <x:f>F87/E87</x:f>
        <x:v>0.4494812809414144</x:v>
      </x:c>
      <x:c r="I87" s="26" t="n">
        <x:v>101</x:v>
      </x:c>
      <x:c r="J87" s="26" t="n">
        <x:v>56</x:v>
      </x:c>
      <x:c r="K87" s="65" t="n">
        <x:v>45234</x:v>
      </x:c>
      <x:c r="L87" s="32" t="n">
        <x:v>0.7326732673267327</x:v>
      </x:c>
      <x:c r="M87" s="26" t="n">
        <x:v>1</x:v>
      </x:c>
    </x:row>
    <x:row r="88">
      <x:c r="A88" s="20" t="str">
        <x:v>Compute</x:v>
      </x:c>
      <x:c r="B88" s="65" t="n">
        <x:v>45245</x:v>
      </x:c>
      <x:c r="C88" s="20" t="str">
        <x:v>Nemotron-3-8B</x:v>
      </x:c>
      <x:c r="D88" s="20" t="str">
        <x:v>nvidia</x:v>
      </x:c>
      <x:c r="E88" s="68" t="n">
        <x:v>8</x:v>
      </x:c>
      <x:c r="F88" s="68" t="n">
        <x:v>18.565383402119267</x:v>
      </x:c>
      <x:c r="G88" s="29" t="n">
        <x:f>MAX(F88/E88,E88/F88)</x:f>
        <x:v>2.3206729252649083</x:v>
      </x:c>
      <x:c r="H88" s="29" t="n">
        <x:f>F88/E88</x:f>
        <x:v>2.3206729252649083</x:v>
      </x:c>
      <x:c r="I88" s="26" t="n">
        <x:v>103</x:v>
      </x:c>
      <x:c r="J88" s="26" t="n">
        <x:v>58</x:v>
      </x:c>
      <x:c r="K88" s="65" t="n">
        <x:v>45238</x:v>
      </x:c>
      <x:c r="L88" s="32" t="n">
        <x:v>0.8252427184466019</x:v>
      </x:c>
      <x:c r="M88" s="26" t="n">
        <x:v>1</x:v>
      </x:c>
    </x:row>
    <x:row r="89">
      <x:c r="A89" s="20" t="str">
        <x:v>Compute</x:v>
      </x:c>
      <x:c r="B89" s="65" t="n">
        <x:v>45252</x:v>
      </x:c>
      <x:c r="C89" s="20" t="str">
        <x:v>Yi-34B</x:v>
      </x:c>
      <x:c r="D89" s="20" t="str">
        <x:v>01_ai</x:v>
      </x:c>
      <x:c r="E89" s="68" t="n">
        <x:v>34</x:v>
      </x:c>
      <x:c r="F89" s="68" t="n">
        <x:v>33.654867308872106</x:v>
      </x:c>
      <x:c r="G89" s="29" t="n">
        <x:f>MAX(F89/E89,E89/F89)</x:f>
        <x:v>1.0102550602253277</x:v>
      </x:c>
      <x:c r="H89" s="29" t="n">
        <x:f>F89/E89</x:f>
        <x:v>0.9898490384962384</x:v>
      </x:c>
      <x:c r="I89" s="26" t="n">
        <x:v>103</x:v>
      </x:c>
      <x:c r="J89" s="26" t="n">
        <x:v>58</x:v>
      </x:c>
      <x:c r="K89" s="65" t="n">
        <x:v>45245</x:v>
      </x:c>
      <x:c r="L89" s="32" t="n">
        <x:v>0.9711538461538461</x:v>
      </x:c>
      <x:c r="M89" s="26" t="n">
        <x:v>1</x:v>
      </x:c>
    </x:row>
    <x:row r="90">
      <x:c r="A90" s="20" t="str">
        <x:v>Compute</x:v>
      </x:c>
      <x:c r="B90" s="65" t="n">
        <x:v>45257</x:v>
      </x:c>
      <x:c r="C90" s="20" t="str">
        <x:v>StripedHyena-Hessian-7B</x:v>
      </x:c>
      <x:c r="D90" s="20" t="str">
        <x:v>together_nous_research</x:v>
      </x:c>
      <x:c r="E90" s="68" t="n">
        <x:v>7</x:v>
      </x:c>
      <x:c r="F90" s="68" t="n">
        <x:v>0.4156251841503419</x:v>
      </x:c>
      <x:c r="G90" s="29" t="n">
        <x:f>MAX(F90/E90,E90/F90)</x:f>
        <x:v>16.842097800955024</x:v>
      </x:c>
      <x:c r="H90" s="29" t="n">
        <x:f>F90/E90</x:f>
        <x:v>0.0593750263071917</x:v>
      </x:c>
      <x:c r="I90" s="26" t="n">
        <x:v>105</x:v>
      </x:c>
      <x:c r="J90" s="26" t="n">
        <x:v>59</x:v>
      </x:c>
      <x:c r="K90" s="65" t="n">
        <x:v>45252</x:v>
      </x:c>
      <x:c r="L90" s="32" t="n">
        <x:v>0.06666666666666667</x:v>
      </x:c>
      <x:c r="M90" s="26" t="n">
        <x:v>1</x:v>
      </x:c>
    </x:row>
    <x:row r="91">
      <x:c r="A91" s="20" t="str">
        <x:v>Compute</x:v>
      </x:c>
      <x:c r="B91" s="65" t="n">
        <x:v>45257</x:v>
      </x:c>
      <x:c r="C91" s="20" t="str">
        <x:v>Yuan 2.0</x:v>
      </x:c>
      <x:c r="D91" s="20" t="str">
        <x:v>inspur</x:v>
      </x:c>
      <x:c r="E91" s="68" t="n">
        <x:v>102.6</x:v>
      </x:c>
      <x:c r="F91" s="68" t="n">
        <x:v>17.9762866647437</x:v>
      </x:c>
      <x:c r="G91" s="29" t="n">
        <x:f>MAX(F91/E91,E91/F91)</x:f>
        <x:v>5.707519128587664</x:v>
      </x:c>
      <x:c r="H91" s="29" t="n">
        <x:f>F91/E91</x:f>
        <x:v>0.17520747236592302</x:v>
      </x:c>
      <x:c r="I91" s="26" t="n">
        <x:v>105</x:v>
      </x:c>
      <x:c r="J91" s="26" t="n">
        <x:v>59</x:v>
      </x:c>
      <x:c r="K91" s="65" t="n">
        <x:v>45252</x:v>
      </x:c>
      <x:c r="L91" s="32" t="n">
        <x:v>0.8095238095238095</x:v>
      </x:c>
      <x:c r="M91" s="26" t="n">
        <x:v>1</x:v>
      </x:c>
    </x:row>
    <x:row r="92">
      <x:c r="A92" s="20" t="str">
        <x:v>Compute</x:v>
      </x:c>
      <x:c r="B92" s="65" t="n">
        <x:v>45260</x:v>
      </x:c>
      <x:c r="C92" s="20" t="str">
        <x:v>Qwen-72B</x:v>
      </x:c>
      <x:c r="D92" s="20" t="str">
        <x:v>alibaba</x:v>
      </x:c>
      <x:c r="E92" s="68" t="n">
        <x:v>72</x:v>
      </x:c>
      <x:c r="F92" s="68" t="n">
        <x:v>51.58852012154539</x:v>
      </x:c>
      <x:c r="G92" s="29" t="n">
        <x:f>MAX(F92/E92,E92/F92)</x:f>
        <x:v>1.3956593410775118</x:v>
      </x:c>
      <x:c r="H92" s="29" t="n">
        <x:f>F92/E92</x:f>
        <x:v>0.7165072239103527</x:v>
      </x:c>
      <x:c r="I92" s="26" t="n">
        <x:v>105</x:v>
      </x:c>
      <x:c r="J92" s="26" t="n">
        <x:v>60</x:v>
      </x:c>
      <x:c r="K92" s="65" t="n">
        <x:v>45257</x:v>
      </x:c>
      <x:c r="L92" s="32" t="n">
        <x:v>0.9813084112149533</x:v>
      </x:c>
      <x:c r="M92" s="26" t="n">
        <x:v>1</x:v>
      </x:c>
    </x:row>
    <x:row r="93">
      <x:c r="A93" s="20" t="str">
        <x:v>Compute</x:v>
      </x:c>
      <x:c r="B93" s="65" t="n">
        <x:v>45261</x:v>
      </x:c>
      <x:c r="C93" s="20" t="str">
        <x:v>Mamba-2.8B</x:v>
      </x:c>
      <x:c r="D93" s="20" t="str">
        <x:v>carnegie_mellon_university_cmu_princeton_university</x:v>
      </x:c>
      <x:c r="E93" s="68" t="n">
        <x:v>2.8</x:v>
      </x:c>
      <x:c r="F93" s="68" t="n">
        <x:v>4.006971035252053</x:v>
      </x:c>
      <x:c r="G93" s="29" t="n">
        <x:f>MAX(F93/E93,E93/F93)</x:f>
        <x:v>1.4310610840185904</x:v>
      </x:c>
      <x:c r="H93" s="29" t="n">
        <x:f>F93/E93</x:f>
        <x:v>1.4310610840185904</x:v>
      </x:c>
      <x:c r="I93" s="26" t="n">
        <x:v>108</x:v>
      </x:c>
      <x:c r="J93" s="26" t="n">
        <x:v>61</x:v>
      </x:c>
      <x:c r="K93" s="65" t="n">
        <x:v>45260</x:v>
      </x:c>
      <x:c r="L93" s="32" t="n">
        <x:v>0.25925925925925924</x:v>
      </x:c>
      <x:c r="M93" s="26" t="n">
        <x:v>1</x:v>
      </x:c>
    </x:row>
    <x:row r="94">
      <x:c r="A94" s="20" t="str">
        <x:v>Compute</x:v>
      </x:c>
      <x:c r="B94" s="65" t="n">
        <x:v>45261</x:v>
      </x:c>
      <x:c r="C94" s="20" t="str">
        <x:v>SEA-LION V1 3B</x:v>
      </x:c>
      <x:c r="D94" s="20" t="str">
        <x:v>ai_singapore</x:v>
      </x:c>
      <x:c r="E94" s="68" t="n">
        <x:v>3</x:v>
      </x:c>
      <x:c r="F94" s="68" t="n">
        <x:v>7.667474460571423</x:v>
      </x:c>
      <x:c r="G94" s="29" t="n">
        <x:f>MAX(F94/E94,E94/F94)</x:f>
        <x:v>2.5558248201904745</x:v>
      </x:c>
      <x:c r="H94" s="29" t="n">
        <x:f>F94/E94</x:f>
        <x:v>2.5558248201904745</x:v>
      </x:c>
      <x:c r="I94" s="26" t="n">
        <x:v>108</x:v>
      </x:c>
      <x:c r="J94" s="26" t="n">
        <x:v>61</x:v>
      </x:c>
      <x:c r="K94" s="65" t="n">
        <x:v>45260</x:v>
      </x:c>
      <x:c r="L94" s="32" t="n">
        <x:v>0.42592592592592593</x:v>
      </x:c>
      <x:c r="M94" s="26" t="n">
        <x:v>1</x:v>
      </x:c>
    </x:row>
    <x:row r="95">
      <x:c r="A95" s="20" t="str">
        <x:v>Compute</x:v>
      </x:c>
      <x:c r="B95" s="65" t="n">
        <x:v>45261</x:v>
      </x:c>
      <x:c r="C95" s="20" t="str">
        <x:v>SEA-LION V1 7B</x:v>
      </x:c>
      <x:c r="D95" s="20" t="str">
        <x:v>ai_singapore</x:v>
      </x:c>
      <x:c r="E95" s="68" t="n">
        <x:v>7</x:v>
      </x:c>
      <x:c r="F95" s="68" t="n">
        <x:v>10.51839982980699</x:v>
      </x:c>
      <x:c r="G95" s="29" t="n">
        <x:f>MAX(F95/E95,E95/F95)</x:f>
        <x:v>1.5026285471152843</x:v>
      </x:c>
      <x:c r="H95" s="29" t="n">
        <x:f>F95/E95</x:f>
        <x:v>1.5026285471152843</x:v>
      </x:c>
      <x:c r="I95" s="26" t="n">
        <x:v>108</x:v>
      </x:c>
      <x:c r="J95" s="26" t="n">
        <x:v>61</x:v>
      </x:c>
      <x:c r="K95" s="65" t="n">
        <x:v>45260</x:v>
      </x:c>
      <x:c r="L95" s="32" t="n">
        <x:v>0.49074074074074076</x:v>
      </x:c>
      <x:c r="M95" s="26" t="n">
        <x:v>1</x:v>
      </x:c>
    </x:row>
    <x:row r="96">
      <x:c r="A96" s="20" t="str">
        <x:v>Compute</x:v>
      </x:c>
      <x:c r="B96" s="65" t="n">
        <x:v>45268</x:v>
      </x:c>
      <x:c r="C96" s="20" t="str">
        <x:v>XVERSE-65B-2</x:v>
      </x:c>
      <x:c r="D96" s="20" t="str">
        <x:v>xverse_technology_shenzhen_yuanxiang_technology</x:v>
      </x:c>
      <x:c r="E96" s="68" t="n">
        <x:v>65</x:v>
      </x:c>
      <x:c r="F96" s="68" t="n">
        <x:v>48.36714037924104</x:v>
      </x:c>
      <x:c r="G96" s="29" t="n">
        <x:f>MAX(F96/E96,E96/F96)</x:f>
        <x:v>1.343887595800427</x:v>
      </x:c>
      <x:c r="H96" s="29" t="n">
        <x:f>F96/E96</x:f>
        <x:v>0.7441098519883237</x:v>
      </x:c>
      <x:c r="I96" s="26" t="n">
        <x:v>111</x:v>
      </x:c>
      <x:c r="J96" s="26" t="n">
        <x:v>63</x:v>
      </x:c>
      <x:c r="K96" s="65" t="n">
        <x:v>45261</x:v>
      </x:c>
      <x:c r="L96" s="32" t="n">
        <x:v>0.972972972972973</x:v>
      </x:c>
      <x:c r="M96" s="26" t="n">
        <x:v>1</x:v>
      </x:c>
    </x:row>
    <x:row r="97">
      <x:c r="A97" s="20" t="str">
        <x:v>Compute</x:v>
      </x:c>
      <x:c r="B97" s="65" t="n">
        <x:v>45271</x:v>
      </x:c>
      <x:c r="C97" s="20" t="str">
        <x:v>Amber</x:v>
      </x:c>
      <x:c r="D97" s="20" t="str">
        <x:v>mohamed_bin_zayed_university_of_artificial_intelligence_mbzuai_petuum_university_of_southern_california_carnegie_mellon_university_cmu_university_of_illinois_urbana_champaign_uiuc_university_of_california_san_diego_llm360</x:v>
      </x:c>
      <x:c r="E97" s="68" t="n">
        <x:v>6.7</x:v>
      </x:c>
      <x:c r="F97" s="68" t="n">
        <x:v>10.7230214337643</x:v>
      </x:c>
      <x:c r="G97" s="29" t="n">
        <x:f>MAX(F97/E97,E97/F97)</x:f>
        <x:v>1.6004509602633283</x:v>
      </x:c>
      <x:c r="H97" s="29" t="n">
        <x:f>F97/E97</x:f>
        <x:v>1.6004509602633283</x:v>
      </x:c>
      <x:c r="I97" s="26" t="n">
        <x:v>112</x:v>
      </x:c>
      <x:c r="J97" s="26" t="n">
        <x:v>64</x:v>
      </x:c>
      <x:c r="K97" s="65" t="n">
        <x:v>45268</x:v>
      </x:c>
      <x:c r="L97" s="32" t="n">
        <x:v>0.5089285714285714</x:v>
      </x:c>
      <x:c r="M97" s="26" t="n">
        <x:v>1</x:v>
      </x:c>
    </x:row>
    <x:row r="98">
      <x:c r="A98" s="20" t="str">
        <x:v>Compute</x:v>
      </x:c>
      <x:c r="B98" s="65" t="n">
        <x:v>45271</x:v>
      </x:c>
      <x:c r="C98" s="20" t="str">
        <x:v>CRYSTALCODER</x:v>
      </x:c>
      <x:c r="D98" s="20" t="str">
        <x:v>mohamed_bin_zayed_university_of_artificial_intelligence_mbzuai_petuum_university_of_southern_california_carnegie_mellon_university_cmu_university_of_illinois_urbana_champaign_uiuc_university_of_california_san_diego_llm360</x:v>
      </x:c>
      <x:c r="E98" s="68" t="n">
        <x:v>6.7</x:v>
      </x:c>
      <x:c r="F98" s="68" t="n">
        <x:v>11.491943447136126</x:v>
      </x:c>
      <x:c r="G98" s="29" t="n">
        <x:f>MAX(F98/E98,E98/F98)</x:f>
        <x:v>1.7152154398710635</x:v>
      </x:c>
      <x:c r="H98" s="29" t="n">
        <x:f>F98/E98</x:f>
        <x:v>1.7152154398710635</x:v>
      </x:c>
      <x:c r="I98" s="26" t="n">
        <x:v>112</x:v>
      </x:c>
      <x:c r="J98" s="26" t="n">
        <x:v>64</x:v>
      </x:c>
      <x:c r="K98" s="65" t="n">
        <x:v>45268</x:v>
      </x:c>
      <x:c r="L98" s="32" t="n">
        <x:v>0.5535714285714286</x:v>
      </x:c>
      <x:c r="M98" s="26" t="n">
        <x:v>1</x:v>
      </x:c>
    </x:row>
    <x:row r="99">
      <x:c r="A99" s="20" t="str">
        <x:v>Compute</x:v>
      </x:c>
      <x:c r="B99" s="65" t="n">
        <x:v>45271</x:v>
      </x:c>
      <x:c r="C99" s="20" t="str">
        <x:v>Mixtral 8x7B</x:v>
      </x:c>
      <x:c r="D99" s="20" t="str">
        <x:v>mistral_ai</x:v>
      </x:c>
      <x:c r="E99" s="68" t="n">
        <x:v>46.7</x:v>
      </x:c>
      <x:c r="F99" s="68" t="n">
        <x:v>39.31316228839805</x:v>
      </x:c>
      <x:c r="G99" s="29" t="n">
        <x:f>MAX(F99/E99,E99/F99)</x:f>
        <x:v>1.1878973168684</x:v>
      </x:c>
      <x:c r="H99" s="29" t="n">
        <x:f>F99/E99</x:f>
        <x:v>0.8418236036059539</x:v>
      </x:c>
      <x:c r="I99" s="26" t="n">
        <x:v>112</x:v>
      </x:c>
      <x:c r="J99" s="26" t="n">
        <x:v>64</x:v>
      </x:c>
      <x:c r="K99" s="65" t="n">
        <x:v>45268</x:v>
      </x:c>
      <x:c r="L99" s="32" t="n">
        <x:v>0.9553571428571429</x:v>
      </x:c>
      <x:c r="M99" s="26" t="n">
        <x:v>1</x:v>
      </x:c>
    </x:row>
    <x:row r="100">
      <x:c r="A100" s="20" t="str">
        <x:v>Compute</x:v>
      </x:c>
      <x:c r="B100" s="65" t="n">
        <x:v>45272</x:v>
      </x:c>
      <x:c r="C100" s="20" t="str">
        <x:v>Phi-2</x:v>
      </x:c>
      <x:c r="D100" s="20" t="str">
        <x:v>microsoft</x:v>
      </x:c>
      <x:c r="E100" s="68" t="n">
        <x:v>2.7</x:v>
      </x:c>
      <x:c r="F100" s="68" t="n">
        <x:v>7.430852087771129</x:v>
      </x:c>
      <x:c r="G100" s="29" t="n">
        <x:f>MAX(F100/E100,E100/F100)</x:f>
        <x:v>2.7521674399152327</x:v>
      </x:c>
      <x:c r="H100" s="29" t="n">
        <x:f>F100/E100</x:f>
        <x:v>2.7521674399152327</x:v>
      </x:c>
      <x:c r="I100" s="26" t="n">
        <x:v>111</x:v>
      </x:c>
      <x:c r="J100" s="26" t="n">
        <x:v>65</x:v>
      </x:c>
      <x:c r="K100" s="65" t="n">
        <x:v>45271</x:v>
      </x:c>
      <x:c r="L100" s="32" t="n">
        <x:v>0.41739130434782606</x:v>
      </x:c>
      <x:c r="M100" s="26" t="n">
        <x:v>1</x:v>
      </x:c>
    </x:row>
    <x:row r="101">
      <x:c r="A101" s="20" t="str">
        <x:v>Compute</x:v>
      </x:c>
      <x:c r="B101" s="65" t="n">
        <x:v>45274</x:v>
      </x:c>
      <x:c r="C101" s="20" t="str">
        <x:v>Poro 34B</x:v>
      </x:c>
      <x:c r="D101" s="20" t="str">
        <x:v>high_performance_language_technologies_hplt_university_of_turku</x:v>
      </x:c>
      <x:c r="E101" s="68" t="n">
        <x:v>34.2</x:v>
      </x:c>
      <x:c r="F101" s="68" t="n">
        <x:v>20.8468998119701</x:v>
      </x:c>
      <x:c r="G101" s="29" t="n">
        <x:f>MAX(F101/E101,E101/F101)</x:f>
        <x:v>1.640531700563106</x:v>
      </x:c>
      <x:c r="H101" s="29" t="n">
        <x:f>F101/E101</x:f>
        <x:v>0.6095584740342134</x:v>
      </x:c>
      <x:c r="I101" s="26" t="n">
        <x:v>116</x:v>
      </x:c>
      <x:c r="J101" s="26" t="n">
        <x:v>66</x:v>
      </x:c>
      <x:c r="K101" s="65" t="n">
        <x:v>45272</x:v>
      </x:c>
      <x:c r="L101" s="32" t="n">
        <x:v>0.8275862068965517</x:v>
      </x:c>
      <x:c r="M101" s="26" t="n">
        <x:v>1</x:v>
      </x:c>
    </x:row>
    <x:row r="102">
      <x:c r="A102" s="20" t="str">
        <x:v>Compute</x:v>
      </x:c>
      <x:c r="B102" s="65" t="n">
        <x:v>45282</x:v>
      </x:c>
      <x:c r="C102" s="20" t="str">
        <x:v>YaYi 2.0</x:v>
      </x:c>
      <x:c r="D102" s="20" t="str">
        <x:v>yayi_wenge</x:v>
      </x:c>
      <x:c r="E102" s="68" t="n">
        <x:v>30</x:v>
      </x:c>
      <x:c r="F102" s="68" t="n">
        <x:v>31.444168226460008</x:v>
      </x:c>
      <x:c r="G102" s="29" t="n">
        <x:f>MAX(F102/E102,E102/F102)</x:f>
        <x:v>1.0481389408820003</x:v>
      </x:c>
      <x:c r="H102" s="29" t="n">
        <x:f>F102/E102</x:f>
        <x:v>1.0481389408820003</x:v>
      </x:c>
      <x:c r="I102" s="26" t="n">
        <x:v>117</x:v>
      </x:c>
      <x:c r="J102" s="26" t="n">
        <x:v>67</x:v>
      </x:c>
      <x:c r="K102" s="65" t="n">
        <x:v>45274</x:v>
      </x:c>
      <x:c r="L102" s="32" t="n">
        <x:v>0.9316239316239316</x:v>
      </x:c>
      <x:c r="M102" s="26" t="n">
        <x:v>1</x:v>
      </x:c>
    </x:row>
    <x:row r="103">
      <x:c r="A103" s="20" t="str">
        <x:v>Compute</x:v>
      </x:c>
      <x:c r="B103" s="65" t="n">
        <x:v>45296</x:v>
      </x:c>
      <x:c r="C103" s="20" t="str">
        <x:v>DeepSeek LLM 67B</x:v>
      </x:c>
      <x:c r="D103" s="20" t="str">
        <x:v>deepseek</x:v>
      </x:c>
      <x:c r="E103" s="68" t="n">
        <x:v>67</x:v>
      </x:c>
      <x:c r="F103" s="68" t="n">
        <x:v>39.84342450910279</x:v>
      </x:c>
      <x:c r="G103" s="29" t="n">
        <x:f>MAX(F103/E103,E103/F103)</x:f>
        <x:v>1.6815823646055552</x:v>
      </x:c>
      <x:c r="H103" s="29" t="n">
        <x:f>F103/E103</x:f>
        <x:v>0.5946779777478028</x:v>
      </x:c>
      <x:c r="I103" s="26" t="n">
        <x:v>118</x:v>
      </x:c>
      <x:c r="J103" s="26" t="n">
        <x:v>68</x:v>
      </x:c>
      <x:c r="K103" s="65" t="n">
        <x:v>45282</x:v>
      </x:c>
      <x:c r="L103" s="32" t="n">
        <x:v>0.9576271186440678</x:v>
      </x:c>
      <x:c r="M103" s="26" t="n">
        <x:v>1</x:v>
      </x:c>
    </x:row>
    <x:row r="104">
      <x:c r="A104" s="20" t="str">
        <x:v>Compute</x:v>
      </x:c>
      <x:c r="B104" s="65" t="n">
        <x:v>45296</x:v>
      </x:c>
      <x:c r="C104" s="20" t="str">
        <x:v>DeepSeek LLM 7B</x:v>
      </x:c>
      <x:c r="D104" s="20" t="str">
        <x:v>deepseek</x:v>
      </x:c>
      <x:c r="E104" s="68" t="n">
        <x:v>7</x:v>
      </x:c>
      <x:c r="F104" s="68" t="n">
        <x:v>13.758194445873404</x:v>
      </x:c>
      <x:c r="G104" s="29" t="n">
        <x:f>MAX(F104/E104,E104/F104)</x:f>
        <x:v>1.9654563494104862</x:v>
      </x:c>
      <x:c r="H104" s="29" t="n">
        <x:f>F104/E104</x:f>
        <x:v>1.9654563494104862</x:v>
      </x:c>
      <x:c r="I104" s="26" t="n">
        <x:v>118</x:v>
      </x:c>
      <x:c r="J104" s="26" t="n">
        <x:v>68</x:v>
      </x:c>
      <x:c r="K104" s="65" t="n">
        <x:v>45282</x:v>
      </x:c>
      <x:c r="L104" s="32" t="n">
        <x:v>0.652542372881356</x:v>
      </x:c>
      <x:c r="M104" s="26" t="n">
        <x:v>1</x:v>
      </x:c>
    </x:row>
    <x:row r="105">
      <x:c r="A105" s="20" t="str">
        <x:v>Compute</x:v>
      </x:c>
      <x:c r="B105" s="65" t="n">
        <x:v>45300</x:v>
      </x:c>
      <x:c r="C105" s="20" t="str">
        <x:v>Stable Code 3B</x:v>
      </x:c>
      <x:c r="D105" s="20" t="str">
        <x:v>stability_ai</x:v>
      </x:c>
      <x:c r="E105" s="68" t="n">
        <x:v>2.79643136</x:v>
      </x:c>
      <x:c r="F105" s="68" t="n">
        <x:v>7.253473136897951</x:v>
      </x:c>
      <x:c r="G105" s="29" t="n">
        <x:f>MAX(F105/E105,E105/F105)</x:f>
        <x:v>2.593831996254666</x:v>
      </x:c>
      <x:c r="H105" s="29" t="n">
        <x:f>F105/E105</x:f>
        <x:v>2.593831996254666</x:v>
      </x:c>
      <x:c r="I105" s="26" t="n">
        <x:v>117</x:v>
      </x:c>
      <x:c r="J105" s="26" t="n">
        <x:v>68</x:v>
      </x:c>
      <x:c r="K105" s="65" t="n">
        <x:v>45296</x:v>
      </x:c>
      <x:c r="L105" s="32" t="n">
        <x:v>0.375</x:v>
      </x:c>
      <x:c r="M105" s="26" t="n">
        <x:v>1</x:v>
      </x:c>
    </x:row>
    <x:row r="106">
      <x:c r="A106" s="20" t="str">
        <x:v>Compute</x:v>
      </x:c>
      <x:c r="B106" s="65" t="n">
        <x:v>45302</x:v>
      </x:c>
      <x:c r="C106" s="20" t="str">
        <x:v>DeepSeekMoE-16B</x:v>
      </x:c>
      <x:c r="D106" s="20" t="str">
        <x:v>deepseek</x:v>
      </x:c>
      <x:c r="E106" s="68" t="n">
        <x:v>16</x:v>
      </x:c>
      <x:c r="F106" s="68" t="n">
        <x:v>8.926149624985287</x:v>
      </x:c>
      <x:c r="G106" s="29" t="n">
        <x:f>MAX(F106/E106,E106/F106)</x:f>
        <x:v>1.792486197544148</x:v>
      </x:c>
      <x:c r="H106" s="29" t="n">
        <x:f>F106/E106</x:f>
        <x:v>0.5578843515615804</x:v>
      </x:c>
      <x:c r="I106" s="26" t="n">
        <x:v>119</x:v>
      </x:c>
      <x:c r="J106" s="26" t="n">
        <x:v>68</x:v>
      </x:c>
      <x:c r="K106" s="65" t="n">
        <x:v>45300</x:v>
      </x:c>
      <x:c r="L106" s="32" t="n">
        <x:v>0.4297520661157025</x:v>
      </x:c>
      <x:c r="M106" s="26" t="n">
        <x:v>1</x:v>
      </x:c>
    </x:row>
    <x:row r="107">
      <x:c r="A107" s="20" t="str">
        <x:v>Compute</x:v>
      </x:c>
      <x:c r="B107" s="65" t="n">
        <x:v>45303</x:v>
      </x:c>
      <x:c r="C107" s="20" t="str">
        <x:v>InternLM2-20B</x:v>
      </x:c>
      <x:c r="D107" s="20" t="str">
        <x:v>shanghai_ai_lab_sensetime_chinese_university_of_hong_kong_cuhk_fudan_university</x:v>
      </x:c>
      <x:c r="E107" s="68" t="n">
        <x:v>20</x:v>
      </x:c>
      <x:c r="F107" s="68" t="n">
        <x:v>25.50912043477984</x:v>
      </x:c>
      <x:c r="G107" s="29" t="n">
        <x:f>MAX(F107/E107,E107/F107)</x:f>
        <x:v>1.275456021738992</x:v>
      </x:c>
      <x:c r="H107" s="29" t="n">
        <x:f>F107/E107</x:f>
        <x:v>1.275456021738992</x:v>
      </x:c>
      <x:c r="I107" s="26" t="n">
        <x:v>122</x:v>
      </x:c>
      <x:c r="J107" s="26" t="n">
        <x:v>69</x:v>
      </x:c>
      <x:c r="K107" s="65" t="n">
        <x:v>45302</x:v>
      </x:c>
      <x:c r="L107" s="32" t="n">
        <x:v>0.8770491803278688</x:v>
      </x:c>
      <x:c r="M107" s="26" t="n">
        <x:v>1</x:v>
      </x:c>
    </x:row>
    <x:row r="108">
      <x:c r="A108" s="20" t="str">
        <x:v>Compute</x:v>
      </x:c>
      <x:c r="B108" s="65" t="n">
        <x:v>45306</x:v>
      </x:c>
      <x:c r="C108" s="20" t="str">
        <x:v>DeciCoder-6B</x:v>
      </x:c>
      <x:c r="D108" s="20" t="str">
        <x:v>deci_ai</x:v>
      </x:c>
      <x:c r="E108" s="68" t="n">
        <x:v>6</x:v>
      </x:c>
      <x:c r="F108" s="68" t="n">
        <x:v>4.434111222845606</x:v>
      </x:c>
      <x:c r="G108" s="29" t="n">
        <x:f>MAX(F108/E108,E108/F108)</x:f>
        <x:v>1.3531460305024734</x:v>
      </x:c>
      <x:c r="H108" s="29" t="n">
        <x:f>F108/E108</x:f>
        <x:v>0.7390185371409342</x:v>
      </x:c>
      <x:c r="I108" s="26" t="n">
        <x:v>121</x:v>
      </x:c>
      <x:c r="J108" s="26" t="n">
        <x:v>69</x:v>
      </x:c>
      <x:c r="K108" s="65" t="n">
        <x:v>45303</x:v>
      </x:c>
      <x:c r="L108" s="32" t="n">
        <x:v>0.2601626016260163</x:v>
      </x:c>
      <x:c r="M108" s="26" t="n">
        <x:v>1</x:v>
      </x:c>
    </x:row>
    <x:row r="109">
      <x:c r="A109" s="20" t="str">
        <x:v>Compute</x:v>
      </x:c>
      <x:c r="B109" s="65" t="n">
        <x:v>45309</x:v>
      </x:c>
      <x:c r="C109" s="20" t="str">
        <x:v>StableLM-2-1.6B</x:v>
      </x:c>
      <x:c r="D109" s="20" t="str">
        <x:v>stability_ai</x:v>
      </x:c>
      <x:c r="E109" s="68" t="n">
        <x:v>1.644417024</x:v>
      </x:c>
      <x:c r="F109" s="68" t="n">
        <x:v>6.96579896090797</x:v>
      </x:c>
      <x:c r="G109" s="29" t="n">
        <x:f>MAX(F109/E109,E109/F109)</x:f>
        <x:v>4.236029461653135</x:v>
      </x:c>
      <x:c r="H109" s="29" t="n">
        <x:f>F109/E109</x:f>
        <x:v>4.236029461653135</x:v>
      </x:c>
      <x:c r="I109" s="26" t="n">
        <x:v>120</x:v>
      </x:c>
      <x:c r="J109" s="26" t="n">
        <x:v>69</x:v>
      </x:c>
      <x:c r="K109" s="65" t="n">
        <x:v>45306</x:v>
      </x:c>
      <x:c r="L109" s="32" t="n">
        <x:v>0.3629032258064516</x:v>
      </x:c>
      <x:c r="M109" s="26" t="n">
        <x:v>1</x:v>
      </x:c>
    </x:row>
    <x:row r="110">
      <x:c r="A110" s="20" t="str">
        <x:v>Compute</x:v>
      </x:c>
      <x:c r="B110" s="65" t="n">
        <x:v>45321</x:v>
      </x:c>
      <x:c r="C110" s="20" t="str">
        <x:v>LLaVA-NeXT-34B (LLaVA-1.6)</x:v>
      </x:c>
      <x:c r="D110" s="20" t="str">
        <x:v>university_of_wisconsin_madison_bytedance_nanyang_technological_university_university_of_california_uc_berkeley</x:v>
      </x:c>
      <x:c r="E110" s="68" t="n">
        <x:v>34.75</x:v>
      </x:c>
      <x:c r="F110" s="68" t="n">
        <x:v>0.8888244508194242</x:v>
      </x:c>
      <x:c r="G110" s="29" t="n">
        <x:f>MAX(F110/E110,E110/F110)</x:f>
        <x:v>39.096584221961166</x:v>
      </x:c>
      <x:c r="H110" s="29" t="n">
        <x:f>F110/E110</x:f>
        <x:v>0.025577682037969042</x:v>
      </x:c>
      <x:c r="I110" s="26" t="n">
        <x:v>125</x:v>
      </x:c>
      <x:c r="J110" s="26" t="n">
        <x:v>70</x:v>
      </x:c>
      <x:c r="K110" s="65" t="n">
        <x:v>45309</x:v>
      </x:c>
      <x:c r="L110" s="32" t="n">
        <x:v>0.096</x:v>
      </x:c>
      <x:c r="M110" s="26" t="n">
        <x:v>1</x:v>
      </x:c>
    </x:row>
    <x:row r="111">
      <x:c r="A111" s="20" t="str">
        <x:v>Compute</x:v>
      </x:c>
      <x:c r="B111" s="65" t="n">
        <x:v>45323</x:v>
      </x:c>
      <x:c r="C111" s="20" t="str">
        <x:v>OLMo-1B</x:v>
      </x:c>
      <x:c r="D111" s="20" t="str">
        <x:v>allen_institute_for_ai_university_of_washington</x:v>
      </x:c>
      <x:c r="E111" s="68" t="n">
        <x:v>1</x:v>
      </x:c>
      <x:c r="F111" s="68" t="n">
        <x:v>6.361243455629248</x:v>
      </x:c>
      <x:c r="G111" s="29" t="n">
        <x:f>MAX(F111/E111,E111/F111)</x:f>
        <x:v>6.361243455629248</x:v>
      </x:c>
      <x:c r="H111" s="29" t="n">
        <x:f>F111/E111</x:f>
        <x:v>6.361243455629248</x:v>
      </x:c>
      <x:c r="I111" s="26" t="n">
        <x:v>125</x:v>
      </x:c>
      <x:c r="J111" s="26" t="n">
        <x:v>70</x:v>
      </x:c>
      <x:c r="K111" s="65" t="n">
        <x:v>45321</x:v>
      </x:c>
      <x:c r="L111" s="32" t="n">
        <x:v>0.30158730158730157</x:v>
      </x:c>
      <x:c r="M111" s="26" t="n">
        <x:v>1</x:v>
      </x:c>
    </x:row>
    <x:row r="112">
      <x:c r="A112" s="20" t="str">
        <x:v>Compute</x:v>
      </x:c>
      <x:c r="B112" s="65" t="n">
        <x:v>45323</x:v>
      </x:c>
      <x:c r="C112" s="20" t="str">
        <x:v>OLMo-7B</x:v>
      </x:c>
      <x:c r="D112" s="20" t="str">
        <x:v>allen_institute_for_ai_university_of_washington</x:v>
      </x:c>
      <x:c r="E112" s="68" t="n">
        <x:v>7</x:v>
      </x:c>
      <x:c r="F112" s="68" t="n">
        <x:v>16.291375676593546</x:v>
      </x:c>
      <x:c r="G112" s="29" t="n">
        <x:f>MAX(F112/E112,E112/F112)</x:f>
        <x:v>2.3273393823705066</x:v>
      </x:c>
      <x:c r="H112" s="29" t="n">
        <x:f>F112/E112</x:f>
        <x:v>2.3273393823705066</x:v>
      </x:c>
      <x:c r="I112" s="26" t="n">
        <x:v>125</x:v>
      </x:c>
      <x:c r="J112" s="26" t="n">
        <x:v>70</x:v>
      </x:c>
      <x:c r="K112" s="65" t="n">
        <x:v>45321</x:v>
      </x:c>
      <x:c r="L112" s="32" t="n">
        <x:v>0.6984126984126984</x:v>
      </x:c>
      <x:c r="M112" s="26" t="n">
        <x:v>1</x:v>
      </x:c>
    </x:row>
    <x:row r="113">
      <x:c r="A113" s="20" t="str">
        <x:v>Compute</x:v>
      </x:c>
      <x:c r="B113" s="65" t="n">
        <x:v>45326</x:v>
      </x:c>
      <x:c r="C113" s="20" t="str">
        <x:v>Qwen1.5-14B</x:v>
      </x:c>
      <x:c r="D113" s="20" t="str">
        <x:v>alibaba</x:v>
      </x:c>
      <x:c r="E113" s="68" t="n">
        <x:v>14</x:v>
      </x:c>
      <x:c r="F113" s="68" t="n">
        <x:v>26.75773094830438</x:v>
      </x:c>
      <x:c r="G113" s="29" t="n">
        <x:f>MAX(F113/E113,E113/F113)</x:f>
        <x:v>1.9112664963074557</x:v>
      </x:c>
      <x:c r="H113" s="29" t="n">
        <x:f>F113/E113</x:f>
        <x:v>1.9112664963074557</x:v>
      </x:c>
      <x:c r="I113" s="26" t="n">
        <x:v>125</x:v>
      </x:c>
      <x:c r="J113" s="26" t="n">
        <x:v>70</x:v>
      </x:c>
      <x:c r="K113" s="65" t="n">
        <x:v>45323</x:v>
      </x:c>
      <x:c r="L113" s="32" t="n">
        <x:v>0.890625</x:v>
      </x:c>
      <x:c r="M113" s="26" t="n">
        <x:v>1</x:v>
      </x:c>
    </x:row>
    <x:row r="114">
      <x:c r="A114" s="20" t="str">
        <x:v>Compute</x:v>
      </x:c>
      <x:c r="B114" s="65" t="n">
        <x:v>45326</x:v>
      </x:c>
      <x:c r="C114" s="20" t="str">
        <x:v>Qwen1.5-72B</x:v>
      </x:c>
      <x:c r="D114" s="20" t="str">
        <x:v>alibaba</x:v>
      </x:c>
      <x:c r="E114" s="68" t="n">
        <x:v>72</x:v>
      </x:c>
      <x:c r="F114" s="68" t="n">
        <x:v>48.42420344318534</x:v>
      </x:c>
      <x:c r="G114" s="29" t="n">
        <x:f>MAX(F114/E114,E114/F114)</x:f>
        <x:v>1.4868597701245707</x:v>
      </x:c>
      <x:c r="H114" s="29" t="n">
        <x:f>F114/E114</x:f>
        <x:v>0.6725583811553519</x:v>
      </x:c>
      <x:c r="I114" s="26" t="n">
        <x:v>125</x:v>
      </x:c>
      <x:c r="J114" s="26" t="n">
        <x:v>70</x:v>
      </x:c>
      <x:c r="K114" s="65" t="n">
        <x:v>45323</x:v>
      </x:c>
      <x:c r="L114" s="32" t="n">
        <x:v>0.984375</x:v>
      </x:c>
      <x:c r="M114" s="26" t="n">
        <x:v>1</x:v>
      </x:c>
    </x:row>
    <x:row r="115">
      <x:c r="A115" s="20" t="str">
        <x:v>Compute</x:v>
      </x:c>
      <x:c r="B115" s="65" t="n">
        <x:v>45326</x:v>
      </x:c>
      <x:c r="C115" s="20" t="str">
        <x:v>Qwen1.5-7B</x:v>
      </x:c>
      <x:c r="D115" s="20" t="str">
        <x:v>alibaba</x:v>
      </x:c>
      <x:c r="E115" s="68" t="n">
        <x:v>7</x:v>
      </x:c>
      <x:c r="F115" s="68" t="n">
        <x:v>19.745759860226553</x:v>
      </x:c>
      <x:c r="G115" s="29" t="n">
        <x:f>MAX(F115/E115,E115/F115)</x:f>
        <x:v>2.8208228371752218</x:v>
      </x:c>
      <x:c r="H115" s="29" t="n">
        <x:f>F115/E115</x:f>
        <x:v>2.8208228371752218</x:v>
      </x:c>
      <x:c r="I115" s="26" t="n">
        <x:v>125</x:v>
      </x:c>
      <x:c r="J115" s="26" t="n">
        <x:v>70</x:v>
      </x:c>
      <x:c r="K115" s="65" t="n">
        <x:v>45323</x:v>
      </x:c>
      <x:c r="L115" s="32" t="n">
        <x:v>0.78125</x:v>
      </x:c>
      <x:c r="M115" s="26" t="n">
        <x:v>1</x:v>
      </x:c>
    </x:row>
    <x:row r="116">
      <x:c r="A116" s="20" t="str">
        <x:v>Compute</x:v>
      </x:c>
      <x:c r="B116" s="65" t="n">
        <x:v>45342</x:v>
      </x:c>
      <x:c r="C116" s="20" t="str">
        <x:v>StarCoder 2 15B</x:v>
      </x:c>
      <x:c r="D116" s="20" t="str">
        <x:v>hugging_face_servicenow_nvidia_bigcode</x:v>
      </x:c>
      <x:c r="E116" s="68" t="n">
        <x:v>15</x:v>
      </x:c>
      <x:c r="F116" s="68" t="n">
        <x:v>28.026696598413697</x:v>
      </x:c>
      <x:c r="G116" s="29" t="n">
        <x:f>MAX(F116/E116,E116/F116)</x:f>
        <x:v>1.8684464398942464</x:v>
      </x:c>
      <x:c r="H116" s="29" t="n">
        <x:f>F116/E116</x:f>
        <x:v>1.8684464398942464</x:v>
      </x:c>
      <x:c r="I116" s="26" t="n">
        <x:v>131</x:v>
      </x:c>
      <x:c r="J116" s="26" t="n">
        <x:v>71</x:v>
      </x:c>
      <x:c r="K116" s="65" t="n">
        <x:v>45326</x:v>
      </x:c>
      <x:c r="L116" s="32" t="n">
        <x:v>0.9007633587786259</x:v>
      </x:c>
      <x:c r="M116" s="26" t="n">
        <x:v>1</x:v>
      </x:c>
    </x:row>
    <x:row r="117">
      <x:c r="A117" s="20" t="str">
        <x:v>Compute</x:v>
      </x:c>
      <x:c r="B117" s="65" t="n">
        <x:v>45342</x:v>
      </x:c>
      <x:c r="C117" s="20" t="str">
        <x:v>StarCoder 2 7B</x:v>
      </x:c>
      <x:c r="D117" s="20" t="str">
        <x:v>hugging_face_servicenow_nvidia_bigcode</x:v>
      </x:c>
      <x:c r="E117" s="68" t="n">
        <x:v>7</x:v>
      </x:c>
      <x:c r="F117" s="68" t="n">
        <x:v>18.77604010865061</x:v>
      </x:c>
      <x:c r="G117" s="29" t="n">
        <x:f>MAX(F117/E117,E117/F117)</x:f>
        <x:v>2.682291444092944</x:v>
      </x:c>
      <x:c r="H117" s="29" t="n">
        <x:f>F117/E117</x:f>
        <x:v>2.682291444092944</x:v>
      </x:c>
      <x:c r="I117" s="26" t="n">
        <x:v>131</x:v>
      </x:c>
      <x:c r="J117" s="26" t="n">
        <x:v>71</x:v>
      </x:c>
      <x:c r="K117" s="65" t="n">
        <x:v>45326</x:v>
      </x:c>
      <x:c r="L117" s="32" t="n">
        <x:v>0.7480916030534351</x:v>
      </x:c>
      <x:c r="M117" s="26" t="n">
        <x:v>1</x:v>
      </x:c>
    </x:row>
    <x:row r="118">
      <x:c r="A118" s="20" t="str">
        <x:v>Compute</x:v>
      </x:c>
      <x:c r="B118" s="65" t="n">
        <x:v>45343</x:v>
      </x:c>
      <x:c r="C118" s="20" t="str">
        <x:v>Gemma 2B</x:v>
      </x:c>
      <x:c r="D118" s="20" t="str">
        <x:v>google_deepmind</x:v>
      </x:c>
      <x:c r="E118" s="68" t="n">
        <x:v>2.50643456</x:v>
      </x:c>
      <x:c r="F118" s="68" t="n">
        <x:v>10.625590736715301</x:v>
      </x:c>
      <x:c r="G118" s="29" t="n">
        <x:f>MAX(F118/E118,E118/F118)</x:f>
        <x:v>4.239325018210449</x:v>
      </x:c>
      <x:c r="H118" s="29" t="n">
        <x:f>F118/E118</x:f>
        <x:v>4.239325018210449</x:v>
      </x:c>
      <x:c r="I118" s="26" t="n">
        <x:v>133</x:v>
      </x:c>
      <x:c r="J118" s="26" t="n">
        <x:v>72</x:v>
      </x:c>
      <x:c r="K118" s="65" t="n">
        <x:v>45342</x:v>
      </x:c>
      <x:c r="L118" s="32" t="n">
        <x:v>0.48120300751879697</x:v>
      </x:c>
      <x:c r="M118" s="26" t="n">
        <x:v>1</x:v>
      </x:c>
    </x:row>
    <x:row r="119">
      <x:c r="A119" s="20" t="str">
        <x:v>Compute</x:v>
      </x:c>
      <x:c r="B119" s="65" t="n">
        <x:v>45343</x:v>
      </x:c>
      <x:c r="C119" s="20" t="str">
        <x:v>Gemma 7B</x:v>
      </x:c>
      <x:c r="D119" s="20" t="str">
        <x:v>google_deepmind</x:v>
      </x:c>
      <x:c r="E119" s="68" t="n">
        <x:v>8.538074112</x:v>
      </x:c>
      <x:c r="F119" s="68" t="n">
        <x:v>24.502341653616973</x:v>
      </x:c>
      <x:c r="G119" s="29" t="n">
        <x:f>MAX(F119/E119,E119/F119)</x:f>
        <x:v>2.8697738309836978</x:v>
      </x:c>
      <x:c r="H119" s="29" t="n">
        <x:f>F119/E119</x:f>
        <x:v>2.8697738309836978</x:v>
      </x:c>
      <x:c r="I119" s="26" t="n">
        <x:v>133</x:v>
      </x:c>
      <x:c r="J119" s="26" t="n">
        <x:v>72</x:v>
      </x:c>
      <x:c r="K119" s="65" t="n">
        <x:v>45342</x:v>
      </x:c>
      <x:c r="L119" s="32" t="n">
        <x:v>0.849624060150376</x:v>
      </x:c>
      <x:c r="M119" s="26" t="n">
        <x:v>1</x:v>
      </x:c>
    </x:row>
    <x:row r="120">
      <x:c r="A120" s="20" t="str">
        <x:v>Compute</x:v>
      </x:c>
      <x:c r="B120" s="65" t="n">
        <x:v>45344</x:v>
      </x:c>
      <x:c r="C120" s="20" t="str">
        <x:v>StarCoder 2 3B</x:v>
      </x:c>
      <x:c r="D120" s="20" t="str">
        <x:v>hugging_face_servicenow_nvidia_bigcode</x:v>
      </x:c>
      <x:c r="E120" s="68" t="n">
        <x:v>3</x:v>
      </x:c>
      <x:c r="F120" s="68" t="n">
        <x:v>11.770675441891733</x:v>
      </x:c>
      <x:c r="G120" s="29" t="n">
        <x:f>MAX(F120/E120,E120/F120)</x:f>
        <x:v>3.9235584806305774</x:v>
      </x:c>
      <x:c r="H120" s="29" t="n">
        <x:f>F120/E120</x:f>
        <x:v>3.9235584806305774</x:v>
      </x:c>
      <x:c r="I120" s="26" t="n">
        <x:v>133</x:v>
      </x:c>
      <x:c r="J120" s="26" t="n">
        <x:v>72</x:v>
      </x:c>
      <x:c r="K120" s="65" t="n">
        <x:v>45343</x:v>
      </x:c>
      <x:c r="L120" s="32" t="n">
        <x:v>0.5481481481481482</x:v>
      </x:c>
      <x:c r="M120" s="26" t="n">
        <x:v>1</x:v>
      </x:c>
    </x:row>
    <x:row r="121">
      <x:c r="A121" s="20" t="str">
        <x:v>Compute</x:v>
      </x:c>
      <x:c r="B121" s="65" t="n">
        <x:v>45346</x:v>
      </x:c>
      <x:c r="C121" s="20" t="str">
        <x:v>Gemma 1.1 7B Instruct</x:v>
      </x:c>
      <x:c r="D121" s="20" t="str">
        <x:v>google</x:v>
      </x:c>
      <x:c r="E121" s="68" t="n">
        <x:v>8.54</x:v>
      </x:c>
      <x:c r="F121" s="68" t="n">
        <x:v>23.23693583424923</x:v>
      </x:c>
      <x:c r="G121" s="29" t="n">
        <x:f>MAX(F121/E121,E121/F121)</x:f>
        <x:v>2.720952673799676</x:v>
      </x:c>
      <x:c r="H121" s="29" t="n">
        <x:f>F121/E121</x:f>
        <x:v>2.720952673799676</x:v>
      </x:c>
      <x:c r="I121" s="26" t="n">
        <x:v>136</x:v>
      </x:c>
      <x:c r="J121" s="26" t="n">
        <x:v>73</x:v>
      </x:c>
      <x:c r="K121" s="65" t="n">
        <x:v>45344</x:v>
      </x:c>
      <x:c r="L121" s="32" t="n">
        <x:v>0.8529411764705882</x:v>
      </x:c>
      <x:c r="M121" s="26" t="n">
        <x:v>1</x:v>
      </x:c>
    </x:row>
    <x:row r="122">
      <x:c r="A122" s="20" t="str">
        <x:v>Compute</x:v>
      </x:c>
      <x:c r="B122" s="65" t="n">
        <x:v>45378</x:v>
      </x:c>
      <x:c r="C122" s="20" t="str">
        <x:v>DBRX</x:v>
      </x:c>
      <x:c r="D122" s="20" t="str">
        <x:v>databricks</x:v>
      </x:c>
      <x:c r="E122" s="68" t="n">
        <x:v>132</x:v>
      </x:c>
      <x:c r="F122" s="68" t="n">
        <x:v>55.26241303682037</x:v>
      </x:c>
      <x:c r="G122" s="29" t="n">
        <x:f>MAX(F122/E122,E122/F122)</x:f>
        <x:v>2.388603623081944</x:v>
      </x:c>
      <x:c r="H122" s="29" t="n">
        <x:f>F122/E122</x:f>
        <x:v>0.41865464421833615</x:v>
      </x:c>
      <x:c r="I122" s="26" t="n">
        <x:v>137</x:v>
      </x:c>
      <x:c r="J122" s="26" t="n">
        <x:v>74</x:v>
      </x:c>
      <x:c r="K122" s="65" t="n">
        <x:v>45346</x:v>
      </x:c>
      <x:c r="L122" s="32" t="n">
        <x:v>0.9854014598540146</x:v>
      </x:c>
      <x:c r="M122" s="26" t="n">
        <x:v>1</x:v>
      </x:c>
    </x:row>
    <x:row r="123">
      <x:c r="A123" s="20" t="str">
        <x:v>Compute</x:v>
      </x:c>
      <x:c r="B123" s="65" t="n">
        <x:v>45383</x:v>
      </x:c>
      <x:c r="C123" s="20" t="str">
        <x:v>TeleChat-12B</x:v>
      </x:c>
      <x:c r="D123" s="20" t="str">
        <x:v>china_telecom</x:v>
      </x:c>
      <x:c r="E123" s="68" t="n">
        <x:v>12</x:v>
      </x:c>
      <x:c r="F123" s="68" t="n">
        <x:v>13.129925899148919</x:v>
      </x:c>
      <x:c r="G123" s="29" t="n">
        <x:f>MAX(F123/E123,E123/F123)</x:f>
        <x:v>1.0941604915957432</x:v>
      </x:c>
      <x:c r="H123" s="29" t="n">
        <x:f>F123/E123</x:f>
        <x:v>1.0941604915957432</x:v>
      </x:c>
      <x:c r="I123" s="26" t="n">
        <x:v>138</x:v>
      </x:c>
      <x:c r="J123" s="26" t="n">
        <x:v>75</x:v>
      </x:c>
      <x:c r="K123" s="65" t="n">
        <x:v>45378</x:v>
      </x:c>
      <x:c r="L123" s="32" t="n">
        <x:v>0.6304347826086957</x:v>
      </x:c>
      <x:c r="M123" s="26" t="n">
        <x:v>1</x:v>
      </x:c>
    </x:row>
    <x:row r="124">
      <x:c r="A124" s="20" t="str">
        <x:v>Compute</x:v>
      </x:c>
      <x:c r="B124" s="65" t="n">
        <x:v>45383</x:v>
      </x:c>
      <x:c r="C124" s="20" t="str">
        <x:v>TeleChat-7B</x:v>
      </x:c>
      <x:c r="D124" s="20" t="str">
        <x:v>china_telecom</x:v>
      </x:c>
      <x:c r="E124" s="68" t="n">
        <x:v>7</x:v>
      </x:c>
      <x:c r="F124" s="68" t="n">
        <x:v>9.579409262549493</x:v>
      </x:c>
      <x:c r="G124" s="29" t="n">
        <x:f>MAX(F124/E124,E124/F124)</x:f>
        <x:v>1.3684870375070706</x:v>
      </x:c>
      <x:c r="H124" s="29" t="n">
        <x:f>F124/E124</x:f>
        <x:v>1.3684870375070706</x:v>
      </x:c>
      <x:c r="I124" s="26" t="n">
        <x:v>138</x:v>
      </x:c>
      <x:c r="J124" s="26" t="n">
        <x:v>75</x:v>
      </x:c>
      <x:c r="K124" s="65" t="n">
        <x:v>45378</x:v>
      </x:c>
      <x:c r="L124" s="32" t="n">
        <x:v>0.4492753623188406</x:v>
      </x:c>
      <x:c r="M124" s="26" t="n">
        <x:v>1</x:v>
      </x:c>
    </x:row>
    <x:row r="125">
      <x:c r="A125" s="20" t="str">
        <x:v>Compute</x:v>
      </x:c>
      <x:c r="B125" s="65" t="n">
        <x:v>45386</x:v>
      </x:c>
      <x:c r="C125" s="20" t="str">
        <x:v>Viking</x:v>
      </x:c>
      <x:c r="D125" s="20" t="str">
        <x:v>silo_ai_university_of_turku</x:v>
      </x:c>
      <x:c r="E125" s="68" t="n">
        <x:v>33</x:v>
      </x:c>
      <x:c r="F125" s="68" t="n">
        <x:v>20.97046565616225</x:v>
      </x:c>
      <x:c r="G125" s="29" t="n">
        <x:f>MAX(F125/E125,E125/F125)</x:f>
        <x:v>1.5736417369588942</x:v>
      </x:c>
      <x:c r="H125" s="29" t="n">
        <x:f>F125/E125</x:f>
        <x:v>0.635468656247341</x:v>
      </x:c>
      <x:c r="I125" s="26" t="n">
        <x:v>140</x:v>
      </x:c>
      <x:c r="J125" s="26" t="n">
        <x:v>76</x:v>
      </x:c>
      <x:c r="K125" s="65" t="n">
        <x:v>45383</x:v>
      </x:c>
      <x:c r="L125" s="32" t="n">
        <x:v>0.8285714285714286</x:v>
      </x:c>
      <x:c r="M125" s="26" t="n">
        <x:v>1</x:v>
      </x:c>
    </x:row>
    <x:row r="126">
      <x:c r="A126" s="20" t="str">
        <x:v>Compute</x:v>
      </x:c>
      <x:c r="B126" s="65" t="n">
        <x:v>45390</x:v>
      </x:c>
      <x:c r="C126" s="20" t="str">
        <x:v>Stable LM 2 12B</x:v>
      </x:c>
      <x:c r="D126" s="20" t="str">
        <x:v>stability_ai</x:v>
      </x:c>
      <x:c r="E126" s="68" t="n">
        <x:v>12.14360576</x:v>
      </x:c>
      <x:c r="F126" s="68" t="n">
        <x:v>23.006317350264066</x:v>
      </x:c>
      <x:c r="G126" s="29" t="n">
        <x:f>MAX(F126/E126,E126/F126)</x:f>
        <x:v>1.8945211006474625</x:v>
      </x:c>
      <x:c r="H126" s="29" t="n">
        <x:f>F126/E126</x:f>
        <x:v>1.8945211006474625</x:v>
      </x:c>
      <x:c r="I126" s="26" t="n">
        <x:v>136</x:v>
      </x:c>
      <x:c r="J126" s="26" t="n">
        <x:v>76</x:v>
      </x:c>
      <x:c r="K126" s="65" t="n">
        <x:v>45386</x:v>
      </x:c>
      <x:c r="L126" s="32" t="n">
        <x:v>0.8368794326241135</x:v>
      </x:c>
      <x:c r="M126" s="26" t="n">
        <x:v>1</x:v>
      </x:c>
    </x:row>
    <x:row r="127">
      <x:c r="A127" s="20" t="str">
        <x:v>Compute</x:v>
      </x:c>
      <x:c r="B127" s="65" t="n">
        <x:v>45399</x:v>
      </x:c>
      <x:c r="C127" s="20" t="str">
        <x:v>Mixtral 8x22B</x:v>
      </x:c>
      <x:c r="D127" s="20" t="str">
        <x:v>mistral_ai</x:v>
      </x:c>
      <x:c r="E127" s="68" t="n">
        <x:v>141</x:v>
      </x:c>
      <x:c r="F127" s="68" t="n">
        <x:v>55.17196911593363</x:v>
      </x:c>
      <x:c r="G127" s="29" t="n">
        <x:f>MAX(F127/E127,E127/F127)</x:f>
        <x:v>2.555645597925184</x:v>
      </x:c>
      <x:c r="H127" s="29" t="n">
        <x:f>F127/E127</x:f>
        <x:v>0.39129056110591226</x:v>
      </x:c>
      <x:c r="I127" s="26" t="n">
        <x:v>141</x:v>
      </x:c>
      <x:c r="J127" s="26" t="n">
        <x:v>76</x:v>
      </x:c>
      <x:c r="K127" s="65" t="n">
        <x:v>45390</x:v>
      </x:c>
      <x:c r="L127" s="32" t="n">
        <x:v>0.9788732394366197</x:v>
      </x:c>
      <x:c r="M127" s="26" t="n">
        <x:v>1</x:v>
      </x:c>
    </x:row>
    <x:row r="128">
      <x:c r="A128" s="20" t="str">
        <x:v>Compute</x:v>
      </x:c>
      <x:c r="B128" s="65" t="n">
        <x:v>45400</x:v>
      </x:c>
      <x:c r="C128" s="20" t="str">
        <x:v>FRED-T5-XL</x:v>
      </x:c>
      <x:c r="D128" s="20" t="str">
        <x:v>sber</x:v>
      </x:c>
      <x:c r="E128" s="68" t="n">
        <x:v>1.74</x:v>
      </x:c>
      <x:c r="F128" s="68" t="n">
        <x:v>7.777241278666214</x:v>
      </x:c>
      <x:c r="G128" s="29" t="n">
        <x:f>MAX(F128/E128,E128/F128)</x:f>
        <x:v>4.46967889578518</x:v>
      </x:c>
      <x:c r="H128" s="29" t="n">
        <x:f>F128/E128</x:f>
        <x:v>4.46967889578518</x:v>
      </x:c>
      <x:c r="I128" s="26" t="n">
        <x:v>142</x:v>
      </x:c>
      <x:c r="J128" s="26" t="n">
        <x:v>76</x:v>
      </x:c>
      <x:c r="K128" s="65" t="n">
        <x:v>45399</x:v>
      </x:c>
      <x:c r="L128" s="32" t="n">
        <x:v>0.38461538461538464</x:v>
      </x:c>
      <x:c r="M128" s="26" t="n">
        <x:v>1</x:v>
      </x:c>
    </x:row>
    <x:row r="129">
      <x:c r="A129" s="20" t="str">
        <x:v>Compute</x:v>
      </x:c>
      <x:c r="B129" s="65" t="n">
        <x:v>45400</x:v>
      </x:c>
      <x:c r="C129" s="20" t="str">
        <x:v>Llama 3-70B</x:v>
      </x:c>
      <x:c r="D129" s="20" t="str">
        <x:v>meta_ai</x:v>
      </x:c>
      <x:c r="E129" s="68" t="n">
        <x:v>70</x:v>
      </x:c>
      <x:c r="F129" s="68" t="n">
        <x:v>97.05656207855847</x:v>
      </x:c>
      <x:c r="G129" s="29" t="n">
        <x:f>MAX(F129/E129,E129/F129)</x:f>
        <x:v>1.3865223154079782</x:v>
      </x:c>
      <x:c r="H129" s="29" t="n">
        <x:f>F129/E129</x:f>
        <x:v>1.3865223154079782</x:v>
      </x:c>
      <x:c r="I129" s="26" t="n">
        <x:v>130</x:v>
      </x:c>
      <x:c r="J129" s="26" t="n">
        <x:v>76</x:v>
      </x:c>
      <x:c r="K129" s="65" t="n">
        <x:v>45399</x:v>
      </x:c>
      <x:c r="L129" s="32" t="n">
        <x:v>1</x:v>
      </x:c>
      <x:c r="M129" s="26" t="n">
        <x:v>1</x:v>
      </x:c>
    </x:row>
    <x:row r="130">
      <x:c r="A130" s="20" t="str">
        <x:v>Compute</x:v>
      </x:c>
      <x:c r="B130" s="65" t="n">
        <x:v>45400</x:v>
      </x:c>
      <x:c r="C130" s="20" t="str">
        <x:v>Llama 3-8B</x:v>
      </x:c>
      <x:c r="D130" s="20" t="str">
        <x:v>meta_ai</x:v>
      </x:c>
      <x:c r="E130" s="68" t="n">
        <x:v>8</x:v>
      </x:c>
      <x:c r="F130" s="68" t="n">
        <x:v>34.15710907132307</x:v>
      </x:c>
      <x:c r="G130" s="29" t="n">
        <x:f>MAX(F130/E130,E130/F130)</x:f>
        <x:v>4.269638633915384</x:v>
      </x:c>
      <x:c r="H130" s="29" t="n">
        <x:f>F130/E130</x:f>
        <x:v>4.269638633915384</x:v>
      </x:c>
      <x:c r="I130" s="26" t="n">
        <x:v>130</x:v>
      </x:c>
      <x:c r="J130" s="26" t="n">
        <x:v>76</x:v>
      </x:c>
      <x:c r="K130" s="65" t="n">
        <x:v>45399</x:v>
      </x:c>
      <x:c r="L130" s="32" t="n">
        <x:v>0.9300699300699301</x:v>
      </x:c>
      <x:c r="M130" s="26" t="n">
        <x:v>1</x:v>
      </x:c>
    </x:row>
    <x:row r="131">
      <x:c r="A131" s="20" t="str">
        <x:v>Compute</x:v>
      </x:c>
      <x:c r="B131" s="65" t="n">
        <x:v>45405</x:v>
      </x:c>
      <x:c r="C131" s="20" t="str">
        <x:v>phi-3-medium 14B</x:v>
      </x:c>
      <x:c r="D131" s="20" t="str">
        <x:v>microsoft</x:v>
      </x:c>
      <x:c r="E131" s="68" t="n">
        <x:v>14</x:v>
      </x:c>
      <x:c r="F131" s="68" t="n">
        <x:v>25.857963008390666</x:v>
      </x:c>
      <x:c r="G131" s="29" t="n">
        <x:f>MAX(F131/E131,E131/F131)</x:f>
        <x:v>1.8469973577421903</x:v>
      </x:c>
      <x:c r="H131" s="29" t="n">
        <x:f>F131/E131</x:f>
        <x:v>1.8469973577421903</x:v>
      </x:c>
      <x:c r="I131" s="26" t="n">
        <x:v>141</x:v>
      </x:c>
      <x:c r="J131" s="26" t="n">
        <x:v>76</x:v>
      </x:c>
      <x:c r="K131" s="65" t="n">
        <x:v>45400</x:v>
      </x:c>
      <x:c r="L131" s="32" t="n">
        <x:v>0.8904109589041096</x:v>
      </x:c>
      <x:c r="M131" s="26" t="n">
        <x:v>1</x:v>
      </x:c>
    </x:row>
    <x:row r="132">
      <x:c r="A132" s="20" t="str">
        <x:v>Compute</x:v>
      </x:c>
      <x:c r="B132" s="65" t="n">
        <x:v>45405</x:v>
      </x:c>
      <x:c r="C132" s="20" t="str">
        <x:v>phi-3-mini 3.8B</x:v>
      </x:c>
      <x:c r="D132" s="20" t="str">
        <x:v>microsoft</x:v>
      </x:c>
      <x:c r="E132" s="68" t="n">
        <x:v>3.8</x:v>
      </x:c>
      <x:c r="F132" s="68" t="n">
        <x:v>12.242071611968065</x:v>
      </x:c>
      <x:c r="G132" s="29" t="n">
        <x:f>MAX(F132/E132,E132/F132)</x:f>
        <x:v>3.221597792623175</x:v>
      </x:c>
      <x:c r="H132" s="29" t="n">
        <x:f>F132/E132</x:f>
        <x:v>3.221597792623175</x:v>
      </x:c>
      <x:c r="I132" s="26" t="n">
        <x:v>141</x:v>
      </x:c>
      <x:c r="J132" s="26" t="n">
        <x:v>76</x:v>
      </x:c>
      <x:c r="K132" s="65" t="n">
        <x:v>45400</x:v>
      </x:c>
      <x:c r="L132" s="32" t="n">
        <x:v>0.5547945205479452</x:v>
      </x:c>
      <x:c r="M132" s="26" t="n">
        <x:v>1</x:v>
      </x:c>
    </x:row>
    <x:row r="133">
      <x:c r="A133" s="20" t="str">
        <x:v>Compute</x:v>
      </x:c>
      <x:c r="B133" s="65" t="n">
        <x:v>45405</x:v>
      </x:c>
      <x:c r="C133" s="20" t="str">
        <x:v>phi-3-small 7.4B</x:v>
      </x:c>
      <x:c r="D133" s="20" t="str">
        <x:v>microsoft</x:v>
      </x:c>
      <x:c r="E133" s="68" t="n">
        <x:v>7.4</x:v>
      </x:c>
      <x:c r="F133" s="68" t="n">
        <x:v>19.465276301097642</x:v>
      </x:c>
      <x:c r="G133" s="29" t="n">
        <x:f>MAX(F133/E133,E133/F133)</x:f>
        <x:v>2.630442743391573</x:v>
      </x:c>
      <x:c r="H133" s="29" t="n">
        <x:f>F133/E133</x:f>
        <x:v>2.630442743391573</x:v>
      </x:c>
      <x:c r="I133" s="26" t="n">
        <x:v>141</x:v>
      </x:c>
      <x:c r="J133" s="26" t="n">
        <x:v>76</x:v>
      </x:c>
      <x:c r="K133" s="65" t="n">
        <x:v>45400</x:v>
      </x:c>
      <x:c r="L133" s="32" t="n">
        <x:v>0.7671232876712328</x:v>
      </x:c>
      <x:c r="M133" s="26" t="n">
        <x:v>1</x:v>
      </x:c>
    </x:row>
    <x:row r="134">
      <x:c r="A134" s="20" t="str">
        <x:v>Compute</x:v>
      </x:c>
      <x:c r="B134" s="65" t="n">
        <x:v>45405</x:v>
      </x:c>
      <x:c r="C134" s="20" t="str">
        <x:v>phi-3.5-mini</x:v>
      </x:c>
      <x:c r="D134" s="20" t="str">
        <x:v>microsoft</x:v>
      </x:c>
      <x:c r="E134" s="68" t="n">
        <x:v>3.8</x:v>
      </x:c>
      <x:c r="F134" s="68" t="n">
        <x:v>8.934807815594198</x:v>
      </x:c>
      <x:c r="G134" s="29" t="n">
        <x:f>MAX(F134/E134,E134/F134)</x:f>
        <x:v>2.351265214630052</x:v>
      </x:c>
      <x:c r="H134" s="29" t="n">
        <x:f>F134/E134</x:f>
        <x:v>2.351265214630052</x:v>
      </x:c>
      <x:c r="I134" s="26" t="n">
        <x:v>141</x:v>
      </x:c>
      <x:c r="J134" s="26" t="n">
        <x:v>76</x:v>
      </x:c>
      <x:c r="K134" s="65" t="n">
        <x:v>45400</x:v>
      </x:c>
      <x:c r="L134" s="32" t="n">
        <x:v>0.4041095890410959</x:v>
      </x:c>
      <x:c r="M134" s="26" t="n">
        <x:v>1</x:v>
      </x:c>
    </x:row>
    <x:row r="135">
      <x:c r="A135" s="20" t="str">
        <x:v>Compute</x:v>
      </x:c>
      <x:c r="B135" s="65" t="n">
        <x:v>45405</x:v>
      </x:c>
      <x:c r="C135" s="20" t="str">
        <x:v>Phi-3.5-MoE</x:v>
      </x:c>
      <x:c r="D135" s="20" t="str">
        <x:v>microsoft</x:v>
      </x:c>
      <x:c r="E135" s="68" t="n">
        <x:v>60.8</x:v>
      </x:c>
      <x:c r="F135" s="68" t="n">
        <x:v>22.735643113732653</x:v>
      </x:c>
      <x:c r="G135" s="29" t="n">
        <x:f>MAX(F135/E135,E135/F135)</x:f>
        <x:v>2.674215094591977</x:v>
      </x:c>
      <x:c r="H135" s="29" t="n">
        <x:f>F135/E135</x:f>
        <x:v>0.3739414985811292</x:v>
      </x:c>
      <x:c r="I135" s="26" t="n">
        <x:v>141</x:v>
      </x:c>
      <x:c r="J135" s="26" t="n">
        <x:v>76</x:v>
      </x:c>
      <x:c r="K135" s="65" t="n">
        <x:v>45400</x:v>
      </x:c>
      <x:c r="L135" s="32" t="n">
        <x:v>0.821917808219178</x:v>
      </x:c>
      <x:c r="M135" s="26" t="n">
        <x:v>1</x:v>
      </x:c>
    </x:row>
    <x:row r="136">
      <x:c r="A136" s="20" t="str">
        <x:v>Compute</x:v>
      </x:c>
      <x:c r="B136" s="65" t="n">
        <x:v>45406</x:v>
      </x:c>
      <x:c r="C136" s="20" t="str">
        <x:v>Arctic</x:v>
      </x:c>
      <x:c r="D136" s="20" t="str">
        <x:v>snowflake</x:v>
      </x:c>
      <x:c r="E136" s="68" t="n">
        <x:v>480</x:v>
      </x:c>
      <x:c r="F136" s="68" t="n">
        <x:v>24.833346780025437</x:v>
      </x:c>
      <x:c r="G136" s="29" t="n">
        <x:f>MAX(F136/E136,E136/F136)</x:f>
        <x:v>19.328848594265406</x:v>
      </x:c>
      <x:c r="H136" s="29" t="n">
        <x:f>F136/E136</x:f>
        <x:v>0.051736139125052996</x:v>
      </x:c>
      <x:c r="I136" s="26" t="n">
        <x:v>151</x:v>
      </x:c>
      <x:c r="J136" s="26" t="n">
        <x:v>77</x:v>
      </x:c>
      <x:c r="K136" s="65" t="n">
        <x:v>45405</x:v>
      </x:c>
      <x:c r="L136" s="32" t="n">
        <x:v>0.8741721854304636</x:v>
      </x:c>
      <x:c r="M136" s="26" t="n">
        <x:v>1</x:v>
      </x:c>
    </x:row>
    <x:row r="137">
      <x:c r="A137" s="20" t="str">
        <x:v>Compute</x:v>
      </x:c>
      <x:c r="B137" s="65" t="n">
        <x:v>45412</x:v>
      </x:c>
      <x:c r="C137" s="20" t="str">
        <x:v>Multi-Token Prediction 7B</x:v>
      </x:c>
      <x:c r="D137" s="20" t="str">
        <x:v>facebook_ai_research</x:v>
      </x:c>
      <x:c r="E137" s="68" t="n">
        <x:v>6.7</x:v>
      </x:c>
      <x:c r="F137" s="68" t="n">
        <x:v>28.028720169177923</x:v>
      </x:c>
      <x:c r="G137" s="29" t="n">
        <x:f>MAX(F137/E137,E137/F137)</x:f>
        <x:v>4.1833910700265555</x:v>
      </x:c>
      <x:c r="H137" s="29" t="n">
        <x:f>F137/E137</x:f>
        <x:v>4.1833910700265555</x:v>
      </x:c>
      <x:c r="I137" s="26" t="n">
        <x:v>152</x:v>
      </x:c>
      <x:c r="J137" s="26" t="n">
        <x:v>78</x:v>
      </x:c>
      <x:c r="K137" s="65" t="n">
        <x:v>45406</x:v>
      </x:c>
      <x:c r="L137" s="32" t="n">
        <x:v>0.875</x:v>
      </x:c>
      <x:c r="M137" s="26" t="n">
        <x:v>1</x:v>
      </x:c>
    </x:row>
    <x:row r="138">
      <x:c r="A138" s="20" t="str">
        <x:v>Compute</x:v>
      </x:c>
      <x:c r="B138" s="65" t="n">
        <x:v>45414</x:v>
      </x:c>
      <x:c r="C138" s="20" t="str">
        <x:v>OpenELM-1.1B</x:v>
      </x:c>
      <x:c r="D138" s="20" t="str">
        <x:v>apple</x:v>
      </x:c>
      <x:c r="E138" s="68" t="n">
        <x:v>1.08</x:v>
      </x:c>
      <x:c r="F138" s="68" t="n">
        <x:v>5.292290290659882</x:v>
      </x:c>
      <x:c r="G138" s="29" t="n">
        <x:f>MAX(F138/E138,E138/F138)</x:f>
        <x:v>4.900268787648039</x:v>
      </x:c>
      <x:c r="H138" s="29" t="n">
        <x:f>F138/E138</x:f>
        <x:v>4.900268787648039</x:v>
      </x:c>
      <x:c r="I138" s="26" t="n">
        <x:v>153</x:v>
      </x:c>
      <x:c r="J138" s="26" t="n">
        <x:v>79</x:v>
      </x:c>
      <x:c r="K138" s="65" t="n">
        <x:v>45412</x:v>
      </x:c>
      <x:c r="L138" s="32" t="n">
        <x:v>0.23529411764705882</x:v>
      </x:c>
      <x:c r="M138" s="26" t="n">
        <x:v>1</x:v>
      </x:c>
    </x:row>
    <x:row r="139">
      <x:c r="A139" s="20" t="str">
        <x:v>Compute</x:v>
      </x:c>
      <x:c r="B139" s="65" t="n">
        <x:v>45414</x:v>
      </x:c>
      <x:c r="C139" s="20" t="str">
        <x:v>OpenELM-270M</x:v>
      </x:c>
      <x:c r="D139" s="20" t="str">
        <x:v>apple</x:v>
      </x:c>
      <x:c r="E139" s="68" t="n">
        <x:v>0.27</x:v>
      </x:c>
      <x:c r="F139" s="68" t="n">
        <x:v>2.903499612257594</x:v>
      </x:c>
      <x:c r="G139" s="29" t="n">
        <x:f>MAX(F139/E139,E139/F139)</x:f>
        <x:v>10.753702267620717</x:v>
      </x:c>
      <x:c r="H139" s="29" t="n">
        <x:f>F139/E139</x:f>
        <x:v>10.753702267620717</x:v>
      </x:c>
      <x:c r="I139" s="26" t="n">
        <x:v>153</x:v>
      </x:c>
      <x:c r="J139" s="26" t="n">
        <x:v>79</x:v>
      </x:c>
      <x:c r="K139" s="65" t="n">
        <x:v>45412</x:v>
      </x:c>
      <x:c r="L139" s="32" t="n">
        <x:v>0.16339869281045752</x:v>
      </x:c>
      <x:c r="M139" s="26" t="n">
        <x:v>1</x:v>
      </x:c>
    </x:row>
    <x:row r="140">
      <x:c r="A140" s="20" t="str">
        <x:v>Compute</x:v>
      </x:c>
      <x:c r="B140" s="65" t="n">
        <x:v>45414</x:v>
      </x:c>
      <x:c r="C140" s="20" t="str">
        <x:v>OpenELM-3B</x:v>
      </x:c>
      <x:c r="D140" s="20" t="str">
        <x:v>apple</x:v>
      </x:c>
      <x:c r="E140" s="68" t="n">
        <x:v>3.04</x:v>
      </x:c>
      <x:c r="F140" s="68" t="n">
        <x:v>8.961562356888079</x:v>
      </x:c>
      <x:c r="G140" s="29" t="n">
        <x:f>MAX(F140/E140,E140/F140)</x:f>
        <x:v>2.9478823542394994</x:v>
      </x:c>
      <x:c r="H140" s="29" t="n">
        <x:f>F140/E140</x:f>
        <x:v>2.9478823542394994</x:v>
      </x:c>
      <x:c r="I140" s="26" t="n">
        <x:v>153</x:v>
      </x:c>
      <x:c r="J140" s="26" t="n">
        <x:v>79</x:v>
      </x:c>
      <x:c r="K140" s="65" t="n">
        <x:v>45412</x:v>
      </x:c>
      <x:c r="L140" s="32" t="n">
        <x:v>0.3790849673202614</x:v>
      </x:c>
      <x:c r="M140" s="26" t="n">
        <x:v>1</x:v>
      </x:c>
    </x:row>
    <x:row r="141">
      <x:c r="A141" s="20" t="str">
        <x:v>Compute</x:v>
      </x:c>
      <x:c r="B141" s="65" t="n">
        <x:v>45414</x:v>
      </x:c>
      <x:c r="C141" s="20" t="str">
        <x:v>OpenELM-450M</x:v>
      </x:c>
      <x:c r="D141" s="20" t="str">
        <x:v>apple</x:v>
      </x:c>
      <x:c r="E141" s="68" t="n">
        <x:v>0.45</x:v>
      </x:c>
      <x:c r="F141" s="68" t="n">
        <x:v>4.212751821875745</x:v>
      </x:c>
      <x:c r="G141" s="29" t="n">
        <x:f>MAX(F141/E141,E141/F141)</x:f>
        <x:v>9.361670715279434</x:v>
      </x:c>
      <x:c r="H141" s="29" t="n">
        <x:f>F141/E141</x:f>
        <x:v>9.361670715279434</x:v>
      </x:c>
      <x:c r="I141" s="26" t="n">
        <x:v>153</x:v>
      </x:c>
      <x:c r="J141" s="26" t="n">
        <x:v>79</x:v>
      </x:c>
      <x:c r="K141" s="65" t="n">
        <x:v>45412</x:v>
      </x:c>
      <x:c r="L141" s="32" t="n">
        <x:v>0.20261437908496732</x:v>
      </x:c>
      <x:c r="M141" s="26" t="n">
        <x:v>1</x:v>
      </x:c>
    </x:row>
    <x:row r="142">
      <x:c r="A142" s="20" t="str">
        <x:v>Compute</x:v>
      </x:c>
      <x:c r="B142" s="65" t="n">
        <x:v>45419</x:v>
      </x:c>
      <x:c r="C142" s="20" t="str">
        <x:v>DeepSeek-V2 (MoE-236B)</x:v>
      </x:c>
      <x:c r="D142" s="20" t="str">
        <x:v>deepseek</x:v>
      </x:c>
      <x:c r="E142" s="68" t="n">
        <x:v>236</x:v>
      </x:c>
      <x:c r="F142" s="68" t="n">
        <x:v>38.688158551251846</x:v>
      </x:c>
      <x:c r="G142" s="29" t="n">
        <x:f>MAX(F142/E142,E142/F142)</x:f>
        <x:v>6.100057713715187</x:v>
      </x:c>
      <x:c r="H142" s="29" t="n">
        <x:f>F142/E142</x:f>
        <x:v>0.16393287521716884</x:v>
      </x:c>
      <x:c r="I142" s="26" t="n">
        <x:v>154</x:v>
      </x:c>
      <x:c r="J142" s="26" t="n">
        <x:v>79</x:v>
      </x:c>
      <x:c r="K142" s="65" t="n">
        <x:v>45414</x:v>
      </x:c>
      <x:c r="L142" s="32" t="n">
        <x:v>0.9490445859872612</x:v>
      </x:c>
      <x:c r="M142" s="26" t="n">
        <x:v>1</x:v>
      </x:c>
    </x:row>
    <x:row r="143">
      <x:c r="A143" s="20" t="str">
        <x:v>Compute</x:v>
      </x:c>
      <x:c r="B143" s="65" t="n">
        <x:v>45421</x:v>
      </x:c>
      <x:c r="C143" s="20" t="str">
        <x:v>Falcon 2 11B</x:v>
      </x:c>
      <x:c r="D143" s="20" t="str">
        <x:v>technology_innovation_institute</x:v>
      </x:c>
      <x:c r="E143" s="68" t="n">
        <x:v>11</x:v>
      </x:c>
      <x:c r="F143" s="68" t="n">
        <x:v>24.481858186677464</x:v>
      </x:c>
      <x:c r="G143" s="29" t="n">
        <x:f>MAX(F143/E143,E143/F143)</x:f>
        <x:v>2.225623471516133</x:v>
      </x:c>
      <x:c r="H143" s="29" t="n">
        <x:f>F143/E143</x:f>
        <x:v>2.225623471516133</x:v>
      </x:c>
      <x:c r="I143" s="26" t="n">
        <x:v>155</x:v>
      </x:c>
      <x:c r="J143" s="26" t="n">
        <x:v>79</x:v>
      </x:c>
      <x:c r="K143" s="65" t="n">
        <x:v>45419</x:v>
      </x:c>
      <x:c r="L143" s="32" t="n">
        <x:v>0.8544303797468354</x:v>
      </x:c>
      <x:c r="M143" s="26" t="n">
        <x:v>1</x:v>
      </x:c>
    </x:row>
    <x:row r="144">
      <x:c r="A144" s="20" t="str">
        <x:v>Compute</x:v>
      </x:c>
      <x:c r="B144" s="65" t="n">
        <x:v>45422</x:v>
      </x:c>
      <x:c r="C144" s="20" t="str">
        <x:v>Fugaku-LLM</x:v>
      </x:c>
      <x:c r="D144" s="20" t="str">
        <x:v>tohoku_university_cyberagent_tokyo_institute_of_technology_fujitsu_riken_nagoya_university_kotoba_technologies</x:v>
      </x:c>
      <x:c r="E144" s="68" t="n">
        <x:v>13</x:v>
      </x:c>
      <x:c r="F144" s="68" t="n">
        <x:v>7.817032604352305</x:v>
      </x:c>
      <x:c r="G144" s="29" t="n">
        <x:f>MAX(F144/E144,E144/F144)</x:f>
        <x:v>1.6630351513132955</x:v>
      </x:c>
      <x:c r="H144" s="29" t="n">
        <x:f>F144/E144</x:f>
        <x:v>0.6013102003347928</x:v>
      </x:c>
      <x:c r="I144" s="26" t="n">
        <x:v>159</x:v>
      </x:c>
      <x:c r="J144" s="26" t="n">
        <x:v>80</x:v>
      </x:c>
      <x:c r="K144" s="65" t="n">
        <x:v>45421</x:v>
      </x:c>
      <x:c r="L144" s="32" t="n">
        <x:v>0.3710691823899371</x:v>
      </x:c>
      <x:c r="M144" s="26" t="n">
        <x:v>1</x:v>
      </x:c>
    </x:row>
    <x:row r="145">
      <x:c r="A145" s="20" t="str">
        <x:v>Compute</x:v>
      </x:c>
      <x:c r="B145" s="65" t="n">
        <x:v>45425</x:v>
      </x:c>
      <x:c r="C145" s="20" t="str">
        <x:v>Yi-1.5-34B</x:v>
      </x:c>
      <x:c r="D145" s="20" t="str">
        <x:v>01_ai</x:v>
      </x:c>
      <x:c r="E145" s="68" t="n">
        <x:v>34</x:v>
      </x:c>
      <x:c r="F145" s="68" t="n">
        <x:v>34.68783618881242</x:v>
      </x:c>
      <x:c r="G145" s="29" t="n">
        <x:f>MAX(F145/E145,E145/F145)</x:f>
        <x:v>1.0202304761415417</x:v>
      </x:c>
      <x:c r="H145" s="29" t="n">
        <x:f>F145/E145</x:f>
        <x:v>1.0202304761415417</x:v>
      </x:c>
      <x:c r="I145" s="26" t="n">
        <x:v>158</x:v>
      </x:c>
      <x:c r="J145" s="26" t="n">
        <x:v>80</x:v>
      </x:c>
      <x:c r="K145" s="65" t="n">
        <x:v>45422</x:v>
      </x:c>
      <x:c r="L145" s="32" t="n">
        <x:v>0.925</x:v>
      </x:c>
      <x:c r="M145" s="26" t="n">
        <x:v>1</x:v>
      </x:c>
    </x:row>
    <x:row r="146">
      <x:c r="A146" s="20" t="str">
        <x:v>Compute</x:v>
      </x:c>
      <x:c r="B146" s="65" t="n">
        <x:v>45425</x:v>
      </x:c>
      <x:c r="C146" s="20" t="str">
        <x:v>Yi-1.5-9B</x:v>
      </x:c>
      <x:c r="D146" s="20" t="str">
        <x:v>01_ai</x:v>
      </x:c>
      <x:c r="E146" s="68" t="n">
        <x:v>8.83</x:v>
      </x:c>
      <x:c r="F146" s="68" t="n">
        <x:v>18.764595234743386</x:v>
      </x:c>
      <x:c r="G146" s="29" t="n">
        <x:f>MAX(F146/E146,E146/F146)</x:f>
        <x:v>2.125095723073996</x:v>
      </x:c>
      <x:c r="H146" s="29" t="n">
        <x:f>F146/E146</x:f>
        <x:v>2.125095723073996</x:v>
      </x:c>
      <x:c r="I146" s="26" t="n">
        <x:v>158</x:v>
      </x:c>
      <x:c r="J146" s="26" t="n">
        <x:v>80</x:v>
      </x:c>
      <x:c r="K146" s="65" t="n">
        <x:v>45422</x:v>
      </x:c>
      <x:c r="L146" s="32" t="n">
        <x:v>0.73125</x:v>
      </x:c>
      <x:c r="M146" s="26" t="n">
        <x:v>1</x:v>
      </x:c>
    </x:row>
    <x:row r="147">
      <x:c r="A147" s="20" t="str">
        <x:v>Compute</x:v>
      </x:c>
      <x:c r="B147" s="65" t="n">
        <x:v>45428</x:v>
      </x:c>
      <x:c r="C147" s="20" t="str">
        <x:v>Chameleon-34B</x:v>
      </x:c>
      <x:c r="D147" s="20" t="str">
        <x:v>facebook_ai_research</x:v>
      </x:c>
      <x:c r="E147" s="68" t="n">
        <x:v>34</x:v>
      </x:c>
      <x:c r="F147" s="68" t="n">
        <x:v>52.297017374243765</x:v>
      </x:c>
      <x:c r="G147" s="29" t="n">
        <x:f>MAX(F147/E147,E147/F147)</x:f>
        <x:v>1.538147569830699</x:v>
      </x:c>
      <x:c r="H147" s="29" t="n">
        <x:f>F147/E147</x:f>
        <x:v>1.538147569830699</x:v>
      </x:c>
      <x:c r="I147" s="26" t="n">
        <x:v>161</x:v>
      </x:c>
      <x:c r="J147" s="26" t="n">
        <x:v>80</x:v>
      </x:c>
      <x:c r="K147" s="65" t="n">
        <x:v>45425</x:v>
      </x:c>
      <x:c r="L147" s="32" t="n">
        <x:v>0.9691358024691358</x:v>
      </x:c>
      <x:c r="M147" s="26" t="n">
        <x:v>1</x:v>
      </x:c>
    </x:row>
    <x:row r="148">
      <x:c r="A148" s="20" t="str">
        <x:v>Compute</x:v>
      </x:c>
      <x:c r="B148" s="65" t="n">
        <x:v>45428</x:v>
      </x:c>
      <x:c r="C148" s="20" t="str">
        <x:v>FragLlama: Next-fragment prediction for molecular design</x:v>
      </x:c>
      <x:c r="D148" s="20" t="str">
        <x:v>facebook_ai_research</x:v>
      </x:c>
      <x:c r="E148" s="68" t="n">
        <x:v>7</x:v>
      </x:c>
      <x:c r="F148" s="68" t="n">
        <x:v>25.177382267099972</x:v>
      </x:c>
      <x:c r="G148" s="29" t="n">
        <x:f>MAX(F148/E148,E148/F148)</x:f>
        <x:v>3.596768895299996</x:v>
      </x:c>
      <x:c r="H148" s="29" t="n">
        <x:f>F148/E148</x:f>
        <x:v>3.596768895299996</x:v>
      </x:c>
      <x:c r="I148" s="26" t="n">
        <x:v>161</x:v>
      </x:c>
      <x:c r="J148" s="26" t="n">
        <x:v>80</x:v>
      </x:c>
      <x:c r="K148" s="65" t="n">
        <x:v>45425</x:v>
      </x:c>
      <x:c r="L148" s="32" t="n">
        <x:v>0.8333333333333334</x:v>
      </x:c>
      <x:c r="M148" s="26" t="n">
        <x:v>1</x:v>
      </x:c>
    </x:row>
    <x:row r="149">
      <x:c r="A149" s="20" t="str">
        <x:v>Compute</x:v>
      </x:c>
      <x:c r="B149" s="65" t="n">
        <x:v>45434</x:v>
      </x:c>
      <x:c r="C149" s="20" t="str">
        <x:v>360Zhinao-7B</x:v>
      </x:c>
      <x:c r="D149" s="20" t="str">
        <x:v>360_security_technology</x:v>
      </x:c>
      <x:c r="E149" s="68" t="n">
        <x:v>7</x:v>
      </x:c>
      <x:c r="F149" s="68" t="n">
        <x:v>16.37115186476378</x:v>
      </x:c>
      <x:c r="G149" s="29" t="n">
        <x:f>MAX(F149/E149,E149/F149)</x:f>
        <x:v>2.33873598068054</x:v>
      </x:c>
      <x:c r="H149" s="29" t="n">
        <x:f>F149/E149</x:f>
        <x:v>2.33873598068054</x:v>
      </x:c>
      <x:c r="I149" s="26" t="n">
        <x:v>164</x:v>
      </x:c>
      <x:c r="J149" s="26" t="n">
        <x:v>81</x:v>
      </x:c>
      <x:c r="K149" s="65" t="n">
        <x:v>45428</x:v>
      </x:c>
      <x:c r="L149" s="32" t="n">
        <x:v>0.6707317073170732</x:v>
      </x:c>
      <x:c r="M149" s="26" t="n">
        <x:v>1</x:v>
      </x:c>
    </x:row>
    <x:row r="150">
      <x:c r="A150" s="20" t="str">
        <x:v>Compute</x:v>
      </x:c>
      <x:c r="B150" s="65" t="n">
        <x:v>45440</x:v>
      </x:c>
      <x:c r="C150" s="20" t="str">
        <x:v>Nanbeige2-16B-Chat</x:v>
      </x:c>
      <x:c r="D150" s="20" t="str">
        <x:v>nanbeige_llm_lab</x:v>
      </x:c>
      <x:c r="E150" s="68" t="n">
        <x:v>15.8</x:v>
      </x:c>
      <x:c r="F150" s="68" t="n">
        <x:v>25.63350199483844</x:v>
      </x:c>
      <x:c r="G150" s="29" t="n">
        <x:f>MAX(F150/E150,E150/F150)</x:f>
        <x:v>1.6223735439771163</x:v>
      </x:c>
      <x:c r="H150" s="29" t="n">
        <x:f>F150/E150</x:f>
        <x:v>1.6223735439771163</x:v>
      </x:c>
      <x:c r="I150" s="26" t="n">
        <x:v>164</x:v>
      </x:c>
      <x:c r="J150" s="26" t="n">
        <x:v>81</x:v>
      </x:c>
      <x:c r="K150" s="65" t="n">
        <x:v>45434</x:v>
      </x:c>
      <x:c r="L150" s="32" t="n">
        <x:v>0.8848484848484849</x:v>
      </x:c>
      <x:c r="M150" s="26" t="n">
        <x:v>1</x:v>
      </x:c>
    </x:row>
    <x:row r="151">
      <x:c r="A151" s="20" t="str">
        <x:v>Compute</x:v>
      </x:c>
      <x:c r="B151" s="65" t="n">
        <x:v>45443</x:v>
      </x:c>
      <x:c r="C151" s="20" t="str">
        <x:v>Granite 20B</x:v>
      </x:c>
      <x:c r="D151" s="20" t="str">
        <x:v>ibm_research</x:v>
      </x:c>
      <x:c r="E151" s="68" t="n">
        <x:v>20</x:v>
      </x:c>
      <x:c r="F151" s="68" t="n">
        <x:v>22.022851108784494</x:v>
      </x:c>
      <x:c r="G151" s="29" t="n">
        <x:f>MAX(F151/E151,E151/F151)</x:f>
        <x:v>1.1011425554392247</x:v>
      </x:c>
      <x:c r="H151" s="29" t="n">
        <x:f>F151/E151</x:f>
        <x:v>1.1011425554392247</x:v>
      </x:c>
      <x:c r="I151" s="26" t="n">
        <x:v>166</x:v>
      </x:c>
      <x:c r="J151" s="26" t="n">
        <x:v>82</x:v>
      </x:c>
      <x:c r="K151" s="65" t="n">
        <x:v>45440</x:v>
      </x:c>
      <x:c r="L151" s="32" t="n">
        <x:v>0.7831325301204819</x:v>
      </x:c>
      <x:c r="M151" s="26" t="n">
        <x:v>1</x:v>
      </x:c>
    </x:row>
    <x:row r="152">
      <x:c r="A152" s="20" t="str">
        <x:v>Compute</x:v>
      </x:c>
      <x:c r="B152" s="65" t="n">
        <x:v>45443</x:v>
      </x:c>
      <x:c r="C152" s="20" t="str">
        <x:v>Mamba 2, 2.7B</x:v>
      </x:c>
      <x:c r="D152" s="20" t="str">
        <x:v>princeton_university_carnegie_mellon_university_cmu</x:v>
      </x:c>
      <x:c r="E152" s="68" t="n">
        <x:v>2.7</x:v>
      </x:c>
      <x:c r="F152" s="68" t="n">
        <x:v>3.3719120857910756</x:v>
      </x:c>
      <x:c r="G152" s="29" t="n">
        <x:f>MAX(F152/E152,E152/F152)</x:f>
        <x:v>1.2488563280707687</x:v>
      </x:c>
      <x:c r="H152" s="29" t="n">
        <x:f>F152/E152</x:f>
        <x:v>1.2488563280707687</x:v>
      </x:c>
      <x:c r="I152" s="26" t="n">
        <x:v>166</x:v>
      </x:c>
      <x:c r="J152" s="26" t="n">
        <x:v>82</x:v>
      </x:c>
      <x:c r="K152" s="65" t="n">
        <x:v>45440</x:v>
      </x:c>
      <x:c r="L152" s="32" t="n">
        <x:v>0.1746987951807229</x:v>
      </x:c>
      <x:c r="M152" s="26" t="n">
        <x:v>1</x:v>
      </x:c>
    </x:row>
    <x:row r="153">
      <x:c r="A153" s="20" t="str">
        <x:v>Compute</x:v>
      </x:c>
      <x:c r="B153" s="65" t="n">
        <x:v>45446</x:v>
      </x:c>
      <x:c r="C153" s="20" t="str">
        <x:v>MiniCPM-1.2B</x:v>
      </x:c>
      <x:c r="D153" s="20" t="str">
        <x:v>tsinghua_university_modelbest</x:v>
      </x:c>
      <x:c r="E153" s="68" t="n">
        <x:v>1.247442432</x:v>
      </x:c>
      <x:c r="F153" s="68" t="n">
        <x:v>4.147913763365306</x:v>
      </x:c>
      <x:c r="G153" s="29" t="n">
        <x:f>MAX(F153/E153,E153/F153)</x:f>
        <x:v>3.3251344165959127</x:v>
      </x:c>
      <x:c r="H153" s="29" t="n">
        <x:f>F153/E153</x:f>
        <x:v>3.3251344165959127</x:v>
      </x:c>
      <x:c r="I153" s="26" t="n">
        <x:v>168</x:v>
      </x:c>
      <x:c r="J153" s="26" t="n">
        <x:v>84</x:v>
      </x:c>
      <x:c r="K153" s="65" t="n">
        <x:v>45443</x:v>
      </x:c>
      <x:c r="L153" s="32" t="n">
        <x:v>0.22023809523809523</x:v>
      </x:c>
      <x:c r="M153" s="26" t="n">
        <x:v>1</x:v>
      </x:c>
    </x:row>
    <x:row r="154">
      <x:c r="A154" s="20" t="str">
        <x:v>Compute</x:v>
      </x:c>
      <x:c r="B154" s="65" t="n">
        <x:v>45446</x:v>
      </x:c>
      <x:c r="C154" s="20" t="str">
        <x:v>MiniCPM-2.4B</x:v>
      </x:c>
      <x:c r="D154" s="20" t="str">
        <x:v>tsinghua_university_modelbest</x:v>
      </x:c>
      <x:c r="E154" s="68" t="n">
        <x:v>2.442057984</x:v>
      </x:c>
      <x:c r="F154" s="68" t="n">
        <x:v>5.690313222395997</x:v>
      </x:c>
      <x:c r="G154" s="29" t="n">
        <x:f>MAX(F154/E154,E154/F154)</x:f>
        <x:v>2.3301302670444692</x:v>
      </x:c>
      <x:c r="H154" s="29" t="n">
        <x:f>F154/E154</x:f>
        <x:v>2.3301302670444692</x:v>
      </x:c>
      <x:c r="I154" s="26" t="n">
        <x:v>168</x:v>
      </x:c>
      <x:c r="J154" s="26" t="n">
        <x:v>84</x:v>
      </x:c>
      <x:c r="K154" s="65" t="n">
        <x:v>45443</x:v>
      </x:c>
      <x:c r="L154" s="32" t="n">
        <x:v>0.2857142857142857</x:v>
      </x:c>
      <x:c r="M154" s="26" t="n">
        <x:v>1</x:v>
      </x:c>
    </x:row>
    <x:row r="155">
      <x:c r="A155" s="20" t="str">
        <x:v>Compute</x:v>
      </x:c>
      <x:c r="B155" s="65" t="n">
        <x:v>45450</x:v>
      </x:c>
      <x:c r="C155" s="20" t="str">
        <x:v>Qwen2-0.5B</x:v>
      </x:c>
      <x:c r="D155" s="20" t="str">
        <x:v>alibaba</x:v>
      </x:c>
      <x:c r="E155" s="68" t="n">
        <x:v>0.5</x:v>
      </x:c>
      <x:c r="F155" s="68" t="n">
        <x:v>7.987915966633809</x:v>
      </x:c>
      <x:c r="G155" s="29" t="n">
        <x:f>MAX(F155/E155,E155/F155)</x:f>
        <x:v>15.975831933267617</x:v>
      </x:c>
      <x:c r="H155" s="29" t="n">
        <x:f>F155/E155</x:f>
        <x:v>15.975831933267617</x:v>
      </x:c>
      <x:c r="I155" s="26" t="n">
        <x:v>164</x:v>
      </x:c>
      <x:c r="J155" s="26" t="n">
        <x:v>84</x:v>
      </x:c>
      <x:c r="K155" s="65" t="n">
        <x:v>45446</x:v>
      </x:c>
      <x:c r="L155" s="32" t="n">
        <x:v>0.3941176470588235</x:v>
      </x:c>
      <x:c r="M155" s="26" t="n">
        <x:v>1</x:v>
      </x:c>
    </x:row>
    <x:row r="156">
      <x:c r="A156" s="20" t="str">
        <x:v>Compute</x:v>
      </x:c>
      <x:c r="B156" s="65" t="n">
        <x:v>45450</x:v>
      </x:c>
      <x:c r="C156" s="20" t="str">
        <x:v>Qwen2-1.5B</x:v>
      </x:c>
      <x:c r="D156" s="20" t="str">
        <x:v>alibaba</x:v>
      </x:c>
      <x:c r="E156" s="68" t="n">
        <x:v>1.5</x:v>
      </x:c>
      <x:c r="F156" s="68" t="n">
        <x:v>10.333446892305643</x:v>
      </x:c>
      <x:c r="G156" s="29" t="n">
        <x:f>MAX(F156/E156,E156/F156)</x:f>
        <x:v>6.888964594870429</x:v>
      </x:c>
      <x:c r="H156" s="29" t="n">
        <x:f>F156/E156</x:f>
        <x:v>6.888964594870429</x:v>
      </x:c>
      <x:c r="I156" s="26" t="n">
        <x:v>164</x:v>
      </x:c>
      <x:c r="J156" s="26" t="n">
        <x:v>84</x:v>
      </x:c>
      <x:c r="K156" s="65" t="n">
        <x:v>45446</x:v>
      </x:c>
      <x:c r="L156" s="32" t="n">
        <x:v>0.5235294117647059</x:v>
      </x:c>
      <x:c r="M156" s="26" t="n">
        <x:v>1</x:v>
      </x:c>
    </x:row>
    <x:row r="157">
      <x:c r="A157" s="20" t="str">
        <x:v>Compute</x:v>
      </x:c>
      <x:c r="B157" s="65" t="n">
        <x:v>45450</x:v>
      </x:c>
      <x:c r="C157" s="20" t="str">
        <x:v>Qwen2-57B-A14B</x:v>
      </x:c>
      <x:c r="D157" s="20" t="str">
        <x:v>alibaba</x:v>
      </x:c>
      <x:c r="E157" s="68" t="n">
        <x:v>57</x:v>
      </x:c>
      <x:c r="F157" s="68" t="n">
        <x:v>23.563528415291092</x:v>
      </x:c>
      <x:c r="G157" s="29" t="n">
        <x:f>MAX(F157/E157,E157/F157)</x:f>
        <x:v>2.4189925632279654</x:v>
      </x:c>
      <x:c r="H157" s="29" t="n">
        <x:f>F157/E157</x:f>
        <x:v>0.41339523535598405</x:v>
      </x:c>
      <x:c r="I157" s="26" t="n">
        <x:v>164</x:v>
      </x:c>
      <x:c r="J157" s="26" t="n">
        <x:v>84</x:v>
      </x:c>
      <x:c r="K157" s="65" t="n">
        <x:v>45446</x:v>
      </x:c>
      <x:c r="L157" s="32" t="n">
        <x:v>0.8529411764705882</x:v>
      </x:c>
      <x:c r="M157" s="26" t="n">
        <x:v>1</x:v>
      </x:c>
    </x:row>
    <x:row r="158">
      <x:c r="A158" s="20" t="str">
        <x:v>Compute</x:v>
      </x:c>
      <x:c r="B158" s="65" t="n">
        <x:v>45450</x:v>
      </x:c>
      <x:c r="C158" s="20" t="str">
        <x:v>Qwen2-72B</x:v>
      </x:c>
      <x:c r="D158" s="20" t="str">
        <x:v>alibaba</x:v>
      </x:c>
      <x:c r="E158" s="68" t="n">
        <x:v>72.71</x:v>
      </x:c>
      <x:c r="F158" s="68" t="n">
        <x:v>61.298535849185896</x:v>
      </x:c>
      <x:c r="G158" s="29" t="n">
        <x:f>MAX(F158/E158,E158/F158)</x:f>
        <x:v>1.186162099840198</x:v>
      </x:c>
      <x:c r="H158" s="29" t="n">
        <x:f>F158/E158</x:f>
        <x:v>0.843055093511015</x:v>
      </x:c>
      <x:c r="I158" s="26" t="n">
        <x:v>164</x:v>
      </x:c>
      <x:c r="J158" s="26" t="n">
        <x:v>84</x:v>
      </x:c>
      <x:c r="K158" s="65" t="n">
        <x:v>45446</x:v>
      </x:c>
      <x:c r="L158" s="32" t="n">
        <x:v>0.9882352941176471</x:v>
      </x:c>
      <x:c r="M158" s="26" t="n">
        <x:v>1</x:v>
      </x:c>
    </x:row>
    <x:row r="159">
      <x:c r="A159" s="20" t="str">
        <x:v>Compute</x:v>
      </x:c>
      <x:c r="B159" s="65" t="n">
        <x:v>45450</x:v>
      </x:c>
      <x:c r="C159" s="20" t="str">
        <x:v>Qwen2-7B</x:v>
      </x:c>
      <x:c r="D159" s="20" t="str">
        <x:v>alibaba</x:v>
      </x:c>
      <x:c r="E159" s="68" t="n">
        <x:v>7</x:v>
      </x:c>
      <x:c r="F159" s="68" t="n">
        <x:v>20.990726967346074</x:v>
      </x:c>
      <x:c r="G159" s="29" t="n">
        <x:f>MAX(F159/E159,E159/F159)</x:f>
        <x:v>2.9986752810494393</x:v>
      </x:c>
      <x:c r="H159" s="29" t="n">
        <x:f>F159/E159</x:f>
        <x:v>2.9986752810494393</x:v>
      </x:c>
      <x:c r="I159" s="26" t="n">
        <x:v>164</x:v>
      </x:c>
      <x:c r="J159" s="26" t="n">
        <x:v>84</x:v>
      </x:c>
      <x:c r="K159" s="65" t="n">
        <x:v>45446</x:v>
      </x:c>
      <x:c r="L159" s="32" t="n">
        <x:v>0.7823529411764706</x:v>
      </x:c>
      <x:c r="M159" s="26" t="n">
        <x:v>1</x:v>
      </x:c>
    </x:row>
    <x:row r="160">
      <x:c r="A160" s="20" t="str">
        <x:v>Compute</x:v>
      </x:c>
      <x:c r="B160" s="65" t="n">
        <x:v>45455</x:v>
      </x:c>
      <x:c r="C160" s="20" t="str">
        <x:v>Mamba2-Hybrid</x:v>
      </x:c>
      <x:c r="D160" s="20" t="str">
        <x:v>nvidia</x:v>
      </x:c>
      <x:c r="E160" s="68" t="n">
        <x:v>8.66</x:v>
      </x:c>
      <x:c r="F160" s="68" t="n">
        <x:v>16.765165762512094</x:v>
      </x:c>
      <x:c r="G160" s="29" t="n">
        <x:f>MAX(F160/E160,E160/F160)</x:f>
        <x:v>1.9359313813524357</x:v>
      </x:c>
      <x:c r="H160" s="29" t="n">
        <x:f>F160/E160</x:f>
        <x:v>1.9359313813524357</x:v>
      </x:c>
      <x:c r="I160" s="26" t="n">
        <x:v>174</x:v>
      </x:c>
      <x:c r="J160" s="26" t="n">
        <x:v>84</x:v>
      </x:c>
      <x:c r="K160" s="65" t="n">
        <x:v>45450</x:v>
      </x:c>
      <x:c r="L160" s="32" t="n">
        <x:v>0.6971428571428572</x:v>
      </x:c>
      <x:c r="M160" s="26" t="n">
        <x:v>1</x:v>
      </x:c>
    </x:row>
    <x:row r="161">
      <x:c r="A161" s="20" t="str">
        <x:v>Compute</x:v>
      </x:c>
      <x:c r="B161" s="65" t="n">
        <x:v>45457</x:v>
      </x:c>
      <x:c r="C161" s="20" t="str">
        <x:v>Nemotron-4 340B</x:v>
      </x:c>
      <x:c r="D161" s="20" t="str">
        <x:v>nvidia</x:v>
      </x:c>
      <x:c r="E161" s="68" t="n">
        <x:v>340</x:v>
      </x:c>
      <x:c r="F161" s="68" t="n">
        <x:v>140.2887067538384</x:v>
      </x:c>
      <x:c r="G161" s="29" t="n">
        <x:f>MAX(F161/E161,E161/F161)</x:f>
        <x:v>2.42357355675529</x:v>
      </x:c>
      <x:c r="H161" s="29" t="n">
        <x:f>F161/E161</x:f>
        <x:v>0.4126138433936423</x:v>
      </x:c>
      <x:c r="I161" s="26" t="n">
        <x:v>174</x:v>
      </x:c>
      <x:c r="J161" s="26" t="n">
        <x:v>84</x:v>
      </x:c>
      <x:c r="K161" s="65" t="n">
        <x:v>45450</x:v>
      </x:c>
      <x:c r="L161" s="32" t="n">
        <x:v>1</x:v>
      </x:c>
      <x:c r="M161" s="26" t="n">
        <x:v>1</x:v>
      </x:c>
    </x:row>
    <x:row r="162">
      <x:c r="A162" s="20" t="str">
        <x:v>Compute</x:v>
      </x:c>
      <x:c r="B162" s="65" t="n">
        <x:v>45458</x:v>
      </x:c>
      <x:c r="C162" s="20" t="str">
        <x:v>JIUTIAN-139MoE</x:v>
      </x:c>
      <x:c r="D162" s="20" t="str">
        <x:v>china_mobile</x:v>
      </x:c>
      <x:c r="E162" s="68" t="n">
        <x:v>38.8</x:v>
      </x:c>
      <x:c r="F162" s="68" t="n">
        <x:v>25.215291730094663</x:v>
      </x:c>
      <x:c r="G162" s="29" t="n">
        <x:f>MAX(F162/E162,E162/F162)</x:f>
        <x:v>1.5387488043095638</x:v>
      </x:c>
      <x:c r="H162" s="29" t="n">
        <x:f>F162/E162</x:f>
        <x:v>0.6498786528374914</x:v>
      </x:c>
      <x:c r="I162" s="26" t="n">
        <x:v>176</x:v>
      </x:c>
      <x:c r="J162" s="26" t="n">
        <x:v>84</x:v>
      </x:c>
      <x:c r="K162" s="65" t="n">
        <x:v>45457</x:v>
      </x:c>
      <x:c r="L162" s="32" t="n">
        <x:v>0.8870056497175142</x:v>
      </x:c>
      <x:c r="M162" s="26" t="n">
        <x:v>1</x:v>
      </x:c>
    </x:row>
    <x:row r="163">
      <x:c r="A163" s="20" t="str">
        <x:v>Compute</x:v>
      </x:c>
      <x:c r="B163" s="65" t="n">
        <x:v>45467</x:v>
      </x:c>
      <x:c r="C163" s="20" t="str">
        <x:v>Gemma 2 27B</x:v>
      </x:c>
      <x:c r="D163" s="20" t="str">
        <x:v>google_deepmind</x:v>
      </x:c>
      <x:c r="E163" s="68" t="n">
        <x:v>27</x:v>
      </x:c>
      <x:c r="F163" s="68" t="n">
        <x:v>54.1881615191264</x:v>
      </x:c>
      <x:c r="G163" s="29" t="n">
        <x:f>MAX(F163/E163,E163/F163)</x:f>
        <x:v>2.00696894515283</x:v>
      </x:c>
      <x:c r="H163" s="29" t="n">
        <x:f>F163/E163</x:f>
        <x:v>2.00696894515283</x:v>
      </x:c>
      <x:c r="I163" s="26" t="n">
        <x:v>176</x:v>
      </x:c>
      <x:c r="J163" s="26" t="n">
        <x:v>84</x:v>
      </x:c>
      <x:c r="K163" s="65" t="n">
        <x:v>45458</x:v>
      </x:c>
      <x:c r="L163" s="32" t="n">
        <x:v>0.9606741573033708</x:v>
      </x:c>
      <x:c r="M163" s="26" t="n">
        <x:v>1</x:v>
      </x:c>
    </x:row>
    <x:row r="164">
      <x:c r="A164" s="20" t="str">
        <x:v>Compute</x:v>
      </x:c>
      <x:c r="B164" s="65" t="n">
        <x:v>45467</x:v>
      </x:c>
      <x:c r="C164" s="20" t="str">
        <x:v>Gemma 2 2B</x:v>
      </x:c>
      <x:c r="D164" s="20" t="str">
        <x:v>google_deepmind</x:v>
      </x:c>
      <x:c r="E164" s="68" t="n">
        <x:v>2.6</x:v>
      </x:c>
      <x:c r="F164" s="68" t="n">
        <x:v>7.609407855435101</x:v>
      </x:c>
      <x:c r="G164" s="29" t="n">
        <x:f>MAX(F164/E164,E164/F164)</x:f>
        <x:v>2.9266953290135</x:v>
      </x:c>
      <x:c r="H164" s="29" t="n">
        <x:f>F164/E164</x:f>
        <x:v>2.9266953290135</x:v>
      </x:c>
      <x:c r="I164" s="26" t="n">
        <x:v>176</x:v>
      </x:c>
      <x:c r="J164" s="26" t="n">
        <x:v>84</x:v>
      </x:c>
      <x:c r="K164" s="65" t="n">
        <x:v>45458</x:v>
      </x:c>
      <x:c r="L164" s="32" t="n">
        <x:v>0.3539325842696629</x:v>
      </x:c>
      <x:c r="M164" s="26" t="n">
        <x:v>1</x:v>
      </x:c>
    </x:row>
    <x:row r="165">
      <x:c r="A165" s="20" t="str">
        <x:v>Compute</x:v>
      </x:c>
      <x:c r="B165" s="65" t="n">
        <x:v>45467</x:v>
      </x:c>
      <x:c r="C165" s="20" t="str">
        <x:v>Gemma 2 9B</x:v>
      </x:c>
      <x:c r="D165" s="20" t="str">
        <x:v>google_deepmind</x:v>
      </x:c>
      <x:c r="E165" s="68" t="n">
        <x:v>9</x:v>
      </x:c>
      <x:c r="F165" s="68" t="n">
        <x:v>25.89830783954531</x:v>
      </x:c>
      <x:c r="G165" s="29" t="n">
        <x:f>MAX(F165/E165,E165/F165)</x:f>
        <x:v>2.877589759949479</x:v>
      </x:c>
      <x:c r="H165" s="29" t="n">
        <x:f>F165/E165</x:f>
        <x:v>2.877589759949479</x:v>
      </x:c>
      <x:c r="I165" s="26" t="n">
        <x:v>176</x:v>
      </x:c>
      <x:c r="J165" s="26" t="n">
        <x:v>84</x:v>
      </x:c>
      <x:c r="K165" s="65" t="n">
        <x:v>45458</x:v>
      </x:c>
      <x:c r="L165" s="32" t="n">
        <x:v>0.8820224719101124</x:v>
      </x:c>
      <x:c r="M165" s="26" t="n">
        <x:v>1</x:v>
      </x:c>
    </x:row>
    <x:row r="166">
      <x:c r="A166" s="20" t="str">
        <x:v>Compute</x:v>
      </x:c>
      <x:c r="B166" s="65" t="n">
        <x:v>45483</x:v>
      </x:c>
      <x:c r="C166" s="20" t="str">
        <x:v>MAP-Neo</x:v>
      </x:c>
      <x:c r="D166" s="20" t="str">
        <x:v>university_of_waterloo_01_ai_wuhan_university</x:v>
      </x:c>
      <x:c r="E166" s="68" t="n">
        <x:v>7</x:v>
      </x:c>
      <x:c r="F166" s="68" t="n">
        <x:v>16.855830486029653</x:v>
      </x:c>
      <x:c r="G166" s="29" t="n">
        <x:f>MAX(F166/E166,E166/F166)</x:f>
        <x:v>2.407975783718522</x:v>
      </x:c>
      <x:c r="H166" s="29" t="n">
        <x:f>F166/E166</x:f>
        <x:v>2.407975783718522</x:v>
      </x:c>
      <x:c r="I166" s="26" t="n">
        <x:v>181</x:v>
      </x:c>
      <x:c r="J166" s="26" t="n">
        <x:v>85</x:v>
      </x:c>
      <x:c r="K166" s="65" t="n">
        <x:v>45467</x:v>
      </x:c>
      <x:c r="L166" s="32" t="n">
        <x:v>0.6850828729281768</x:v>
      </x:c>
      <x:c r="M166" s="26" t="n">
        <x:v>1</x:v>
      </x:c>
    </x:row>
    <x:row r="167">
      <x:c r="A167" s="20" t="str">
        <x:v>Compute</x:v>
      </x:c>
      <x:c r="B167" s="65" t="n">
        <x:v>45489</x:v>
      </x:c>
      <x:c r="C167" s="20" t="str">
        <x:v>SmolLM-1.7B</x:v>
      </x:c>
      <x:c r="D167" s="20" t="str">
        <x:v>unknown</x:v>
      </x:c>
      <x:c r="E167" s="68" t="n">
        <x:v>1.71</x:v>
      </x:c>
      <x:c r="F167" s="68" t="n">
        <x:v>4.2060937589142195</x:v>
      </x:c>
      <x:c r="G167" s="29" t="n">
        <x:f>MAX(F167/E167,E167/F167)</x:f>
        <x:v>2.459703952581415</x:v>
      </x:c>
      <x:c r="H167" s="29" t="n">
        <x:f>F167/E167</x:f>
        <x:v>2.459703952581415</x:v>
      </x:c>
      <x:c r="I167" s="26" t="n">
        <x:v>182</x:v>
      </x:c>
      <x:c r="J167" s="26" t="n">
        <x:v>86</x:v>
      </x:c>
      <x:c r="K167" s="65" t="n">
        <x:v>45483</x:v>
      </x:c>
      <x:c r="L167" s="32" t="n">
        <x:v>0.21978021978021978</x:v>
      </x:c>
      <x:c r="M167" s="26" t="n">
        <x:v>1</x:v>
      </x:c>
    </x:row>
    <x:row r="168">
      <x:c r="A168" s="20" t="str">
        <x:v>Compute</x:v>
      </x:c>
      <x:c r="B168" s="65" t="n">
        <x:v>45493</x:v>
      </x:c>
      <x:c r="C168" s="20" t="str">
        <x:v>DCLM 7B</x:v>
      </x:c>
      <x:c r="D168" s="20" t="str">
        <x:v>apple</x:v>
      </x:c>
      <x:c r="E168" s="68" t="n">
        <x:v>7</x:v>
      </x:c>
      <x:c r="F168" s="68" t="n">
        <x:v>12.555344055941168</x:v>
      </x:c>
      <x:c r="G168" s="29" t="n">
        <x:f>MAX(F168/E168,E168/F168)</x:f>
        <x:v>1.793620579420167</x:v>
      </x:c>
      <x:c r="H168" s="29" t="n">
        <x:f>F168/E168</x:f>
        <x:v>1.793620579420167</x:v>
      </x:c>
      <x:c r="I168" s="26" t="n">
        <x:v>179</x:v>
      </x:c>
      <x:c r="J168" s="26" t="n">
        <x:v>86</x:v>
      </x:c>
      <x:c r="K168" s="65" t="n">
        <x:v>45489</x:v>
      </x:c>
      <x:c r="L168" s="32" t="n">
        <x:v>0.6010928961748634</x:v>
      </x:c>
      <x:c r="M168" s="26" t="n">
        <x:v>1</x:v>
      </x:c>
    </x:row>
    <x:row r="169">
      <x:c r="A169" s="20" t="str">
        <x:v>Compute</x:v>
      </x:c>
      <x:c r="B169" s="65" t="n">
        <x:v>45496</x:v>
      </x:c>
      <x:c r="C169" s="20" t="str">
        <x:v>Llama 3.1-405B</x:v>
      </x:c>
      <x:c r="D169" s="20" t="str">
        <x:v>meta_ai</x:v>
      </x:c>
      <x:c r="E169" s="68" t="n">
        <x:v>405</x:v>
      </x:c>
      <x:c r="F169" s="68" t="n">
        <x:v>187.4906287736777</x:v>
      </x:c>
      <x:c r="G169" s="29" t="n">
        <x:f>MAX(F169/E169,E169/F169)</x:f>
        <x:v>2.1601079619231562</x:v>
      </x:c>
      <x:c r="H169" s="29" t="n">
        <x:f>F169/E169</x:f>
        <x:v>0.46293982413253754</x:v>
      </x:c>
      <x:c r="I169" s="26" t="n">
        <x:v>169</x:v>
      </x:c>
      <x:c r="J169" s="26" t="n">
        <x:v>86</x:v>
      </x:c>
      <x:c r="K169" s="65" t="n">
        <x:v>45493</x:v>
      </x:c>
      <x:c r="L169" s="32" t="n">
        <x:v>1</x:v>
      </x:c>
      <x:c r="M169" s="26" t="n">
        <x:v>1</x:v>
      </x:c>
    </x:row>
    <x:row r="170">
      <x:c r="A170" s="20" t="str">
        <x:v>Compute</x:v>
      </x:c>
      <x:c r="B170" s="65" t="n">
        <x:v>45496</x:v>
      </x:c>
      <x:c r="C170" s="20" t="str">
        <x:v>Llama 3.1-70B</x:v>
      </x:c>
      <x:c r="D170" s="20" t="str">
        <x:v>meta_ai</x:v>
      </x:c>
      <x:c r="E170" s="68" t="n">
        <x:v>70</x:v>
      </x:c>
      <x:c r="F170" s="68" t="n">
        <x:v>90.4768117170123</x:v>
      </x:c>
      <x:c r="G170" s="29" t="n">
        <x:f>MAX(F170/E170,E170/F170)</x:f>
        <x:v>1.2925258816716043</x:v>
      </x:c>
      <x:c r="H170" s="29" t="n">
        <x:f>F170/E170</x:f>
        <x:v>1.2925258816716043</x:v>
      </x:c>
      <x:c r="I170" s="26" t="n">
        <x:v>169</x:v>
      </x:c>
      <x:c r="J170" s="26" t="n">
        <x:v>86</x:v>
      </x:c>
      <x:c r="K170" s="65" t="n">
        <x:v>45493</x:v>
      </x:c>
      <x:c r="L170" s="32" t="n">
        <x:v>0.9945652173913043</x:v>
      </x:c>
      <x:c r="M170" s="26" t="n">
        <x:v>1</x:v>
      </x:c>
    </x:row>
    <x:row r="171">
      <x:c r="A171" s="20" t="str">
        <x:v>Compute</x:v>
      </x:c>
      <x:c r="B171" s="65" t="n">
        <x:v>45496</x:v>
      </x:c>
      <x:c r="C171" s="20" t="str">
        <x:v>Llama 3.1-8B</x:v>
      </x:c>
      <x:c r="D171" s="20" t="str">
        <x:v>meta_ai</x:v>
      </x:c>
      <x:c r="E171" s="68" t="n">
        <x:v>8</x:v>
      </x:c>
      <x:c r="F171" s="68" t="n">
        <x:v>37.95277729710748</x:v>
      </x:c>
      <x:c r="G171" s="29" t="n">
        <x:f>MAX(F171/E171,E171/F171)</x:f>
        <x:v>4.744097162138435</x:v>
      </x:c>
      <x:c r="H171" s="29" t="n">
        <x:f>F171/E171</x:f>
        <x:v>4.744097162138435</x:v>
      </x:c>
      <x:c r="I171" s="26" t="n">
        <x:v>169</x:v>
      </x:c>
      <x:c r="J171" s="26" t="n">
        <x:v>86</x:v>
      </x:c>
      <x:c r="K171" s="65" t="n">
        <x:v>45493</x:v>
      </x:c>
      <x:c r="L171" s="32" t="n">
        <x:v>0.9347826086956522</x:v>
      </x:c>
      <x:c r="M171" s="26" t="n">
        <x:v>1</x:v>
      </x:c>
    </x:row>
    <x:row r="172">
      <x:c r="A172" s="20" t="str">
        <x:v>Compute</x:v>
      </x:c>
      <x:c r="B172" s="65" t="n">
        <x:v>45511</x:v>
      </x:c>
      <x:c r="C172" s="20" t="str">
        <x:v>EXAONE 3.0</x:v>
      </x:c>
      <x:c r="D172" s="20" t="str">
        <x:v>lg_ai_research</x:v>
      </x:c>
      <x:c r="E172" s="68" t="n">
        <x:v>7.82</x:v>
      </x:c>
      <x:c r="F172" s="68" t="n">
        <x:v>22.037630076707828</x:v>
      </x:c>
      <x:c r="G172" s="29" t="n">
        <x:f>MAX(F172/E172,E172/F172)</x:f>
        <x:v>2.818111263006116</x:v>
      </x:c>
      <x:c r="H172" s="29" t="n">
        <x:f>F172/E172</x:f>
        <x:v>2.818111263006116</x:v>
      </x:c>
      <x:c r="I172" s="26" t="n">
        <x:v>187</x:v>
      </x:c>
      <x:c r="J172" s="26" t="n">
        <x:v>87</x:v>
      </x:c>
      <x:c r="K172" s="65" t="n">
        <x:v>45496</x:v>
      </x:c>
      <x:c r="L172" s="32" t="n">
        <x:v>0.8449197860962567</x:v>
      </x:c>
      <x:c r="M172" s="26" t="n">
        <x:v>1</x:v>
      </x:c>
    </x:row>
    <x:row r="173">
      <x:c r="A173" s="20" t="str">
        <x:v>Compute</x:v>
      </x:c>
      <x:c r="B173" s="65" t="n">
        <x:v>45516</x:v>
      </x:c>
      <x:c r="C173" s="20" t="str">
        <x:v>Falcon Mamba</x:v>
      </x:c>
      <x:c r="D173" s="20" t="str">
        <x:v>technology_innovation_institute</x:v>
      </x:c>
      <x:c r="E173" s="68" t="n">
        <x:v>7</x:v>
      </x:c>
      <x:c r="F173" s="68" t="n">
        <x:v>20.94091950213729</x:v>
      </x:c>
      <x:c r="G173" s="29" t="n">
        <x:f>MAX(F173/E173,E173/F173)</x:f>
        <x:v>2.991559928876756</x:v>
      </x:c>
      <x:c r="H173" s="29" t="n">
        <x:f>F173/E173</x:f>
        <x:v>2.991559928876756</x:v>
      </x:c>
      <x:c r="I173" s="26" t="n">
        <x:v>184</x:v>
      </x:c>
      <x:c r="J173" s="26" t="n">
        <x:v>87</x:v>
      </x:c>
      <x:c r="K173" s="65" t="n">
        <x:v>45511</x:v>
      </x:c>
      <x:c r="L173" s="32" t="n">
        <x:v>0.8351063829787234</x:v>
      </x:c>
      <x:c r="M173" s="26" t="n">
        <x:v>1</x:v>
      </x:c>
    </x:row>
    <x:row r="174">
      <x:c r="A174" s="20" t="str">
        <x:v>Compute</x:v>
      </x:c>
      <x:c r="B174" s="65" t="n">
        <x:v>45530</x:v>
      </x:c>
      <x:c r="C174" s="20" t="str">
        <x:v>Pharia-1-LLM-7B</x:v>
      </x:c>
      <x:c r="D174" s="20" t="str">
        <x:v>aleph_alpha</x:v>
      </x:c>
      <x:c r="E174" s="68" t="n">
        <x:v>7.041544704</x:v>
      </x:c>
      <x:c r="F174" s="68" t="n">
        <x:v>21.597030177224486</x:v>
      </x:c>
      <x:c r="G174" s="29" t="n">
        <x:f>MAX(F174/E174,E174/F174)</x:f>
        <x:v>3.0670869937041143</x:v>
      </x:c>
      <x:c r="H174" s="29" t="n">
        <x:f>F174/E174</x:f>
        <x:v>3.0670869937041143</x:v>
      </x:c>
      <x:c r="I174" s="26" t="n">
        <x:v>189</x:v>
      </x:c>
      <x:c r="J174" s="26" t="n">
        <x:v>88</x:v>
      </x:c>
      <x:c r="K174" s="65" t="n">
        <x:v>45516</x:v>
      </x:c>
      <x:c r="L174" s="32" t="n">
        <x:v>0.873015873015873</x:v>
      </x:c>
      <x:c r="M174" s="26" t="n">
        <x:v>1</x:v>
      </x:c>
    </x:row>
    <x:row r="175">
      <x:c r="A175" s="20" t="str">
        <x:v>Compute</x:v>
      </x:c>
      <x:c r="B175" s="65" t="n">
        <x:v>45531</x:v>
      </x:c>
      <x:c r="C175" s="20" t="str">
        <x:v>GLA Transformer 1.3B</x:v>
      </x:c>
      <x:c r="D175" s="20" t="str">
        <x:v>mit_ibm_watson_ai_lab_massachusetts_institute_of_technology_mit</x:v>
      </x:c>
      <x:c r="E175" s="68" t="n">
        <x:v>1.3</x:v>
      </x:c>
      <x:c r="F175" s="68" t="n">
        <x:v>1.1014132979584332</x:v>
      </x:c>
      <x:c r="G175" s="29" t="n">
        <x:f>MAX(F175/E175,E175/F175)</x:f>
        <x:v>1.1803017109105771</x:v>
      </x:c>
      <x:c r="H175" s="29" t="n">
        <x:f>F175/E175</x:f>
        <x:v>0.847240998429564</x:v>
      </x:c>
      <x:c r="I175" s="26" t="n">
        <x:v>190</x:v>
      </x:c>
      <x:c r="J175" s="26" t="n">
        <x:v>89</x:v>
      </x:c>
      <x:c r="K175" s="65" t="n">
        <x:v>45530</x:v>
      </x:c>
      <x:c r="L175" s="32" t="n">
        <x:v>0.08947368421052632</x:v>
      </x:c>
      <x:c r="M175" s="26" t="n">
        <x:v>1</x:v>
      </x:c>
    </x:row>
    <x:row r="176">
      <x:c r="A176" s="20" t="str">
        <x:v>Compute</x:v>
      </x:c>
      <x:c r="B176" s="65" t="n">
        <x:v>45531</x:v>
      </x:c>
      <x:c r="C176" s="20" t="str">
        <x:v>GLA Transformer 340M</x:v>
      </x:c>
      <x:c r="D176" s="20" t="str">
        <x:v>mit_ibm_watson_ai_lab_massachusetts_institute_of_technology_mit</x:v>
      </x:c>
      <x:c r="E176" s="68" t="n">
        <x:v>0.34</x:v>
      </x:c>
      <x:c r="F176" s="68" t="n">
        <x:v>0.24688326594354665</x:v>
      </x:c>
      <x:c r="G176" s="29" t="n">
        <x:f>MAX(F176/E176,E176/F176)</x:f>
        <x:v>1.377169079081066</x:v>
      </x:c>
      <x:c r="H176" s="29" t="n">
        <x:f>F176/E176</x:f>
        <x:v>0.7261272527751371</x:v>
      </x:c>
      <x:c r="I176" s="26" t="n">
        <x:v>190</x:v>
      </x:c>
      <x:c r="J176" s="26" t="n">
        <x:v>89</x:v>
      </x:c>
      <x:c r="K176" s="65" t="n">
        <x:v>45530</x:v>
      </x:c>
      <x:c r="L176" s="32" t="n">
        <x:v>0.02631578947368421</x:v>
      </x:c>
      <x:c r="M176" s="26" t="n">
        <x:v>1</x:v>
      </x:c>
    </x:row>
    <x:row r="177">
      <x:c r="A177" s="20" t="str">
        <x:v>Compute</x:v>
      </x:c>
      <x:c r="B177" s="65" t="n">
        <x:v>45538</x:v>
      </x:c>
      <x:c r="C177" s="20" t="str">
        <x:v>OLMoE</x:v>
      </x:c>
      <x:c r="D177" s="20" t="str">
        <x:v>allen_institute_for_ai_contextual_ai_university_of_washington_princeton_university</x:v>
      </x:c>
      <x:c r="E177" s="68" t="n">
        <x:v>7</x:v>
      </x:c>
      <x:c r="F177" s="68" t="n">
        <x:v>7.676252975884106</x:v>
      </x:c>
      <x:c r="G177" s="29" t="n">
        <x:f>MAX(F177/E177,E177/F177)</x:f>
        <x:v>1.0966075679834437</x:v>
      </x:c>
      <x:c r="H177" s="29" t="n">
        <x:f>F177/E177</x:f>
        <x:v>1.0966075679834437</x:v>
      </x:c>
      <x:c r="I177" s="26" t="n">
        <x:v>192</x:v>
      </x:c>
      <x:c r="J177" s="26" t="n">
        <x:v>90</x:v>
      </x:c>
      <x:c r="K177" s="65" t="n">
        <x:v>45531</x:v>
      </x:c>
      <x:c r="L177" s="32" t="n">
        <x:v>0.4427083333333333</x:v>
      </x:c>
      <x:c r="M177" s="26" t="n">
        <x:v>1</x:v>
      </x:c>
    </x:row>
    <x:row r="178">
      <x:c r="A178" s="20" t="str">
        <x:v>Compute</x:v>
      </x:c>
      <x:c r="B178" s="65" t="n">
        <x:v>45541</x:v>
      </x:c>
      <x:c r="C178" s="20" t="str">
        <x:v>DeepSeek-V2.5</x:v>
      </x:c>
      <x:c r="D178" s="20" t="str">
        <x:v>deepseek</x:v>
      </x:c>
      <x:c r="E178" s="68" t="n">
        <x:v>236</x:v>
      </x:c>
      <x:c r="F178" s="68" t="n">
        <x:v>37.87410310390356</x:v>
      </x:c>
      <x:c r="G178" s="29" t="n">
        <x:f>MAX(F178/E178,E178/F178)</x:f>
        <x:v>6.2311706590796145</x:v>
      </x:c>
      <x:c r="H178" s="29" t="n">
        <x:f>F178/E178</x:f>
        <x:v>0.1604834877284049</x:v>
      </x:c>
      <x:c r="I178" s="26" t="n">
        <x:v>189</x:v>
      </x:c>
      <x:c r="J178" s="26" t="n">
        <x:v>90</x:v>
      </x:c>
      <x:c r="K178" s="65" t="n">
        <x:v>45538</x:v>
      </x:c>
      <x:c r="L178" s="32" t="n">
        <x:v>0.9481865284974094</x:v>
      </x:c>
      <x:c r="M178" s="26" t="n">
        <x:v>1</x:v>
      </x:c>
    </x:row>
    <x:row r="179">
      <x:c r="A179" s="20" t="str">
        <x:v>Compute</x:v>
      </x:c>
      <x:c r="B179" s="65" t="n">
        <x:v>45552</x:v>
      </x:c>
      <x:c r="C179" s="20" t="str">
        <x:v>Qwen2.5-32B</x:v>
      </x:c>
      <x:c r="D179" s="20" t="str">
        <x:v>alibaba</x:v>
      </x:c>
      <x:c r="E179" s="68" t="n">
        <x:v>32.5</x:v>
      </x:c>
      <x:c r="F179" s="68" t="n">
        <x:v>53.72388850833528</x:v>
      </x:c>
      <x:c r="G179" s="29" t="n">
        <x:f>MAX(F179/E179,E179/F179)</x:f>
        <x:v>1.653042723333393</x:v>
      </x:c>
      <x:c r="H179" s="29" t="n">
        <x:f>F179/E179</x:f>
        <x:v>1.653042723333393</x:v>
      </x:c>
      <x:c r="I179" s="26" t="n">
        <x:v>183</x:v>
      </x:c>
      <x:c r="J179" s="26" t="n">
        <x:v>90</x:v>
      </x:c>
      <x:c r="K179" s="65" t="n">
        <x:v>45541</x:v>
      </x:c>
      <x:c r="L179" s="32" t="n">
        <x:v>0.9742268041237113</x:v>
      </x:c>
      <x:c r="M179" s="26" t="n">
        <x:v>1</x:v>
      </x:c>
    </x:row>
    <x:row r="180">
      <x:c r="A180" s="20" t="str">
        <x:v>Compute</x:v>
      </x:c>
      <x:c r="B180" s="65" t="n">
        <x:v>45553</x:v>
      </x:c>
      <x:c r="C180" s="20" t="str">
        <x:v>Qwen2-VL-2B</x:v>
      </x:c>
      <x:c r="D180" s="20" t="str">
        <x:v>alibaba</x:v>
      </x:c>
      <x:c r="E180" s="68" t="n">
        <x:v>2</x:v>
      </x:c>
      <x:c r="F180" s="68" t="n">
        <x:v>4.602842077264865</x:v>
      </x:c>
      <x:c r="G180" s="29" t="n">
        <x:f>MAX(F180/E180,E180/F180)</x:f>
        <x:v>2.3014210386324323</x:v>
      </x:c>
      <x:c r="H180" s="29" t="n">
        <x:f>F180/E180</x:f>
        <x:v>2.3014210386324323</x:v>
      </x:c>
      <x:c r="I180" s="26" t="n">
        <x:v>183</x:v>
      </x:c>
      <x:c r="J180" s="26" t="n">
        <x:v>90</x:v>
      </x:c>
      <x:c r="K180" s="65" t="n">
        <x:v>45541</x:v>
      </x:c>
      <x:c r="L180" s="32" t="n">
        <x:v>0.27692307692307694</x:v>
      </x:c>
      <x:c r="M180" s="26" t="n">
        <x:v>1</x:v>
      </x:c>
    </x:row>
    <x:row r="181">
      <x:c r="A181" s="20" t="str">
        <x:v>Compute</x:v>
      </x:c>
      <x:c r="B181" s="65" t="n">
        <x:v>45553</x:v>
      </x:c>
      <x:c r="C181" s="20" t="str">
        <x:v>Qwen2-VL-72B</x:v>
      </x:c>
      <x:c r="D181" s="20" t="str">
        <x:v>alibaba</x:v>
      </x:c>
      <x:c r="E181" s="68" t="n">
        <x:v>72</x:v>
      </x:c>
      <x:c r="F181" s="68" t="n">
        <x:v>23.911671015411358</x:v>
      </x:c>
      <x:c r="G181" s="29" t="n">
        <x:f>MAX(F181/E181,E181/F181)</x:f>
        <x:v>3.011081908645997</x:v>
      </x:c>
      <x:c r="H181" s="29" t="n">
        <x:f>F181/E181</x:f>
        <x:v>0.3321065418807133</x:v>
      </x:c>
      <x:c r="I181" s="26" t="n">
        <x:v>183</x:v>
      </x:c>
      <x:c r="J181" s="26" t="n">
        <x:v>90</x:v>
      </x:c>
      <x:c r="K181" s="65" t="n">
        <x:v>45541</x:v>
      </x:c>
      <x:c r="L181" s="32" t="n">
        <x:v>0.8769230769230769</x:v>
      </x:c>
      <x:c r="M181" s="26" t="n">
        <x:v>1</x:v>
      </x:c>
    </x:row>
    <x:row r="182">
      <x:c r="A182" s="20" t="str">
        <x:v>Compute</x:v>
      </x:c>
      <x:c r="B182" s="65" t="n">
        <x:v>45553</x:v>
      </x:c>
      <x:c r="C182" s="20" t="str">
        <x:v>Qwen2-VL-7B</x:v>
      </x:c>
      <x:c r="D182" s="20" t="str">
        <x:v>alibaba</x:v>
      </x:c>
      <x:c r="E182" s="68" t="n">
        <x:v>8</x:v>
      </x:c>
      <x:c r="F182" s="68" t="n">
        <x:v>8.706662231693839</x:v>
      </x:c>
      <x:c r="G182" s="29" t="n">
        <x:f>MAX(F182/E182,E182/F182)</x:f>
        <x:v>1.0883327789617299</x:v>
      </x:c>
      <x:c r="H182" s="29" t="n">
        <x:f>F182/E182</x:f>
        <x:v>1.0883327789617299</x:v>
      </x:c>
      <x:c r="I182" s="26" t="n">
        <x:v>183</x:v>
      </x:c>
      <x:c r="J182" s="26" t="n">
        <x:v>90</x:v>
      </x:c>
      <x:c r="K182" s="65" t="n">
        <x:v>45541</x:v>
      </x:c>
      <x:c r="L182" s="32" t="n">
        <x:v>0.49743589743589745</x:v>
      </x:c>
      <x:c r="M182" s="26" t="n">
        <x:v>1</x:v>
      </x:c>
    </x:row>
    <x:row r="183">
      <x:c r="A183" s="20" t="str">
        <x:v>Compute</x:v>
      </x:c>
      <x:c r="B183" s="65" t="n">
        <x:v>45553</x:v>
      </x:c>
      <x:c r="C183" s="20" t="str">
        <x:v>Qwen2.5-Coder (1.5B)</x:v>
      </x:c>
      <x:c r="D183" s="20" t="str">
        <x:v>alibaba</x:v>
      </x:c>
      <x:c r="E183" s="68" t="n">
        <x:v>1.54</x:v>
      </x:c>
      <x:c r="F183" s="68" t="n">
        <x:v>7.657065403761849</x:v>
      </x:c>
      <x:c r="G183" s="29" t="n">
        <x:f>MAX(F183/E183,E183/F183)</x:f>
        <x:v>4.9721203920531485</x:v>
      </x:c>
      <x:c r="H183" s="29" t="n">
        <x:f>F183/E183</x:f>
        <x:v>4.9721203920531485</x:v>
      </x:c>
      <x:c r="I183" s="26" t="n">
        <x:v>183</x:v>
      </x:c>
      <x:c r="J183" s="26" t="n">
        <x:v>90</x:v>
      </x:c>
      <x:c r="K183" s="65" t="n">
        <x:v>45541</x:v>
      </x:c>
      <x:c r="L183" s="32" t="n">
        <x:v>0.4358974358974359</x:v>
      </x:c>
      <x:c r="M183" s="26" t="n">
        <x:v>1</x:v>
      </x:c>
    </x:row>
    <x:row r="184">
      <x:c r="A184" s="20" t="str">
        <x:v>Compute</x:v>
      </x:c>
      <x:c r="B184" s="65" t="n">
        <x:v>45553</x:v>
      </x:c>
      <x:c r="C184" s="20" t="str">
        <x:v>Qwen2.5-Coder (7B)</x:v>
      </x:c>
      <x:c r="D184" s="20" t="str">
        <x:v>alibaba</x:v>
      </x:c>
      <x:c r="E184" s="68" t="n">
        <x:v>7.61</x:v>
      </x:c>
      <x:c r="F184" s="68" t="n">
        <x:v>15.962436930902875</x:v>
      </x:c>
      <x:c r="G184" s="29" t="n">
        <x:f>MAX(F184/E184,E184/F184)</x:f>
        <x:v>2.097560700512861</x:v>
      </x:c>
      <x:c r="H184" s="29" t="n">
        <x:f>F184/E184</x:f>
        <x:v>2.097560700512861</x:v>
      </x:c>
      <x:c r="I184" s="26" t="n">
        <x:v>183</x:v>
      </x:c>
      <x:c r="J184" s="26" t="n">
        <x:v>90</x:v>
      </x:c>
      <x:c r="K184" s="65" t="n">
        <x:v>45541</x:v>
      </x:c>
      <x:c r="L184" s="32" t="n">
        <x:v>0.717948717948718</x:v>
      </x:c>
      <x:c r="M184" s="26" t="n">
        <x:v>1</x:v>
      </x:c>
    </x:row>
    <x:row r="185">
      <x:c r="A185" s="20" t="str">
        <x:v>Compute</x:v>
      </x:c>
      <x:c r="B185" s="65" t="n">
        <x:v>45553</x:v>
      </x:c>
      <x:c r="C185" s="20" t="str">
        <x:v>Qwen2.5-Coder-32B</x:v>
      </x:c>
      <x:c r="D185" s="20" t="str">
        <x:v>alibaba</x:v>
      </x:c>
      <x:c r="E185" s="68" t="n">
        <x:v>32.5</x:v>
      </x:c>
      <x:c r="F185" s="68" t="n">
        <x:v>31.117225192434077</x:v>
      </x:c>
      <x:c r="G185" s="29" t="n">
        <x:f>MAX(F185/E185,E185/F185)</x:f>
        <x:v>1.0444376000435327</x:v>
      </x:c>
      <x:c r="H185" s="29" t="n">
        <x:f>F185/E185</x:f>
        <x:v>0.9574530828441254</x:v>
      </x:c>
      <x:c r="I185" s="26" t="n">
        <x:v>183</x:v>
      </x:c>
      <x:c r="J185" s="26" t="n">
        <x:v>90</x:v>
      </x:c>
      <x:c r="K185" s="65" t="n">
        <x:v>45541</x:v>
      </x:c>
      <x:c r="L185" s="32" t="n">
        <x:v>0.9128205128205128</x:v>
      </x:c>
      <x:c r="M185" s="26" t="n">
        <x:v>1</x:v>
      </x:c>
    </x:row>
    <x:row r="186">
      <x:c r="A186" s="20" t="str">
        <x:v>Compute</x:v>
      </x:c>
      <x:c r="B186" s="65" t="n">
        <x:v>45554</x:v>
      </x:c>
      <x:c r="C186" s="20" t="str">
        <x:v>Qwen2.5-1.5B</x:v>
      </x:c>
      <x:c r="D186" s="20" t="str">
        <x:v>alibaba</x:v>
      </x:c>
      <x:c r="E186" s="68" t="n">
        <x:v>1.54</x:v>
      </x:c>
      <x:c r="F186" s="68" t="n">
        <x:v>13.194841421093038</x:v>
      </x:c>
      <x:c r="G186" s="29" t="n">
        <x:f>MAX(F186/E186,E186/F186)</x:f>
        <x:v>8.568078844865608</x:v>
      </x:c>
      <x:c r="H186" s="29" t="n">
        <x:f>F186/E186</x:f>
        <x:v>8.568078844865608</x:v>
      </x:c>
      <x:c r="I186" s="26" t="n">
        <x:v>183</x:v>
      </x:c>
      <x:c r="J186" s="26" t="n">
        <x:v>90</x:v>
      </x:c>
      <x:c r="K186" s="65" t="n">
        <x:v>45541</x:v>
      </x:c>
      <x:c r="L186" s="32" t="n">
        <x:v>0.6318407960199005</x:v>
      </x:c>
      <x:c r="M186" s="26" t="n">
        <x:v>1</x:v>
      </x:c>
    </x:row>
    <x:row r="187">
      <x:c r="A187" s="20" t="str">
        <x:v>Compute</x:v>
      </x:c>
      <x:c r="B187" s="65" t="n">
        <x:v>45554</x:v>
      </x:c>
      <x:c r="C187" s="20" t="str">
        <x:v>Qwen2.5-14B</x:v>
      </x:c>
      <x:c r="D187" s="20" t="str">
        <x:v>alibaba</x:v>
      </x:c>
      <x:c r="E187" s="68" t="n">
        <x:v>14.7</x:v>
      </x:c>
      <x:c r="F187" s="68" t="n">
        <x:v>37.23163568158056</x:v>
      </x:c>
      <x:c r="G187" s="29" t="n">
        <x:f>MAX(F187/E187,E187/F187)</x:f>
        <x:v>2.5327643320803106</x:v>
      </x:c>
      <x:c r="H187" s="29" t="n">
        <x:f>F187/E187</x:f>
        <x:v>2.5327643320803106</x:v>
      </x:c>
      <x:c r="I187" s="26" t="n">
        <x:v>183</x:v>
      </x:c>
      <x:c r="J187" s="26" t="n">
        <x:v>90</x:v>
      </x:c>
      <x:c r="K187" s="65" t="n">
        <x:v>45541</x:v>
      </x:c>
      <x:c r="L187" s="32" t="n">
        <x:v>0.9353233830845771</x:v>
      </x:c>
      <x:c r="M187" s="26" t="n">
        <x:v>1</x:v>
      </x:c>
    </x:row>
    <x:row r="188">
      <x:c r="A188" s="20" t="str">
        <x:v>Compute</x:v>
      </x:c>
      <x:c r="B188" s="65" t="n">
        <x:v>45554</x:v>
      </x:c>
      <x:c r="C188" s="20" t="str">
        <x:v>Qwen2.5-3B</x:v>
      </x:c>
      <x:c r="D188" s="20" t="str">
        <x:v>alibaba</x:v>
      </x:c>
      <x:c r="E188" s="68" t="n">
        <x:v>3.09</x:v>
      </x:c>
      <x:c r="F188" s="68" t="n">
        <x:v>18.17457533227334</x:v>
      </x:c>
      <x:c r="G188" s="29" t="n">
        <x:f>MAX(F188/E188,E188/F188)</x:f>
        <x:v>5.881739589732472</x:v>
      </x:c>
      <x:c r="H188" s="29" t="n">
        <x:f>F188/E188</x:f>
        <x:v>5.881739589732472</x:v>
      </x:c>
      <x:c r="I188" s="26" t="n">
        <x:v>183</x:v>
      </x:c>
      <x:c r="J188" s="26" t="n">
        <x:v>90</x:v>
      </x:c>
      <x:c r="K188" s="65" t="n">
        <x:v>45541</x:v>
      </x:c>
      <x:c r="L188" s="32" t="n">
        <x:v>0.7711442786069652</x:v>
      </x:c>
      <x:c r="M188" s="26" t="n">
        <x:v>1</x:v>
      </x:c>
    </x:row>
    <x:row r="189">
      <x:c r="A189" s="20" t="str">
        <x:v>Compute</x:v>
      </x:c>
      <x:c r="B189" s="65" t="n">
        <x:v>45554</x:v>
      </x:c>
      <x:c r="C189" s="20" t="str">
        <x:v>Qwen2.5-72B</x:v>
      </x:c>
      <x:c r="D189" s="20" t="str">
        <x:v>alibaba</x:v>
      </x:c>
      <x:c r="E189" s="68" t="n">
        <x:v>72.7</x:v>
      </x:c>
      <x:c r="F189" s="68" t="n">
        <x:v>77.40957227109604</x:v>
      </x:c>
      <x:c r="G189" s="29" t="n">
        <x:f>MAX(F189/E189,E189/F189)</x:f>
        <x:v>1.0647809115694091</x:v>
      </x:c>
      <x:c r="H189" s="29" t="n">
        <x:f>F189/E189</x:f>
        <x:v>1.0647809115694091</x:v>
      </x:c>
      <x:c r="I189" s="26" t="n">
        <x:v>183</x:v>
      </x:c>
      <x:c r="J189" s="26" t="n">
        <x:v>90</x:v>
      </x:c>
      <x:c r="K189" s="65" t="n">
        <x:v>45541</x:v>
      </x:c>
      <x:c r="L189" s="32" t="n">
        <x:v>0.9800995024875622</x:v>
      </x:c>
      <x:c r="M189" s="26" t="n">
        <x:v>1</x:v>
      </x:c>
    </x:row>
    <x:row r="190">
      <x:c r="A190" s="20" t="str">
        <x:v>Compute</x:v>
      </x:c>
      <x:c r="B190" s="65" t="n">
        <x:v>45554</x:v>
      </x:c>
      <x:c r="C190" s="20" t="str">
        <x:v>Qwen2.5-7B</x:v>
      </x:c>
      <x:c r="D190" s="20" t="str">
        <x:v>alibaba</x:v>
      </x:c>
      <x:c r="E190" s="68" t="n">
        <x:v>7.61</x:v>
      </x:c>
      <x:c r="F190" s="68" t="n">
        <x:v>27.506859729053097</x:v>
      </x:c>
      <x:c r="G190" s="29" t="n">
        <x:f>MAX(F190/E190,E190/F190)</x:f>
        <x:v>3.6145676385089485</x:v>
      </x:c>
      <x:c r="H190" s="29" t="n">
        <x:f>F190/E190</x:f>
        <x:v>3.6145676385089485</x:v>
      </x:c>
      <x:c r="I190" s="26" t="n">
        <x:v>183</x:v>
      </x:c>
      <x:c r="J190" s="26" t="n">
        <x:v>90</x:v>
      </x:c>
      <x:c r="K190" s="65" t="n">
        <x:v>45541</x:v>
      </x:c>
      <x:c r="L190" s="32" t="n">
        <x:v>0.9054726368159204</x:v>
      </x:c>
      <x:c r="M190" s="26" t="n">
        <x:v>1</x:v>
      </x:c>
    </x:row>
    <x:row r="191">
      <x:c r="A191" s="20" t="str">
        <x:v>Compute</x:v>
      </x:c>
      <x:c r="B191" s="65" t="n">
        <x:v>45555</x:v>
      </x:c>
      <x:c r="C191" s="20" t="str">
        <x:v>Telechat2-115B</x:v>
      </x:c>
      <x:c r="D191" s="20" t="str">
        <x:v>china_telecom</x:v>
      </x:c>
      <x:c r="E191" s="68" t="n">
        <x:v>115</x:v>
      </x:c>
      <x:c r="F191" s="68" t="n">
        <x:v>71.56474902440824</x:v>
      </x:c>
      <x:c r="G191" s="29" t="n">
        <x:f>MAX(F191/E191,E191/F191)</x:f>
        <x:v>1.6069363977057687</x:v>
      </x:c>
      <x:c r="H191" s="29" t="n">
        <x:f>F191/E191</x:f>
        <x:v>0.6223021654296369</x:v>
      </x:c>
      <x:c r="I191" s="26" t="n">
        <x:v>204</x:v>
      </x:c>
      <x:c r="J191" s="26" t="n">
        <x:v>90</x:v>
      </x:c>
      <x:c r="K191" s="65" t="n">
        <x:v>45554</x:v>
      </x:c>
      <x:c r="L191" s="32" t="n">
        <x:v>0.9757281553398058</x:v>
      </x:c>
      <x:c r="M191" s="26" t="n">
        <x:v>1</x:v>
      </x:c>
    </x:row>
    <x:row r="192">
      <x:c r="A192" s="20" t="str">
        <x:v>Compute</x:v>
      </x:c>
      <x:c r="B192" s="65" t="n">
        <x:v>45559</x:v>
      </x:c>
      <x:c r="C192" s="20" t="str">
        <x:v>Llama 3.2 1B</x:v>
      </x:c>
      <x:c r="D192" s="20" t="str">
        <x:v>meta_ai</x:v>
      </x:c>
      <x:c r="E192" s="68" t="n">
        <x:v>1.23</x:v>
      </x:c>
      <x:c r="F192" s="68" t="n">
        <x:v>8.579252796620453</x:v>
      </x:c>
      <x:c r="G192" s="29" t="n">
        <x:f>MAX(F192/E192,E192/F192)</x:f>
        <x:v>6.975002273675165</x:v>
      </x:c>
      <x:c r="H192" s="29" t="n">
        <x:f>F192/E192</x:f>
        <x:v>6.975002273675165</x:v>
      </x:c>
      <x:c r="I192" s="26" t="n">
        <x:v>189</x:v>
      </x:c>
      <x:c r="J192" s="26" t="n">
        <x:v>90</x:v>
      </x:c>
      <x:c r="K192" s="65" t="n">
        <x:v>45555</x:v>
      </x:c>
      <x:c r="L192" s="32" t="n">
        <x:v>0.4782608695652174</x:v>
      </x:c>
      <x:c r="M192" s="26" t="n">
        <x:v>1</x:v>
      </x:c>
    </x:row>
    <x:row r="193">
      <x:c r="A193" s="20" t="str">
        <x:v>Compute</x:v>
      </x:c>
      <x:c r="B193" s="65" t="n">
        <x:v>45559</x:v>
      </x:c>
      <x:c r="C193" s="20" t="str">
        <x:v>Llama 3.2 3B</x:v>
      </x:c>
      <x:c r="D193" s="20" t="str">
        <x:v>meta_ai</x:v>
      </x:c>
      <x:c r="E193" s="68" t="n">
        <x:v>3.21</x:v>
      </x:c>
      <x:c r="F193" s="68" t="n">
        <x:v>13.330488273578204</x:v>
      </x:c>
      <x:c r="G193" s="29" t="n">
        <x:f>MAX(F193/E193,E193/F193)</x:f>
        <x:v>4.152800085226855</x:v>
      </x:c>
      <x:c r="H193" s="29" t="n">
        <x:f>F193/E193</x:f>
        <x:v>4.152800085226855</x:v>
      </x:c>
      <x:c r="I193" s="26" t="n">
        <x:v>189</x:v>
      </x:c>
      <x:c r="J193" s="26" t="n">
        <x:v>90</x:v>
      </x:c>
      <x:c r="K193" s="65" t="n">
        <x:v>45555</x:v>
      </x:c>
      <x:c r="L193" s="32" t="n">
        <x:v>0.6280193236714976</x:v>
      </x:c>
      <x:c r="M193" s="26" t="n">
        <x:v>1</x:v>
      </x:c>
    </x:row>
    <x:row r="194">
      <x:c r="A194" s="20" t="str">
        <x:v>Compute</x:v>
      </x:c>
      <x:c r="B194" s="65" t="n">
        <x:v>45561</x:v>
      </x:c>
      <x:c r="C194" s="20" t="str">
        <x:v>RWKV-5 (Eagle) 7B</x:v>
      </x:c>
      <x:c r="D194" s="20" t="str">
        <x:v>rwkv_foundation_eleutherai_ohio_state_university_university_of_california_santa_barbara_ucsb_wroclaw_tech_wroc_aw_university_of_science_and_technology_guangdong_laboratory_of_artificial_intelligence_and_digital_economy_pazhou_lab_new_york_university_nyu_harvard_university_contextual_ai_university_of_chinese_academy_of_sciences_university_of_california_santa_cruz_tsinghua_university_university_of_edinburgh_university_of_british_columbia_ubc_pennsylvania_state_university</x:v>
      </x:c>
      <x:c r="E194" s="68" t="n">
        <x:v>7.52</x:v>
      </x:c>
      <x:c r="F194" s="68" t="n">
        <x:v>7.368093930796982</x:v>
      </x:c>
      <x:c r="G194" s="29" t="n">
        <x:f>MAX(F194/E194,E194/F194)</x:f>
        <x:v>1.0206167389598664</x:v>
      </x:c>
      <x:c r="H194" s="29" t="n">
        <x:f>F194/E194</x:f>
        <x:v>0.9797997248400242</x:v>
      </x:c>
      <x:c r="I194" s="26" t="n">
        <x:v>209</x:v>
      </x:c>
      <x:c r="J194" s="26" t="n">
        <x:v>91</x:v>
      </x:c>
      <x:c r="K194" s="65" t="n">
        <x:v>45559</x:v>
      </x:c>
      <x:c r="L194" s="32" t="n">
        <x:v>0.4019138755980861</x:v>
      </x:c>
      <x:c r="M194" s="26" t="n">
        <x:v>1</x:v>
      </x:c>
    </x:row>
    <x:row r="195">
      <x:c r="A195" s="20" t="str">
        <x:v>Compute</x:v>
      </x:c>
      <x:c r="B195" s="65" t="n">
        <x:v>45561</x:v>
      </x:c>
      <x:c r="C195" s="20" t="str">
        <x:v>RWKV-6 (Finch) 3B</x:v>
      </x:c>
      <x:c r="D195" s="20" t="str">
        <x:v>rwkv_foundation_eleutherai_ohio_state_university_university_of_california_santa_barbara_ucsb_wroclaw_tech_wroc_aw_university_of_science_and_technology_guangdong_laboratory_of_artificial_intelligence_and_digital_economy_pazhou_lab_new_york_university_nyu_harvard_university_contextual_ai_university_of_chinese_academy_of_sciences_university_of_california_santa_cruz_tsinghua_university_university_of_edinburgh_university_of_british_columbia_ubc_pennsylvania_state_university</x:v>
      </x:c>
      <x:c r="E195" s="68" t="n">
        <x:v>3.1</x:v>
      </x:c>
      <x:c r="F195" s="68" t="n">
        <x:v>4.9427658838471</x:v>
      </x:c>
      <x:c r="G195" s="29" t="n">
        <x:f>MAX(F195/E195,E195/F195)</x:f>
        <x:v>1.594440607692613</x:v>
      </x:c>
      <x:c r="H195" s="29" t="n">
        <x:f>F195/E195</x:f>
        <x:v>1.594440607692613</x:v>
      </x:c>
      <x:c r="I195" s="26" t="n">
        <x:v>209</x:v>
      </x:c>
      <x:c r="J195" s="26" t="n">
        <x:v>91</x:v>
      </x:c>
      <x:c r="K195" s="65" t="n">
        <x:v>45559</x:v>
      </x:c>
      <x:c r="L195" s="32" t="n">
        <x:v>0.2822966507177033</x:v>
      </x:c>
      <x:c r="M195" s="26" t="n">
        <x:v>1</x:v>
      </x:c>
    </x:row>
    <x:row r="196">
      <x:c r="A196" s="20" t="str">
        <x:v>Compute</x:v>
      </x:c>
      <x:c r="B196" s="65" t="n">
        <x:v>45573</x:v>
      </x:c>
      <x:c r="C196" s="20" t="str">
        <x:v>Aria</x:v>
      </x:c>
      <x:c r="D196" s="20" t="str">
        <x:v>rhymes_ai</x:v>
      </x:c>
      <x:c r="E196" s="68" t="n">
        <x:v>24.9</x:v>
      </x:c>
      <x:c r="F196" s="68" t="n">
        <x:v>11.721410816703555</x:v>
      </x:c>
      <x:c r="G196" s="29" t="n">
        <x:f>MAX(F196/E196,E196/F196)</x:f>
        <x:v>2.1243176601673532</x:v>
      </x:c>
      <x:c r="H196" s="29" t="n">
        <x:f>F196/E196</x:f>
        <x:v>0.4707393902290585</x:v>
      </x:c>
      <x:c r="I196" s="26" t="n">
        <x:v>211</x:v>
      </x:c>
      <x:c r="J196" s="26" t="n">
        <x:v>92</x:v>
      </x:c>
      <x:c r="K196" s="65" t="n">
        <x:v>45561</x:v>
      </x:c>
      <x:c r="L196" s="32" t="n">
        <x:v>0.6066350710900474</x:v>
      </x:c>
      <x:c r="M196" s="26" t="n">
        <x:v>1</x:v>
      </x:c>
    </x:row>
    <x:row r="197">
      <x:c r="A197" s="20" t="str">
        <x:v>Compute</x:v>
      </x:c>
      <x:c r="B197" s="65" t="n">
        <x:v>45586</x:v>
      </x:c>
      <x:c r="C197" s="20" t="str">
        <x:v>Granite 3.0 2B</x:v>
      </x:c>
      <x:c r="D197" s="20" t="str">
        <x:v>ibm</x:v>
      </x:c>
      <x:c r="E197" s="68" t="n">
        <x:v>2.5</x:v>
      </x:c>
      <x:c r="F197" s="68" t="n">
        <x:v>13.265540765303864</x:v>
      </x:c>
      <x:c r="G197" s="29" t="n">
        <x:f>MAX(F197/E197,E197/F197)</x:f>
        <x:v>5.306216306121546</x:v>
      </x:c>
      <x:c r="H197" s="29" t="n">
        <x:f>F197/E197</x:f>
        <x:v>5.306216306121546</x:v>
      </x:c>
      <x:c r="I197" s="26" t="n">
        <x:v>212</x:v>
      </x:c>
      <x:c r="J197" s="26" t="n">
        <x:v>93</x:v>
      </x:c>
      <x:c r="K197" s="65" t="n">
        <x:v>45573</x:v>
      </x:c>
      <x:c r="L197" s="32" t="n">
        <x:v>0.6462264150943396</x:v>
      </x:c>
      <x:c r="M197" s="26" t="n">
        <x:v>1</x:v>
      </x:c>
    </x:row>
    <x:row r="198">
      <x:c r="A198" s="20" t="str">
        <x:v>Compute</x:v>
      </x:c>
      <x:c r="B198" s="65" t="n">
        <x:v>45586</x:v>
      </x:c>
      <x:c r="C198" s="20" t="str">
        <x:v>Granite 3.0 8B</x:v>
      </x:c>
      <x:c r="D198" s="20" t="str">
        <x:v>ibm</x:v>
      </x:c>
      <x:c r="E198" s="68" t="n">
        <x:v>8.1</x:v>
      </x:c>
      <x:c r="F198" s="68" t="n">
        <x:v>22.815476670411293</x:v>
      </x:c>
      <x:c r="G198" s="29" t="n">
        <x:f>MAX(F198/E198,E198/F198)</x:f>
        <x:v>2.816725514865592</x:v>
      </x:c>
      <x:c r="H198" s="29" t="n">
        <x:f>F198/E198</x:f>
        <x:v>2.816725514865592</x:v>
      </x:c>
      <x:c r="I198" s="26" t="n">
        <x:v>212</x:v>
      </x:c>
      <x:c r="J198" s="26" t="n">
        <x:v>93</x:v>
      </x:c>
      <x:c r="K198" s="65" t="n">
        <x:v>45573</x:v>
      </x:c>
      <x:c r="L198" s="32" t="n">
        <x:v>0.8584905660377359</x:v>
      </x:c>
      <x:c r="M198" s="26" t="n">
        <x:v>1</x:v>
      </x:c>
    </x:row>
    <x:row r="199">
      <x:c r="A199" s="20" t="str">
        <x:v>Compute</x:v>
      </x:c>
      <x:c r="B199" s="65" t="n">
        <x:v>45589</x:v>
      </x:c>
      <x:c r="C199" s="20" t="str">
        <x:v>Aya Expanse 32B</x:v>
      </x:c>
      <x:c r="D199" s="20" t="str">
        <x:v>cohere_for_ai</x:v>
      </x:c>
      <x:c r="E199" s="68" t="n">
        <x:v>32.3</x:v>
      </x:c>
      <x:c r="F199" s="68" t="n">
        <x:v>2.756827793171245</x:v>
      </x:c>
      <x:c r="G199" s="29" t="n">
        <x:f>MAX(F199/E199,E199/F199)</x:f>
        <x:v>11.716364758077447</x:v>
      </x:c>
      <x:c r="H199" s="29" t="n">
        <x:f>F199/E199</x:f>
        <x:v>0.08535070567093639</x:v>
      </x:c>
      <x:c r="I199" s="26" t="n">
        <x:v>214</x:v>
      </x:c>
      <x:c r="J199" s="26" t="n">
        <x:v>94</x:v>
      </x:c>
      <x:c r="K199" s="65" t="n">
        <x:v>45586</x:v>
      </x:c>
      <x:c r="L199" s="32" t="n">
        <x:v>0.17289719626168223</x:v>
      </x:c>
      <x:c r="M199" s="26" t="n">
        <x:v>1</x:v>
      </x:c>
    </x:row>
    <x:row r="200">
      <x:c r="A200" s="20" t="str">
        <x:v>Compute</x:v>
      </x:c>
      <x:c r="B200" s="65" t="n">
        <x:v>45589</x:v>
      </x:c>
      <x:c r="C200" s="20" t="str">
        <x:v>Aya Expanse 8B</x:v>
      </x:c>
      <x:c r="D200" s="20" t="str">
        <x:v>cohere_for_ai</x:v>
      </x:c>
      <x:c r="E200" s="68" t="n">
        <x:v>8</x:v>
      </x:c>
      <x:c r="F200" s="68" t="n">
        <x:v>1.4508487176291143</x:v>
      </x:c>
      <x:c r="G200" s="29" t="n">
        <x:f>MAX(F200/E200,E200/F200)</x:f>
        <x:v>5.514013902892024</x:v>
      </x:c>
      <x:c r="H200" s="29" t="n">
        <x:f>F200/E200</x:f>
        <x:v>0.18135608970363928</x:v>
      </x:c>
      <x:c r="I200" s="26" t="n">
        <x:v>214</x:v>
      </x:c>
      <x:c r="J200" s="26" t="n">
        <x:v>94</x:v>
      </x:c>
      <x:c r="K200" s="65" t="n">
        <x:v>45586</x:v>
      </x:c>
      <x:c r="L200" s="32" t="n">
        <x:v>0.10747663551401869</x:v>
      </x:c>
      <x:c r="M200" s="26" t="n">
        <x:v>1</x:v>
      </x:c>
    </x:row>
    <x:row r="201">
      <x:c r="A201" s="20" t="str">
        <x:v>Compute</x:v>
      </x:c>
      <x:c r="B201" s="65" t="n">
        <x:v>45602</x:v>
      </x:c>
      <x:c r="C201" s="20" t="str">
        <x:v>Hunyuan-Large</x:v>
      </x:c>
      <x:c r="D201" s="20" t="str">
        <x:v>tencent</x:v>
      </x:c>
      <x:c r="E201" s="68" t="n">
        <x:v>389</x:v>
      </x:c>
      <x:c r="F201" s="68" t="n">
        <x:v>50.70583876366582</x:v>
      </x:c>
      <x:c r="G201" s="29" t="n">
        <x:f>MAX(F201/E201,E201/F201)</x:f>
        <x:v>7.671700330470521</x:v>
      </x:c>
      <x:c r="H201" s="29" t="n">
        <x:f>F201/E201</x:f>
        <x:v>0.13034919990659594</x:v>
      </x:c>
      <x:c r="I201" s="26" t="n">
        <x:v>216</x:v>
      </x:c>
      <x:c r="J201" s="26" t="n">
        <x:v>95</x:v>
      </x:c>
      <x:c r="K201" s="65" t="n">
        <x:v>45589</x:v>
      </x:c>
      <x:c r="L201" s="32" t="n">
        <x:v>0.9629629629629629</x:v>
      </x:c>
      <x:c r="M201" s="26" t="n">
        <x:v>1</x:v>
      </x:c>
    </x:row>
    <x:row r="202">
      <x:c r="A202" s="20" t="str">
        <x:v>Compute</x:v>
      </x:c>
      <x:c r="B202" s="65" t="n">
        <x:v>45618</x:v>
      </x:c>
      <x:c r="C202" s="20" t="str">
        <x:v>Hymba</x:v>
      </x:c>
      <x:c r="D202" s="20" t="str">
        <x:v>nvidia</x:v>
      </x:c>
      <x:c r="E202" s="68" t="n">
        <x:v>1.5</x:v>
      </x:c>
      <x:c r="F202" s="68" t="n">
        <x:v>4.387619648179776</x:v>
      </x:c>
      <x:c r="G202" s="29" t="n">
        <x:f>MAX(F202/E202,E202/F202)</x:f>
        <x:v>2.9250797654531837</x:v>
      </x:c>
      <x:c r="H202" s="29" t="n">
        <x:f>F202/E202</x:f>
        <x:v>2.9250797654531837</x:v>
      </x:c>
      <x:c r="I202" s="26" t="n">
        <x:v>214</x:v>
      </x:c>
      <x:c r="J202" s="26" t="n">
        <x:v>95</x:v>
      </x:c>
      <x:c r="K202" s="65" t="n">
        <x:v>45602</x:v>
      </x:c>
      <x:c r="L202" s="32" t="n">
        <x:v>0.23963133640552994</x:v>
      </x:c>
      <x:c r="M202" s="26" t="n">
        <x:v>1</x:v>
      </x:c>
    </x:row>
    <x:row r="203">
      <x:c r="A203" s="20" t="str">
        <x:v>Compute</x:v>
      </x:c>
      <x:c r="B203" s="65" t="n">
        <x:v>45631</x:v>
      </x:c>
      <x:c r="C203" s="20" t="str">
        <x:v>NVILA 8B</x:v>
      </x:c>
      <x:c r="D203" s="20" t="str">
        <x:v>nvidia_massachusetts_institute_of_technology_mit_university_of_california_uc_berkeley_university_of_california_san_diego_university_of_washington_tsinghua_university</x:v>
      </x:c>
      <x:c r="E203" s="68" t="n">
        <x:v>8</x:v>
      </x:c>
      <x:c r="F203" s="68" t="n">
        <x:v>1.8886388198444544</x:v>
      </x:c>
      <x:c r="G203" s="29" t="n">
        <x:f>MAX(F203/E203,E203/F203)</x:f>
        <x:v>4.235854900334448</x:v>
      </x:c>
      <x:c r="H203" s="29" t="n">
        <x:f>F203/E203</x:f>
        <x:v>0.2360798524805568</x:v>
      </x:c>
      <x:c r="I203" s="26" t="n">
        <x:v>218</x:v>
      </x:c>
      <x:c r="J203" s="26" t="n">
        <x:v>96</x:v>
      </x:c>
      <x:c r="K203" s="65" t="n">
        <x:v>45618</x:v>
      </x:c>
      <x:c r="L203" s="32" t="n">
        <x:v>0.11926605504587157</x:v>
      </x:c>
      <x:c r="M203" s="26" t="n">
        <x:v>1</x:v>
      </x:c>
    </x:row>
    <x:row r="204">
      <x:c r="A204" s="20" t="str">
        <x:v>Compute</x:v>
      </x:c>
      <x:c r="B204" s="65" t="n">
        <x:v>45631</x:v>
      </x:c>
      <x:c r="C204" s="20" t="str">
        <x:v>Pleias 1.0 1.2B</x:v>
      </x:c>
      <x:c r="D204" s="20" t="str">
        <x:v>pleias</x:v>
      </x:c>
      <x:c r="E204" s="68" t="n">
        <x:v>1.2</x:v>
      </x:c>
      <x:c r="F204" s="68" t="n">
        <x:v>6.143236148221732</x:v>
      </x:c>
      <x:c r="G204" s="29" t="n">
        <x:f>MAX(F204/E204,E204/F204)</x:f>
        <x:v>5.119363456851444</x:v>
      </x:c>
      <x:c r="H204" s="29" t="n">
        <x:f>F204/E204</x:f>
        <x:v>5.119363456851444</x:v>
      </x:c>
      <x:c r="I204" s="26" t="n">
        <x:v>218</x:v>
      </x:c>
      <x:c r="J204" s="26" t="n">
        <x:v>96</x:v>
      </x:c>
      <x:c r="K204" s="65" t="n">
        <x:v>45618</x:v>
      </x:c>
      <x:c r="L204" s="32" t="n">
        <x:v>0.3256880733944954</x:v>
      </x:c>
      <x:c r="M204" s="26" t="n">
        <x:v>1</x:v>
      </x:c>
    </x:row>
    <x:row r="205">
      <x:c r="A205" s="20" t="str">
        <x:v>Compute</x:v>
      </x:c>
      <x:c r="B205" s="65" t="n">
        <x:v>45631</x:v>
      </x:c>
      <x:c r="C205" s="20" t="str">
        <x:v>Pleias 1.0 350m</x:v>
      </x:c>
      <x:c r="D205" s="20" t="str">
        <x:v>pleias</x:v>
      </x:c>
      <x:c r="E205" s="68" t="n">
        <x:v>0.35</x:v>
      </x:c>
      <x:c r="F205" s="68" t="n">
        <x:v>2.033939729614095</x:v>
      </x:c>
      <x:c r="G205" s="29" t="n">
        <x:f>MAX(F205/E205,E205/F205)</x:f>
        <x:v>5.811256370325986</x:v>
      </x:c>
      <x:c r="H205" s="29" t="n">
        <x:f>F205/E205</x:f>
        <x:v>5.811256370325986</x:v>
      </x:c>
      <x:c r="I205" s="26" t="n">
        <x:v>218</x:v>
      </x:c>
      <x:c r="J205" s="26" t="n">
        <x:v>96</x:v>
      </x:c>
      <x:c r="K205" s="65" t="n">
        <x:v>45618</x:v>
      </x:c>
      <x:c r="L205" s="32" t="n">
        <x:v>0.12385321100917432</x:v>
      </x:c>
      <x:c r="M205" s="26" t="n">
        <x:v>1</x:v>
      </x:c>
    </x:row>
    <x:row r="206">
      <x:c r="A206" s="20" t="str">
        <x:v>Compute</x:v>
      </x:c>
      <x:c r="B206" s="65" t="n">
        <x:v>45632</x:v>
      </x:c>
      <x:c r="C206" s="20" t="str">
        <x:v>Llama 3.3 70B</x:v>
      </x:c>
      <x:c r="D206" s="20" t="str">
        <x:v>meta_ai</x:v>
      </x:c>
      <x:c r="E206" s="68" t="n">
        <x:v>70</x:v>
      </x:c>
      <x:c r="F206" s="68" t="n">
        <x:v>74.30883238686623</x:v>
      </x:c>
      <x:c r="G206" s="29" t="n">
        <x:f>MAX(F206/E206,E206/F206)</x:f>
        <x:v>1.0615547483838033</x:v>
      </x:c>
      <x:c r="H206" s="29" t="n">
        <x:f>F206/E206</x:f>
        <x:v>1.0615547483838033</x:v>
      </x:c>
      <x:c r="I206" s="26" t="n">
        <x:v>201</x:v>
      </x:c>
      <x:c r="J206" s="26" t="n">
        <x:v>97</x:v>
      </x:c>
      <x:c r="K206" s="65" t="n">
        <x:v>45631</x:v>
      </x:c>
      <x:c r="L206" s="32" t="n">
        <x:v>0.9728506787330317</x:v>
      </x:c>
      <x:c r="M206" s="26" t="n">
        <x:v>1</x:v>
      </x:c>
    </x:row>
    <x:row r="207">
      <x:c r="A207" s="20" t="str">
        <x:v>Compute</x:v>
      </x:c>
      <x:c r="B207" s="65" t="n">
        <x:v>45635</x:v>
      </x:c>
      <x:c r="C207" s="20" t="str">
        <x:v>EXAONE 3.5 2.4B</x:v>
      </x:c>
      <x:c r="D207" s="20" t="str">
        <x:v>lg_ai_research</x:v>
      </x:c>
      <x:c r="E207" s="68" t="n">
        <x:v>2.4</x:v>
      </x:c>
      <x:c r="F207" s="68" t="n">
        <x:v>10.606620868296696</x:v>
      </x:c>
      <x:c r="G207" s="29" t="n">
        <x:f>MAX(F207/E207,E207/F207)</x:f>
        <x:v>4.4194253617902906</x:v>
      </x:c>
      <x:c r="H207" s="29" t="n">
        <x:f>F207/E207</x:f>
        <x:v>4.4194253617902906</x:v>
      </x:c>
      <x:c r="I207" s="26" t="n">
        <x:v>221</x:v>
      </x:c>
      <x:c r="J207" s="26" t="n">
        <x:v>97</x:v>
      </x:c>
      <x:c r="K207" s="65" t="n">
        <x:v>45632</x:v>
      </x:c>
      <x:c r="L207" s="32" t="n">
        <x:v>0.545045045045045</x:v>
      </x:c>
      <x:c r="M207" s="26" t="n">
        <x:v>1</x:v>
      </x:c>
    </x:row>
    <x:row r="208">
      <x:c r="A208" s="20" t="str">
        <x:v>Compute</x:v>
      </x:c>
      <x:c r="B208" s="65" t="n">
        <x:v>45635</x:v>
      </x:c>
      <x:c r="C208" s="20" t="str">
        <x:v>EXAONE 3.5 32B</x:v>
      </x:c>
      <x:c r="D208" s="20" t="str">
        <x:v>lg_ai_research</x:v>
      </x:c>
      <x:c r="E208" s="68" t="n">
        <x:v>32</x:v>
      </x:c>
      <x:c r="F208" s="68" t="n">
        <x:v>34.903334749345106</x:v>
      </x:c>
      <x:c r="G208" s="29" t="n">
        <x:f>MAX(F208/E208,E208/F208)</x:f>
        <x:v>1.0907292109170346</x:v>
      </x:c>
      <x:c r="H208" s="29" t="n">
        <x:f>F208/E208</x:f>
        <x:v>1.0907292109170346</x:v>
      </x:c>
      <x:c r="I208" s="26" t="n">
        <x:v>221</x:v>
      </x:c>
      <x:c r="J208" s="26" t="n">
        <x:v>97</x:v>
      </x:c>
      <x:c r="K208" s="65" t="n">
        <x:v>45632</x:v>
      </x:c>
      <x:c r="L208" s="32" t="n">
        <x:v>0.9099099099099099</x:v>
      </x:c>
      <x:c r="M208" s="26" t="n">
        <x:v>1</x:v>
      </x:c>
    </x:row>
    <x:row r="209">
      <x:c r="A209" s="20" t="str">
        <x:v>Compute</x:v>
      </x:c>
      <x:c r="B209" s="65" t="n">
        <x:v>45635</x:v>
      </x:c>
      <x:c r="C209" s="20" t="str">
        <x:v>EXAONE 3.5 7.8B</x:v>
      </x:c>
      <x:c r="D209" s="20" t="str">
        <x:v>lg_ai_research</x:v>
      </x:c>
      <x:c r="E209" s="68" t="n">
        <x:v>7.8</x:v>
      </x:c>
      <x:c r="F209" s="68" t="n">
        <x:v>21.167462108129442</x:v>
      </x:c>
      <x:c r="G209" s="29" t="n">
        <x:f>MAX(F209/E209,E209/F209)</x:f>
        <x:v>2.7137771933499284</x:v>
      </x:c>
      <x:c r="H209" s="29" t="n">
        <x:f>F209/E209</x:f>
        <x:v>2.7137771933499284</x:v>
      </x:c>
      <x:c r="I209" s="26" t="n">
        <x:v>221</x:v>
      </x:c>
      <x:c r="J209" s="26" t="n">
        <x:v>97</x:v>
      </x:c>
      <x:c r="K209" s="65" t="n">
        <x:v>45632</x:v>
      </x:c>
      <x:c r="L209" s="32" t="n">
        <x:v>0.8243243243243243</x:v>
      </x:c>
      <x:c r="M209" s="26" t="n">
        <x:v>1</x:v>
      </x:c>
    </x:row>
    <x:row r="210">
      <x:c r="A210" s="20" t="str">
        <x:v>Compute</x:v>
      </x:c>
      <x:c r="B210" s="65" t="n">
        <x:v>45638</x:v>
      </x:c>
      <x:c r="C210" s="20" t="str">
        <x:v>Phi-4</x:v>
      </x:c>
      <x:c r="D210" s="20" t="str">
        <x:v>microsoft_research</x:v>
      </x:c>
      <x:c r="E210" s="68" t="n">
        <x:v>14</x:v>
      </x:c>
      <x:c r="F210" s="68" t="n">
        <x:v>29.392100767918443</x:v>
      </x:c>
      <x:c r="G210" s="29" t="n">
        <x:f>MAX(F210/E210,E210/F210)</x:f>
        <x:v>2.0994357691370316</x:v>
      </x:c>
      <x:c r="H210" s="29" t="n">
        <x:f>F210/E210</x:f>
        <x:v>2.0994357691370316</x:v>
      </x:c>
      <x:c r="I210" s="26" t="n">
        <x:v>224</x:v>
      </x:c>
      <x:c r="J210" s="26" t="n">
        <x:v>97</x:v>
      </x:c>
      <x:c r="K210" s="65" t="n">
        <x:v>45635</x:v>
      </x:c>
      <x:c r="L210" s="32" t="n">
        <x:v>0.8888888888888888</x:v>
      </x:c>
      <x:c r="M210" s="26" t="n">
        <x:v>1</x:v>
      </x:c>
    </x:row>
    <x:row r="211">
      <x:c r="A211" s="20" t="str">
        <x:v>Compute</x:v>
      </x:c>
      <x:c r="B211" s="65" t="n">
        <x:v>45639</x:v>
      </x:c>
      <x:c r="C211" s="20" t="str">
        <x:v>GigaChat Lite (GigaChat-20B-A3B)</x:v>
      </x:c>
      <x:c r="D211" s="20" t="str">
        <x:v>sber</x:v>
      </x:c>
      <x:c r="E211" s="68" t="n">
        <x:v>20</x:v>
      </x:c>
      <x:c r="F211" s="68" t="n">
        <x:v>10.491106547642392</x:v>
      </x:c>
      <x:c r="G211" s="29" t="n">
        <x:f>MAX(F211/E211,E211/F211)</x:f>
        <x:v>1.9063765970897024</x:v>
      </x:c>
      <x:c r="H211" s="29" t="n">
        <x:f>F211/E211</x:f>
        <x:v>0.5245553273821196</x:v>
      </x:c>
      <x:c r="I211" s="26" t="n">
        <x:v>224</x:v>
      </x:c>
      <x:c r="J211" s="26" t="n">
        <x:v>97</x:v>
      </x:c>
      <x:c r="K211" s="65" t="n">
        <x:v>45638</x:v>
      </x:c>
      <x:c r="L211" s="32" t="n">
        <x:v>0.5442477876106194</x:v>
      </x:c>
      <x:c r="M211" s="26" t="n">
        <x:v>1</x:v>
      </x:c>
    </x:row>
    <x:row r="212">
      <x:c r="A212" s="20" t="str">
        <x:v>Compute</x:v>
      </x:c>
      <x:c r="B212" s="65" t="n">
        <x:v>45643</x:v>
      </x:c>
      <x:c r="C212" s="20" t="str">
        <x:v>Falcon3-7B</x:v>
      </x:c>
      <x:c r="D212" s="20" t="str">
        <x:v>technology_innovation_institute</x:v>
      </x:c>
      <x:c r="E212" s="68" t="n">
        <x:v>7</x:v>
      </x:c>
      <x:c r="F212" s="68" t="n">
        <x:v>23.823961319273923</x:v>
      </x:c>
      <x:c r="G212" s="29" t="n">
        <x:f>MAX(F212/E212,E212/F212)</x:f>
        <x:v>3.4034230456105603</x:v>
      </x:c>
      <x:c r="H212" s="29" t="n">
        <x:f>F212/E212</x:f>
        <x:v>3.4034230456105603</x:v>
      </x:c>
      <x:c r="I212" s="26" t="n">
        <x:v>222</x:v>
      </x:c>
      <x:c r="J212" s="26" t="n">
        <x:v>97</x:v>
      </x:c>
      <x:c r="K212" s="65" t="n">
        <x:v>45639</x:v>
      </x:c>
      <x:c r="L212" s="32" t="n">
        <x:v>0.8502202643171806</x:v>
      </x:c>
      <x:c r="M212" s="26" t="n">
        <x:v>1</x:v>
      </x:c>
    </x:row>
    <x:row r="213">
      <x:c r="A213" s="20" t="str">
        <x:v>Compute</x:v>
      </x:c>
      <x:c r="B213" s="65" t="n">
        <x:v>45644</x:v>
      </x:c>
      <x:c r="C213" s="20" t="str">
        <x:v>Granite 3.1 2B</x:v>
      </x:c>
      <x:c r="D213" s="20" t="str">
        <x:v>ibm</x:v>
      </x:c>
      <x:c r="E213" s="68" t="n">
        <x:v>2.5</x:v>
      </x:c>
      <x:c r="F213" s="68" t="n">
        <x:v>14.366111706926656</x:v>
      </x:c>
      <x:c r="G213" s="29" t="n">
        <x:f>MAX(F213/E213,E213/F213)</x:f>
        <x:v>5.746444682770663</x:v>
      </x:c>
      <x:c r="H213" s="29" t="n">
        <x:f>F213/E213</x:f>
        <x:v>5.746444682770663</x:v>
      </x:c>
      <x:c r="I213" s="26" t="n">
        <x:v>226</x:v>
      </x:c>
      <x:c r="J213" s="26" t="n">
        <x:v>97</x:v>
      </x:c>
      <x:c r="K213" s="65" t="n">
        <x:v>45643</x:v>
      </x:c>
      <x:c r="L213" s="32" t="n">
        <x:v>0.6403508771929824</x:v>
      </x:c>
      <x:c r="M213" s="26" t="n">
        <x:v>1</x:v>
      </x:c>
    </x:row>
    <x:row r="214">
      <x:c r="A214" s="20" t="str">
        <x:v>Compute</x:v>
      </x:c>
      <x:c r="B214" s="65" t="n">
        <x:v>45644</x:v>
      </x:c>
      <x:c r="C214" s="20" t="str">
        <x:v>Granite 3.1 8B</x:v>
      </x:c>
      <x:c r="D214" s="20" t="str">
        <x:v>ibm</x:v>
      </x:c>
      <x:c r="E214" s="68" t="n">
        <x:v>8.1</x:v>
      </x:c>
      <x:c r="F214" s="68" t="n">
        <x:v>24.653263742644555</x:v>
      </x:c>
      <x:c r="G214" s="29" t="n">
        <x:f>MAX(F214/E214,E214/F214)</x:f>
        <x:v>3.0436128077338958</x:v>
      </x:c>
      <x:c r="H214" s="29" t="n">
        <x:f>F214/E214</x:f>
        <x:v>3.0436128077338958</x:v>
      </x:c>
      <x:c r="I214" s="26" t="n">
        <x:v>226</x:v>
      </x:c>
      <x:c r="J214" s="26" t="n">
        <x:v>97</x:v>
      </x:c>
      <x:c r="K214" s="65" t="n">
        <x:v>45643</x:v>
      </x:c>
      <x:c r="L214" s="32" t="n">
        <x:v>0.8464912280701754</x:v>
      </x:c>
      <x:c r="M214" s="26" t="n">
        <x:v>1</x:v>
      </x:c>
    </x:row>
    <x:row r="215">
      <x:c r="A215" s="20" t="str">
        <x:v>Compute</x:v>
      </x:c>
      <x:c r="B215" s="65" t="n">
        <x:v>45652</x:v>
      </x:c>
      <x:c r="C215" s="20" t="str">
        <x:v>DeepSeek-V3</x:v>
      </x:c>
      <x:c r="D215" s="20" t="str">
        <x:v>deepseek</x:v>
      </x:c>
      <x:c r="E215" s="68" t="n">
        <x:v>671</x:v>
      </x:c>
      <x:c r="F215" s="68" t="n">
        <x:v>49.524169937332246</x:v>
      </x:c>
      <x:c r="G215" s="29" t="n">
        <x:f>MAX(F215/E215,E215/F215)</x:f>
        <x:v>13.548939858034604</x:v>
      </x:c>
      <x:c r="H215" s="29" t="n">
        <x:f>F215/E215</x:f>
        <x:v>0.07380651257426564</x:v>
      </x:c>
      <x:c r="I215" s="26" t="n">
        <x:v>225</x:v>
      </x:c>
      <x:c r="J215" s="26" t="n">
        <x:v>97</x:v>
      </x:c>
      <x:c r="K215" s="65" t="n">
        <x:v>45644</x:v>
      </x:c>
      <x:c r="L215" s="32" t="n">
        <x:v>0.9565217391304348</x:v>
      </x:c>
      <x:c r="M215" s="26" t="n">
        <x:v>1</x:v>
      </x:c>
    </x:row>
    <x:row r="216">
      <x:c r="A216" s="20" t="str">
        <x:v>Compute</x:v>
      </x:c>
      <x:c r="B216" s="65" t="n">
        <x:v>45657</x:v>
      </x:c>
      <x:c r="C216" s="20" t="str">
        <x:v>OLMo 2 Furious 13B</x:v>
      </x:c>
      <x:c r="D216" s="20" t="str">
        <x:v>allen_institute_for_ai_university_of_washington_new_york_university_nyu</x:v>
      </x:c>
      <x:c r="E216" s="68" t="n">
        <x:v>13</x:v>
      </x:c>
      <x:c r="F216" s="68" t="n">
        <x:v>21.002454117899184</x:v>
      </x:c>
      <x:c r="G216" s="29" t="n">
        <x:f>MAX(F216/E216,E216/F216)</x:f>
        <x:v>1.6155733936845527</x:v>
      </x:c>
      <x:c r="H216" s="29" t="n">
        <x:f>F216/E216</x:f>
        <x:v>1.6155733936845527</x:v>
      </x:c>
      <x:c r="I216" s="26" t="n">
        <x:v>231</x:v>
      </x:c>
      <x:c r="J216" s="26" t="n">
        <x:v>98</x:v>
      </x:c>
      <x:c r="K216" s="65" t="n">
        <x:v>45652</x:v>
      </x:c>
      <x:c r="L216" s="32" t="n">
        <x:v>0.8268398268398268</x:v>
      </x:c>
      <x:c r="M216" s="26" t="n">
        <x:v>1</x:v>
      </x:c>
    </x:row>
    <x:row r="217">
      <x:c r="A217" s="20" t="str">
        <x:v>Compute</x:v>
      </x:c>
      <x:c r="B217" s="65" t="n">
        <x:v>45657</x:v>
      </x:c>
      <x:c r="C217" s="20" t="str">
        <x:v>OLMo 2 Furious 7B</x:v>
      </x:c>
      <x:c r="D217" s="20" t="str">
        <x:v>allen_institute_for_ai_university_of_washington_new_york_university_nyu</x:v>
      </x:c>
      <x:c r="E217" s="68" t="n">
        <x:v>7</x:v>
      </x:c>
      <x:c r="F217" s="68" t="n">
        <x:v>13.652673118616958</x:v>
      </x:c>
      <x:c r="G217" s="29" t="n">
        <x:f>MAX(F217/E217,E217/F217)</x:f>
        <x:v>1.950381874088137</x:v>
      </x:c>
      <x:c r="H217" s="29" t="n">
        <x:f>F217/E217</x:f>
        <x:v>1.950381874088137</x:v>
      </x:c>
      <x:c r="I217" s="26" t="n">
        <x:v>231</x:v>
      </x:c>
      <x:c r="J217" s="26" t="n">
        <x:v>98</x:v>
      </x:c>
      <x:c r="K217" s="65" t="n">
        <x:v>45652</x:v>
      </x:c>
      <x:c r="L217" s="32" t="n">
        <x:v>0.6363636363636364</x:v>
      </x:c>
      <x:c r="M217" s="26" t="n">
        <x:v>1</x:v>
      </x:c>
    </x:row>
    <x:row r="218">
      <x:c r="A218" s="20" t="str">
        <x:v>Compute</x:v>
      </x:c>
      <x:c r="B218" s="65" t="n">
        <x:v>45671</x:v>
      </x:c>
      <x:c r="C218" s="20" t="str">
        <x:v>MiniMax-Text-01</x:v>
      </x:c>
      <x:c r="D218" s="20" t="str">
        <x:v>minimax</x:v>
      </x:c>
      <x:c r="E218" s="68" t="n">
        <x:v>456</x:v>
      </x:c>
      <x:c r="F218" s="68" t="n">
        <x:v>48.9629865340533</x:v>
      </x:c>
      <x:c r="G218" s="29" t="n">
        <x:f>MAX(F218/E218,E218/F218)</x:f>
        <x:v>9.313157392530709</x:v>
      </x:c>
      <x:c r="H218" s="29" t="n">
        <x:f>F218/E218</x:f>
        <x:v>0.10737497046941513</x:v>
      </x:c>
      <x:c r="I218" s="26" t="n">
        <x:v>233</x:v>
      </x:c>
      <x:c r="J218" s="26" t="n">
        <x:v>99</x:v>
      </x:c>
      <x:c r="K218" s="65" t="n">
        <x:v>45657</x:v>
      </x:c>
      <x:c r="L218" s="32" t="n">
        <x:v>0.9527896995708155</x:v>
      </x:c>
      <x:c r="M218" s="26" t="n">
        <x:v>1</x:v>
      </x:c>
    </x:row>
    <x:row r="219">
      <x:c r="A219" s="20" t="str">
        <x:v>Compute</x:v>
      </x:c>
      <x:c r="B219" s="65" t="n">
        <x:v>45679</x:v>
      </x:c>
      <x:c r="C219" s="20" t="str">
        <x:v>gte-modernbert</x:v>
      </x:c>
      <x:c r="D219" s="20" t="str">
        <x:v>alibaba</x:v>
      </x:c>
      <x:c r="E219" s="68" t="n">
        <x:v>0.149</x:v>
      </x:c>
      <x:c r="F219" s="68" t="n">
        <x:v>2.3716095430709854</x:v>
      </x:c>
      <x:c r="G219" s="29" t="n">
        <x:f>MAX(F219/E219,E219/F219)</x:f>
        <x:v>15.916842570946212</x:v>
      </x:c>
      <x:c r="H219" s="29" t="n">
        <x:f>F219/E219</x:f>
        <x:v>15.916842570946212</x:v>
      </x:c>
      <x:c r="I219" s="26" t="n">
        <x:v>211</x:v>
      </x:c>
      <x:c r="J219" s="26" t="n">
        <x:v>99</x:v>
      </x:c>
      <x:c r="K219" s="65" t="n">
        <x:v>45671</x:v>
      </x:c>
      <x:c r="L219" s="32" t="n">
        <x:v>0.1452991452991453</x:v>
      </x:c>
      <x:c r="M219" s="26" t="n">
        <x:v>1</x:v>
      </x:c>
    </x:row>
    <x:row r="220">
      <x:c r="A220" s="20" t="str">
        <x:v>Compute</x:v>
      </x:c>
      <x:c r="B220" s="65" t="n">
        <x:v>45683</x:v>
      </x:c>
      <x:c r="C220" s="20" t="str">
        <x:v>Baichuan-Omni-1.5</x:v>
      </x:c>
      <x:c r="D220" s="20" t="str">
        <x:v>baichuan</x:v>
      </x:c>
      <x:c r="E220" s="68" t="n">
        <x:v>11</x:v>
      </x:c>
      <x:c r="F220" s="68" t="n">
        <x:v>6.439280795145813</x:v>
      </x:c>
      <x:c r="G220" s="29" t="n">
        <x:f>MAX(F220/E220,E220/F220)</x:f>
        <x:v>1.7082653094258973</x:v>
      </x:c>
      <x:c r="H220" s="29" t="n">
        <x:f>F220/E220</x:f>
        <x:v>0.585389163195074</x:v>
      </x:c>
      <x:c r="I220" s="26" t="n">
        <x:v>231</x:v>
      </x:c>
      <x:c r="J220" s="26" t="n">
        <x:v>99</x:v>
      </x:c>
      <x:c r="K220" s="65" t="n">
        <x:v>45679</x:v>
      </x:c>
      <x:c r="L220" s="32" t="n">
        <x:v>0.3276595744680851</x:v>
      </x:c>
      <x:c r="M220" s="26" t="n">
        <x:v>1</x:v>
      </x:c>
    </x:row>
    <x:row r="221">
      <x:c r="A221" s="20" t="str">
        <x:v>Compute</x:v>
      </x:c>
      <x:c r="B221" s="65" t="n">
        <x:v>45687</x:v>
      </x:c>
      <x:c r="C221" s="20" t="str">
        <x:v>Mistral Small 3</x:v>
      </x:c>
      <x:c r="D221" s="20" t="str">
        <x:v>mistral_ai</x:v>
      </x:c>
      <x:c r="E221" s="68" t="n">
        <x:v>24</x:v>
      </x:c>
      <x:c r="F221" s="68" t="n">
        <x:v>33.48174407992425</x:v>
      </x:c>
      <x:c r="G221" s="29" t="n">
        <x:f>MAX(F221/E221,E221/F221)</x:f>
        <x:v>1.3950726699968437</x:v>
      </x:c>
      <x:c r="H221" s="29" t="n">
        <x:f>F221/E221</x:f>
        <x:v>1.3950726699968437</x:v>
      </x:c>
      <x:c r="I221" s="26" t="n">
        <x:v>234</x:v>
      </x:c>
      <x:c r="J221" s="26" t="n">
        <x:v>99</x:v>
      </x:c>
      <x:c r="K221" s="65" t="n">
        <x:v>45683</x:v>
      </x:c>
      <x:c r="L221" s="32" t="n">
        <x:v>0.8940677966101694</x:v>
      </x:c>
      <x:c r="M221" s="26" t="n">
        <x:v>1</x:v>
      </x:c>
    </x:row>
    <x:row r="222">
      <x:c r="A222" s="20" t="str">
        <x:v>Compute</x:v>
      </x:c>
      <x:c r="B222" s="65" t="n">
        <x:v>45713</x:v>
      </x:c>
      <x:c r="C222" s="20" t="str">
        <x:v>YandexGPT 5 Lite</x:v>
      </x:c>
      <x:c r="D222" s="20" t="str">
        <x:v>yandex</x:v>
      </x:c>
      <x:c r="E222" s="68" t="n">
        <x:v>8</x:v>
      </x:c>
      <x:c r="F222" s="68" t="n">
        <x:v>27.524973756399234</x:v>
      </x:c>
      <x:c r="G222" s="29" t="n">
        <x:f>MAX(F222/E222,E222/F222)</x:f>
        <x:v>3.4406217195499043</x:v>
      </x:c>
      <x:c r="H222" s="29" t="n">
        <x:f>F222/E222</x:f>
        <x:v>3.4406217195499043</x:v>
      </x:c>
      <x:c r="I222" s="26" t="n">
        <x:v>236</x:v>
      </x:c>
      <x:c r="J222" s="26" t="n">
        <x:v>99</x:v>
      </x:c>
      <x:c r="K222" s="65" t="n">
        <x:v>45687</x:v>
      </x:c>
      <x:c r="L222" s="32" t="n">
        <x:v>0.8607594936708861</x:v>
      </x:c>
      <x:c r="M222" s="26" t="n">
        <x:v>1</x:v>
      </x:c>
    </x:row>
    <x:row r="223">
      <x:c r="A223" s="20" t="str">
        <x:v>Compute</x:v>
      </x:c>
      <x:c r="B223" s="65" t="n">
        <x:v>45719</x:v>
      </x:c>
      <x:c r="C223" s="20" t="str">
        <x:v>Phi-4 Mini</x:v>
      </x:c>
      <x:c r="D223" s="20" t="str">
        <x:v>microsoft</x:v>
      </x:c>
      <x:c r="E223" s="68" t="n">
        <x:v>3.8</x:v>
      </x:c>
      <x:c r="F223" s="68" t="n">
        <x:v>10.491632145057832</x:v>
      </x:c>
      <x:c r="G223" s="29" t="n">
        <x:f>MAX(F223/E223,E223/F223)</x:f>
        <x:v>2.760955827646798</x:v>
      </x:c>
      <x:c r="H223" s="29" t="n">
        <x:f>F223/E223</x:f>
        <x:v>2.760955827646798</x:v>
      </x:c>
      <x:c r="I223" s="26" t="n">
        <x:v>228</x:v>
      </x:c>
      <x:c r="J223" s="26" t="n">
        <x:v>99</x:v>
      </x:c>
      <x:c r="K223" s="65" t="n">
        <x:v>45713</x:v>
      </x:c>
      <x:c r="L223" s="32" t="n">
        <x:v>0.5294117647058824</x:v>
      </x:c>
      <x:c r="M223" s="26" t="n">
        <x:v>1</x:v>
      </x:c>
    </x:row>
    <x:row r="224">
      <x:c r="A224" s="20" t="str">
        <x:v>Compute</x:v>
      </x:c>
      <x:c r="B224" s="65" t="n">
        <x:v>45726</x:v>
      </x:c>
      <x:c r="C224" s="20" t="str">
        <x:v>Ling-lite-1.5 ("Bailing")</x:v>
      </x:c>
      <x:c r="D224" s="20" t="str">
        <x:v>ant_group</x:v>
      </x:c>
      <x:c r="E224" s="68" t="n">
        <x:v>16.8</x:v>
      </x:c>
      <x:c r="F224" s="68" t="n">
        <x:v>12.478076382817646</x:v>
      </x:c>
      <x:c r="G224" s="29" t="n">
        <x:f>MAX(F224/E224,E224/F224)</x:f>
        <x:v>1.3463613688992686</x:v>
      </x:c>
      <x:c r="H224" s="29" t="n">
        <x:f>F224/E224</x:f>
        <x:v>0.7427426418343837</x:v>
      </x:c>
      <x:c r="I224" s="26" t="n">
        <x:v>238</x:v>
      </x:c>
      <x:c r="J224" s="26" t="n">
        <x:v>99</x:v>
      </x:c>
      <x:c r="K224" s="65" t="n">
        <x:v>45719</x:v>
      </x:c>
      <x:c r="L224" s="32" t="n">
        <x:v>0.5857740585774058</x:v>
      </x:c>
      <x:c r="M224" s="26" t="n">
        <x:v>1</x:v>
      </x:c>
    </x:row>
    <x:row r="225">
      <x:c r="A225" s="20" t="str">
        <x:v>Compute</x:v>
      </x:c>
      <x:c r="B225" s="65" t="n">
        <x:v>45726</x:v>
      </x:c>
      <x:c r="C225" s="20" t="str">
        <x:v>Ling-Plus ("Bailing")</x:v>
      </x:c>
      <x:c r="D225" s="20" t="str">
        <x:v>ant_group</x:v>
      </x:c>
      <x:c r="E225" s="68" t="n">
        <x:v>290</x:v>
      </x:c>
      <x:c r="F225" s="68" t="n">
        <x:v>37.2091266306991</x:v>
      </x:c>
      <x:c r="G225" s="29" t="n">
        <x:f>MAX(F225/E225,E225/F225)</x:f>
        <x:v>7.793786800702216</x:v>
      </x:c>
      <x:c r="H225" s="29" t="n">
        <x:f>F225/E225</x:f>
        <x:v>0.12830733320930726</x:v>
      </x:c>
      <x:c r="I225" s="26" t="n">
        <x:v>238</x:v>
      </x:c>
      <x:c r="J225" s="26" t="n">
        <x:v>99</x:v>
      </x:c>
      <x:c r="K225" s="65" t="n">
        <x:v>45719</x:v>
      </x:c>
      <x:c r="L225" s="32" t="n">
        <x:v>0.9163179916317992</x:v>
      </x:c>
      <x:c r="M225" s="26" t="n">
        <x:v>1</x:v>
      </x:c>
    </x:row>
    <x:row r="226">
      <x:c r="A226" s="20" t="str">
        <x:v>Compute</x:v>
      </x:c>
      <x:c r="B226" s="65" t="n">
        <x:v>45729</x:v>
      </x:c>
      <x:c r="C226" s="20" t="str">
        <x:v>OLMo 2 32B</x:v>
      </x:c>
      <x:c r="D226" s="20" t="str">
        <x:v>allen_institute_for_ai</x:v>
      </x:c>
      <x:c r="E226" s="68" t="n">
        <x:v>32</x:v>
      </x:c>
      <x:c r="F226" s="68" t="n">
        <x:v>35.39144646712218</x:v>
      </x:c>
      <x:c r="G226" s="29" t="n">
        <x:f>MAX(F226/E226,E226/F226)</x:f>
        <x:v>1.105982702097568</x:v>
      </x:c>
      <x:c r="H226" s="29" t="n">
        <x:f>F226/E226</x:f>
        <x:v>1.105982702097568</x:v>
      </x:c>
      <x:c r="I226" s="26" t="n">
        <x:v>241</x:v>
      </x:c>
      <x:c r="J226" s="26" t="n">
        <x:v>100</x:v>
      </x:c>
      <x:c r="K226" s="65" t="n">
        <x:v>45726</x:v>
      </x:c>
      <x:c r="L226" s="32" t="n">
        <x:v>0.9128630705394191</x:v>
      </x:c>
      <x:c r="M226" s="26" t="n">
        <x:v>1</x:v>
      </x:c>
    </x:row>
    <x:row r="227">
      <x:c r="A227" s="20" t="str">
        <x:v>Compute</x:v>
      </x:c>
      <x:c r="B227" s="65" t="n">
        <x:v>45740</x:v>
      </x:c>
      <x:c r="C227" s="20" t="str">
        <x:v>DeepSeek-V3 (Mar 2025)</x:v>
      </x:c>
      <x:c r="D227" s="20" t="str">
        <x:v>deepseek</x:v>
      </x:c>
      <x:c r="E227" s="68" t="n">
        <x:v>671</x:v>
      </x:c>
      <x:c r="F227" s="68" t="n">
        <x:v>51.714596993136404</x:v>
      </x:c>
      <x:c r="G227" s="29" t="n">
        <x:f>MAX(F227/E227,E227/F227)</x:f>
        <x:v>12.975060022009949</x:v>
      </x:c>
      <x:c r="H227" s="29" t="n">
        <x:f>F227/E227</x:f>
        <x:v>0.0770709344160006</x:v>
      </x:c>
      <x:c r="I227" s="26" t="n">
        <x:v>236</x:v>
      </x:c>
      <x:c r="J227" s="26" t="n">
        <x:v>100</x:v>
      </x:c>
      <x:c r="K227" s="65" t="n">
        <x:v>45729</x:v>
      </x:c>
      <x:c r="L227" s="32" t="n">
        <x:v>0.9586776859504132</x:v>
      </x:c>
      <x:c r="M227" s="26" t="n">
        <x:v>1</x:v>
      </x:c>
    </x:row>
    <x:row r="228">
      <x:c r="A228" s="20" t="str">
        <x:v>Compute</x:v>
      </x:c>
      <x:c r="B228" s="65" t="n">
        <x:v>45752</x:v>
      </x:c>
      <x:c r="C228" s="20" t="str">
        <x:v>Llama 4 Maverick</x:v>
      </x:c>
      <x:c r="D228" s="20" t="str">
        <x:v>meta_ai</x:v>
      </x:c>
      <x:c r="E228" s="68" t="n">
        <x:v>400</x:v>
      </x:c>
      <x:c r="F228" s="68" t="n">
        <x:v>46.036515114813184</x:v>
      </x:c>
      <x:c r="G228" s="29" t="n">
        <x:f>MAX(F228/E228,E228/F228)</x:f>
        <x:v>8.688754980745532</x:v>
      </x:c>
      <x:c r="H228" s="29" t="n">
        <x:f>F228/E228</x:f>
        <x:v>0.11509128778703297</x:v>
      </x:c>
      <x:c r="I228" s="26" t="n">
        <x:v>222</x:v>
      </x:c>
      <x:c r="J228" s="26" t="n">
        <x:v>100</x:v>
      </x:c>
      <x:c r="K228" s="65" t="n">
        <x:v>45740</x:v>
      </x:c>
      <x:c r="L228" s="32" t="n">
        <x:v>0.9300411522633745</x:v>
      </x:c>
      <x:c r="M228" s="26" t="n">
        <x:v>1</x:v>
      </x:c>
    </x:row>
    <x:row r="229">
      <x:c r="A229" s="20" t="str">
        <x:v>Compute</x:v>
      </x:c>
      <x:c r="B229" s="65" t="n">
        <x:v>45752</x:v>
      </x:c>
      <x:c r="C229" s="20" t="str">
        <x:v>Llama 4 Scout</x:v>
      </x:c>
      <x:c r="D229" s="20" t="str">
        <x:v>meta_ai</x:v>
      </x:c>
      <x:c r="E229" s="68" t="n">
        <x:v>109</x:v>
      </x:c>
      <x:c r="F229" s="68" t="n">
        <x:v>60.81825419510997</x:v>
      </x:c>
      <x:c r="G229" s="29" t="n">
        <x:f>MAX(F229/E229,E229/F229)</x:f>
        <x:v>1.7922250719384185</x:v>
      </x:c>
      <x:c r="H229" s="29" t="n">
        <x:f>F229/E229</x:f>
        <x:v>0.5579656348175227</x:v>
      </x:c>
      <x:c r="I229" s="26" t="n">
        <x:v>222</x:v>
      </x:c>
      <x:c r="J229" s="26" t="n">
        <x:v>100</x:v>
      </x:c>
      <x:c r="K229" s="65" t="n">
        <x:v>45740</x:v>
      </x:c>
      <x:c r="L229" s="32" t="n">
        <x:v>0.9711934156378601</x:v>
      </x:c>
      <x:c r="M229" s="26" t="n">
        <x:v>1</x:v>
      </x:c>
    </x:row>
    <x:row r="230">
      <x:c r="A230" s="20" t="str">
        <x:v>Compute</x:v>
      </x:c>
      <x:c r="B230" s="65" t="n">
        <x:v>45761</x:v>
      </x:c>
      <x:c r="C230" s="20" t="str">
        <x:v>GLM-4-32B-0414</x:v>
      </x:c>
      <x:c r="D230" s="20" t="str">
        <x:v>z_ai_zhipu_ai_tsinghua_university</x:v>
      </x:c>
      <x:c r="E230" s="68" t="n">
        <x:v>32</x:v>
      </x:c>
      <x:c r="F230" s="68" t="n">
        <x:v>50.73943398327034</x:v>
      </x:c>
      <x:c r="G230" s="29" t="n">
        <x:f>MAX(F230/E230,E230/F230)</x:f>
        <x:v>1.585607311977198</x:v>
      </x:c>
      <x:c r="H230" s="29" t="n">
        <x:f>F230/E230</x:f>
        <x:v>1.585607311977198</x:v>
      </x:c>
      <x:c r="I230" s="26" t="n">
        <x:v>244</x:v>
      </x:c>
      <x:c r="J230" s="26" t="n">
        <x:v>100</x:v>
      </x:c>
      <x:c r="K230" s="65" t="n">
        <x:v>45752</x:v>
      </x:c>
      <x:c r="L230" s="32" t="n">
        <x:v>0.9346938775510204</x:v>
      </x:c>
      <x:c r="M230" s="26" t="n">
        <x:v>1</x:v>
      </x:c>
    </x:row>
    <x:row r="231">
      <x:c r="A231" s="20" t="str">
        <x:v>Compute</x:v>
      </x:c>
      <x:c r="B231" s="65" t="n">
        <x:v>45761</x:v>
      </x:c>
      <x:c r="C231" s="20" t="str">
        <x:v>GLM-4-9B-0414</x:v>
      </x:c>
      <x:c r="D231" s="20" t="str">
        <x:v>tsinghua_university</x:v>
      </x:c>
      <x:c r="E231" s="68" t="n">
        <x:v>9</x:v>
      </x:c>
      <x:c r="F231" s="68" t="n">
        <x:v>29.007668870386826</x:v>
      </x:c>
      <x:c r="G231" s="29" t="n">
        <x:f>MAX(F231/E231,E231/F231)</x:f>
        <x:v>3.22307431893187</x:v>
      </x:c>
      <x:c r="H231" s="29" t="n">
        <x:f>F231/E231</x:f>
        <x:v>3.22307431893187</x:v>
      </x:c>
      <x:c r="I231" s="26" t="n">
        <x:v>244</x:v>
      </x:c>
      <x:c r="J231" s="26" t="n">
        <x:v>100</x:v>
      </x:c>
      <x:c r="K231" s="65" t="n">
        <x:v>45752</x:v>
      </x:c>
      <x:c r="L231" s="32" t="n">
        <x:v>0.8571428571428571</x:v>
      </x:c>
      <x:c r="M231" s="26" t="n">
        <x:v>1</x:v>
      </x:c>
    </x:row>
    <x:row r="232">
      <x:c r="A232" s="20" t="str">
        <x:v>Compute</x:v>
      </x:c>
      <x:c r="B232" s="65" t="n">
        <x:v>45761</x:v>
      </x:c>
      <x:c r="C232" s="20" t="str">
        <x:v>GLM-Z1-Rumination-32B-0414</x:v>
      </x:c>
      <x:c r="D232" s="20" t="str">
        <x:v>tsinghua_university</x:v>
      </x:c>
      <x:c r="E232" s="68" t="n">
        <x:v>32</x:v>
      </x:c>
      <x:c r="F232" s="68" t="n">
        <x:v>51.936955649404496</x:v>
      </x:c>
      <x:c r="G232" s="29" t="n">
        <x:f>MAX(F232/E232,E232/F232)</x:f>
        <x:v>1.6230298640438905</x:v>
      </x:c>
      <x:c r="H232" s="29" t="n">
        <x:f>F232/E232</x:f>
        <x:v>1.6230298640438905</x:v>
      </x:c>
      <x:c r="I232" s="26" t="n">
        <x:v>244</x:v>
      </x:c>
      <x:c r="J232" s="26" t="n">
        <x:v>100</x:v>
      </x:c>
      <x:c r="K232" s="65" t="n">
        <x:v>45752</x:v>
      </x:c>
      <x:c r="L232" s="32" t="n">
        <x:v>0.9346938775510204</x:v>
      </x:c>
      <x:c r="M232" s="26" t="n">
        <x:v>1</x:v>
      </x:c>
    </x:row>
    <x:row r="233">
      <x:c r="A233" s="20" t="str">
        <x:v>Compute</x:v>
      </x:c>
      <x:c r="B233" s="65" t="n">
        <x:v>45761</x:v>
      </x:c>
      <x:c r="C233" s="20" t="str">
        <x:v>Nemotron-H 56B</x:v>
      </x:c>
      <x:c r="D233" s="20" t="str">
        <x:v>nvidia</x:v>
      </x:c>
      <x:c r="E233" s="68" t="n">
        <x:v>56</x:v>
      </x:c>
      <x:c r="F233" s="68" t="n">
        <x:v>76.21124806456733</x:v>
      </x:c>
      <x:c r="G233" s="29" t="n">
        <x:f>MAX(F233/E233,E233/F233)</x:f>
        <x:v>1.3609151440101308</x:v>
      </x:c>
      <x:c r="H233" s="29" t="n">
        <x:f>F233/E233</x:f>
        <x:v>1.3609151440101308</x:v>
      </x:c>
      <x:c r="I233" s="26" t="n">
        <x:v>241</x:v>
      </x:c>
      <x:c r="J233" s="26" t="n">
        <x:v>100</x:v>
      </x:c>
      <x:c r="K233" s="65" t="n">
        <x:v>45752</x:v>
      </x:c>
      <x:c r="L233" s="32" t="n">
        <x:v>0.9714285714285714</x:v>
      </x:c>
      <x:c r="M233" s="26" t="n">
        <x:v>1</x:v>
      </x:c>
    </x:row>
    <x:row r="234">
      <x:c r="A234" s="20" t="str">
        <x:v>Compute</x:v>
      </x:c>
      <x:c r="B234" s="65" t="n">
        <x:v>45761</x:v>
      </x:c>
      <x:c r="C234" s="20" t="str">
        <x:v>Nemotron-H 8B</x:v>
      </x:c>
      <x:c r="D234" s="20" t="str">
        <x:v>nvidia</x:v>
      </x:c>
      <x:c r="E234" s="68" t="n">
        <x:v>8</x:v>
      </x:c>
      <x:c r="F234" s="68" t="n">
        <x:v>26.967930636092476</x:v>
      </x:c>
      <x:c r="G234" s="29" t="n">
        <x:f>MAX(F234/E234,E234/F234)</x:f>
        <x:v>3.3709913295115594</x:v>
      </x:c>
      <x:c r="H234" s="29" t="n">
        <x:f>F234/E234</x:f>
        <x:v>3.3709913295115594</x:v>
      </x:c>
      <x:c r="I234" s="26" t="n">
        <x:v>241</x:v>
      </x:c>
      <x:c r="J234" s="26" t="n">
        <x:v>100</x:v>
      </x:c>
      <x:c r="K234" s="65" t="n">
        <x:v>45752</x:v>
      </x:c>
      <x:c r="L234" s="32" t="n">
        <x:v>0.8367346938775511</x:v>
      </x:c>
      <x:c r="M234" s="26" t="n">
        <x:v>1</x:v>
      </x:c>
    </x:row>
    <x:row r="235">
      <x:c r="A235" s="20" t="str">
        <x:v>Compute</x:v>
      </x:c>
      <x:c r="B235" s="65" t="n">
        <x:v>45768</x:v>
      </x:c>
      <x:c r="C235" s="20" t="str">
        <x:v>Trillion-7B</x:v>
      </x:c>
      <x:c r="D235" s="20" t="str">
        <x:v>trillion_labs</x:v>
      </x:c>
      <x:c r="E235" s="68" t="n">
        <x:v>7</x:v>
      </x:c>
      <x:c r="F235" s="68" t="n">
        <x:v>10.078893675679558</x:v>
      </x:c>
      <x:c r="G235" s="29" t="n">
        <x:f>MAX(F235/E235,E235/F235)</x:f>
        <x:v>1.4398419536685083</x:v>
      </x:c>
      <x:c r="H235" s="29" t="n">
        <x:f>F235/E235</x:f>
        <x:v>1.4398419536685083</x:v>
      </x:c>
      <x:c r="I235" s="26" t="n">
        <x:v>250</x:v>
      </x:c>
      <x:c r="J235" s="26" t="n">
        <x:v>101</x:v>
      </x:c>
      <x:c r="K235" s="65" t="n">
        <x:v>45761</x:v>
      </x:c>
      <x:c r="L235" s="32" t="n">
        <x:v>0.484</x:v>
      </x:c>
      <x:c r="M235" s="26" t="n">
        <x:v>1</x:v>
      </x:c>
    </x:row>
    <x:row r="236">
      <x:c r="A236" s="20" t="str">
        <x:v>Compute</x:v>
      </x:c>
      <x:c r="B236" s="65" t="n">
        <x:v>45770</x:v>
      </x:c>
      <x:c r="C236" s="20" t="str">
        <x:v>MamayLM
</x:v>
      </x:c>
      <x:c r="D236" s="20" t="str">
        <x:v>insait_eth_zurich</x:v>
      </x:c>
      <x:c r="E236" s="68" t="n">
        <x:v>9</x:v>
      </x:c>
      <x:c r="F236" s="68" t="n">
        <x:v>20.152270938434818</x:v>
      </x:c>
      <x:c r="G236" s="29" t="n">
        <x:f>MAX(F236/E236,E236/F236)</x:f>
        <x:v>2.2391412153816463</x:v>
      </x:c>
      <x:c r="H236" s="29" t="n">
        <x:f>F236/E236</x:f>
        <x:v>2.2391412153816463</x:v>
      </x:c>
      <x:c r="I236" s="26" t="n">
        <x:v>251</x:v>
      </x:c>
      <x:c r="J236" s="26" t="n">
        <x:v>102</x:v>
      </x:c>
      <x:c r="K236" s="65" t="n">
        <x:v>45768</x:v>
      </x:c>
      <x:c r="L236" s="32" t="n">
        <x:v>0.7808764940239044</x:v>
      </x:c>
      <x:c r="M236" s="26" t="n">
        <x:v>1</x:v>
      </x:c>
    </x:row>
    <x:row r="237">
      <x:c r="A237" s="20" t="str">
        <x:v>Compute</x:v>
      </x:c>
      <x:c r="B237" s="65" t="n">
        <x:v>45776</x:v>
      </x:c>
      <x:c r="C237" s="20" t="str">
        <x:v>Qwen3-0.6B</x:v>
      </x:c>
      <x:c r="D237" s="20" t="str">
        <x:v>alibaba</x:v>
      </x:c>
      <x:c r="E237" s="68" t="n">
        <x:v>0.6</x:v>
      </x:c>
      <x:c r="F237" s="68" t="n">
        <x:v>11.336572323485907</x:v>
      </x:c>
      <x:c r="G237" s="29" t="n">
        <x:f>MAX(F237/E237,E237/F237)</x:f>
        <x:v>18.894287205809846</x:v>
      </x:c>
      <x:c r="H237" s="29" t="n">
        <x:f>F237/E237</x:f>
        <x:v>18.894287205809846</x:v>
      </x:c>
      <x:c r="I237" s="26" t="n">
        <x:v>228</x:v>
      </x:c>
      <x:c r="J237" s="26" t="n">
        <x:v>102</x:v>
      </x:c>
      <x:c r="K237" s="65" t="n">
        <x:v>45770</x:v>
      </x:c>
      <x:c r="L237" s="32" t="n">
        <x:v>0.5515873015873016</x:v>
      </x:c>
      <x:c r="M237" s="26" t="n">
        <x:v>1</x:v>
      </x:c>
    </x:row>
    <x:row r="238">
      <x:c r="A238" s="20" t="str">
        <x:v>Compute</x:v>
      </x:c>
      <x:c r="B238" s="65" t="n">
        <x:v>45776</x:v>
      </x:c>
      <x:c r="C238" s="20" t="str">
        <x:v>Qwen3-1.7B</x:v>
      </x:c>
      <x:c r="D238" s="20" t="str">
        <x:v>alibaba</x:v>
      </x:c>
      <x:c r="E238" s="68" t="n">
        <x:v>1.7</x:v>
      </x:c>
      <x:c r="F238" s="68" t="n">
        <x:v>18.29479960686102</x:v>
      </x:c>
      <x:c r="G238" s="29" t="n">
        <x:f>MAX(F238/E238,E238/F238)</x:f>
        <x:v>10.761646827565306</x:v>
      </x:c>
      <x:c r="H238" s="29" t="n">
        <x:f>F238/E238</x:f>
        <x:v>10.761646827565306</x:v>
      </x:c>
      <x:c r="I238" s="26" t="n">
        <x:v>228</x:v>
      </x:c>
      <x:c r="J238" s="26" t="n">
        <x:v>102</x:v>
      </x:c>
      <x:c r="K238" s="65" t="n">
        <x:v>45770</x:v>
      </x:c>
      <x:c r="L238" s="32" t="n">
        <x:v>0.7261904761904762</x:v>
      </x:c>
      <x:c r="M238" s="26" t="n">
        <x:v>1</x:v>
      </x:c>
    </x:row>
    <x:row r="239">
      <x:c r="A239" s="20" t="str">
        <x:v>Compute</x:v>
      </x:c>
      <x:c r="B239" s="65" t="n">
        <x:v>45776</x:v>
      </x:c>
      <x:c r="C239" s="20" t="str">
        <x:v>Qwen3-14B</x:v>
      </x:c>
      <x:c r="D239" s="20" t="str">
        <x:v>alibaba</x:v>
      </x:c>
      <x:c r="E239" s="68" t="n">
        <x:v>14.8</x:v>
      </x:c>
      <x:c r="F239" s="68" t="n">
        <x:v>49.45418399758958</x:v>
      </x:c>
      <x:c r="G239" s="29" t="n">
        <x:f>MAX(F239/E239,E239/F239)</x:f>
        <x:v>3.3414989187560526</x:v>
      </x:c>
      <x:c r="H239" s="29" t="n">
        <x:f>F239/E239</x:f>
        <x:v>3.3414989187560526</x:v>
      </x:c>
      <x:c r="I239" s="26" t="n">
        <x:v>228</x:v>
      </x:c>
      <x:c r="J239" s="26" t="n">
        <x:v>102</x:v>
      </x:c>
      <x:c r="K239" s="65" t="n">
        <x:v>45770</x:v>
      </x:c>
      <x:c r="L239" s="32" t="n">
        <x:v>0.9444444444444444</x:v>
      </x:c>
      <x:c r="M239" s="26" t="n">
        <x:v>1</x:v>
      </x:c>
    </x:row>
    <x:row r="240">
      <x:c r="A240" s="20" t="str">
        <x:v>Compute</x:v>
      </x:c>
      <x:c r="B240" s="65" t="n">
        <x:v>45776</x:v>
      </x:c>
      <x:c r="C240" s="20" t="str">
        <x:v>Qwen3-235B-A22B</x:v>
      </x:c>
      <x:c r="D240" s="20" t="str">
        <x:v>alibaba</x:v>
      </x:c>
      <x:c r="E240" s="68" t="n">
        <x:v>235</x:v>
      </x:c>
      <x:c r="F240" s="68" t="n">
        <x:v>59.335793810962144</x:v>
      </x:c>
      <x:c r="G240" s="29" t="n">
        <x:f>MAX(F240/E240,E240/F240)</x:f>
        <x:v>3.9605099200102774</x:v>
      </x:c>
      <x:c r="H240" s="29" t="n">
        <x:f>F240/E240</x:f>
        <x:v>0.2524927396211155</x:v>
      </x:c>
      <x:c r="I240" s="26" t="n">
        <x:v>228</x:v>
      </x:c>
      <x:c r="J240" s="26" t="n">
        <x:v>102</x:v>
      </x:c>
      <x:c r="K240" s="65" t="n">
        <x:v>45770</x:v>
      </x:c>
      <x:c r="L240" s="32" t="n">
        <x:v>0.9682539682539683</x:v>
      </x:c>
      <x:c r="M240" s="26" t="n">
        <x:v>1</x:v>
      </x:c>
    </x:row>
    <x:row r="241">
      <x:c r="A241" s="20" t="str">
        <x:v>Compute</x:v>
      </x:c>
      <x:c r="B241" s="65" t="n">
        <x:v>45776</x:v>
      </x:c>
      <x:c r="C241" s="20" t="str">
        <x:v>Qwen3-30B-A3B</x:v>
      </x:c>
      <x:c r="D241" s="20" t="str">
        <x:v>alibaba</x:v>
      </x:c>
      <x:c r="E241" s="68" t="n">
        <x:v>30</x:v>
      </x:c>
      <x:c r="F241" s="68" t="n">
        <x:v>23.75099655841482</x:v>
      </x:c>
      <x:c r="G241" s="29" t="n">
        <x:f>MAX(F241/E241,E241/F241)</x:f>
        <x:v>1.2631048944079444</x:v>
      </x:c>
      <x:c r="H241" s="29" t="n">
        <x:f>F241/E241</x:f>
        <x:v>0.791699885280494</x:v>
      </x:c>
      <x:c r="I241" s="26" t="n">
        <x:v>228</x:v>
      </x:c>
      <x:c r="J241" s="26" t="n">
        <x:v>102</x:v>
      </x:c>
      <x:c r="K241" s="65" t="n">
        <x:v>45770</x:v>
      </x:c>
      <x:c r="L241" s="32" t="n">
        <x:v>0.8174603174603174</x:v>
      </x:c>
      <x:c r="M241" s="26" t="n">
        <x:v>1</x:v>
      </x:c>
    </x:row>
    <x:row r="242">
      <x:c r="A242" s="20" t="str">
        <x:v>Compute</x:v>
      </x:c>
      <x:c r="B242" s="65" t="n">
        <x:v>45776</x:v>
      </x:c>
      <x:c r="C242" s="20" t="str">
        <x:v>Qwen3-32B</x:v>
      </x:c>
      <x:c r="D242" s="20" t="str">
        <x:v>alibaba</x:v>
      </x:c>
      <x:c r="E242" s="68" t="n">
        <x:v>32.8</x:v>
      </x:c>
      <x:c r="F242" s="68" t="n">
        <x:v>71.28913780322941</x:v>
      </x:c>
      <x:c r="G242" s="29" t="n">
        <x:f>MAX(F242/E242,E242/F242)</x:f>
        <x:v>2.1734493232691894</x:v>
      </x:c>
      <x:c r="H242" s="29" t="n">
        <x:f>F242/E242</x:f>
        <x:v>2.1734493232691894</x:v>
      </x:c>
      <x:c r="I242" s="26" t="n">
        <x:v>228</x:v>
      </x:c>
      <x:c r="J242" s="26" t="n">
        <x:v>102</x:v>
      </x:c>
      <x:c r="K242" s="65" t="n">
        <x:v>45770</x:v>
      </x:c>
      <x:c r="L242" s="32" t="n">
        <x:v>0.9801587301587301</x:v>
      </x:c>
      <x:c r="M242" s="26" t="n">
        <x:v>1</x:v>
      </x:c>
    </x:row>
    <x:row r="243">
      <x:c r="A243" s="20" t="str">
        <x:v>Compute</x:v>
      </x:c>
      <x:c r="B243" s="65" t="n">
        <x:v>45776</x:v>
      </x:c>
      <x:c r="C243" s="20" t="str">
        <x:v>Qwen3-4B</x:v>
      </x:c>
      <x:c r="D243" s="20" t="str">
        <x:v>alibaba</x:v>
      </x:c>
      <x:c r="E243" s="68" t="n">
        <x:v>4</x:v>
      </x:c>
      <x:c r="F243" s="68" t="n">
        <x:v>27.107867933652685</x:v>
      </x:c>
      <x:c r="G243" s="29" t="n">
        <x:f>MAX(F243/E243,E243/F243)</x:f>
        <x:v>6.776966983413171</x:v>
      </x:c>
      <x:c r="H243" s="29" t="n">
        <x:f>F243/E243</x:f>
        <x:v>6.776966983413171</x:v>
      </x:c>
      <x:c r="I243" s="26" t="n">
        <x:v>228</x:v>
      </x:c>
      <x:c r="J243" s="26" t="n">
        <x:v>102</x:v>
      </x:c>
      <x:c r="K243" s="65" t="n">
        <x:v>45770</x:v>
      </x:c>
      <x:c r="L243" s="32" t="n">
        <x:v>0.8531746031746031</x:v>
      </x:c>
      <x:c r="M243" s="26" t="n">
        <x:v>1</x:v>
      </x:c>
    </x:row>
    <x:row r="244">
      <x:c r="A244" s="20" t="str">
        <x:v>Compute</x:v>
      </x:c>
      <x:c r="B244" s="65" t="n">
        <x:v>45776</x:v>
      </x:c>
      <x:c r="C244" s="20" t="str">
        <x:v>Qwen3-8B</x:v>
      </x:c>
      <x:c r="D244" s="20" t="str">
        <x:v>alibaba</x:v>
      </x:c>
      <x:c r="E244" s="68" t="n">
        <x:v>8.2</x:v>
      </x:c>
      <x:c r="F244" s="68" t="n">
        <x:v>37.70133057593857</x:v>
      </x:c>
      <x:c r="G244" s="29" t="n">
        <x:f>MAX(F244/E244,E244/F244)</x:f>
        <x:v>4.597723240968119</x:v>
      </x:c>
      <x:c r="H244" s="29" t="n">
        <x:f>F244/E244</x:f>
        <x:v>4.597723240968119</x:v>
      </x:c>
      <x:c r="I244" s="26" t="n">
        <x:v>228</x:v>
      </x:c>
      <x:c r="J244" s="26" t="n">
        <x:v>102</x:v>
      </x:c>
      <x:c r="K244" s="65" t="n">
        <x:v>45770</x:v>
      </x:c>
      <x:c r="L244" s="32" t="n">
        <x:v>0.9047619047619048</x:v>
      </x:c>
      <x:c r="M244" s="26" t="n">
        <x:v>1</x:v>
      </x:c>
    </x:row>
    <x:row r="245">
      <x:c r="A245" s="20" t="str">
        <x:v>Compute</x:v>
      </x:c>
      <x:c r="B245" s="65" t="n">
        <x:v>45783</x:v>
      </x:c>
      <x:c r="C245" s="20" t="str">
        <x:v>Apriel Nemotron 15B</x:v>
      </x:c>
      <x:c r="D245" s="20" t="str">
        <x:v>nvidia_servicenow</x:v>
      </x:c>
      <x:c r="E245" s="68" t="n">
        <x:v>15</x:v>
      </x:c>
      <x:c r="F245" s="68" t="n">
        <x:v>3.216475639729769</x:v>
      </x:c>
      <x:c r="G245" s="29" t="n">
        <x:f>MAX(F245/E245,E245/F245)</x:f>
        <x:v>4.663489384070143</x:v>
      </x:c>
      <x:c r="H245" s="29" t="n">
        <x:f>F245/E245</x:f>
        <x:v>0.21443170931531794</x:v>
      </x:c>
      <x:c r="I245" s="26" t="n">
        <x:v>260</x:v>
      </x:c>
      <x:c r="J245" s="26" t="n">
        <x:v>103</x:v>
      </x:c>
      <x:c r="K245" s="65" t="n">
        <x:v>45776</x:v>
      </x:c>
      <x:c r="L245" s="32" t="n">
        <x:v>0.17307692307692307</x:v>
      </x:c>
      <x:c r="M245" s="26" t="n">
        <x:v>1</x:v>
      </x:c>
    </x:row>
    <x:row r="246">
      <x:c r="A246" s="20" t="str">
        <x:v>Compute</x:v>
      </x:c>
      <x:c r="B246" s="65" t="n">
        <x:v>45796</x:v>
      </x:c>
      <x:c r="C246" s="20" t="str">
        <x:v>Marin 8B</x:v>
      </x:c>
      <x:c r="D246" s="20" t="str">
        <x:v>marin</x:v>
      </x:c>
      <x:c r="E246" s="68" t="n">
        <x:v>8</x:v>
      </x:c>
      <x:c r="F246" s="68" t="n">
        <x:v>23.598443482925678</x:v>
      </x:c>
      <x:c r="G246" s="29" t="n">
        <x:f>MAX(F246/E246,E246/F246)</x:f>
        <x:v>2.9498054353657097</x:v>
      </x:c>
      <x:c r="H246" s="29" t="n">
        <x:f>F246/E246</x:f>
        <x:v>2.9498054353657097</x:v>
      </x:c>
      <x:c r="I246" s="26" t="n">
        <x:v>261</x:v>
      </x:c>
      <x:c r="J246" s="26" t="n">
        <x:v>104</x:v>
      </x:c>
      <x:c r="K246" s="65" t="n">
        <x:v>45783</x:v>
      </x:c>
      <x:c r="L246" s="32" t="n">
        <x:v>0.8007662835249042</x:v>
      </x:c>
      <x:c r="M246" s="26" t="n">
        <x:v>1</x:v>
      </x:c>
    </x:row>
    <x:row r="247">
      <x:c r="A247" s="20" t="str">
        <x:v>Compute</x:v>
      </x:c>
      <x:c r="B247" s="65" t="n">
        <x:v>45797</x:v>
      </x:c>
      <x:c r="C247" s="20" t="str">
        <x:v>Gemma 3n</x:v>
      </x:c>
      <x:c r="D247" s="20" t="str">
        <x:v>google</x:v>
      </x:c>
      <x:c r="E247" s="68" t="n">
        <x:v>7.85</x:v>
      </x:c>
      <x:c r="F247" s="68" t="n">
        <x:v>21.17828288252025</x:v>
      </x:c>
      <x:c r="G247" s="29" t="n">
        <x:f>MAX(F247/E247,E247/F247)</x:f>
        <x:v>2.6978704308942993</x:v>
      </x:c>
      <x:c r="H247" s="29" t="n">
        <x:f>F247/E247</x:f>
        <x:v>2.6978704308942993</x:v>
      </x:c>
      <x:c r="I247" s="26" t="n">
        <x:v>261</x:v>
      </x:c>
      <x:c r="J247" s="26" t="n">
        <x:v>104</x:v>
      </x:c>
      <x:c r="K247" s="65" t="n">
        <x:v>45796</x:v>
      </x:c>
      <x:c r="L247" s="32" t="n">
        <x:v>0.7748091603053435</x:v>
      </x:c>
      <x:c r="M247" s="26" t="n">
        <x:v>1</x:v>
      </x:c>
    </x:row>
    <x:row r="248">
      <x:c r="A248" s="20" t="str">
        <x:v>Compute</x:v>
      </x:c>
      <x:c r="B248" s="65" t="n">
        <x:v>45798</x:v>
      </x:c>
      <x:c r="C248" s="20" t="str">
        <x:v>Falcon-H1</x:v>
      </x:c>
      <x:c r="D248" s="20" t="str">
        <x:v>technology_innovation_institute</x:v>
      </x:c>
      <x:c r="E248" s="68" t="n">
        <x:v>34</x:v>
      </x:c>
      <x:c r="F248" s="68" t="n">
        <x:v>50.57050105347237</x:v>
      </x:c>
      <x:c r="G248" s="29" t="n">
        <x:f>MAX(F248/E248,E248/F248)</x:f>
        <x:v>1.487367678043305</x:v>
      </x:c>
      <x:c r="H248" s="29" t="n">
        <x:f>F248/E248</x:f>
        <x:v>1.487367678043305</x:v>
      </x:c>
      <x:c r="I248" s="26" t="n">
        <x:v>257</x:v>
      </x:c>
      <x:c r="J248" s="26" t="n">
        <x:v>104</x:v>
      </x:c>
      <x:c r="K248" s="65" t="n">
        <x:v>45797</x:v>
      </x:c>
      <x:c r="L248" s="32" t="n">
        <x:v>0.9543726235741445</x:v>
      </x:c>
      <x:c r="M248" s="26" t="n">
        <x:v>1</x:v>
      </x:c>
    </x:row>
    <x:row r="249">
      <x:c r="A249" s="20" t="str">
        <x:v>Compute</x:v>
      </x:c>
      <x:c r="B249" s="65" t="n">
        <x:v>45805</x:v>
      </x:c>
      <x:c r="C249" s="20" t="str">
        <x:v>Pangu Pro MoE</x:v>
      </x:c>
      <x:c r="D249" s="20" t="str">
        <x:v>huawei</x:v>
      </x:c>
      <x:c r="E249" s="68" t="n">
        <x:v>71.99</x:v>
      </x:c>
      <x:c r="F249" s="68" t="n">
        <x:v>30.908852152374905</x:v>
      </x:c>
      <x:c r="G249" s="29" t="n">
        <x:f>MAX(F249/E249,E249/F249)</x:f>
        <x:v>2.3291062264332125</x:v>
      </x:c>
      <x:c r="H249" s="29" t="n">
        <x:f>F249/E249</x:f>
        <x:v>0.42934924506702193</x:v>
      </x:c>
      <x:c r="I249" s="26" t="n">
        <x:v>264</x:v>
      </x:c>
      <x:c r="J249" s="26" t="n">
        <x:v>105</x:v>
      </x:c>
      <x:c r="K249" s="65" t="n">
        <x:v>45798</x:v>
      </x:c>
      <x:c r="L249" s="32" t="n">
        <x:v>0.8674242424242424</x:v>
      </x:c>
      <x:c r="M249" s="26" t="n">
        <x:v>1</x:v>
      </x:c>
    </x:row>
    <x:row r="250">
      <x:c r="A250" s="20" t="str">
        <x:v>Compute</x:v>
      </x:c>
      <x:c r="B250" s="65" t="n">
        <x:v>45813</x:v>
      </x:c>
      <x:c r="C250" s="20" t="str">
        <x:v>MiMo-7B-Base</x:v>
      </x:c>
      <x:c r="D250" s="20" t="str">
        <x:v>xiaomi_corp</x:v>
      </x:c>
      <x:c r="E250" s="68" t="n">
        <x:v>7</x:v>
      </x:c>
      <x:c r="F250" s="68" t="n">
        <x:v>29.066332593318094</x:v>
      </x:c>
      <x:c r="G250" s="29" t="n">
        <x:f>MAX(F250/E250,E250/F250)</x:f>
        <x:v>4.152333227616871</x:v>
      </x:c>
      <x:c r="H250" s="29" t="n">
        <x:f>F250/E250</x:f>
        <x:v>4.152333227616871</x:v>
      </x:c>
      <x:c r="I250" s="26" t="n">
        <x:v>265</x:v>
      </x:c>
      <x:c r="J250" s="26" t="n">
        <x:v>106</x:v>
      </x:c>
      <x:c r="K250" s="65" t="n">
        <x:v>45805</x:v>
      </x:c>
      <x:c r="L250" s="32" t="n">
        <x:v>0.8452830188679246</x:v>
      </x:c>
      <x:c r="M250" s="26" t="n">
        <x:v>1</x:v>
      </x:c>
    </x:row>
    <x:row r="251">
      <x:c r="A251" s="20" t="str">
        <x:v>Compute</x:v>
      </x:c>
      <x:c r="B251" s="65" t="n">
        <x:v>45837</x:v>
      </x:c>
      <x:c r="C251" s="20" t="str">
        <x:v>ERNIE-4.5-21B-A3B</x:v>
      </x:c>
      <x:c r="D251" s="20" t="str">
        <x:v>baidu</x:v>
      </x:c>
      <x:c r="E251" s="68" t="n">
        <x:v>21</x:v>
      </x:c>
      <x:c r="F251" s="68" t="n">
        <x:v>12.153096168465828</x:v>
      </x:c>
      <x:c r="G251" s="29" t="n">
        <x:f>MAX(F251/E251,E251/F251)</x:f>
        <x:v>1.727954729305082</x:v>
      </x:c>
      <x:c r="H251" s="29" t="n">
        <x:f>F251/E251</x:f>
        <x:v>0.5787188651650395</x:v>
      </x:c>
      <x:c r="I251" s="26" t="n">
        <x:v>266</x:v>
      </x:c>
      <x:c r="J251" s="26" t="n">
        <x:v>107</x:v>
      </x:c>
      <x:c r="K251" s="65" t="n">
        <x:v>45813</x:v>
      </x:c>
      <x:c r="L251" s="32" t="n">
        <x:v>0.5827067669172933</x:v>
      </x:c>
      <x:c r="M251" s="26" t="n">
        <x:v>1</x:v>
      </x:c>
    </x:row>
    <x:row r="252">
      <x:c r="A252" s="20" t="str">
        <x:v>Compute</x:v>
      </x:c>
      <x:c r="B252" s="65" t="n">
        <x:v>45837</x:v>
      </x:c>
      <x:c r="C252" s="20" t="str">
        <x:v>ERNIE-4.5-300B-A47B</x:v>
      </x:c>
      <x:c r="D252" s="20" t="str">
        <x:v>baidu</x:v>
      </x:c>
      <x:c r="E252" s="68" t="n">
        <x:v>300</x:v>
      </x:c>
      <x:c r="F252" s="68" t="n">
        <x:v>42.112033955169515</x:v>
      </x:c>
      <x:c r="G252" s="29" t="n">
        <x:f>MAX(F252/E252,E252/F252)</x:f>
        <x:v>7.123854438362342</x:v>
      </x:c>
      <x:c r="H252" s="29" t="n">
        <x:f>F252/E252</x:f>
        <x:v>0.14037344651723171</x:v>
      </x:c>
      <x:c r="I252" s="26" t="n">
        <x:v>266</x:v>
      </x:c>
      <x:c r="J252" s="26" t="n">
        <x:v>107</x:v>
      </x:c>
      <x:c r="K252" s="65" t="n">
        <x:v>45813</x:v>
      </x:c>
      <x:c r="L252" s="32" t="n">
        <x:v>0.9135338345864662</x:v>
      </x:c>
      <x:c r="M252" s="26" t="n">
        <x:v>1</x:v>
      </x:c>
    </x:row>
    <x:row r="253">
      <x:c r="A253" s="20" t="str">
        <x:v>Compute</x:v>
      </x:c>
      <x:c r="B253" s="65" t="n">
        <x:v>45844</x:v>
      </x:c>
      <x:c r="C253" s="20" t="str">
        <x:v>dots.llm1</x:v>
      </x:c>
      <x:c r="D253" s="20" t="str">
        <x:v>rednote</x:v>
      </x:c>
      <x:c r="E253" s="68" t="n">
        <x:v>142</x:v>
      </x:c>
      <x:c r="F253" s="68" t="n">
        <x:v>30.249734137730307</x:v>
      </x:c>
      <x:c r="G253" s="29" t="n">
        <x:f>MAX(F253/E253,E253/F253)</x:f>
        <x:v>4.694256133077357</x:v>
      </x:c>
      <x:c r="H253" s="29" t="n">
        <x:f>F253/E253</x:f>
        <x:v>0.21302629674457962</x:v>
      </x:c>
      <x:c r="I253" s="26" t="n">
        <x:v>268</x:v>
      </x:c>
      <x:c r="J253" s="26" t="n">
        <x:v>108</x:v>
      </x:c>
      <x:c r="K253" s="65" t="n">
        <x:v>45837</x:v>
      </x:c>
      <x:c r="L253" s="32" t="n">
        <x:v>0.8507462686567164</x:v>
      </x:c>
      <x:c r="M253" s="26" t="n">
        <x:v>1</x:v>
      </x:c>
    </x:row>
    <x:row r="254">
      <x:c r="A254" s="20" t="str">
        <x:v>Compute</x:v>
      </x:c>
      <x:c r="B254" s="65" t="n">
        <x:v>45849</x:v>
      </x:c>
      <x:c r="C254" s="20" t="str">
        <x:v>Kimi K2</x:v>
      </x:c>
      <x:c r="D254" s="20" t="str">
        <x:v>moonshot</x:v>
      </x:c>
      <x:c r="E254" s="68" t="n">
        <x:v>1040</x:v>
      </x:c>
      <x:c r="F254" s="68" t="n">
        <x:v>48.327562623623166</x:v>
      </x:c>
      <x:c r="G254" s="29" t="n">
        <x:f>MAX(F254/E254,E254/F254)</x:f>
        <x:v>21.519810715461862</x:v>
      </x:c>
      <x:c r="H254" s="29" t="n">
        <x:f>F254/E254</x:f>
        <x:v>0.04646881021502228</x:v>
      </x:c>
      <x:c r="I254" s="26" t="n">
        <x:v>269</x:v>
      </x:c>
      <x:c r="J254" s="26" t="n">
        <x:v>109</x:v>
      </x:c>
      <x:c r="K254" s="65" t="n">
        <x:v>45844</x:v>
      </x:c>
      <x:c r="L254" s="32" t="n">
        <x:v>0.9256505576208178</x:v>
      </x:c>
      <x:c r="M254" s="26" t="n">
        <x:v>1</x:v>
      </x:c>
    </x:row>
    <x:row r="255">
      <x:c r="A255" s="20" t="str">
        <x:v>Compute</x:v>
      </x:c>
      <x:c r="B255" s="65" t="n">
        <x:v>45853</x:v>
      </x:c>
      <x:c r="C255" s="20" t="str">
        <x:v>EXAONE 4.0 (1.2B)</x:v>
      </x:c>
      <x:c r="D255" s="20" t="str">
        <x:v>lg_ai_research</x:v>
      </x:c>
      <x:c r="E255" s="68" t="n">
        <x:v>1.2</x:v>
      </x:c>
      <x:c r="F255" s="68" t="n">
        <x:v>10.993253737835522</x:v>
      </x:c>
      <x:c r="G255" s="29" t="n">
        <x:f>MAX(F255/E255,E255/F255)</x:f>
        <x:v>9.161044781529602</x:v>
      </x:c>
      <x:c r="H255" s="29" t="n">
        <x:f>F255/E255</x:f>
        <x:v>9.161044781529602</x:v>
      </x:c>
      <x:c r="I255" s="26" t="n">
        <x:v>266</x:v>
      </x:c>
      <x:c r="J255" s="26" t="n">
        <x:v>109</x:v>
      </x:c>
      <x:c r="K255" s="65" t="n">
        <x:v>45849</x:v>
      </x:c>
      <x:c r="L255" s="32" t="n">
        <x:v>0.45185185185185184</x:v>
      </x:c>
      <x:c r="M255" s="26" t="n">
        <x:v>1</x:v>
      </x:c>
    </x:row>
    <x:row r="256">
      <x:c r="A256" s="20" t="str">
        <x:v>Compute</x:v>
      </x:c>
      <x:c r="B256" s="65" t="n">
        <x:v>45853</x:v>
      </x:c>
      <x:c r="C256" s="20" t="str">
        <x:v>EXAONE 4.0 (32B)</x:v>
      </x:c>
      <x:c r="D256" s="20" t="str">
        <x:v>lg_ai_research</x:v>
      </x:c>
      <x:c r="E256" s="68" t="n">
        <x:v>32</x:v>
      </x:c>
      <x:c r="F256" s="68" t="n">
        <x:v>54.009021945967085</x:v>
      </x:c>
      <x:c r="G256" s="29" t="n">
        <x:f>MAX(F256/E256,E256/F256)</x:f>
        <x:v>1.6877819358114714</x:v>
      </x:c>
      <x:c r="H256" s="29" t="n">
        <x:f>F256/E256</x:f>
        <x:v>1.6877819358114714</x:v>
      </x:c>
      <x:c r="I256" s="26" t="n">
        <x:v>266</x:v>
      </x:c>
      <x:c r="J256" s="26" t="n">
        <x:v>109</x:v>
      </x:c>
      <x:c r="K256" s="65" t="n">
        <x:v>45849</x:v>
      </x:c>
      <x:c r="L256" s="32" t="n">
        <x:v>0.9074074074074074</x:v>
      </x:c>
      <x:c r="M256" s="26" t="n">
        <x:v>1</x:v>
      </x:c>
    </x:row>
    <x:row r="257">
      <x:c r="A257" s="20" t="str">
        <x:v>Compute</x:v>
      </x:c>
      <x:c r="B257" s="65" t="n">
        <x:v>45860</x:v>
      </x:c>
      <x:c r="C257" s="20" t="str">
        <x:v>Qwen3-Coder-480B-A35B</x:v>
      </x:c>
      <x:c r="D257" s="20" t="str">
        <x:v>alibaba</x:v>
      </x:c>
      <x:c r="E257" s="68" t="n">
        <x:v>480</x:v>
      </x:c>
      <x:c r="F257" s="68" t="n">
        <x:v>41.61210241421475</x:v>
      </x:c>
      <x:c r="G257" s="29" t="n">
        <x:f>MAX(F257/E257,E257/F257)</x:f>
        <x:v>11.535105706075338</x:v>
      </x:c>
      <x:c r="H257" s="29" t="n">
        <x:f>F257/E257</x:f>
        <x:v>0.08669188002961407</x:v>
      </x:c>
      <x:c r="I257" s="26" t="n">
        <x:v>240</x:v>
      </x:c>
      <x:c r="J257" s="26" t="n">
        <x:v>109</x:v>
      </x:c>
      <x:c r="K257" s="65" t="n">
        <x:v>45853</x:v>
      </x:c>
      <x:c r="L257" s="32" t="n">
        <x:v>0.875</x:v>
      </x:c>
      <x:c r="M257" s="26" t="n">
        <x:v>1</x:v>
      </x:c>
    </x:row>
    <x:row r="258">
      <x:c r="A258" s="20" t="str">
        <x:v>Compute</x:v>
      </x:c>
      <x:c r="B258" s="65" t="n">
        <x:v>45863</x:v>
      </x:c>
      <x:c r="C258" s="20" t="str">
        <x:v>Qwen3-235B-A22B (Jul 2025)</x:v>
      </x:c>
      <x:c r="D258" s="20" t="str">
        <x:v>alibaba</x:v>
      </x:c>
      <x:c r="E258" s="68" t="n">
        <x:v>235</x:v>
      </x:c>
      <x:c r="F258" s="68" t="n">
        <x:v>69.33008626216684</x:v>
      </x:c>
      <x:c r="G258" s="29" t="n">
        <x:f>MAX(F258/E258,E258/F258)</x:f>
        <x:v>3.389581820385511</x:v>
      </x:c>
      <x:c r="H258" s="29" t="n">
        <x:f>F258/E258</x:f>
        <x:v>0.2950216436687951</x:v>
      </x:c>
      <x:c r="I258" s="26" t="n">
        <x:v>240</x:v>
      </x:c>
      <x:c r="J258" s="26" t="n">
        <x:v>109</x:v>
      </x:c>
      <x:c r="K258" s="65" t="n">
        <x:v>45853</x:v>
      </x:c>
      <x:c r="L258" s="32" t="n">
        <x:v>0.967032967032967</x:v>
      </x:c>
      <x:c r="M258" s="26" t="n">
        <x:v>1</x:v>
      </x:c>
    </x:row>
    <x:row r="259">
      <x:c r="A259" s="20" t="str">
        <x:v>Compute</x:v>
      </x:c>
      <x:c r="B259" s="65" t="n">
        <x:v>45863</x:v>
      </x:c>
      <x:c r="C259" s="20" t="str">
        <x:v>Qwen3-235B-A22B-Thinking (Jul 2025)</x:v>
      </x:c>
      <x:c r="D259" s="20" t="str">
        <x:v>alibaba</x:v>
      </x:c>
      <x:c r="E259" s="68" t="n">
        <x:v>235</x:v>
      </x:c>
      <x:c r="F259" s="68" t="n">
        <x:v>69.33008626216684</x:v>
      </x:c>
      <x:c r="G259" s="29" t="n">
        <x:f>MAX(F259/E259,E259/F259)</x:f>
        <x:v>3.389581820385511</x:v>
      </x:c>
      <x:c r="H259" s="29" t="n">
        <x:f>F259/E259</x:f>
        <x:v>0.2950216436687951</x:v>
      </x:c>
      <x:c r="I259" s="26" t="n">
        <x:v>240</x:v>
      </x:c>
      <x:c r="J259" s="26" t="n">
        <x:v>109</x:v>
      </x:c>
      <x:c r="K259" s="65" t="n">
        <x:v>45853</x:v>
      </x:c>
      <x:c r="L259" s="32" t="n">
        <x:v>0.967032967032967</x:v>
      </x:c>
      <x:c r="M259" s="26" t="n">
        <x:v>1</x:v>
      </x:c>
    </x:row>
    <x:row r="260">
      <x:c r="A260" s="20" t="str">
        <x:v>Compute</x:v>
      </x:c>
      <x:c r="B260" s="65" t="n">
        <x:v>45870</x:v>
      </x:c>
      <x:c r="C260" s="20" t="str">
        <x:v>Tri-21B</x:v>
      </x:c>
      <x:c r="D260" s="20" t="str">
        <x:v>trillion_labs</x:v>
      </x:c>
      <x:c r="E260" s="68" t="n">
        <x:v>20.73</x:v>
      </x:c>
      <x:c r="F260" s="68" t="n">
        <x:v>19.076149431043497</x:v>
      </x:c>
      <x:c r="G260" s="29" t="n">
        <x:f>MAX(F260/E260,E260/F260)</x:f>
        <x:v>1.0866972957480148</x:v>
      </x:c>
      <x:c r="H260" s="29" t="n">
        <x:f>F260/E260</x:f>
        <x:v>0.9202194612177278</x:v>
      </x:c>
      <x:c r="I260" s="26" t="n">
        <x:v>274</x:v>
      </x:c>
      <x:c r="J260" s="26" t="n">
        <x:v>109</x:v>
      </x:c>
      <x:c r="K260" s="65" t="n">
        <x:v>45863</x:v>
      </x:c>
      <x:c r="L260" s="32" t="n">
        <x:v>0.6327272727272727</x:v>
      </x:c>
      <x:c r="M260" s="26" t="n">
        <x:v>1</x:v>
      </x:c>
    </x:row>
    <x:row r="261">
      <x:c r="A261" s="20" t="str">
        <x:v>Compute</x:v>
      </x:c>
      <x:c r="B261" s="65" t="n">
        <x:v>45874</x:v>
      </x:c>
      <x:c r="C261" s="20" t="str">
        <x:v>GLM-4.5</x:v>
      </x:c>
      <x:c r="D261" s="20" t="str">
        <x:v>z_ai_zhipu_ai_tsinghua_university</x:v>
      </x:c>
      <x:c r="E261" s="68" t="n">
        <x:v>355</x:v>
      </x:c>
      <x:c r="F261" s="68" t="n">
        <x:v>66.94557471697281</x:v>
      </x:c>
      <x:c r="G261" s="29" t="n">
        <x:f>MAX(F261/E261,E261/F261)</x:f>
        <x:v>5.302815032970302</x:v>
      </x:c>
      <x:c r="H261" s="29" t="n">
        <x:f>F261/E261</x:f>
        <x:v>0.18857908370978257</x:v>
      </x:c>
      <x:c r="I261" s="26" t="n">
        <x:v>274</x:v>
      </x:c>
      <x:c r="J261" s="26" t="n">
        <x:v>109</x:v>
      </x:c>
      <x:c r="K261" s="65" t="n">
        <x:v>45870</x:v>
      </x:c>
      <x:c r="L261" s="32" t="n">
        <x:v>0.9565217391304348</x:v>
      </x:c>
      <x:c r="M261" s="26" t="n">
        <x:v>1</x:v>
      </x:c>
    </x:row>
    <x:row r="262">
      <x:c r="A262" s="20" t="str">
        <x:v>Compute</x:v>
      </x:c>
      <x:c r="B262" s="65" t="n">
        <x:v>45874</x:v>
      </x:c>
      <x:c r="C262" s="20" t="str">
        <x:v>GLM-4.5-Air</x:v>
      </x:c>
      <x:c r="D262" s="20" t="str">
        <x:v>z_ai_zhipu_ai_tsinghua_university</x:v>
      </x:c>
      <x:c r="E262" s="68" t="n">
        <x:v>106</x:v>
      </x:c>
      <x:c r="F262" s="68" t="n">
        <x:v>42.43181791108338</x:v>
      </x:c>
      <x:c r="G262" s="29" t="n">
        <x:f>MAX(F262/E262,E262/F262)</x:f>
        <x:v>2.4981253507008554</x:v>
      </x:c>
      <x:c r="H262" s="29" t="n">
        <x:f>F262/E262</x:f>
        <x:v>0.4003001689724847</x:v>
      </x:c>
      <x:c r="I262" s="26" t="n">
        <x:v>274</x:v>
      </x:c>
      <x:c r="J262" s="26" t="n">
        <x:v>109</x:v>
      </x:c>
      <x:c r="K262" s="65" t="n">
        <x:v>45870</x:v>
      </x:c>
      <x:c r="L262" s="32" t="n">
        <x:v>0.8768115942028986</x:v>
      </x:c>
      <x:c r="M262" s="26" t="n">
        <x:v>1</x:v>
      </x:c>
    </x:row>
    <x:row r="263">
      <x:c r="A263" s="20" t="str">
        <x:v>Compute</x:v>
      </x:c>
      <x:c r="B263" s="65" t="n">
        <x:v>45874</x:v>
      </x:c>
      <x:c r="C263" s="20" t="str">
        <x:v>gpt-oss-120b</x:v>
      </x:c>
      <x:c r="D263" s="20" t="str">
        <x:v>openai</x:v>
      </x:c>
      <x:c r="E263" s="68" t="n">
        <x:v>116.83</x:v>
      </x:c>
      <x:c r="F263" s="68" t="n">
        <x:v>69.75237780127475</x:v>
      </x:c>
      <x:c r="G263" s="29" t="n">
        <x:f>MAX(F263/E263,E263/F263)</x:f>
        <x:v>1.674924980089566</x:v>
      </x:c>
      <x:c r="H263" s="29" t="n">
        <x:f>F263/E263</x:f>
        <x:v>0.5970416656789759</x:v>
      </x:c>
      <x:c r="I263" s="26" t="n">
        <x:v>276</x:v>
      </x:c>
      <x:c r="J263" s="26" t="n">
        <x:v>110</x:v>
      </x:c>
      <x:c r="K263" s="65" t="n">
        <x:v>45870</x:v>
      </x:c>
      <x:c r="L263" s="32" t="n">
        <x:v>0.967391304347826</x:v>
      </x:c>
      <x:c r="M263" s="26" t="n">
        <x:v>1</x:v>
      </x:c>
    </x:row>
    <x:row r="264">
      <x:c r="A264" s="20" t="str">
        <x:v>Compute</x:v>
      </x:c>
      <x:c r="B264" s="65" t="n">
        <x:v>45874</x:v>
      </x:c>
      <x:c r="C264" s="20" t="str">
        <x:v>gpt-oss-20b</x:v>
      </x:c>
      <x:c r="D264" s="20" t="str">
        <x:v>openai</x:v>
      </x:c>
      <x:c r="E264" s="68" t="n">
        <x:v>20.91</x:v>
      </x:c>
      <x:c r="F264" s="68" t="n">
        <x:v>25.20409312267074</x:v>
      </x:c>
      <x:c r="G264" s="29" t="n">
        <x:f>MAX(F264/E264,E264/F264)</x:f>
        <x:v>1.2053607423563244</x:v>
      </x:c>
      <x:c r="H264" s="29" t="n">
        <x:f>F264/E264</x:f>
        <x:v>1.2053607423563244</x:v>
      </x:c>
      <x:c r="I264" s="26" t="n">
        <x:v>276</x:v>
      </x:c>
      <x:c r="J264" s="26" t="n">
        <x:v>110</x:v>
      </x:c>
      <x:c r="K264" s="65" t="n">
        <x:v>45870</x:v>
      </x:c>
      <x:c r="L264" s="32" t="n">
        <x:v>0.75</x:v>
      </x:c>
      <x:c r="M264" s="26" t="n">
        <x:v>1</x:v>
      </x:c>
    </x:row>
    <x:row r="265">
      <x:c r="A265" s="20" t="str">
        <x:v>Compute</x:v>
      </x:c>
      <x:c r="B265" s="65" t="n">
        <x:v>45883</x:v>
      </x:c>
      <x:c r="C265" s="20" t="str">
        <x:v>Gemma 3 270M</x:v>
      </x:c>
      <x:c r="D265" s="20" t="str">
        <x:v>google_deepmind</x:v>
      </x:c>
      <x:c r="E265" s="68" t="n">
        <x:v>0.27</x:v>
      </x:c>
      <x:c r="F265" s="68" t="n">
        <x:v>4.0131531118950905</x:v>
      </x:c>
      <x:c r="G265" s="29" t="n">
        <x:f>MAX(F265/E265,E265/F265)</x:f>
        <x:v>14.86353004405589</x:v>
      </x:c>
      <x:c r="H265" s="29" t="n">
        <x:f>F265/E265</x:f>
        <x:v>14.86353004405589</x:v>
      </x:c>
      <x:c r="I265" s="26" t="n">
        <x:v>275</x:v>
      </x:c>
      <x:c r="J265" s="26" t="n">
        <x:v>110</x:v>
      </x:c>
      <x:c r="K265" s="65" t="n">
        <x:v>45874</x:v>
      </x:c>
      <x:c r="L265" s="32" t="n">
        <x:v>0.16428571428571428</x:v>
      </x:c>
      <x:c r="M265" s="26" t="n">
        <x:v>1</x:v>
      </x:c>
    </x:row>
    <x:row r="266">
      <x:c r="A266" s="20" t="str">
        <x:v>Compute</x:v>
      </x:c>
      <x:c r="B266" s="65" t="n">
        <x:v>45887</x:v>
      </x:c>
      <x:c r="C266" s="20" t="str">
        <x:v>NVIDIA-Nemotron-Nano-12B-v2</x:v>
      </x:c>
      <x:c r="D266" s="20" t="str">
        <x:v>nvidia</x:v>
      </x:c>
      <x:c r="E266" s="68" t="n">
        <x:v>12</x:v>
      </x:c>
      <x:c r="F266" s="68" t="n">
        <x:v>41.83509842243192</x:v>
      </x:c>
      <x:c r="G266" s="29" t="n">
        <x:f>MAX(F266/E266,E266/F266)</x:f>
        <x:v>3.4862582018693264</x:v>
      </x:c>
      <x:c r="H266" s="29" t="n">
        <x:f>F266/E266</x:f>
        <x:v>3.4862582018693264</x:v>
      </x:c>
      <x:c r="I266" s="26" t="n">
        <x:v>275</x:v>
      </x:c>
      <x:c r="J266" s="26" t="n">
        <x:v>110</x:v>
      </x:c>
      <x:c r="K266" s="65" t="n">
        <x:v>45883</x:v>
      </x:c>
      <x:c r="L266" s="32" t="n">
        <x:v>0.8540925266903915</x:v>
      </x:c>
      <x:c r="M266" s="26" t="n">
        <x:v>1</x:v>
      </x:c>
    </x:row>
    <x:row r="267">
      <x:c r="A267" s="20" t="str">
        <x:v>Compute</x:v>
      </x:c>
      <x:c r="B267" s="65" t="n">
        <x:v>45887</x:v>
      </x:c>
      <x:c r="C267" s="20" t="str">
        <x:v>NVIDIA-Nemotron-Nano-9B-v2</x:v>
      </x:c>
      <x:c r="D267" s="20" t="str">
        <x:v>nvidia</x:v>
      </x:c>
      <x:c r="E267" s="68" t="n">
        <x:v>9</x:v>
      </x:c>
      <x:c r="F267" s="68" t="n">
        <x:v>41.974035026202735</x:v>
      </x:c>
      <x:c r="G267" s="29" t="n">
        <x:f>MAX(F267/E267,E267/F267)</x:f>
        <x:v>4.663781669578082</x:v>
      </x:c>
      <x:c r="H267" s="29" t="n">
        <x:f>F267/E267</x:f>
        <x:v>4.663781669578082</x:v>
      </x:c>
      <x:c r="I267" s="26" t="n">
        <x:v>275</x:v>
      </x:c>
      <x:c r="J267" s="26" t="n">
        <x:v>110</x:v>
      </x:c>
      <x:c r="K267" s="65" t="n">
        <x:v>45883</x:v>
      </x:c>
      <x:c r="L267" s="32" t="n">
        <x:v>0.8540925266903915</x:v>
      </x:c>
      <x:c r="M267" s="26" t="n">
        <x:v>1</x:v>
      </x:c>
    </x:row>
    <x:row r="268">
      <x:c r="A268" s="20" t="str">
        <x:v>Compute</x:v>
      </x:c>
      <x:c r="B268" s="65" t="n">
        <x:v>45890</x:v>
      </x:c>
      <x:c r="C268" s="20" t="str">
        <x:v>Teuken 7B</x:v>
      </x:c>
      <x:c r="D268" s="20" t="str">
        <x:v>opengpt_x_fraunhofer_institute_for_algorithms_and_scientific_computing_forschungszentrum_julich_technische_universit_t_dresden</x:v>
      </x:c>
      <x:c r="E268" s="68" t="n">
        <x:v>7</x:v>
      </x:c>
      <x:c r="F268" s="68" t="n">
        <x:v>16.28049931289404</x:v>
      </x:c>
      <x:c r="G268" s="29" t="n">
        <x:f>MAX(F268/E268,E268/F268)</x:f>
        <x:v>2.32578561612772</x:v>
      </x:c>
      <x:c r="H268" s="29" t="n">
        <x:f>F268/E268</x:f>
        <x:v>2.32578561612772</x:v>
      </x:c>
      <x:c r="I268" s="26" t="n">
        <x:v>283</x:v>
      </x:c>
      <x:c r="J268" s="26" t="n">
        <x:v>111</x:v>
      </x:c>
      <x:c r="K268" s="65" t="n">
        <x:v>45887</x:v>
      </x:c>
      <x:c r="L268" s="32" t="n">
        <x:v>0.5830388692579506</x:v>
      </x:c>
      <x:c r="M268" s="26" t="n">
        <x:v>1</x:v>
      </x:c>
    </x:row>
    <x:row r="269">
      <x:c r="A269" s="20" t="str">
        <x:v>Compute</x:v>
      </x:c>
      <x:c r="B269" s="65" t="n">
        <x:v>45901</x:v>
      </x:c>
      <x:c r="C269" s="20" t="str">
        <x:v>LongCat-Flash</x:v>
      </x:c>
      <x:c r="D269" s="20" t="str">
        <x:v>meituan_inc</x:v>
      </x:c>
      <x:c r="E269" s="68" t="n">
        <x:v>560</x:v>
      </x:c>
      <x:c r="F269" s="68" t="n">
        <x:v>59.78360270601315</x:v>
      </x:c>
      <x:c r="G269" s="29" t="n">
        <x:f>MAX(F269/E269,E269/F269)</x:f>
        <x:v>9.367116979446843</x:v>
      </x:c>
      <x:c r="H269" s="29" t="n">
        <x:f>F269/E269</x:f>
        <x:v>0.1067564334035949</x:v>
      </x:c>
      <x:c r="I269" s="26" t="n">
        <x:v>284</x:v>
      </x:c>
      <x:c r="J269" s="26" t="n">
        <x:v>112</x:v>
      </x:c>
      <x:c r="K269" s="65" t="n">
        <x:v>45890</x:v>
      </x:c>
      <x:c r="L269" s="32" t="n">
        <x:v>0.9436619718309859</x:v>
      </x:c>
      <x:c r="M269" s="26" t="n">
        <x:v>1</x:v>
      </x:c>
    </x:row>
    <x:row r="270">
      <x:c r="A270" s="20" t="str">
        <x:v>Compute</x:v>
      </x:c>
      <x:c r="B270" s="65" t="n">
        <x:v>45902</x:v>
      </x:c>
      <x:c r="C270" s="20" t="str">
        <x:v>Apertus 70B</x:v>
      </x:c>
      <x:c r="D270" s="20" t="str">
        <x:v>eth_zurich_ecole_polytechnique_f_ed_erale_de_lausanne_epfl_swiss_national_supercomputing_centre_cscs_swisscom</x:v>
      </x:c>
      <x:c r="E270" s="68" t="n">
        <x:v>70</x:v>
      </x:c>
      <x:c r="F270" s="68" t="n">
        <x:v>87.01771590869016</x:v>
      </x:c>
      <x:c r="G270" s="29" t="n">
        <x:f>MAX(F270/E270,E270/F270)</x:f>
        <x:v>1.2431102272670023</x:v>
      </x:c>
      <x:c r="H270" s="29" t="n">
        <x:f>F270/E270</x:f>
        <x:v>1.2431102272670023</x:v>
      </x:c>
      <x:c r="I270" s="26" t="n">
        <x:v>285</x:v>
      </x:c>
      <x:c r="J270" s="26" t="n">
        <x:v>113</x:v>
      </x:c>
      <x:c r="K270" s="65" t="n">
        <x:v>45901</x:v>
      </x:c>
      <x:c r="L270" s="32" t="n">
        <x:v>0.9719298245614035</x:v>
      </x:c>
      <x:c r="M270" s="26" t="n">
        <x:v>1</x:v>
      </x:c>
    </x:row>
    <x:row r="271">
      <x:c r="A271" s="20" t="str">
        <x:v>Compute</x:v>
      </x:c>
      <x:c r="B271" s="65" t="n">
        <x:v>45910</x:v>
      </x:c>
      <x:c r="C271" s="20" t="str">
        <x:v>Ling-flash-base-2.0-20T</x:v>
      </x:c>
      <x:c r="D271" s="20" t="str">
        <x:v>ant_group</x:v>
      </x:c>
      <x:c r="E271" s="68" t="n">
        <x:v>100</x:v>
      </x:c>
      <x:c r="F271" s="68" t="n">
        <x:v>29.468854387203347</x:v>
      </x:c>
      <x:c r="G271" s="29" t="n">
        <x:f>MAX(F271/E271,E271/F271)</x:f>
        <x:v>3.393413218106786</x:v>
      </x:c>
      <x:c r="H271" s="29" t="n">
        <x:f>F271/E271</x:f>
        <x:v>0.29468854387203347</x:v>
      </x:c>
      <x:c r="I271" s="26" t="n">
        <x:v>283</x:v>
      </x:c>
      <x:c r="J271" s="26" t="n">
        <x:v>113</x:v>
      </x:c>
      <x:c r="K271" s="65" t="n">
        <x:v>45902</x:v>
      </x:c>
      <x:c r="L271" s="32" t="n">
        <x:v>0.7692307692307693</x:v>
      </x:c>
      <x:c r="M271" s="26" t="n">
        <x:v>1</x:v>
      </x:c>
    </x:row>
    <x:row r="272">
      <x:c r="A272" s="20" t="str">
        <x:v>Compute</x:v>
      </x:c>
      <x:c r="B272" s="65" t="n">
        <x:v>45910</x:v>
      </x:c>
      <x:c r="C272" s="20" t="str">
        <x:v>Ling-mini-base-2.0-20T</x:v>
      </x:c>
      <x:c r="D272" s="20" t="str">
        <x:v>ant_group</x:v>
      </x:c>
      <x:c r="E272" s="68" t="n">
        <x:v>16</x:v>
      </x:c>
      <x:c r="F272" s="68" t="n">
        <x:v>14.682582730637229</x:v>
      </x:c>
      <x:c r="G272" s="29" t="n">
        <x:f>MAX(F272/E272,E272/F272)</x:f>
        <x:v>1.0897265347338243</x:v>
      </x:c>
      <x:c r="H272" s="29" t="n">
        <x:f>F272/E272</x:f>
        <x:v>0.9176614206648268</x:v>
      </x:c>
      <x:c r="I272" s="26" t="n">
        <x:v>283</x:v>
      </x:c>
      <x:c r="J272" s="26" t="n">
        <x:v>113</x:v>
      </x:c>
      <x:c r="K272" s="65" t="n">
        <x:v>45902</x:v>
      </x:c>
      <x:c r="L272" s="32" t="n">
        <x:v>0.527972027972028</x:v>
      </x:c>
      <x:c r="M272" s="26" t="n">
        <x:v>1</x:v>
      </x:c>
    </x:row>
    <x:row r="273">
      <x:c r="A273" s="20" t="str">
        <x:v>Compute</x:v>
      </x:c>
      <x:c r="B273" s="65" t="n">
        <x:v>45910</x:v>
      </x:c>
      <x:c r="C273" s="20" t="str">
        <x:v>Qwen3-Next-80B-A3B</x:v>
      </x:c>
      <x:c r="D273" s="20" t="str">
        <x:v>alibaba</x:v>
      </x:c>
      <x:c r="E273" s="68" t="n">
        <x:v>80</x:v>
      </x:c>
      <x:c r="F273" s="68" t="n">
        <x:v>19.035905396624358</x:v>
      </x:c>
      <x:c r="G273" s="29" t="n">
        <x:f>MAX(F273/E273,E273/F273)</x:f>
        <x:v>4.202584449394585</x:v>
      </x:c>
      <x:c r="H273" s="29" t="n">
        <x:f>F273/E273</x:f>
        <x:v>0.23794881745780447</x:v>
      </x:c>
      <x:c r="I273" s="26" t="n">
        <x:v>251</x:v>
      </x:c>
      <x:c r="J273" s="26" t="n">
        <x:v>113</x:v>
      </x:c>
      <x:c r="K273" s="65" t="n">
        <x:v>45902</x:v>
      </x:c>
      <x:c r="L273" s="32" t="n">
        <x:v>0.6048951048951049</x:v>
      </x:c>
      <x:c r="M273" s="26" t="n">
        <x:v>1</x:v>
      </x:c>
    </x:row>
    <x:row r="274">
      <x:c r="A274" s="20" t="str">
        <x:v>Compute</x:v>
      </x:c>
      <x:c r="B274" s="65" t="n">
        <x:v>45922</x:v>
      </x:c>
      <x:c r="C274" s="20" t="str">
        <x:v>Qwen3-Omni-30B-A3B</x:v>
      </x:c>
      <x:c r="D274" s="20" t="str">
        <x:v>alibaba</x:v>
      </x:c>
      <x:c r="E274" s="68" t="n">
        <x:v>35.3</x:v>
      </x:c>
      <x:c r="F274" s="68" t="n">
        <x:v>7.324521336411021</x:v>
      </x:c>
      <x:c r="G274" s="29" t="n">
        <x:f>MAX(F274/E274,E274/F274)</x:f>
        <x:v>4.81942756102296</x:v>
      </x:c>
      <x:c r="H274" s="29" t="n">
        <x:f>F274/E274</x:f>
        <x:v>0.2074935222779326</x:v>
      </x:c>
      <x:c r="I274" s="26" t="n">
        <x:v>253</x:v>
      </x:c>
      <x:c r="J274" s="26" t="n">
        <x:v>113</x:v>
      </x:c>
      <x:c r="K274" s="65" t="n">
        <x:v>45910</x:v>
      </x:c>
      <x:c r="L274" s="32" t="n">
        <x:v>0.2906574394463668</x:v>
      </x:c>
      <x:c r="M274" s="26" t="n">
        <x:v>1</x:v>
      </x:c>
    </x:row>
    <x:row r="275">
      <x:c r="A275" s="20" t="str">
        <x:v>Compute</x:v>
      </x:c>
      <x:c r="B275" s="65" t="n">
        <x:v>45930</x:v>
      </x:c>
      <x:c r="C275" s="20" t="str">
        <x:v>GLM-4.6</x:v>
      </x:c>
      <x:c r="D275" s="20" t="str">
        <x:v>z_ai_zhipu_ai_tsinghua_university</x:v>
      </x:c>
      <x:c r="E275" s="68" t="n">
        <x:v>357</x:v>
      </x:c>
      <x:c r="F275" s="68" t="n">
        <x:v>68.81551568099223</x:v>
      </x:c>
      <x:c r="G275" s="29" t="n">
        <x:f>MAX(F275/E275,E275/F275)</x:f>
        <x:v>5.187783546590615</x:v>
      </x:c>
      <x:c r="H275" s="29" t="n">
        <x:f>F275/E275</x:f>
        <x:v>0.19276054812602866</x:v>
      </x:c>
      <x:c r="I275" s="26" t="n">
        <x:v>286</x:v>
      </x:c>
      <x:c r="J275" s="26" t="n">
        <x:v>113</x:v>
      </x:c>
      <x:c r="K275" s="65" t="n">
        <x:v>45922</x:v>
      </x:c>
      <x:c r="L275" s="32" t="n">
        <x:v>0.9517241379310345</x:v>
      </x:c>
      <x:c r="M275" s="26" t="n">
        <x:v>1</x:v>
      </x:c>
    </x:row>
    <x:row r="276">
      <x:c r="A276" s="20" t="str">
        <x:v>Compute</x:v>
      </x:c>
      <x:c r="B276" s="65" t="n">
        <x:v>45932</x:v>
      </x:c>
      <x:c r="C276" s="20" t="str">
        <x:v>Granite-4.0-H-Micro</x:v>
      </x:c>
      <x:c r="D276" s="20" t="str">
        <x:v>ibm</x:v>
      </x:c>
      <x:c r="E276" s="68" t="n">
        <x:v>3</x:v>
      </x:c>
      <x:c r="F276" s="68" t="n">
        <x:v>21.05271799728584</x:v>
      </x:c>
      <x:c r="G276" s="29" t="n">
        <x:f>MAX(F276/E276,E276/F276)</x:f>
        <x:v>7.017572665761946</x:v>
      </x:c>
      <x:c r="H276" s="29" t="n">
        <x:f>F276/E276</x:f>
        <x:v>7.017572665761946</x:v>
      </x:c>
      <x:c r="I276" s="26" t="n">
        <x:v>287</x:v>
      </x:c>
      <x:c r="J276" s="26" t="n">
        <x:v>113</x:v>
      </x:c>
      <x:c r="K276" s="65" t="n">
        <x:v>45930</x:v>
      </x:c>
      <x:c r="L276" s="32" t="n">
        <x:v>0.6391752577319587</x:v>
      </x:c>
      <x:c r="M276" s="26" t="n">
        <x:v>1</x:v>
      </x:c>
    </x:row>
    <x:row r="277">
      <x:c r="A277" s="20" t="str">
        <x:v>Compute</x:v>
      </x:c>
      <x:c r="B277" s="65" t="n">
        <x:v>45932</x:v>
      </x:c>
      <x:c r="C277" s="20" t="str">
        <x:v>Granite-4.0-H-Small</x:v>
      </x:c>
      <x:c r="D277" s="20" t="str">
        <x:v>ibm</x:v>
      </x:c>
      <x:c r="E277" s="68" t="n">
        <x:v>32</x:v>
      </x:c>
      <x:c r="F277" s="68" t="n">
        <x:v>39.95345753782532</x:v>
      </x:c>
      <x:c r="G277" s="29" t="n">
        <x:f>MAX(F277/E277,E277/F277)</x:f>
        <x:v>1.2485455480570413</x:v>
      </x:c>
      <x:c r="H277" s="29" t="n">
        <x:f>F277/E277</x:f>
        <x:v>1.2485455480570413</x:v>
      </x:c>
      <x:c r="I277" s="26" t="n">
        <x:v>287</x:v>
      </x:c>
      <x:c r="J277" s="26" t="n">
        <x:v>113</x:v>
      </x:c>
      <x:c r="K277" s="65" t="n">
        <x:v>45930</x:v>
      </x:c>
      <x:c r="L277" s="32" t="n">
        <x:v>0.8144329896907216</x:v>
      </x:c>
      <x:c r="M277" s="26" t="n">
        <x:v>1</x:v>
      </x:c>
    </x:row>
    <x:row r="278">
      <x:c r="A278" s="20" t="str">
        <x:v>Compute</x:v>
      </x:c>
      <x:c r="B278" s="65" t="n">
        <x:v>45932</x:v>
      </x:c>
      <x:c r="C278" s="20" t="str">
        <x:v>Granite-4.0-H-Tiny</x:v>
      </x:c>
      <x:c r="D278" s="20" t="str">
        <x:v>ibm</x:v>
      </x:c>
      <x:c r="E278" s="68" t="n">
        <x:v>7</x:v>
      </x:c>
      <x:c r="F278" s="68" t="n">
        <x:v>14.081975260347882</x:v>
      </x:c>
      <x:c r="G278" s="29" t="n">
        <x:f>MAX(F278/E278,E278/F278)</x:f>
        <x:v>2.011710751478269</x:v>
      </x:c>
      <x:c r="H278" s="29" t="n">
        <x:f>F278/E278</x:f>
        <x:v>2.011710751478269</x:v>
      </x:c>
      <x:c r="I278" s="26" t="n">
        <x:v>287</x:v>
      </x:c>
      <x:c r="J278" s="26" t="n">
        <x:v>113</x:v>
      </x:c>
      <x:c r="K278" s="65" t="n">
        <x:v>45930</x:v>
      </x:c>
      <x:c r="L278" s="32" t="n">
        <x:v>0.4948453608247423</x:v>
      </x:c>
      <x:c r="M278" s="26" t="n">
        <x:v>1</x:v>
      </x:c>
    </x:row>
    <x:row r="279">
      <x:c r="A279" s="20" t="str">
        <x:v>Compute</x:v>
      </x:c>
      <x:c r="B279" s="65" t="n">
        <x:v>45940</x:v>
      </x:c>
      <x:c r="C279" s="20" t="str">
        <x:v>Ling-1T</x:v>
      </x:c>
      <x:c r="D279" s="20" t="str">
        <x:v>ant_group</x:v>
      </x:c>
      <x:c r="E279" s="68" t="n">
        <x:v>1000</x:v>
      </x:c>
      <x:c r="F279" s="68" t="n">
        <x:v>80.12774415357713</x:v>
      </x:c>
      <x:c r="G279" s="29" t="n">
        <x:f>MAX(F279/E279,E279/F279)</x:f>
        <x:v>12.480071797395748</x:v>
      </x:c>
      <x:c r="H279" s="29" t="n">
        <x:f>F279/E279</x:f>
        <x:v>0.08012774415357712</x:v>
      </x:c>
      <x:c r="I279" s="26" t="n">
        <x:v>289</x:v>
      </x:c>
      <x:c r="J279" s="26" t="n">
        <x:v>113</x:v>
      </x:c>
      <x:c r="K279" s="65" t="n">
        <x:v>45932</x:v>
      </x:c>
      <x:c r="L279" s="32" t="n">
        <x:v>0.9659863945578231</x:v>
      </x:c>
      <x:c r="M279" s="26" t="n">
        <x:v>1</x:v>
      </x:c>
    </x:row>
    <x:row r="280">
      <x:c r="A280" s="20" t="str">
        <x:v>Compute</x:v>
      </x:c>
      <x:c r="B280" s="65" t="n">
        <x:v>45955</x:v>
      </x:c>
      <x:c r="C280" s="20" t="str">
        <x:v>Lapa LLM
</x:v>
      </x:c>
      <x:c r="D280" s="20" t="str">
        <x:v>ukrainian_catholic_university_igor_sikorsky_kyiv_polytechnic_institute_agh_university_of_krakow_lviv_polytechnic</x:v>
      </x:c>
      <x:c r="E280" s="68" t="n">
        <x:v>12</x:v>
      </x:c>
      <x:c r="F280" s="68" t="n">
        <x:v>32.8750863169675</x:v>
      </x:c>
      <x:c r="G280" s="29" t="n">
        <x:f>MAX(F280/E280,E280/F280)</x:f>
        <x:v>2.739590526413958</x:v>
      </x:c>
      <x:c r="H280" s="29" t="n">
        <x:f>F280/E280</x:f>
        <x:v>2.739590526413958</x:v>
      </x:c>
      <x:c r="I280" s="26" t="n">
        <x:v>295</x:v>
      </x:c>
      <x:c r="J280" s="26" t="n">
        <x:v>114</x:v>
      </x:c>
      <x:c r="K280" s="65" t="n">
        <x:v>45940</x:v>
      </x:c>
      <x:c r="L280" s="32" t="n">
        <x:v>0.7932203389830509</x:v>
      </x:c>
      <x:c r="M280" s="26" t="n">
        <x:v>1</x:v>
      </x:c>
    </x:row>
    <x:row r="281">
      <x:c r="A281" s="20" t="str">
        <x:v>Compute</x:v>
      </x:c>
      <x:c r="B281" s="65" t="n">
        <x:v>45960</x:v>
      </x:c>
      <x:c r="C281" s="20" t="str">
        <x:v>Kimi Linear</x:v>
      </x:c>
      <x:c r="D281" s="20" t="str">
        <x:v>moonshot</x:v>
      </x:c>
      <x:c r="E281" s="68" t="n">
        <x:v>48</x:v>
      </x:c>
      <x:c r="F281" s="68" t="n">
        <x:v>10.455165167418015</x:v>
      </x:c>
      <x:c r="G281" s="29" t="n">
        <x:f>MAX(F281/E281,E281/F281)</x:f>
        <x:v>4.591032205745056</x:v>
      </x:c>
      <x:c r="H281" s="29" t="n">
        <x:f>F281/E281</x:f>
        <x:v>0.2178159409878753</x:v>
      </x:c>
      <x:c r="I281" s="26" t="n">
        <x:v>295</x:v>
      </x:c>
      <x:c r="J281" s="26" t="n">
        <x:v>114</x:v>
      </x:c>
      <x:c r="K281" s="65" t="n">
        <x:v>45955</x:v>
      </x:c>
      <x:c r="L281" s="32" t="n">
        <x:v>0.44932432432432434</x:v>
      </x:c>
      <x:c r="M281" s="26" t="n">
        <x:v>1</x:v>
      </x:c>
    </x:row>
    <x:row r="282">
      <x:c r="A282" s="20" t="str">
        <x:v>Compute</x:v>
      </x:c>
      <x:c r="B282" s="65" t="n">
        <x:v>45981</x:v>
      </x:c>
      <x:c r="C282" s="20" t="str">
        <x:v>Olmo 3</x:v>
      </x:c>
      <x:c r="D282" s="20" t="str">
        <x:v>allen_institute_for_ai</x:v>
      </x:c>
      <x:c r="E282" s="68" t="n">
        <x:v>32</x:v>
      </x:c>
      <x:c r="F282" s="68" t="n">
        <x:v>34.55386436973815</x:v>
      </x:c>
      <x:c r="G282" s="29" t="n">
        <x:f>MAX(F282/E282,E282/F282)</x:f>
        <x:v>1.0798082615543172</x:v>
      </x:c>
      <x:c r="H282" s="29" t="n">
        <x:f>F282/E282</x:f>
        <x:v>1.0798082615543172</x:v>
      </x:c>
      <x:c r="I282" s="26" t="n">
        <x:v>296</x:v>
      </x:c>
      <x:c r="J282" s="26" t="n">
        <x:v>114</x:v>
      </x:c>
      <x:c r="K282" s="65" t="n">
        <x:v>45960</x:v>
      </x:c>
      <x:c r="L282" s="32" t="n">
        <x:v>0.8080808080808081</x:v>
      </x:c>
      <x:c r="M282" s="26" t="n">
        <x:v>1</x:v>
      </x:c>
    </x:row>
    <x:row r="283">
      <x:c r="A283" s="20" t="str">
        <x:v>Compute</x:v>
      </x:c>
      <x:c r="B283" s="65" t="n">
        <x:v>46006</x:v>
      </x:c>
      <x:c r="C283" s="20" t="str">
        <x:v>Nemotron 3-Nano-30B-A3B</x:v>
      </x:c>
      <x:c r="D283" s="20" t="str">
        <x:v>nvidia</x:v>
      </x:c>
      <x:c r="E283" s="68" t="n">
        <x:v>31.6</x:v>
      </x:c>
      <x:c r="F283" s="68" t="n">
        <x:v>23.593158238315745</x:v>
      </x:c>
      <x:c r="G283" s="29" t="n">
        <x:f>MAX(F283/E283,E283/F283)</x:f>
        <x:v>1.3393713415053095</x:v>
      </x:c>
      <x:c r="H283" s="29" t="n">
        <x:f>F283/E283</x:f>
        <x:v>0.7466189315922703</x:v>
      </x:c>
      <x:c r="I283" s="26" t="n">
        <x:v>290</x:v>
      </x:c>
      <x:c r="J283" s="26" t="n">
        <x:v>114</x:v>
      </x:c>
      <x:c r="K283" s="65" t="n">
        <x:v>45981</x:v>
      </x:c>
      <x:c r="L283" s="32" t="n">
        <x:v>0.7181208053691275</x:v>
      </x:c>
      <x:c r="M283" s="26" t="n">
        <x:v>1</x:v>
      </x:c>
    </x:row>
    <x:row r="284">
      <x:c r="A284" s="20" t="str">
        <x:v>Compute</x:v>
      </x:c>
      <x:c r="B284" s="65" t="n">
        <x:v>46007</x:v>
      </x:c>
      <x:c r="C284" s="20" t="str">
        <x:v>MiMo-V2-Flash</x:v>
      </x:c>
      <x:c r="D284" s="20" t="str">
        <x:v>xiaomi_corp</x:v>
      </x:c>
      <x:c r="E284" s="68" t="n">
        <x:v>309</x:v>
      </x:c>
      <x:c r="F284" s="68" t="n">
        <x:v>52.60559964609462</x:v>
      </x:c>
      <x:c r="G284" s="29" t="n">
        <x:f>MAX(F284/E284,E284/F284)</x:f>
        <x:v>5.873899396239271</x:v>
      </x:c>
      <x:c r="H284" s="29" t="n">
        <x:f>F284/E284</x:f>
        <x:v>0.1702446590488499</x:v>
      </x:c>
      <x:c r="I284" s="26" t="n">
        <x:v>298</x:v>
      </x:c>
      <x:c r="J284" s="26" t="n">
        <x:v>114</x:v>
      </x:c>
      <x:c r="K284" s="65" t="n">
        <x:v>46006</x:v>
      </x:c>
      <x:c r="L284" s="32" t="n">
        <x:v>0.882943143812709</x:v>
      </x:c>
      <x:c r="M284" s="26" t="n">
        <x:v>1</x:v>
      </x:c>
    </x:row>
    <x:row r="285">
      <x:c r="A285" s="20" t="str">
        <x:v>Compute</x:v>
      </x:c>
      <x:c r="B285" s="65" t="n">
        <x:v>46049</x:v>
      </x:c>
      <x:c r="C285" s="20" t="str">
        <x:v>Kimi K2.5</x:v>
      </x:c>
      <x:c r="D285" s="20" t="str">
        <x:v>moonshot</x:v>
      </x:c>
      <x:c r="E285" s="68" t="n">
        <x:v>1040</x:v>
      </x:c>
      <x:c r="F285" s="68" t="n">
        <x:v>72.43139565459016</x:v>
      </x:c>
      <x:c r="G285" s="29" t="n">
        <x:f>MAX(F285/E285,E285/F285)</x:f>
        <x:v>14.358414477604954</x:v>
      </x:c>
      <x:c r="H285" s="29" t="n">
        <x:f>F285/E285</x:f>
        <x:v>0.06964557274479823</x:v>
      </x:c>
      <x:c r="I285" s="26" t="n">
        <x:v>298</x:v>
      </x:c>
      <x:c r="J285" s="26" t="n">
        <x:v>114</x:v>
      </x:c>
      <x:c r="K285" s="65" t="n">
        <x:v>46007</x:v>
      </x:c>
      <x:c r="L285" s="32" t="n">
        <x:v>0.9633333333333334</x:v>
      </x:c>
      <x:c r="M285" s="26" t="n">
        <x:v>1</x:v>
      </x:c>
    </x:row>
    <x:row r="286">
      <x:c r="A286" s="20" t="str">
        <x:v>Compute</x:v>
      </x:c>
      <x:c r="B286" s="65" t="n">
        <x:v>46064</x:v>
      </x:c>
      <x:c r="C286" s="20" t="str">
        <x:v>GLM-5</x:v>
      </x:c>
      <x:c r="D286" s="20" t="str">
        <x:v>z_ai_zhipu_ai</x:v>
      </x:c>
      <x:c r="E286" s="68" t="n">
        <x:v>744</x:v>
      </x:c>
      <x:c r="F286" s="68" t="n">
        <x:v>86.5910097390677</x:v>
      </x:c>
      <x:c r="G286" s="29" t="n">
        <x:f>MAX(F286/E286,E286/F286)</x:f>
        <x:v>8.59211599728379</x:v>
      </x:c>
      <x:c r="H286" s="29" t="n">
        <x:f>F286/E286</x:f>
        <x:v>0.1163857657783168</x:v>
      </x:c>
      <x:c r="I286" s="26" t="n">
        <x:v>300</x:v>
      </x:c>
      <x:c r="J286" s="26" t="n">
        <x:v>114</x:v>
      </x:c>
      <x:c r="K286" s="65" t="n">
        <x:v>46049</x:v>
      </x:c>
      <x:c r="L286" s="32" t="n">
        <x:v>0.973421926910299</x:v>
      </x:c>
      <x:c r="M286" s="26" t="n">
        <x:v>1</x:v>
      </x:c>
    </x:row>
    <x:row r="287">
      <x:c r="A287" s="20" t="str">
        <x:v>Compute</x:v>
      </x:c>
      <x:c r="B287" s="65" t="n">
        <x:v>46072</x:v>
      </x:c>
      <x:c r="C287" s="20" t="str">
        <x:v>Arcee Trinity Large</x:v>
      </x:c>
      <x:c r="D287" s="20" t="str">
        <x:v>prime_intellect_arcee_ai</x:v>
      </x:c>
      <x:c r="E287" s="68" t="n">
        <x:v>398</x:v>
      </x:c>
      <x:c r="F287" s="68" t="n">
        <x:v>41.82543387999382</x:v>
      </x:c>
      <x:c r="G287" s="29" t="n">
        <x:f>MAX(F287/E287,E287/F287)</x:f>
        <x:v>9.515741095285414</x:v>
      </x:c>
      <x:c r="H287" s="29" t="n">
        <x:f>F287/E287</x:f>
        <x:v>0.1050890298492307</x:v>
      </x:c>
      <x:c r="I287" s="26" t="n">
        <x:v>302</x:v>
      </x:c>
      <x:c r="J287" s="26" t="n">
        <x:v>115</x:v>
      </x:c>
      <x:c r="K287" s="65" t="n">
        <x:v>46064</x:v>
      </x:c>
      <x:c r="L287" s="32" t="n">
        <x:v>0.8344370860927153</x:v>
      </x:c>
      <x:c r="M287" s="26" t="n">
        <x:v>1</x:v>
      </x:c>
    </x:row>
    <x:row r="288">
      <x:c r="A288" s="20" t="str">
        <x:v>Compute</x:v>
      </x:c>
      <x:c r="B288" s="65" t="n">
        <x:v>46117</x:v>
      </x:c>
      <x:c r="C288" s="20" t="str">
        <x:v>MolmoAct 2</x:v>
      </x:c>
      <x:c r="D288" s="20" t="str">
        <x:v>allen_institute_for_ai_university_of_washington_national_university_of_singapore_university_of_pennsylvania_johns_hopkins_university_amazon_cortex_ai</x:v>
      </x:c>
      <x:c r="E288" s="68" t="n">
        <x:v>5.485309424</x:v>
      </x:c>
      <x:c r="F288" s="68" t="n">
        <x:v>4.744180910462302</x:v>
      </x:c>
      <x:c r="G288" s="29" t="n">
        <x:f>MAX(F288/E288,E288/F288)</x:f>
        <x:v>1.1562184342302997</x:v>
      </x:c>
      <x:c r="H288" s="29" t="n">
        <x:f>F288/E288</x:f>
        <x:v>0.8648884764285089</x:v>
      </x:c>
      <x:c r="I288" s="26" t="n">
        <x:v>303</x:v>
      </x:c>
      <x:c r="J288" s="26" t="n">
        <x:v>116</x:v>
      </x:c>
      <x:c r="K288" s="65" t="n">
        <x:v>46072</x:v>
      </x:c>
      <x:c r="L288" s="32" t="n">
        <x:v>0.16831683168316833</x:v>
      </x:c>
      <x:c r="M288" s="26" t="n">
        <x:v>1</x:v>
      </x:c>
    </x:row>
    <x:row r="289">
      <x:c r="A289" s="20" t="str">
        <x:v>Compute</x:v>
      </x:c>
      <x:c r="B289" s="65" t="n">
        <x:v>46121</x:v>
      </x:c>
      <x:c r="C289" s="20" t="str">
        <x:v>EXAONE 4.5</x:v>
      </x:c>
      <x:c r="D289" s="20" t="str">
        <x:v>lg_ai_research</x:v>
      </x:c>
      <x:c r="E289" s="68" t="n">
        <x:v>33.2</x:v>
      </x:c>
      <x:c r="F289" s="68" t="n">
        <x:v>80.20517714441962</x:v>
      </x:c>
      <x:c r="G289" s="29" t="n">
        <x:f>MAX(F289/E289,E289/F289)</x:f>
        <x:v>2.415818588687338</x:v>
      </x:c>
      <x:c r="H289" s="29" t="n">
        <x:f>F289/E289</x:f>
        <x:v>2.415818588687338</x:v>
      </x:c>
      <x:c r="I289" s="26" t="n">
        <x:v>298</x:v>
      </x:c>
      <x:c r="J289" s="26" t="n">
        <x:v>116</x:v>
      </x:c>
      <x:c r="K289" s="65" t="n">
        <x:v>46117</x:v>
      </x:c>
      <x:c r="L289" s="32" t="n">
        <x:v>0.9342105263157895</x:v>
      </x:c>
      <x:c r="M289" s="26" t="n">
        <x:v>1</x:v>
      </x:c>
    </x:row>
    <x:row r="290">
      <x:c r="A290" s="20" t="str">
        <x:v>Compute</x:v>
      </x:c>
      <x:c r="B290" s="65" t="n">
        <x:v>46135</x:v>
      </x:c>
      <x:c r="C290" s="20" t="str">
        <x:v>MiMo-V2.5-Pro</x:v>
      </x:c>
      <x:c r="D290" s="20" t="str">
        <x:v>xiaomi_corp</x:v>
      </x:c>
      <x:c r="E290" s="68" t="n">
        <x:v>1020</x:v>
      </x:c>
      <x:c r="F290" s="68" t="n">
        <x:v>100.51913945248803</x:v>
      </x:c>
      <x:c r="G290" s="29" t="n">
        <x:f>MAX(F290/E290,E290/F290)</x:f>
        <x:v>10.147321252010112</x:v>
      </x:c>
      <x:c r="H290" s="29" t="n">
        <x:f>F290/E290</x:f>
        <x:v>0.0985481759338118</x:v>
      </x:c>
      <x:c r="I290" s="26" t="n">
        <x:v>303</x:v>
      </x:c>
      <x:c r="J290" s="26" t="n">
        <x:v>116</x:v>
      </x:c>
      <x:c r="K290" s="65" t="n">
        <x:v>46121</x:v>
      </x:c>
      <x:c r="L290" s="32" t="n">
        <x:v>0.9704918032786886</x:v>
      </x:c>
      <x:c r="M290" s="26" t="n">
        <x:v>1</x:v>
      </x:c>
    </x:row>
    <x:row r="291">
      <x:c r="A291" s="20" t="str">
        <x:v>Compute</x:v>
      </x:c>
      <x:c r="B291" s="65" t="n">
        <x:v>46136</x:v>
      </x:c>
      <x:c r="C291" s="20" t="str">
        <x:v>DeepSeek-V4-Flash</x:v>
      </x:c>
      <x:c r="D291" s="20" t="str">
        <x:v>deepseek</x:v>
      </x:c>
      <x:c r="E291" s="68" t="n">
        <x:v>284</x:v>
      </x:c>
      <x:c r="F291" s="68" t="n">
        <x:v>63.66294937442009</x:v>
      </x:c>
      <x:c r="G291" s="29" t="n">
        <x:f>MAX(F291/E291,E291/F291)</x:f>
        <x:v>4.460993447377287</x:v>
      </x:c>
      <x:c r="H291" s="29" t="n">
        <x:f>F291/E291</x:f>
        <x:v>0.22416531469866227</x:v>
      </x:c>
      <x:c r="I291" s="26" t="n">
        <x:v>299</x:v>
      </x:c>
      <x:c r="J291" s="26" t="n">
        <x:v>116</x:v>
      </x:c>
      <x:c r="K291" s="65" t="n">
        <x:v>46135</x:v>
      </x:c>
      <x:c r="L291" s="32" t="n">
        <x:v>0.8725490196078431</x:v>
      </x:c>
      <x:c r="M291" s="26" t="n">
        <x:v>1</x:v>
      </x:c>
    </x:row>
    <x:row r="292">
      <x:c r="A292" s="20" t="str">
        <x:v>Compute</x:v>
      </x:c>
      <x:c r="B292" s="65" t="n">
        <x:v>46136</x:v>
      </x:c>
      <x:c r="C292" s="20" t="str">
        <x:v>DeepSeek-V4-Pro</x:v>
      </x:c>
      <x:c r="D292" s="20" t="str">
        <x:v>deepseek</x:v>
      </x:c>
      <x:c r="E292" s="68" t="n">
        <x:v>1600</x:v>
      </x:c>
      <x:c r="F292" s="68" t="n">
        <x:v>120.83747004222312</x:v>
      </x:c>
      <x:c r="G292" s="29" t="n">
        <x:f>MAX(F292/E292,E292/F292)</x:f>
        <x:v>13.240926009464836</x:v>
      </x:c>
      <x:c r="H292" s="29" t="n">
        <x:f>F292/E292</x:f>
        <x:v>0.07552341877638945</x:v>
      </x:c>
      <x:c r="I292" s="26" t="n">
        <x:v>299</x:v>
      </x:c>
      <x:c r="J292" s="26" t="n">
        <x:v>116</x:v>
      </x:c>
      <x:c r="K292" s="65" t="n">
        <x:v>46135</x:v>
      </x:c>
      <x:c r="L292" s="32" t="n">
        <x:v>0.9934640522875817</x:v>
      </x:c>
      <x:c r="M292" s="26" t="n">
        <x:v>1</x:v>
      </x:c>
    </x:row>
    <x:row r="293">
      <x:c r="A293" s="20" t="str">
        <x:v>Compute</x:v>
      </x:c>
      <x:c r="B293" s="65" t="n">
        <x:v>46177</x:v>
      </x:c>
      <x:c r="C293" s="20" t="str">
        <x:v>Nemotron 3 Ultra</x:v>
      </x:c>
      <x:c r="D293" s="20" t="str">
        <x:v>nvidia</x:v>
      </x:c>
      <x:c r="E293" s="68" t="n">
        <x:v>550</x:v>
      </x:c>
      <x:c r="F293" s="68" t="n">
        <x:v>107.97854161465737</x:v>
      </x:c>
      <x:c r="G293" s="29" t="n">
        <x:f>MAX(F293/E293,E293/F293)</x:f>
        <x:v>5.093604634546584</x:v>
      </x:c>
      <x:c r="H293" s="29" t="n">
        <x:f>F293/E293</x:f>
        <x:v>0.19632462111755886</x:v>
      </x:c>
      <x:c r="I293" s="26" t="n">
        <x:v>299</x:v>
      </x:c>
      <x:c r="J293" s="26" t="n">
        <x:v>116</x:v>
      </x:c>
      <x:c r="K293" s="65" t="n">
        <x:v>46136</x:v>
      </x:c>
      <x:c r="L293" s="32" t="n">
        <x:v>0.9577922077922078</x:v>
      </x:c>
      <x:c r="M293" s="26" t="n">
        <x:v>1</x:v>
      </x:c>
    </x:row>
    <x:row r="294">
      <x:c r="A294" s="20" t="str">
        <x:v>Compute</x:v>
      </x:c>
      <x:c r="B294" s="65" t="n">
        <x:v>46201</x:v>
      </x:c>
      <x:c r="C294" s="20" t="str">
        <x:v>Solar Open2 250B</x:v>
      </x:c>
      <x:c r="D294" s="20" t="str">
        <x:v>upstage</x:v>
      </x:c>
      <x:c r="E294" s="68" t="n">
        <x:v>250.3</x:v>
      </x:c>
      <x:c r="F294" s="68" t="n">
        <x:v>44.30113381858647</x:v>
      </x:c>
      <x:c r="G294" s="29" t="n">
        <x:f>MAX(F294/E294,E294/F294)</x:f>
        <x:v>5.64996826097004</x:v>
      </x:c>
      <x:c r="H294" s="29" t="n">
        <x:f>F294/E294</x:f>
        <x:v>0.17699214470070504</x:v>
      </x:c>
      <x:c r="I294" s="26" t="n">
        <x:v>309</x:v>
      </x:c>
      <x:c r="J294" s="26" t="n">
        <x:v>117</x:v>
      </x:c>
      <x:c r="K294" s="65" t="n">
        <x:v>46177</x:v>
      </x:c>
      <x:c r="L294" s="32" t="n">
        <x:v>0.7799352750809061</x:v>
      </x:c>
      <x:c r="M294" s="26" t="n">
        <x:v>1</x:v>
      </x:c>
    </x:row>
    <x:row r="295">
      <x:c r="A295" s="20" t="str">
        <x:v>Compute</x:v>
      </x:c>
      <x:c r="B295" s="65" t="n">
        <x:v>46218</x:v>
      </x:c>
      <x:c r="C295" s="20" t="str">
        <x:v>Inkling</x:v>
      </x:c>
      <x:c r="D295" s="20" t="str">
        <x:v>thinking_machines</x:v>
      </x:c>
      <x:c r="E295" s="68" t="n">
        <x:v>975</x:v>
      </x:c>
      <x:c r="F295" s="68" t="n">
        <x:v>63.8576438733057</x:v>
      </x:c>
      <x:c r="G295" s="29" t="n">
        <x:f>MAX(F295/E295,E295/F295)</x:f>
        <x:v>15.268336582139035</x:v>
      </x:c>
      <x:c r="H295" s="29" t="n">
        <x:f>F295/E295</x:f>
        <x:v>0.06549501935723662</x:v>
      </x:c>
      <x:c r="I295" s="26" t="n">
        <x:v>310</x:v>
      </x:c>
      <x:c r="J295" s="26" t="n">
        <x:v>118</x:v>
      </x:c>
      <x:c r="K295" s="65" t="n">
        <x:v>46201</x:v>
      </x:c>
      <x:c r="L295" s="32" t="n">
        <x:v>0.8516129032258064</x:v>
      </x:c>
      <x:c r="M295" s="26" t="n">
        <x:v>1</x:v>
      </x:c>
    </x:row>
    <x:row r="296">
      <x:c r="A296" s="20" t="str">
        <x:v>Compute</x:v>
      </x:c>
      <x:c r="B296" s="65" t="n">
        <x:v>46219</x:v>
      </x:c>
      <x:c r="C296" s="20" t="str">
        <x:v>Kimi K3</x:v>
      </x:c>
      <x:c r="D296" s="20" t="str">
        <x:v>moonshot</x:v>
      </x:c>
      <x:c r="E296" s="68" t="n">
        <x:v>2800</x:v>
      </x:c>
      <x:c r="F296" s="68" t="n">
        <x:v>211.06778841194472</x:v>
      </x:c>
      <x:c r="G296" s="29" t="n">
        <x:f>MAX(F296/E296,E296/F296)</x:f>
        <x:v>13.26588022296984</x:v>
      </x:c>
      <x:c r="H296" s="29" t="n">
        <x:f>F296/E296</x:f>
        <x:v>0.07538135300426597</x:v>
      </x:c>
      <x:c r="I296" s="26" t="n">
        <x:v>308</x:v>
      </x:c>
      <x:c r="J296" s="26" t="n">
        <x:v>118</x:v>
      </x:c>
      <x:c r="K296" s="65" t="n">
        <x:v>46218</x:v>
      </x:c>
      <x:c r="L296" s="32" t="n">
        <x:v>0.9967845659163987</x:v>
      </x:c>
      <x:c r="M296" s="26" t="n">
        <x:v>1</x:v>
      </x:c>
    </x:row>
    <x:row r="297">
      <x:c r="A297" s="20" t="str">
        <x:v>ECI</x:v>
      </x:c>
      <x:c r="B297" s="65" t="n">
        <x:v>45196</x:v>
      </x:c>
      <x:c r="C297" s="20" t="str">
        <x:v>Mistral 7B v0.1</x:v>
      </x:c>
      <x:c r="D297" s="20" t="str">
        <x:v>mistral7</x:v>
      </x:c>
      <x:c r="E297" s="68" t="n">
        <x:v>7</x:v>
      </x:c>
      <x:c r="F297" s="68" t="n">
        <x:v>33.666659352092886</x:v>
      </x:c>
      <x:c r="G297" s="29" t="n">
        <x:f>MAX(F297/E297,E297/F297)</x:f>
        <x:v>4.809522764584698</x:v>
      </x:c>
      <x:c r="H297" s="29" t="n">
        <x:f>F297/E297</x:f>
        <x:v>4.809522764584698</x:v>
      </x:c>
      <x:c r="I297" s="26" t="n">
        <x:v>20</x:v>
      </x:c>
      <x:c r="J297" s="26" t="n">
        <x:v>9</x:v>
      </x:c>
      <x:c r="K297" s="65" t="n">
        <x:v>45189</x:v>
      </x:c>
      <x:c r="L297" s="32" t="n">
        <x:v>0.9</x:v>
      </x:c>
      <x:c r="M297" s="26" t="n">
        <x:v>1</x:v>
      </x:c>
    </x:row>
    <x:row r="298">
      <x:c r="A298" s="20" t="str">
        <x:v>ECI</x:v>
      </x:c>
      <x:c r="B298" s="65" t="n">
        <x:v>45197</x:v>
      </x:c>
      <x:c r="C298" s="20" t="str">
        <x:v>Qwen-14B</x:v>
      </x:c>
      <x:c r="D298" s="20" t="str">
        <x:v>qwen1</x:v>
      </x:c>
      <x:c r="E298" s="68" t="n">
        <x:v>14</x:v>
      </x:c>
      <x:c r="F298" s="68" t="n">
        <x:v>20.701060795107185</x:v>
      </x:c>
      <x:c r="G298" s="29" t="n">
        <x:f>MAX(F298/E298,E298/F298)</x:f>
        <x:v>1.4786471996505133</x:v>
      </x:c>
      <x:c r="H298" s="29" t="n">
        <x:f>F298/E298</x:f>
        <x:v>1.4786471996505133</x:v>
      </x:c>
      <x:c r="I298" s="26" t="n">
        <x:v>21</x:v>
      </x:c>
      <x:c r="J298" s="26" t="n">
        <x:v>10</x:v>
      </x:c>
      <x:c r="K298" s="65" t="n">
        <x:v>45196</x:v>
      </x:c>
      <x:c r="L298" s="32" t="n">
        <x:v>0.9047619047619048</x:v>
      </x:c>
      <x:c r="M298" s="26" t="n">
        <x:v>1</x:v>
      </x:c>
    </x:row>
    <x:row r="299">
      <x:c r="A299" s="20" t="str">
        <x:v>ECI</x:v>
      </x:c>
      <x:c r="B299" s="65" t="n">
        <x:v>45197</x:v>
      </x:c>
      <x:c r="C299" s="20" t="str">
        <x:v>Qwen-7B</x:v>
      </x:c>
      <x:c r="D299" s="20" t="str">
        <x:v>qwen1</x:v>
      </x:c>
      <x:c r="E299" s="68" t="n">
        <x:v>7</x:v>
      </x:c>
      <x:c r="F299" s="68" t="n">
        <x:v>13.600462459417864</x:v>
      </x:c>
      <x:c r="G299" s="29" t="n">
        <x:f>MAX(F299/E299,E299/F299)</x:f>
        <x:v>1.9429232084882664</x:v>
      </x:c>
      <x:c r="H299" s="29" t="n">
        <x:f>F299/E299</x:f>
        <x:v>1.9429232084882664</x:v>
      </x:c>
      <x:c r="I299" s="26" t="n">
        <x:v>21</x:v>
      </x:c>
      <x:c r="J299" s="26" t="n">
        <x:v>10</x:v>
      </x:c>
      <x:c r="K299" s="65" t="n">
        <x:v>45196</x:v>
      </x:c>
      <x:c r="L299" s="32" t="n">
        <x:v>0.7142857142857143</x:v>
      </x:c>
      <x:c r="M299" s="26" t="n">
        <x:v>1</x:v>
      </x:c>
    </x:row>
    <x:row r="300">
      <x:c r="A300" s="20" t="str">
        <x:v>ECI</x:v>
      </x:c>
      <x:c r="B300" s="65" t="n">
        <x:v>45232</x:v>
      </x:c>
      <x:c r="C300" s="20" t="str">
        <x:v>DeepSeek Coder 1.3B</x:v>
      </x:c>
      <x:c r="D300" s="20" t="str">
        <x:v>deepseek_coder</x:v>
      </x:c>
      <x:c r="E300" s="68" t="n">
        <x:v>1.3</x:v>
      </x:c>
      <x:c r="F300" s="68" t="n">
        <x:v>0.7604508978663533</x:v>
      </x:c>
      <x:c r="G300" s="29" t="n">
        <x:f>MAX(F300/E300,E300/F300)</x:f>
        <x:v>1.7095120850636047</x:v>
      </x:c>
      <x:c r="H300" s="29" t="n">
        <x:f>F300/E300</x:f>
        <x:v>0.5849622291279641</x:v>
      </x:c>
      <x:c r="I300" s="26" t="n">
        <x:v>23</x:v>
      </x:c>
      <x:c r="J300" s="26" t="n">
        <x:v>11</x:v>
      </x:c>
      <x:c r="K300" s="65" t="n">
        <x:v>45197</x:v>
      </x:c>
      <x:c r="L300" s="32" t="n">
        <x:v>0</x:v>
      </x:c>
      <x:c r="M300" s="26" t="n">
        <x:v>1</x:v>
      </x:c>
    </x:row>
    <x:row r="301">
      <x:c r="A301" s="20" t="str">
        <x:v>ECI</x:v>
      </x:c>
      <x:c r="B301" s="65" t="n">
        <x:v>45232</x:v>
      </x:c>
      <x:c r="C301" s="20" t="str">
        <x:v>DeepSeek Coder 33B</x:v>
      </x:c>
      <x:c r="D301" s="20" t="str">
        <x:v>deepseek_coder</x:v>
      </x:c>
      <x:c r="E301" s="68" t="n">
        <x:v>33</x:v>
      </x:c>
      <x:c r="F301" s="68" t="n">
        <x:v>5.657134322285335</x:v>
      </x:c>
      <x:c r="G301" s="29" t="n">
        <x:f>MAX(F301/E301,E301/F301)</x:f>
        <x:v>5.833342134020402</x:v>
      </x:c>
      <x:c r="H301" s="29" t="n">
        <x:f>F301/E301</x:f>
        <x:v>0.17142831279652532</x:v>
      </x:c>
      <x:c r="I301" s="26" t="n">
        <x:v>23</x:v>
      </x:c>
      <x:c r="J301" s="26" t="n">
        <x:v>11</x:v>
      </x:c>
      <x:c r="K301" s="65" t="n">
        <x:v>45197</x:v>
      </x:c>
      <x:c r="L301" s="32" t="n">
        <x:v>0.30434782608695654</x:v>
      </x:c>
      <x:c r="M301" s="26" t="n">
        <x:v>1</x:v>
      </x:c>
    </x:row>
    <x:row r="302">
      <x:c r="A302" s="20" t="str">
        <x:v>ECI</x:v>
      </x:c>
      <x:c r="B302" s="65" t="n">
        <x:v>45232</x:v>
      </x:c>
      <x:c r="C302" s="20" t="str">
        <x:v>DeepSeek Coder 6.7B</x:v>
      </x:c>
      <x:c r="D302" s="20" t="str">
        <x:v>deepseek_coder</x:v>
      </x:c>
      <x:c r="E302" s="68" t="n">
        <x:v>6.7</x:v>
      </x:c>
      <x:c r="F302" s="68" t="n">
        <x:v>3.716989206539762</x:v>
      </x:c>
      <x:c r="G302" s="29" t="n">
        <x:f>MAX(F302/E302,E302/F302)</x:f>
        <x:v>1.8025341553889518</x:v>
      </x:c>
      <x:c r="H302" s="29" t="n">
        <x:f>F302/E302</x:f>
        <x:v>0.5547745084387704</x:v>
      </x:c>
      <x:c r="I302" s="26" t="n">
        <x:v>23</x:v>
      </x:c>
      <x:c r="J302" s="26" t="n">
        <x:v>11</x:v>
      </x:c>
      <x:c r="K302" s="65" t="n">
        <x:v>45197</x:v>
      </x:c>
      <x:c r="L302" s="32" t="n">
        <x:v>0.043478260869565216</x:v>
      </x:c>
      <x:c r="M302" s="26" t="n">
        <x:v>1</x:v>
      </x:c>
    </x:row>
    <x:row r="303">
      <x:c r="A303" s="20" t="str">
        <x:v>ECI</x:v>
      </x:c>
      <x:c r="B303" s="65" t="n">
        <x:v>45232</x:v>
      </x:c>
      <x:c r="C303" s="20" t="str">
        <x:v>Yi 6B</x:v>
      </x:c>
      <x:c r="D303" s="20" t="str">
        <x:v>yi</x:v>
      </x:c>
      <x:c r="E303" s="68" t="n">
        <x:v>6</x:v>
      </x:c>
      <x:c r="F303" s="68" t="n">
        <x:v>9.624896376652735</x:v>
      </x:c>
      <x:c r="G303" s="29" t="n">
        <x:f>MAX(F303/E303,E303/F303)</x:f>
        <x:v>1.6041493961087891</x:v>
      </x:c>
      <x:c r="H303" s="29" t="n">
        <x:f>F303/E303</x:f>
        <x:v>1.6041493961087891</x:v>
      </x:c>
      <x:c r="I303" s="26" t="n">
        <x:v>23</x:v>
      </x:c>
      <x:c r="J303" s="26" t="n">
        <x:v>11</x:v>
      </x:c>
      <x:c r="K303" s="65" t="n">
        <x:v>45197</x:v>
      </x:c>
      <x:c r="L303" s="32" t="n">
        <x:v>0.6086956521739131</x:v>
      </x:c>
      <x:c r="M303" s="26" t="n">
        <x:v>1</x:v>
      </x:c>
    </x:row>
    <x:row r="304">
      <x:c r="A304" s="20" t="str">
        <x:v>ECI</x:v>
      </x:c>
      <x:c r="B304" s="65" t="n">
        <x:v>45252</x:v>
      </x:c>
      <x:c r="C304" s="20" t="str">
        <x:v>Yi-34B</x:v>
      </x:c>
      <x:c r="D304" s="20" t="str">
        <x:v>yi</x:v>
      </x:c>
      <x:c r="E304" s="68" t="n">
        <x:v>34</x:v>
      </x:c>
      <x:c r="F304" s="68" t="n">
        <x:v>22.38016631696308</x:v>
      </x:c>
      <x:c r="G304" s="29" t="n">
        <x:f>MAX(F304/E304,E304/F304)</x:f>
        <x:v>1.519202293605372</x:v>
      </x:c>
      <x:c r="H304" s="29" t="n">
        <x:f>F304/E304</x:f>
        <x:v>0.6582401857930318</x:v>
      </x:c>
      <x:c r="I304" s="26" t="n">
        <x:v>26</x:v>
      </x:c>
      <x:c r="J304" s="26" t="n">
        <x:v>12</x:v>
      </x:c>
      <x:c r="K304" s="65" t="n">
        <x:v>45232</x:v>
      </x:c>
      <x:c r="L304" s="32" t="n">
        <x:v>1</x:v>
      </x:c>
      <x:c r="M304" s="26" t="n">
        <x:v>1</x:v>
      </x:c>
    </x:row>
    <x:row r="305">
      <x:c r="A305" s="20" t="str">
        <x:v>ECI</x:v>
      </x:c>
      <x:c r="B305" s="65" t="n">
        <x:v>45271</x:v>
      </x:c>
      <x:c r="C305" s="20" t="str">
        <x:v>Mixtral 8x7B</x:v>
      </x:c>
      <x:c r="D305" s="20" t="str">
        <x:v>mixtral</x:v>
      </x:c>
      <x:c r="E305" s="68" t="n">
        <x:v>46.7</x:v>
      </x:c>
      <x:c r="F305" s="68" t="n">
        <x:v>23.162936234646896</x:v>
      </x:c>
      <x:c r="G305" s="29" t="n">
        <x:f>MAX(F305/E305,E305/F305)</x:f>
        <x:v>2.0161519907025687</x:v>
      </x:c>
      <x:c r="H305" s="29" t="n">
        <x:f>F305/E305</x:f>
        <x:v>0.4959943519196337</x:v>
      </x:c>
      <x:c r="I305" s="26" t="n">
        <x:v>28</x:v>
      </x:c>
      <x:c r="J305" s="26" t="n">
        <x:v>13</x:v>
      </x:c>
      <x:c r="K305" s="65" t="n">
        <x:v>45252</x:v>
      </x:c>
      <x:c r="L305" s="32" t="n">
        <x:v>1</x:v>
      </x:c>
      <x:c r="M305" s="26" t="n">
        <x:v>1</x:v>
      </x:c>
    </x:row>
    <x:row r="306">
      <x:c r="A306" s="20" t="str">
        <x:v>ECI</x:v>
      </x:c>
      <x:c r="B306" s="65" t="n">
        <x:v>45272</x:v>
      </x:c>
      <x:c r="C306" s="20" t="str">
        <x:v>Phi-2</x:v>
      </x:c>
      <x:c r="D306" s="20" t="str">
        <x:v>phi</x:v>
      </x:c>
      <x:c r="E306" s="68" t="n">
        <x:v>2.7</x:v>
      </x:c>
      <x:c r="F306" s="68" t="n">
        <x:v>16.851627422203162</x:v>
      </x:c>
      <x:c r="G306" s="29" t="n">
        <x:f>MAX(F306/E306,E306/F306)</x:f>
        <x:v>6.2413434897048745</x:v>
      </x:c>
      <x:c r="H306" s="29" t="n">
        <x:f>F306/E306</x:f>
        <x:v>6.2413434897048745</x:v>
      </x:c>
      <x:c r="I306" s="26" t="n">
        <x:v>28</x:v>
      </x:c>
      <x:c r="J306" s="26" t="n">
        <x:v>13</x:v>
      </x:c>
      <x:c r="K306" s="65" t="n">
        <x:v>45271</x:v>
      </x:c>
      <x:c r="L306" s="32" t="n">
        <x:v>0.7241379310344828</x:v>
      </x:c>
      <x:c r="M306" s="26" t="n">
        <x:v>1</x:v>
      </x:c>
    </x:row>
    <x:row r="307">
      <x:c r="A307" s="20" t="str">
        <x:v>ECI</x:v>
      </x:c>
      <x:c r="B307" s="65" t="n">
        <x:v>45342</x:v>
      </x:c>
      <x:c r="C307" s="20" t="str">
        <x:v>StarCoder 2 15B</x:v>
      </x:c>
      <x:c r="D307" s="20" t="str">
        <x:v>starcoder2</x:v>
      </x:c>
      <x:c r="E307" s="68" t="n">
        <x:v>15</x:v>
      </x:c>
      <x:c r="F307" s="68" t="n">
        <x:v>10.426654871466981</x:v>
      </x:c>
      <x:c r="G307" s="29" t="n">
        <x:f>MAX(F307/E307,E307/F307)</x:f>
        <x:v>1.4386205532752587</x:v>
      </x:c>
      <x:c r="H307" s="29" t="n">
        <x:f>F307/E307</x:f>
        <x:v>0.6951103247644654</x:v>
      </x:c>
      <x:c r="I307" s="26" t="n">
        <x:v>30</x:v>
      </x:c>
      <x:c r="J307" s="26" t="n">
        <x:v>14</x:v>
      </x:c>
      <x:c r="K307" s="65" t="n">
        <x:v>45272</x:v>
      </x:c>
      <x:c r="L307" s="32" t="n">
        <x:v>0.6</x:v>
      </x:c>
      <x:c r="M307" s="26" t="n">
        <x:v>1</x:v>
      </x:c>
    </x:row>
    <x:row r="308">
      <x:c r="A308" s="20" t="str">
        <x:v>ECI</x:v>
      </x:c>
      <x:c r="B308" s="65" t="n">
        <x:v>45342</x:v>
      </x:c>
      <x:c r="C308" s="20" t="str">
        <x:v>StarCoder 2 7B</x:v>
      </x:c>
      <x:c r="D308" s="20" t="str">
        <x:v>starcoder2</x:v>
      </x:c>
      <x:c r="E308" s="68" t="n">
        <x:v>7</x:v>
      </x:c>
      <x:c r="F308" s="68" t="n">
        <x:v>5.574315800109442</x:v>
      </x:c>
      <x:c r="G308" s="29" t="n">
        <x:f>MAX(F308/E308,E308/F308)</x:f>
        <x:v>1.2557594960555638</x:v>
      </x:c>
      <x:c r="H308" s="29" t="n">
        <x:f>F308/E308</x:f>
        <x:v>0.7963308285870632</x:v>
      </x:c>
      <x:c r="I308" s="26" t="n">
        <x:v>30</x:v>
      </x:c>
      <x:c r="J308" s="26" t="n">
        <x:v>14</x:v>
      </x:c>
      <x:c r="K308" s="65" t="n">
        <x:v>45272</x:v>
      </x:c>
      <x:c r="L308" s="32" t="n">
        <x:v>0.23333333333333334</x:v>
      </x:c>
      <x:c r="M308" s="26" t="n">
        <x:v>1</x:v>
      </x:c>
    </x:row>
    <x:row r="309">
      <x:c r="A309" s="20" t="str">
        <x:v>ECI</x:v>
      </x:c>
      <x:c r="B309" s="65" t="n">
        <x:v>45343</x:v>
      </x:c>
      <x:c r="C309" s="20" t="str">
        <x:v>Gemma 2B</x:v>
      </x:c>
      <x:c r="D309" s="20" t="str">
        <x:v>gemma</x:v>
      </x:c>
      <x:c r="E309" s="68" t="n">
        <x:v>2</x:v>
      </x:c>
      <x:c r="F309" s="68" t="n">
        <x:v>6.530374462957337</x:v>
      </x:c>
      <x:c r="G309" s="29" t="n">
        <x:f>MAX(F309/E309,E309/F309)</x:f>
        <x:v>3.2651872314786683</x:v>
      </x:c>
      <x:c r="H309" s="29" t="n">
        <x:f>F309/E309</x:f>
        <x:v>3.2651872314786683</x:v>
      </x:c>
      <x:c r="I309" s="26" t="n">
        <x:v>32</x:v>
      </x:c>
      <x:c r="J309" s="26" t="n">
        <x:v>15</x:v>
      </x:c>
      <x:c r="K309" s="65" t="n">
        <x:v>45342</x:v>
      </x:c>
      <x:c r="L309" s="32" t="n">
        <x:v>0.25</x:v>
      </x:c>
      <x:c r="M309" s="26" t="n">
        <x:v>1</x:v>
      </x:c>
    </x:row>
    <x:row r="310">
      <x:c r="A310" s="20" t="str">
        <x:v>ECI</x:v>
      </x:c>
      <x:c r="B310" s="65" t="n">
        <x:v>45343</x:v>
      </x:c>
      <x:c r="C310" s="20" t="str">
        <x:v>Gemma 7B</x:v>
      </x:c>
      <x:c r="D310" s="20" t="str">
        <x:v>gemma</x:v>
      </x:c>
      <x:c r="E310" s="68" t="n">
        <x:v>7</x:v>
      </x:c>
      <x:c r="F310" s="68" t="n">
        <x:v>16.78616805103574</x:v>
      </x:c>
      <x:c r="G310" s="29" t="n">
        <x:f>MAX(F310/E310,E310/F310)</x:f>
        <x:v>2.3980240072908203</x:v>
      </x:c>
      <x:c r="H310" s="29" t="n">
        <x:f>F310/E310</x:f>
        <x:v>2.3980240072908203</x:v>
      </x:c>
      <x:c r="I310" s="26" t="n">
        <x:v>32</x:v>
      </x:c>
      <x:c r="J310" s="26" t="n">
        <x:v>15</x:v>
      </x:c>
      <x:c r="K310" s="65" t="n">
        <x:v>45342</x:v>
      </x:c>
      <x:c r="L310" s="32" t="n">
        <x:v>0.78125</x:v>
      </x:c>
      <x:c r="M310" s="26" t="n">
        <x:v>1</x:v>
      </x:c>
    </x:row>
    <x:row r="311">
      <x:c r="A311" s="20" t="str">
        <x:v>ECI</x:v>
      </x:c>
      <x:c r="B311" s="65" t="n">
        <x:v>45344</x:v>
      </x:c>
      <x:c r="C311" s="20" t="str">
        <x:v>StarCoder 2 3B</x:v>
      </x:c>
      <x:c r="D311" s="20" t="str">
        <x:v>starcoder2</x:v>
      </x:c>
      <x:c r="E311" s="68" t="n">
        <x:v>3</x:v>
      </x:c>
      <x:c r="F311" s="68" t="n">
        <x:v>3.850244985767152</x:v>
      </x:c>
      <x:c r="G311" s="29" t="n">
        <x:f>MAX(F311/E311,E311/F311)</x:f>
        <x:v>1.2834149952557172</x:v>
      </x:c>
      <x:c r="H311" s="29" t="n">
        <x:f>F311/E311</x:f>
        <x:v>1.2834149952557172</x:v>
      </x:c>
      <x:c r="I311" s="26" t="n">
        <x:v>32</x:v>
      </x:c>
      <x:c r="J311" s="26" t="n">
        <x:v>15</x:v>
      </x:c>
      <x:c r="K311" s="65" t="n">
        <x:v>45343</x:v>
      </x:c>
      <x:c r="L311" s="32" t="n">
        <x:v>0.058823529411764705</x:v>
      </x:c>
      <x:c r="M311" s="26" t="n">
        <x:v>1</x:v>
      </x:c>
    </x:row>
    <x:row r="312">
      <x:c r="A312" s="20" t="str">
        <x:v>ECI</x:v>
      </x:c>
      <x:c r="B312" s="65" t="n">
        <x:v>45399</x:v>
      </x:c>
      <x:c r="C312" s="20" t="str">
        <x:v>Mixtral 8x22B</x:v>
      </x:c>
      <x:c r="D312" s="20" t="str">
        <x:v>mixtral</x:v>
      </x:c>
      <x:c r="E312" s="68" t="n">
        <x:v>141</x:v>
      </x:c>
      <x:c r="F312" s="68" t="n">
        <x:v>18.08851238819951</x:v>
      </x:c>
      <x:c r="G312" s="29" t="n">
        <x:f>MAX(F312/E312,E312/F312)</x:f>
        <x:v>7.795002539400909</x:v>
      </x:c>
      <x:c r="H312" s="29" t="n">
        <x:f>F312/E312</x:f>
        <x:v>0.1282873219021242</x:v>
      </x:c>
      <x:c r="I312" s="26" t="n">
        <x:v>34</x:v>
      </x:c>
      <x:c r="J312" s="26" t="n">
        <x:v>15</x:v>
      </x:c>
      <x:c r="K312" s="65" t="n">
        <x:v>45344</x:v>
      </x:c>
      <x:c r="L312" s="32" t="n">
        <x:v>1</x:v>
      </x:c>
      <x:c r="M312" s="26" t="n">
        <x:v>1</x:v>
      </x:c>
    </x:row>
    <x:row r="313">
      <x:c r="A313" s="20" t="str">
        <x:v>ECI</x:v>
      </x:c>
      <x:c r="B313" s="65" t="n">
        <x:v>45400</x:v>
      </x:c>
      <x:c r="C313" s="20" t="str">
        <x:v>Llama 3-70B</x:v>
      </x:c>
      <x:c r="D313" s="20" t="str">
        <x:v>llama3</x:v>
      </x:c>
      <x:c r="E313" s="68" t="n">
        <x:v>70</x:v>
      </x:c>
      <x:c r="F313" s="68" t="n">
        <x:v>30.13685864962923</x:v>
      </x:c>
      <x:c r="G313" s="29" t="n">
        <x:f>MAX(F313/E313,E313/F313)</x:f>
        <x:v>2.3227371111839887</x:v>
      </x:c>
      <x:c r="H313" s="29" t="n">
        <x:f>F313/E313</x:f>
        <x:v>0.4305265521375604</x:v>
      </x:c>
      <x:c r="I313" s="26" t="n">
        <x:v>36</x:v>
      </x:c>
      <x:c r="J313" s="26" t="n">
        <x:v>16</x:v>
      </x:c>
      <x:c r="K313" s="65" t="n">
        <x:v>45399</x:v>
      </x:c>
      <x:c r="L313" s="32" t="n">
        <x:v>1</x:v>
      </x:c>
      <x:c r="M313" s="26" t="n">
        <x:v>1</x:v>
      </x:c>
    </x:row>
    <x:row r="314">
      <x:c r="A314" s="20" t="str">
        <x:v>ECI</x:v>
      </x:c>
      <x:c r="B314" s="65" t="n">
        <x:v>45400</x:v>
      </x:c>
      <x:c r="C314" s="20" t="str">
        <x:v>Llama 3-8B</x:v>
      </x:c>
      <x:c r="D314" s="20" t="str">
        <x:v>llama3</x:v>
      </x:c>
      <x:c r="E314" s="68" t="n">
        <x:v>8</x:v>
      </x:c>
      <x:c r="F314" s="68" t="n">
        <x:v>20.940576010682303</x:v>
      </x:c>
      <x:c r="G314" s="29" t="n">
        <x:f>MAX(F314/E314,E314/F314)</x:f>
        <x:v>2.617572001335288</x:v>
      </x:c>
      <x:c r="H314" s="29" t="n">
        <x:f>F314/E314</x:f>
        <x:v>2.617572001335288</x:v>
      </x:c>
      <x:c r="I314" s="26" t="n">
        <x:v>36</x:v>
      </x:c>
      <x:c r="J314" s="26" t="n">
        <x:v>16</x:v>
      </x:c>
      <x:c r="K314" s="65" t="n">
        <x:v>45399</x:v>
      </x:c>
      <x:c r="L314" s="32" t="n">
        <x:v>0.8888888888888888</x:v>
      </x:c>
      <x:c r="M314" s="26" t="n">
        <x:v>1</x:v>
      </x:c>
    </x:row>
    <x:row r="315">
      <x:c r="A315" s="20" t="str">
        <x:v>ECI</x:v>
      </x:c>
      <x:c r="B315" s="65" t="n">
        <x:v>45405</x:v>
      </x:c>
      <x:c r="C315" s="20" t="str">
        <x:v>phi-3-medium 14B</x:v>
      </x:c>
      <x:c r="D315" s="20" t="str">
        <x:v>phi</x:v>
      </x:c>
      <x:c r="E315" s="68" t="n">
        <x:v>14</x:v>
      </x:c>
      <x:c r="F315" s="68" t="n">
        <x:v>33.42633686834992</x:v>
      </x:c>
      <x:c r="G315" s="29" t="n">
        <x:f>MAX(F315/E315,E315/F315)</x:f>
        <x:v>2.3875954905964227</x:v>
      </x:c>
      <x:c r="H315" s="29" t="n">
        <x:f>F315/E315</x:f>
        <x:v>2.3875954905964227</x:v>
      </x:c>
      <x:c r="I315" s="26" t="n">
        <x:v>36</x:v>
      </x:c>
      <x:c r="J315" s="26" t="n">
        <x:v>16</x:v>
      </x:c>
      <x:c r="K315" s="65" t="n">
        <x:v>45400</x:v>
      </x:c>
      <x:c r="L315" s="32" t="n">
        <x:v>0.9473684210526315</x:v>
      </x:c>
      <x:c r="M315" s="26" t="n">
        <x:v>1</x:v>
      </x:c>
    </x:row>
    <x:row r="316">
      <x:c r="A316" s="20" t="str">
        <x:v>ECI</x:v>
      </x:c>
      <x:c r="B316" s="65" t="n">
        <x:v>45405</x:v>
      </x:c>
      <x:c r="C316" s="20" t="str">
        <x:v>phi-3-mini 3.8B</x:v>
      </x:c>
      <x:c r="D316" s="20" t="str">
        <x:v>phi</x:v>
      </x:c>
      <x:c r="E316" s="68" t="n">
        <x:v>3.8</x:v>
      </x:c>
      <x:c r="F316" s="68" t="n">
        <x:v>26.465568508910003</x:v>
      </x:c>
      <x:c r="G316" s="29" t="n">
        <x:f>MAX(F316/E316,E316/F316)</x:f>
        <x:v>6.964623291818422</x:v>
      </x:c>
      <x:c r="H316" s="29" t="n">
        <x:f>F316/E316</x:f>
        <x:v>6.964623291818422</x:v>
      </x:c>
      <x:c r="I316" s="26" t="n">
        <x:v>36</x:v>
      </x:c>
      <x:c r="J316" s="26" t="n">
        <x:v>16</x:v>
      </x:c>
      <x:c r="K316" s="65" t="n">
        <x:v>45400</x:v>
      </x:c>
      <x:c r="L316" s="32" t="n">
        <x:v>0.8947368421052632</x:v>
      </x:c>
      <x:c r="M316" s="26" t="n">
        <x:v>1</x:v>
      </x:c>
    </x:row>
    <x:row r="317">
      <x:c r="A317" s="20" t="str">
        <x:v>ECI</x:v>
      </x:c>
      <x:c r="B317" s="65" t="n">
        <x:v>45405</x:v>
      </x:c>
      <x:c r="C317" s="20" t="str">
        <x:v>phi-3-small 7.4B</x:v>
      </x:c>
      <x:c r="D317" s="20" t="str">
        <x:v>phi</x:v>
      </x:c>
      <x:c r="E317" s="68" t="n">
        <x:v>7.4</x:v>
      </x:c>
      <x:c r="F317" s="68" t="n">
        <x:v>34.567461202741846</x:v>
      </x:c>
      <x:c r="G317" s="29" t="n">
        <x:f>MAX(F317/E317,E317/F317)</x:f>
        <x:v>4.67127854091106</x:v>
      </x:c>
      <x:c r="H317" s="29" t="n">
        <x:f>F317/E317</x:f>
        <x:v>4.67127854091106</x:v>
      </x:c>
      <x:c r="I317" s="26" t="n">
        <x:v>36</x:v>
      </x:c>
      <x:c r="J317" s="26" t="n">
        <x:v>16</x:v>
      </x:c>
      <x:c r="K317" s="65" t="n">
        <x:v>45400</x:v>
      </x:c>
      <x:c r="L317" s="32" t="n">
        <x:v>0.9736842105263158</x:v>
      </x:c>
      <x:c r="M317" s="26" t="n">
        <x:v>1</x:v>
      </x:c>
    </x:row>
    <x:row r="318">
      <x:c r="A318" s="20" t="str">
        <x:v>ECI</x:v>
      </x:c>
      <x:c r="B318" s="65" t="n">
        <x:v>45419</x:v>
      </x:c>
      <x:c r="C318" s="20" t="str">
        <x:v>DeepSeek-V2 (MoE-236B, May 2024)</x:v>
      </x:c>
      <x:c r="D318" s="20" t="str">
        <x:v>deepseek_v2</x:v>
      </x:c>
      <x:c r="E318" s="68" t="n">
        <x:v>236</x:v>
      </x:c>
      <x:c r="F318" s="68" t="n">
        <x:v>32.2286495520189</x:v>
      </x:c>
      <x:c r="G318" s="29" t="n">
        <x:f>MAX(F318/E318,E318/F318)</x:f>
        <x:v>7.322677284975357</x:v>
      </x:c>
      <x:c r="H318" s="29" t="n">
        <x:f>F318/E318</x:f>
        <x:v>0.13656207437296145</x:v>
      </x:c>
      <x:c r="I318" s="26" t="n">
        <x:v>41</x:v>
      </x:c>
      <x:c r="J318" s="26" t="n">
        <x:v>17</x:v>
      </x:c>
      <x:c r="K318" s="65" t="n">
        <x:v>45405</x:v>
      </x:c>
      <x:c r="L318" s="32" t="n">
        <x:v>1</x:v>
      </x:c>
      <x:c r="M318" s="26" t="n">
        <x:v>1</x:v>
      </x:c>
    </x:row>
    <x:row r="319">
      <x:c r="A319" s="20" t="str">
        <x:v>ECI</x:v>
      </x:c>
      <x:c r="B319" s="65" t="n">
        <x:v>45421</x:v>
      </x:c>
      <x:c r="C319" s="20" t="str">
        <x:v>Falcon 2 11B</x:v>
      </x:c>
      <x:c r="D319" s="20" t="str">
        <x:v>falcon2</x:v>
      </x:c>
      <x:c r="E319" s="68" t="n">
        <x:v>11</x:v>
      </x:c>
      <x:c r="F319" s="68" t="n">
        <x:v>19.857523964680666</x:v>
      </x:c>
      <x:c r="G319" s="29" t="n">
        <x:f>MAX(F319/E319,E319/F319)</x:f>
        <x:v>1.805229451334606</x:v>
      </x:c>
      <x:c r="H319" s="29" t="n">
        <x:f>F319/E319</x:f>
        <x:v>1.805229451334606</x:v>
      </x:c>
      <x:c r="I319" s="26" t="n">
        <x:v>42</x:v>
      </x:c>
      <x:c r="J319" s="26" t="n">
        <x:v>18</x:v>
      </x:c>
      <x:c r="K319" s="65" t="n">
        <x:v>45419</x:v>
      </x:c>
      <x:c r="L319" s="32" t="n">
        <x:v>0.6190476190476191</x:v>
      </x:c>
      <x:c r="M319" s="26" t="n">
        <x:v>1</x:v>
      </x:c>
    </x:row>
    <x:row r="320">
      <x:c r="A320" s="20" t="str">
        <x:v>ECI</x:v>
      </x:c>
      <x:c r="B320" s="65" t="n">
        <x:v>45450</x:v>
      </x:c>
      <x:c r="C320" s="20" t="str">
        <x:v>Qwen2-72B</x:v>
      </x:c>
      <x:c r="D320" s="20" t="str">
        <x:v>qwen2</x:v>
      </x:c>
      <x:c r="E320" s="68" t="n">
        <x:v>72</x:v>
      </x:c>
      <x:c r="F320" s="68" t="n">
        <x:v>59.76617331663307</x:v>
      </x:c>
      <x:c r="G320" s="29" t="n">
        <x:f>MAX(F320/E320,E320/F320)</x:f>
        <x:v>1.2046948299425793</x:v>
      </x:c>
      <x:c r="H320" s="29" t="n">
        <x:f>F320/E320</x:f>
        <x:v>0.8300857405087927</x:v>
      </x:c>
      <x:c r="I320" s="26" t="n">
        <x:v>43</x:v>
      </x:c>
      <x:c r="J320" s="26" t="n">
        <x:v>19</x:v>
      </x:c>
      <x:c r="K320" s="65" t="n">
        <x:v>45421</x:v>
      </x:c>
      <x:c r="L320" s="32" t="n">
        <x:v>1</x:v>
      </x:c>
      <x:c r="M320" s="26" t="n">
        <x:v>1</x:v>
      </x:c>
    </x:row>
    <x:row r="321">
      <x:c r="A321" s="20" t="str">
        <x:v>ECI</x:v>
      </x:c>
      <x:c r="B321" s="65" t="n">
        <x:v>45467</x:v>
      </x:c>
      <x:c r="C321" s="20" t="str">
        <x:v>Gemma 2 27B</x:v>
      </x:c>
      <x:c r="D321" s="20" t="str">
        <x:v>gemma2</x:v>
      </x:c>
      <x:c r="E321" s="68" t="n">
        <x:v>27</x:v>
      </x:c>
      <x:c r="F321" s="68" t="n">
        <x:v>49.448704521450054</x:v>
      </x:c>
      <x:c r="G321" s="29" t="n">
        <x:f>MAX(F321/E321,E321/F321)</x:f>
        <x:v>1.8314335007944464</x:v>
      </x:c>
      <x:c r="H321" s="29" t="n">
        <x:f>F321/E321</x:f>
        <x:v>1.8314335007944464</x:v>
      </x:c>
      <x:c r="I321" s="26" t="n">
        <x:v>44</x:v>
      </x:c>
      <x:c r="J321" s="26" t="n">
        <x:v>20</x:v>
      </x:c>
      <x:c r="K321" s="65" t="n">
        <x:v>45450</x:v>
      </x:c>
      <x:c r="L321" s="32" t="n">
        <x:v>0.9318181818181818</x:v>
      </x:c>
      <x:c r="M321" s="26" t="n">
        <x:v>1</x:v>
      </x:c>
    </x:row>
    <x:row r="322">
      <x:c r="A322" s="20" t="str">
        <x:v>ECI</x:v>
      </x:c>
      <x:c r="B322" s="65" t="n">
        <x:v>45467</x:v>
      </x:c>
      <x:c r="C322" s="20" t="str">
        <x:v>Gemma 2 9B</x:v>
      </x:c>
      <x:c r="D322" s="20" t="str">
        <x:v>gemma2</x:v>
      </x:c>
      <x:c r="E322" s="68" t="n">
        <x:v>9</x:v>
      </x:c>
      <x:c r="F322" s="68" t="n">
        <x:v>39.971090480499754</x:v>
      </x:c>
      <x:c r="G322" s="29" t="n">
        <x:f>MAX(F322/E322,E322/F322)</x:f>
        <x:v>4.441232275611084</x:v>
      </x:c>
      <x:c r="H322" s="29" t="n">
        <x:f>F322/E322</x:f>
        <x:v>4.441232275611084</x:v>
      </x:c>
      <x:c r="I322" s="26" t="n">
        <x:v>44</x:v>
      </x:c>
      <x:c r="J322" s="26" t="n">
        <x:v>20</x:v>
      </x:c>
      <x:c r="K322" s="65" t="n">
        <x:v>45450</x:v>
      </x:c>
      <x:c r="L322" s="32" t="n">
        <x:v>0.8636363636363636</x:v>
      </x:c>
      <x:c r="M322" s="26" t="n">
        <x:v>1</x:v>
      </x:c>
    </x:row>
    <x:row r="323">
      <x:c r="A323" s="20" t="str">
        <x:v>ECI</x:v>
      </x:c>
      <x:c r="B323" s="65" t="n">
        <x:v>45491</x:v>
      </x:c>
      <x:c r="C323" s="20" t="str">
        <x:v>Mistral NeMo</x:v>
      </x:c>
      <x:c r="D323" s="20" t="str">
        <x:v>mistral_nemo</x:v>
      </x:c>
      <x:c r="E323" s="68" t="n">
        <x:v>12</x:v>
      </x:c>
      <x:c r="F323" s="68" t="n">
        <x:v>31.98038787068843</x:v>
      </x:c>
      <x:c r="G323" s="29" t="n">
        <x:f>MAX(F323/E323,E323/F323)</x:f>
        <x:v>2.665032322557369</x:v>
      </x:c>
      <x:c r="H323" s="29" t="n">
        <x:f>F323/E323</x:f>
        <x:v>2.665032322557369</x:v>
      </x:c>
      <x:c r="I323" s="26" t="n">
        <x:v>46</x:v>
      </x:c>
      <x:c r="J323" s="26" t="n">
        <x:v>21</x:v>
      </x:c>
      <x:c r="K323" s="65" t="n">
        <x:v>45467</x:v>
      </x:c>
      <x:c r="L323" s="32" t="n">
        <x:v>0.8260869565217391</x:v>
      </x:c>
      <x:c r="M323" s="26" t="n">
        <x:v>1</x:v>
      </x:c>
    </x:row>
    <x:row r="324">
      <x:c r="A324" s="20" t="str">
        <x:v>ECI</x:v>
      </x:c>
      <x:c r="B324" s="65" t="n">
        <x:v>45496</x:v>
      </x:c>
      <x:c r="C324" s="20" t="str">
        <x:v>Llama 3.1-405B</x:v>
      </x:c>
      <x:c r="D324" s="20" t="str">
        <x:v>llama31</x:v>
      </x:c>
      <x:c r="E324" s="68" t="n">
        <x:v>405</x:v>
      </x:c>
      <x:c r="F324" s="68" t="n">
        <x:v>62.25725509115499</x:v>
      </x:c>
      <x:c r="G324" s="29" t="n">
        <x:f>MAX(F324/E324,E324/F324)</x:f>
        <x:v>6.505265922935609</x:v>
      </x:c>
      <x:c r="H324" s="29" t="n">
        <x:f>F324/E324</x:f>
        <x:v>0.15372161750902466</x:v>
      </x:c>
      <x:c r="I324" s="26" t="n">
        <x:v>47</x:v>
      </x:c>
      <x:c r="J324" s="26" t="n">
        <x:v>22</x:v>
      </x:c>
      <x:c r="K324" s="65" t="n">
        <x:v>45491</x:v>
      </x:c>
      <x:c r="L324" s="32" t="n">
        <x:v>1</x:v>
      </x:c>
      <x:c r="M324" s="26" t="n">
        <x:v>1</x:v>
      </x:c>
    </x:row>
    <x:row r="325">
      <x:c r="A325" s="20" t="str">
        <x:v>ECI</x:v>
      </x:c>
      <x:c r="B325" s="65" t="n">
        <x:v>45496</x:v>
      </x:c>
      <x:c r="C325" s="20" t="str">
        <x:v>Llama 3.1-70B</x:v>
      </x:c>
      <x:c r="D325" s="20" t="str">
        <x:v>llama31</x:v>
      </x:c>
      <x:c r="E325" s="68" t="n">
        <x:v>70</x:v>
      </x:c>
      <x:c r="F325" s="68" t="n">
        <x:v>48.760080856475945</x:v>
      </x:c>
      <x:c r="G325" s="29" t="n">
        <x:f>MAX(F325/E325,E325/F325)</x:f>
        <x:v>1.435600572649648</x:v>
      </x:c>
      <x:c r="H325" s="29" t="n">
        <x:f>F325/E325</x:f>
        <x:v>0.696572583663942</x:v>
      </x:c>
      <x:c r="I325" s="26" t="n">
        <x:v>47</x:v>
      </x:c>
      <x:c r="J325" s="26" t="n">
        <x:v>22</x:v>
      </x:c>
      <x:c r="K325" s="65" t="n">
        <x:v>45491</x:v>
      </x:c>
      <x:c r="L325" s="32" t="n">
        <x:v>1</x:v>
      </x:c>
      <x:c r="M325" s="26" t="n">
        <x:v>1</x:v>
      </x:c>
    </x:row>
    <x:row r="326">
      <x:c r="A326" s="20" t="str">
        <x:v>ECI</x:v>
      </x:c>
      <x:c r="B326" s="65" t="n">
        <x:v>45496</x:v>
      </x:c>
      <x:c r="C326" s="20" t="str">
        <x:v>Llama 3.1-8B</x:v>
      </x:c>
      <x:c r="D326" s="20" t="str">
        <x:v>llama31</x:v>
      </x:c>
      <x:c r="E326" s="68" t="n">
        <x:v>8</x:v>
      </x:c>
      <x:c r="F326" s="68" t="n">
        <x:v>23.96236254487774</x:v>
      </x:c>
      <x:c r="G326" s="29" t="n">
        <x:f>MAX(F326/E326,E326/F326)</x:f>
        <x:v>2.9952953181097177</x:v>
      </x:c>
      <x:c r="H326" s="29" t="n">
        <x:f>F326/E326</x:f>
        <x:v>2.9952953181097177</x:v>
      </x:c>
      <x:c r="I326" s="26" t="n">
        <x:v>47</x:v>
      </x:c>
      <x:c r="J326" s="26" t="n">
        <x:v>22</x:v>
      </x:c>
      <x:c r="K326" s="65" t="n">
        <x:v>45491</x:v>
      </x:c>
      <x:c r="L326" s="32" t="n">
        <x:v>0.7021276595744681</x:v>
      </x:c>
      <x:c r="M326" s="26" t="n">
        <x:v>1</x:v>
      </x:c>
    </x:row>
    <x:row r="327">
      <x:c r="A327" s="20" t="str">
        <x:v>ECI</x:v>
      </x:c>
      <x:c r="B327" s="65" t="n">
        <x:v>45497</x:v>
      </x:c>
      <x:c r="C327" s="20" t="str">
        <x:v>Mistral Large 2 (Jul 2024)</x:v>
      </x:c>
      <x:c r="D327" s="20" t="str">
        <x:v>mistral_large2</x:v>
      </x:c>
      <x:c r="E327" s="68" t="n">
        <x:v>123</x:v>
      </x:c>
      <x:c r="F327" s="68" t="n">
        <x:v>63.884172543218554</x:v>
      </x:c>
      <x:c r="G327" s="29" t="n">
        <x:f>MAX(F327/E327,E327/F327)</x:f>
        <x:v>1.9253595233903789</x:v>
      </x:c>
      <x:c r="H327" s="29" t="n">
        <x:f>F327/E327</x:f>
        <x:v>0.5193835166115329</x:v>
      </x:c>
      <x:c r="I327" s="26" t="n">
        <x:v>50</x:v>
      </x:c>
      <x:c r="J327" s="26" t="n">
        <x:v>23</x:v>
      </x:c>
      <x:c r="K327" s="65" t="n">
        <x:v>45496</x:v>
      </x:c>
      <x:c r="L327" s="32" t="n">
        <x:v>0.98</x:v>
      </x:c>
      <x:c r="M327" s="26" t="n">
        <x:v>1</x:v>
      </x:c>
    </x:row>
    <x:row r="328">
      <x:c r="A328" s="20" t="str">
        <x:v>ECI</x:v>
      </x:c>
      <x:c r="B328" s="65" t="n">
        <x:v>45553</x:v>
      </x:c>
      <x:c r="C328" s="20" t="str">
        <x:v>Qwen2.5-Coder (1.5B)</x:v>
      </x:c>
      <x:c r="D328" s="20" t="str">
        <x:v>qwen25_coder</x:v>
      </x:c>
      <x:c r="E328" s="68" t="n">
        <x:v>1.5</x:v>
      </x:c>
      <x:c r="F328" s="68" t="n">
        <x:v>9.786087545359905</x:v>
      </x:c>
      <x:c r="G328" s="29" t="n">
        <x:f>MAX(F328/E328,E328/F328)</x:f>
        <x:v>6.52405836357327</x:v>
      </x:c>
      <x:c r="H328" s="29" t="n">
        <x:f>F328/E328</x:f>
        <x:v>6.52405836357327</x:v>
      </x:c>
      <x:c r="I328" s="26" t="n">
        <x:v>51</x:v>
      </x:c>
      <x:c r="J328" s="26" t="n">
        <x:v>24</x:v>
      </x:c>
      <x:c r="K328" s="65" t="n">
        <x:v>45497</x:v>
      </x:c>
      <x:c r="L328" s="32" t="n">
        <x:v>0.35294117647058826</x:v>
      </x:c>
      <x:c r="M328" s="26" t="n">
        <x:v>1</x:v>
      </x:c>
    </x:row>
    <x:row r="329">
      <x:c r="A329" s="20" t="str">
        <x:v>ECI</x:v>
      </x:c>
      <x:c r="B329" s="65" t="n">
        <x:v>45553</x:v>
      </x:c>
      <x:c r="C329" s="20" t="str">
        <x:v>Qwen2.5-Coder (7B)</x:v>
      </x:c>
      <x:c r="D329" s="20" t="str">
        <x:v>qwen25_coder</x:v>
      </x:c>
      <x:c r="E329" s="68" t="n">
        <x:v>7</x:v>
      </x:c>
      <x:c r="F329" s="68" t="n">
        <x:v>21.62741047354829</x:v>
      </x:c>
      <x:c r="G329" s="29" t="n">
        <x:f>MAX(F329/E329,E329/F329)</x:f>
        <x:v>3.089630067649756</x:v>
      </x:c>
      <x:c r="H329" s="29" t="n">
        <x:f>F329/E329</x:f>
        <x:v>3.089630067649756</x:v>
      </x:c>
      <x:c r="I329" s="26" t="n">
        <x:v>51</x:v>
      </x:c>
      <x:c r="J329" s="26" t="n">
        <x:v>24</x:v>
      </x:c>
      <x:c r="K329" s="65" t="n">
        <x:v>45497</x:v>
      </x:c>
      <x:c r="L329" s="32" t="n">
        <x:v>0.6274509803921569</x:v>
      </x:c>
      <x:c r="M329" s="26" t="n">
        <x:v>1</x:v>
      </x:c>
    </x:row>
    <x:row r="330">
      <x:c r="A330" s="20" t="str">
        <x:v>ECI</x:v>
      </x:c>
      <x:c r="B330" s="65" t="n">
        <x:v>45553</x:v>
      </x:c>
      <x:c r="C330" s="20" t="str">
        <x:v>Qwen2.5-Coder-32B</x:v>
      </x:c>
      <x:c r="D330" s="20" t="str">
        <x:v>qwen25_coder</x:v>
      </x:c>
      <x:c r="E330" s="68" t="n">
        <x:v>32</x:v>
      </x:c>
      <x:c r="F330" s="68" t="n">
        <x:v>35.47189062521404</x:v>
      </x:c>
      <x:c r="G330" s="29" t="n">
        <x:f>MAX(F330/E330,E330/F330)</x:f>
        <x:v>1.1084965820379387</x:v>
      </x:c>
      <x:c r="H330" s="29" t="n">
        <x:f>F330/E330</x:f>
        <x:v>1.1084965820379387</x:v>
      </x:c>
      <x:c r="I330" s="26" t="n">
        <x:v>51</x:v>
      </x:c>
      <x:c r="J330" s="26" t="n">
        <x:v>24</x:v>
      </x:c>
      <x:c r="K330" s="65" t="n">
        <x:v>45497</x:v>
      </x:c>
      <x:c r="L330" s="32" t="n">
        <x:v>0.7843137254901961</x:v>
      </x:c>
      <x:c r="M330" s="26" t="n">
        <x:v>1</x:v>
      </x:c>
    </x:row>
    <x:row r="331">
      <x:c r="A331" s="20" t="str">
        <x:v>ECI</x:v>
      </x:c>
      <x:c r="B331" s="65" t="n">
        <x:v>45554</x:v>
      </x:c>
      <x:c r="C331" s="20" t="str">
        <x:v>Qwen2.5-72B</x:v>
      </x:c>
      <x:c r="D331" s="20" t="str">
        <x:v>qwen25</x:v>
      </x:c>
      <x:c r="E331" s="68" t="n">
        <x:v>72</x:v>
      </x:c>
      <x:c r="F331" s="68" t="n">
        <x:v>73.42757102541398</x:v>
      </x:c>
      <x:c r="G331" s="29" t="n">
        <x:f>MAX(F331/E331,E331/F331)</x:f>
        <x:v>1.019827375352972</x:v>
      </x:c>
      <x:c r="H331" s="29" t="n">
        <x:f>F331/E331</x:f>
        <x:v>1.019827375352972</x:v>
      </x:c>
      <x:c r="I331" s="26" t="n">
        <x:v>54</x:v>
      </x:c>
      <x:c r="J331" s="26" t="n">
        <x:v>25</x:v>
      </x:c>
      <x:c r="K331" s="65" t="n">
        <x:v>45553</x:v>
      </x:c>
      <x:c r="L331" s="32" t="n">
        <x:v>1</x:v>
      </x:c>
      <x:c r="M331" s="26" t="n">
        <x:v>1</x:v>
      </x:c>
    </x:row>
    <x:row r="332">
      <x:c r="A332" s="20" t="str">
        <x:v>ECI</x:v>
      </x:c>
      <x:c r="B332" s="65" t="n">
        <x:v>45559</x:v>
      </x:c>
      <x:c r="C332" s="20" t="str">
        <x:v>Llama 3.2 90B</x:v>
      </x:c>
      <x:c r="D332" s="20" t="str">
        <x:v>llama32</x:v>
      </x:c>
      <x:c r="E332" s="68" t="n">
        <x:v>90</x:v>
      </x:c>
      <x:c r="F332" s="68" t="n">
        <x:v>55.447829326696244</x:v>
      </x:c>
      <x:c r="G332" s="29" t="n">
        <x:f>MAX(F332/E332,E332/F332)</x:f>
        <x:v>1.6231473998688721</x:v>
      </x:c>
      <x:c r="H332" s="29" t="n">
        <x:f>F332/E332</x:f>
        <x:v>0.6160869925188471</x:v>
      </x:c>
      <x:c r="I332" s="26" t="n">
        <x:v>55</x:v>
      </x:c>
      <x:c r="J332" s="26" t="n">
        <x:v>26</x:v>
      </x:c>
      <x:c r="K332" s="65" t="n">
        <x:v>45554</x:v>
      </x:c>
      <x:c r="L332" s="32" t="n">
        <x:v>0.9454545454545454</x:v>
      </x:c>
      <x:c r="M332" s="26" t="n">
        <x:v>1</x:v>
      </x:c>
    </x:row>
    <x:row r="333">
      <x:c r="A333" s="20" t="str">
        <x:v>ECI</x:v>
      </x:c>
      <x:c r="B333" s="65" t="n">
        <x:v>45614</x:v>
      </x:c>
      <x:c r="C333" s="20" t="str">
        <x:v>Mistral Large 2 (Nov 2024)</x:v>
      </x:c>
      <x:c r="D333" s="20" t="str">
        <x:v>mistral_large2</x:v>
      </x:c>
      <x:c r="E333" s="68" t="n">
        <x:v>123</x:v>
      </x:c>
      <x:c r="F333" s="68" t="n">
        <x:v>66.25178071237703</x:v>
      </x:c>
      <x:c r="G333" s="29" t="n">
        <x:f>MAX(F333/E333,E333/F333)</x:f>
        <x:v>1.8565538718723282</x:v>
      </x:c>
      <x:c r="H333" s="29" t="n">
        <x:f>F333/E333</x:f>
        <x:v>0.5386323635152603</x:v>
      </x:c>
      <x:c r="I333" s="26" t="n">
        <x:v>55</x:v>
      </x:c>
      <x:c r="J333" s="26" t="n">
        <x:v>26</x:v>
      </x:c>
      <x:c r="K333" s="65" t="n">
        <x:v>45559</x:v>
      </x:c>
      <x:c r="L333" s="32" t="n">
        <x:v>0.9642857142857143</x:v>
      </x:c>
      <x:c r="M333" s="26" t="n">
        <x:v>1</x:v>
      </x:c>
    </x:row>
    <x:row r="334">
      <x:c r="A334" s="20" t="str">
        <x:v>ECI</x:v>
      </x:c>
      <x:c r="B334" s="65" t="n">
        <x:v>45632</x:v>
      </x:c>
      <x:c r="C334" s="20" t="str">
        <x:v>Llama 3.3 70B</x:v>
      </x:c>
      <x:c r="D334" s="20" t="str">
        <x:v>llama33</x:v>
      </x:c>
      <x:c r="E334" s="68" t="n">
        <x:v>70</x:v>
      </x:c>
      <x:c r="F334" s="68" t="n">
        <x:v>63.90021295470234</x:v>
      </x:c>
      <x:c r="G334" s="29" t="n">
        <x:f>MAX(F334/E334,E334/F334)</x:f>
        <x:v>1.095458008091799</x:v>
      </x:c>
      <x:c r="H334" s="29" t="n">
        <x:f>F334/E334</x:f>
        <x:v>0.9128601850671763</x:v>
      </x:c>
      <x:c r="I334" s="26" t="n">
        <x:v>57</x:v>
      </x:c>
      <x:c r="J334" s="26" t="n">
        <x:v>27</x:v>
      </x:c>
      <x:c r="K334" s="65" t="n">
        <x:v>45614</x:v>
      </x:c>
      <x:c r="L334" s="32" t="n">
        <x:v>0.9298245614035088</x:v>
      </x:c>
      <x:c r="M334" s="26" t="n">
        <x:v>1</x:v>
      </x:c>
    </x:row>
    <x:row r="335">
      <x:c r="A335" s="20" t="str">
        <x:v>ECI</x:v>
      </x:c>
      <x:c r="B335" s="65" t="n">
        <x:v>45638</x:v>
      </x:c>
      <x:c r="C335" s="20" t="str">
        <x:v>Phi-4</x:v>
      </x:c>
      <x:c r="D335" s="20" t="str">
        <x:v>phi</x:v>
      </x:c>
      <x:c r="E335" s="68" t="n">
        <x:v>14</x:v>
      </x:c>
      <x:c r="F335" s="68" t="n">
        <x:v>90.96089461010612</x:v>
      </x:c>
      <x:c r="G335" s="29" t="n">
        <x:f>MAX(F335/E335,E335/F335)</x:f>
        <x:v>6.497206757864723</x:v>
      </x:c>
      <x:c r="H335" s="29" t="n">
        <x:f>F335/E335</x:f>
        <x:v>6.497206757864723</x:v>
      </x:c>
      <x:c r="I335" s="26" t="n">
        <x:v>53</x:v>
      </x:c>
      <x:c r="J335" s="26" t="n">
        <x:v>27</x:v>
      </x:c>
      <x:c r="K335" s="65" t="n">
        <x:v>45632</x:v>
      </x:c>
      <x:c r="L335" s="32" t="n">
        <x:v>1</x:v>
      </x:c>
      <x:c r="M335" s="26" t="n">
        <x:v>1</x:v>
      </x:c>
    </x:row>
    <x:row r="336">
      <x:c r="A336" s="20" t="str">
        <x:v>ECI</x:v>
      </x:c>
      <x:c r="B336" s="65" t="n">
        <x:v>45652</x:v>
      </x:c>
      <x:c r="C336" s="20" t="str">
        <x:v>DeepSeek-V3</x:v>
      </x:c>
      <x:c r="D336" s="20" t="str">
        <x:v>deepseek_v3</x:v>
      </x:c>
      <x:c r="E336" s="68" t="n">
        <x:v>671</x:v>
      </x:c>
      <x:c r="F336" s="68" t="n">
        <x:v>95.3342916308344</x:v>
      </x:c>
      <x:c r="G336" s="29" t="n">
        <x:f>MAX(F336/E336,E336/F336)</x:f>
        <x:v>7.038390788052758</x:v>
      </x:c>
      <x:c r="H336" s="29" t="n">
        <x:f>F336/E336</x:f>
        <x:v>0.1420779308954313</x:v>
      </x:c>
      <x:c r="I336" s="26" t="n">
        <x:v>59</x:v>
      </x:c>
      <x:c r="J336" s="26" t="n">
        <x:v>28</x:v>
      </x:c>
      <x:c r="K336" s="65" t="n">
        <x:v>45638</x:v>
      </x:c>
      <x:c r="L336" s="32" t="n">
        <x:v>1</x:v>
      </x:c>
      <x:c r="M336" s="26" t="n">
        <x:v>1</x:v>
      </x:c>
    </x:row>
    <x:row r="337">
      <x:c r="A337" s="20" t="str">
        <x:v>ECI</x:v>
      </x:c>
      <x:c r="B337" s="65" t="n">
        <x:v>45677</x:v>
      </x:c>
      <x:c r="C337" s="20" t="str">
        <x:v>DeepSeek-R1</x:v>
      </x:c>
      <x:c r="D337" s="20" t="str">
        <x:v>deepseek_v3</x:v>
      </x:c>
      <x:c r="E337" s="68" t="n">
        <x:v>671</x:v>
      </x:c>
      <x:c r="F337" s="68" t="n">
        <x:v>157.4262755258648</x:v>
      </x:c>
      <x:c r="G337" s="29" t="n">
        <x:f>MAX(F337/E337,E337/F337)</x:f>
        <x:v>4.262312614324387</x:v>
      </x:c>
      <x:c r="H337" s="29" t="n">
        <x:f>F337/E337</x:f>
        <x:v>0.23461441956164653</x:v>
      </x:c>
      <x:c r="I337" s="26" t="n">
        <x:v>59</x:v>
      </x:c>
      <x:c r="J337" s="26" t="n">
        <x:v>28</x:v>
      </x:c>
      <x:c r="K337" s="65" t="n">
        <x:v>45638</x:v>
      </x:c>
      <x:c r="L337" s="32" t="n">
        <x:v>1</x:v>
      </x:c>
      <x:c r="M337" s="26" t="n">
        <x:v>1</x:v>
      </x:c>
    </x:row>
    <x:row r="338">
      <x:c r="A338" s="20" t="str">
        <x:v>ECI</x:v>
      </x:c>
      <x:c r="B338" s="65" t="n">
        <x:v>45728</x:v>
      </x:c>
      <x:c r="C338" s="20" t="str">
        <x:v>Gemma 3 27B</x:v>
      </x:c>
      <x:c r="D338" s="20" t="str">
        <x:v>gemma3</x:v>
      </x:c>
      <x:c r="E338" s="68" t="n">
        <x:v>27</x:v>
      </x:c>
      <x:c r="F338" s="68" t="n">
        <x:v>97.88687387689484</x:v>
      </x:c>
      <x:c r="G338" s="29" t="n">
        <x:f>MAX(F338/E338,E338/F338)</x:f>
        <x:v>3.625439773218327</x:v>
      </x:c>
      <x:c r="H338" s="29" t="n">
        <x:f>F338/E338</x:f>
        <x:v>3.625439773218327</x:v>
      </x:c>
      <x:c r="I338" s="26" t="n">
        <x:v>61</x:v>
      </x:c>
      <x:c r="J338" s="26" t="n">
        <x:v>29</x:v>
      </x:c>
      <x:c r="K338" s="65" t="n">
        <x:v>45677</x:v>
      </x:c>
      <x:c r="L338" s="32" t="n">
        <x:v>0.9508196721311475</x:v>
      </x:c>
      <x:c r="M338" s="26" t="n">
        <x:v>1</x:v>
      </x:c>
    </x:row>
    <x:row r="339">
      <x:c r="A339" s="20" t="str">
        <x:v>ECI</x:v>
      </x:c>
      <x:c r="B339" s="65" t="n">
        <x:v>45733</x:v>
      </x:c>
      <x:c r="C339" s="20" t="str">
        <x:v>Mistral Small 3.1</x:v>
      </x:c>
      <x:c r="D339" s="20" t="str">
        <x:v>mistral_small</x:v>
      </x:c>
      <x:c r="E339" s="68" t="n">
        <x:v>24</x:v>
      </x:c>
      <x:c r="F339" s="68" t="n">
        <x:v>62.31062071039697</x:v>
      </x:c>
      <x:c r="G339" s="29" t="n">
        <x:f>MAX(F339/E339,E339/F339)</x:f>
        <x:v>2.596275862933207</x:v>
      </x:c>
      <x:c r="H339" s="29" t="n">
        <x:f>F339/E339</x:f>
        <x:v>2.596275862933207</x:v>
      </x:c>
      <x:c r="I339" s="26" t="n">
        <x:v>62</x:v>
      </x:c>
      <x:c r="J339" s="26" t="n">
        <x:v>30</x:v>
      </x:c>
      <x:c r="K339" s="65" t="n">
        <x:v>45728</x:v>
      </x:c>
      <x:c r="L339" s="32" t="n">
        <x:v>0.8870967741935484</x:v>
      </x:c>
      <x:c r="M339" s="26" t="n">
        <x:v>1</x:v>
      </x:c>
    </x:row>
    <x:row r="340">
      <x:c r="A340" s="20" t="str">
        <x:v>ECI</x:v>
      </x:c>
      <x:c r="B340" s="65" t="n">
        <x:v>45740</x:v>
      </x:c>
      <x:c r="C340" s="20" t="str">
        <x:v>DeepSeek-V3 (Mar 2025)</x:v>
      </x:c>
      <x:c r="D340" s="20" t="str">
        <x:v>deepseek_v3</x:v>
      </x:c>
      <x:c r="E340" s="68" t="n">
        <x:v>671</x:v>
      </x:c>
      <x:c r="F340" s="68" t="n">
        <x:v>92.97976901456512</x:v>
      </x:c>
      <x:c r="G340" s="29" t="n">
        <x:f>MAX(F340/E340,E340/F340)</x:f>
        <x:v>7.216623649547774</x:v>
      </x:c>
      <x:c r="H340" s="29" t="n">
        <x:f>F340/E340</x:f>
        <x:v>0.1385689553123176</x:v>
      </x:c>
      <x:c r="I340" s="26" t="n">
        <x:v>61</x:v>
      </x:c>
      <x:c r="J340" s="26" t="n">
        <x:v>30</x:v>
      </x:c>
      <x:c r="K340" s="65" t="n">
        <x:v>45733</x:v>
      </x:c>
      <x:c r="L340" s="32" t="n">
        <x:v>0.9841269841269841</x:v>
      </x:c>
      <x:c r="M340" s="26" t="n">
        <x:v>1</x:v>
      </x:c>
    </x:row>
    <x:row r="341">
      <x:c r="A341" s="20" t="str">
        <x:v>ECI</x:v>
      </x:c>
      <x:c r="B341" s="65" t="n">
        <x:v>45752</x:v>
      </x:c>
      <x:c r="C341" s="20" t="str">
        <x:v>Llama 4 Maverick</x:v>
      </x:c>
      <x:c r="D341" s="20" t="str">
        <x:v>llama4</x:v>
      </x:c>
      <x:c r="E341" s="68" t="n">
        <x:v>400</x:v>
      </x:c>
      <x:c r="F341" s="68" t="n">
        <x:v>86.36841512404584</x:v>
      </x:c>
      <x:c r="G341" s="29" t="n">
        <x:f>MAX(F341/E341,E341/F341)</x:f>
        <x:v>4.631322682319731</x:v>
      </x:c>
      <x:c r="H341" s="29" t="n">
        <x:f>F341/E341</x:f>
        <x:v>0.2159210378101146</x:v>
      </x:c>
      <x:c r="I341" s="26" t="n">
        <x:v>64</x:v>
      </x:c>
      <x:c r="J341" s="26" t="n">
        <x:v>31</x:v>
      </x:c>
      <x:c r="K341" s="65" t="n">
        <x:v>45740</x:v>
      </x:c>
      <x:c r="L341" s="32" t="n">
        <x:v>0.96875</x:v>
      </x:c>
      <x:c r="M341" s="26" t="n">
        <x:v>1</x:v>
      </x:c>
    </x:row>
    <x:row r="342">
      <x:c r="A342" s="20" t="str">
        <x:v>ECI</x:v>
      </x:c>
      <x:c r="B342" s="65" t="n">
        <x:v>45752</x:v>
      </x:c>
      <x:c r="C342" s="20" t="str">
        <x:v>Llama 4 Scout</x:v>
      </x:c>
      <x:c r="D342" s="20" t="str">
        <x:v>llama4</x:v>
      </x:c>
      <x:c r="E342" s="68" t="n">
        <x:v>109</x:v>
      </x:c>
      <x:c r="F342" s="68" t="n">
        <x:v>70.3345486290939</x:v>
      </x:c>
      <x:c r="G342" s="29" t="n">
        <x:f>MAX(F342/E342,E342/F342)</x:f>
        <x:v>1.5497362551483287</x:v>
      </x:c>
      <x:c r="H342" s="29" t="n">
        <x:f>F342/E342</x:f>
        <x:v>0.645271088340311</x:v>
      </x:c>
      <x:c r="I342" s="26" t="n">
        <x:v>64</x:v>
      </x:c>
      <x:c r="J342" s="26" t="n">
        <x:v>31</x:v>
      </x:c>
      <x:c r="K342" s="65" t="n">
        <x:v>45740</x:v>
      </x:c>
      <x:c r="L342" s="32" t="n">
        <x:v>0.921875</x:v>
      </x:c>
      <x:c r="M342" s="26" t="n">
        <x:v>1</x:v>
      </x:c>
    </x:row>
    <x:row r="343">
      <x:c r="A343" s="20" t="str">
        <x:v>ECI</x:v>
      </x:c>
      <x:c r="B343" s="65" t="n">
        <x:v>45776</x:v>
      </x:c>
      <x:c r="C343" s="20" t="str">
        <x:v>Qwen3-235B-A22B</x:v>
      </x:c>
      <x:c r="D343" s="20" t="str">
        <x:v>qwen3_235</x:v>
      </x:c>
      <x:c r="E343" s="68" t="n">
        <x:v>235</x:v>
      </x:c>
      <x:c r="F343" s="68" t="n">
        <x:v>164.12481051147464</x:v>
      </x:c>
      <x:c r="G343" s="29" t="n">
        <x:f>MAX(F343/E343,E343/F343)</x:f>
        <x:v>1.4318371443516165</x:v>
      </x:c>
      <x:c r="H343" s="29" t="n">
        <x:f>F343/E343</x:f>
        <x:v>0.6984034489849984</x:v>
      </x:c>
      <x:c r="I343" s="26" t="n">
        <x:v>66</x:v>
      </x:c>
      <x:c r="J343" s="26" t="n">
        <x:v>32</x:v>
      </x:c>
      <x:c r="K343" s="65" t="n">
        <x:v>45752</x:v>
      </x:c>
      <x:c r="L343" s="32" t="n">
        <x:v>0.9848484848484849</x:v>
      </x:c>
      <x:c r="M343" s="26" t="n">
        <x:v>1</x:v>
      </x:c>
    </x:row>
    <x:row r="344">
      <x:c r="A344" s="20" t="str">
        <x:v>ECI</x:v>
      </x:c>
      <x:c r="B344" s="65" t="n">
        <x:v>45805</x:v>
      </x:c>
      <x:c r="C344" s="20" t="str">
        <x:v>DeepSeek-R1 (May 2025)</x:v>
      </x:c>
      <x:c r="D344" s="20" t="str">
        <x:v>deepseek_v3</x:v>
      </x:c>
      <x:c r="E344" s="68" t="n">
        <x:v>671</x:v>
      </x:c>
      <x:c r="F344" s="68" t="n">
        <x:v>166.21503886346852</x:v>
      </x:c>
      <x:c r="G344" s="29" t="n">
        <x:f>MAX(F344/E344,E344/F344)</x:f>
        <x:v>4.0369391637971415</x:v>
      </x:c>
      <x:c r="H344" s="29" t="n">
        <x:f>F344/E344</x:f>
        <x:v>0.24771242751634653</x:v>
      </x:c>
      <x:c r="I344" s="26" t="n">
        <x:v>64</x:v>
      </x:c>
      <x:c r="J344" s="26" t="n">
        <x:v>32</x:v>
      </x:c>
      <x:c r="K344" s="65" t="n">
        <x:v>45776</x:v>
      </x:c>
      <x:c r="L344" s="32" t="n">
        <x:v>1</x:v>
      </x:c>
      <x:c r="M344" s="26" t="n">
        <x:v>1</x:v>
      </x:c>
    </x:row>
    <x:row r="345">
      <x:c r="A345" s="20" t="str">
        <x:v>ECI</x:v>
      </x:c>
      <x:c r="B345" s="65" t="n">
        <x:v>45818</x:v>
      </x:c>
      <x:c r="C345" s="20" t="str">
        <x:v>Magistral Small 1.1</x:v>
      </x:c>
      <x:c r="D345" s="20" t="str">
        <x:v>mistral_small</x:v>
      </x:c>
      <x:c r="E345" s="68" t="n">
        <x:v>24</x:v>
      </x:c>
      <x:c r="F345" s="68" t="n">
        <x:v>106.77702579781923</x:v>
      </x:c>
      <x:c r="G345" s="29" t="n">
        <x:f>MAX(F345/E345,E345/F345)</x:f>
        <x:v>4.449042741575801</x:v>
      </x:c>
      <x:c r="H345" s="29" t="n">
        <x:f>F345/E345</x:f>
        <x:v>4.449042741575801</x:v>
      </x:c>
      <x:c r="I345" s="26" t="n">
        <x:v>67</x:v>
      </x:c>
      <x:c r="J345" s="26" t="n">
        <x:v>32</x:v>
      </x:c>
      <x:c r="K345" s="65" t="n">
        <x:v>45805</x:v>
      </x:c>
      <x:c r="L345" s="32" t="n">
        <x:v>0.9411764705882353</x:v>
      </x:c>
      <x:c r="M345" s="26" t="n">
        <x:v>1</x:v>
      </x:c>
    </x:row>
    <x:row r="346">
      <x:c r="A346" s="20" t="str">
        <x:v>ECI</x:v>
      </x:c>
      <x:c r="B346" s="65" t="n">
        <x:v>45850</x:v>
      </x:c>
      <x:c r="C346" s="20" t="str">
        <x:v>Kimi K2 (Jul 2025)</x:v>
      </x:c>
      <x:c r="D346" s="20" t="str">
        <x:v>kimi_k2</x:v>
      </x:c>
      <x:c r="E346" s="68" t="n">
        <x:v>1040</x:v>
      </x:c>
      <x:c r="F346" s="68" t="n">
        <x:v>166.8733302810797</x:v>
      </x:c>
      <x:c r="G346" s="29" t="n">
        <x:f>MAX(F346/E346,E346/F346)</x:f>
        <x:v>6.2322720967349</x:v>
      </x:c>
      <x:c r="H346" s="29" t="n">
        <x:f>F346/E346</x:f>
        <x:v>0.16045512527026892</x:v>
      </x:c>
      <x:c r="I346" s="26" t="n">
        <x:v>69</x:v>
      </x:c>
      <x:c r="J346" s="26" t="n">
        <x:v>33</x:v>
      </x:c>
      <x:c r="K346" s="65" t="n">
        <x:v>45818</x:v>
      </x:c>
      <x:c r="L346" s="32" t="n">
        <x:v>0.9855072463768116</x:v>
      </x:c>
      <x:c r="M346" s="26" t="n">
        <x:v>1</x:v>
      </x:c>
    </x:row>
    <x:row r="347">
      <x:c r="A347" s="20" t="str">
        <x:v>ECI</x:v>
      </x:c>
      <x:c r="B347" s="65" t="n">
        <x:v>45863</x:v>
      </x:c>
      <x:c r="C347" s="20" t="str">
        <x:v>Qwen3-235B-A22B-Instruct (Jul 2025)</x:v>
      </x:c>
      <x:c r="D347" s="20" t="str">
        <x:v>qwen3_235</x:v>
      </x:c>
      <x:c r="E347" s="68" t="n">
        <x:v>235</x:v>
      </x:c>
      <x:c r="F347" s="68" t="n">
        <x:v>181.1755227820992</x:v>
      </x:c>
      <x:c r="G347" s="29" t="n">
        <x:f>MAX(F347/E347,E347/F347)</x:f>
        <x:v>1.2970847076436247</x:v>
      </x:c>
      <x:c r="H347" s="29" t="n">
        <x:f>F347/E347</x:f>
        <x:v>0.7709596714131881</x:v>
      </x:c>
      <x:c r="I347" s="26" t="n">
        <x:v>69</x:v>
      </x:c>
      <x:c r="J347" s="26" t="n">
        <x:v>33</x:v>
      </x:c>
      <x:c r="K347" s="65" t="n">
        <x:v>45850</x:v>
      </x:c>
      <x:c r="L347" s="32" t="n">
        <x:v>0.9428571428571428</x:v>
      </x:c>
      <x:c r="M347" s="26" t="n">
        <x:v>1</x:v>
      </x:c>
    </x:row>
    <x:row r="348">
      <x:c r="A348" s="20" t="str">
        <x:v>ECI</x:v>
      </x:c>
      <x:c r="B348" s="65" t="n">
        <x:v>45863</x:v>
      </x:c>
      <x:c r="C348" s="20" t="str">
        <x:v>Qwen3-235B-A22B-Thinking (Jul 2025)</x:v>
      </x:c>
      <x:c r="D348" s="20" t="str">
        <x:v>qwen3_235</x:v>
      </x:c>
      <x:c r="E348" s="68" t="n">
        <x:v>235</x:v>
      </x:c>
      <x:c r="F348" s="68" t="n">
        <x:v>300.10867648131335</x:v>
      </x:c>
      <x:c r="G348" s="29" t="n">
        <x:f>MAX(F348/E348,E348/F348)</x:f>
        <x:v>1.2770581977928228</x:v>
      </x:c>
      <x:c r="H348" s="29" t="n">
        <x:f>F348/E348</x:f>
        <x:v>1.2770581977928228</x:v>
      </x:c>
      <x:c r="I348" s="26" t="n">
        <x:v>69</x:v>
      </x:c>
      <x:c r="J348" s="26" t="n">
        <x:v>33</x:v>
      </x:c>
      <x:c r="K348" s="65" t="n">
        <x:v>45850</x:v>
      </x:c>
      <x:c r="L348" s="32" t="n">
        <x:v>1</x:v>
      </x:c>
      <x:c r="M348" s="26" t="n">
        <x:v>1</x:v>
      </x:c>
    </x:row>
    <x:row r="349">
      <x:c r="A349" s="20" t="str">
        <x:v>ECI</x:v>
      </x:c>
      <x:c r="B349" s="65" t="n">
        <x:v>45874</x:v>
      </x:c>
      <x:c r="C349" s="20" t="str">
        <x:v>gpt-oss-120b</x:v>
      </x:c>
      <x:c r="D349" s="20" t="str">
        <x:v>gpt_oss</x:v>
      </x:c>
      <x:c r="E349" s="68" t="n">
        <x:v>116.83</x:v>
      </x:c>
      <x:c r="F349" s="68" t="n">
        <x:v>208.72166039938045</x:v>
      </x:c>
      <x:c r="G349" s="29" t="n">
        <x:f>MAX(F349/E349,E349/F349)</x:f>
        <x:v>1.7865416451200928</x:v>
      </x:c>
      <x:c r="H349" s="29" t="n">
        <x:f>F349/E349</x:f>
        <x:v>1.7865416451200928</x:v>
      </x:c>
      <x:c r="I349" s="26" t="n">
        <x:v>72</x:v>
      </x:c>
      <x:c r="J349" s="26" t="n">
        <x:v>34</x:v>
      </x:c>
      <x:c r="K349" s="65" t="n">
        <x:v>45863</x:v>
      </x:c>
      <x:c r="L349" s="32" t="n">
        <x:v>0.9722222222222222</x:v>
      </x:c>
      <x:c r="M349" s="26" t="n">
        <x:v>1</x:v>
      </x:c>
    </x:row>
    <x:row r="350">
      <x:c r="A350" s="20" t="str">
        <x:v>ECI</x:v>
      </x:c>
      <x:c r="B350" s="65" t="n">
        <x:v>45929</x:v>
      </x:c>
      <x:c r="C350" s="20" t="str">
        <x:v>DeepSeek-V3.2-Exp</x:v>
      </x:c>
      <x:c r="D350" s="20" t="str">
        <x:v>deepseek_v3</x:v>
      </x:c>
      <x:c r="E350" s="68" t="n">
        <x:v>671</x:v>
      </x:c>
      <x:c r="F350" s="68" t="n">
        <x:v>230.85151214623136</x:v>
      </x:c>
      <x:c r="G350" s="29" t="n">
        <x:f>MAX(F350/E350,E350/F350)</x:f>
        <x:v>2.9066302999781066</x:v>
      </x:c>
      <x:c r="H350" s="29" t="n">
        <x:f>F350/E350</x:f>
        <x:v>0.3440410017082435</x:v>
      </x:c>
      <x:c r="I350" s="26" t="n">
        <x:v>69</x:v>
      </x:c>
      <x:c r="J350" s="26" t="n">
        <x:v>34</x:v>
      </x:c>
      <x:c r="K350" s="65" t="n">
        <x:v>45874</x:v>
      </x:c>
      <x:c r="L350" s="32" t="n">
        <x:v>1</x:v>
      </x:c>
      <x:c r="M350" s="26" t="n">
        <x:v>1</x:v>
      </x:c>
    </x:row>
    <x:row r="351">
      <x:c r="A351" s="20" t="str">
        <x:v>ECI</x:v>
      </x:c>
      <x:c r="B351" s="65" t="n">
        <x:v>45930</x:v>
      </x:c>
      <x:c r="C351" s="20" t="str">
        <x:v>GLM-4.6</x:v>
      </x:c>
      <x:c r="D351" s="20" t="str">
        <x:v>glm</x:v>
      </x:c>
      <x:c r="E351" s="68" t="n">
        <x:v>357</x:v>
      </x:c>
      <x:c r="F351" s="68" t="n">
        <x:v>193.73547986828515</x:v>
      </x:c>
      <x:c r="G351" s="29" t="n">
        <x:f>MAX(F351/E351,E351/F351)</x:f>
        <x:v>1.8427187433231818</x:v>
      </x:c>
      <x:c r="H351" s="29" t="n">
        <x:f>F351/E351</x:f>
        <x:v>0.5426764141968772</x:v>
      </x:c>
      <x:c r="I351" s="26" t="n">
        <x:v>74</x:v>
      </x:c>
      <x:c r="J351" s="26" t="n">
        <x:v>35</x:v>
      </x:c>
      <x:c r="K351" s="65" t="n">
        <x:v>45929</x:v>
      </x:c>
      <x:c r="L351" s="32" t="n">
        <x:v>0.9594594594594594</x:v>
      </x:c>
      <x:c r="M351" s="26" t="n">
        <x:v>1</x:v>
      </x:c>
    </x:row>
    <x:row r="352">
      <x:c r="A352" s="20" t="str">
        <x:v>ECI</x:v>
      </x:c>
      <x:c r="B352" s="65" t="n">
        <x:v>45967</x:v>
      </x:c>
      <x:c r="C352" s="20" t="str">
        <x:v>Kimi K2 Thinking</x:v>
      </x:c>
      <x:c r="D352" s="20" t="str">
        <x:v>kimi_k2</x:v>
      </x:c>
      <x:c r="E352" s="68" t="n">
        <x:v>1040</x:v>
      </x:c>
      <x:c r="F352" s="68" t="n">
        <x:v>254.66611966964734</x:v>
      </x:c>
      <x:c r="G352" s="29" t="n">
        <x:f>MAX(F352/E352,E352/F352)</x:f>
        <x:v>4.083778405031211</x:v>
      </x:c>
      <x:c r="H352" s="29" t="n">
        <x:f>F352/E352</x:f>
        <x:v>0.24487126891312244</x:v>
      </x:c>
      <x:c r="I352" s="26" t="n">
        <x:v>74</x:v>
      </x:c>
      <x:c r="J352" s="26" t="n">
        <x:v>35</x:v>
      </x:c>
      <x:c r="K352" s="65" t="n">
        <x:v>45930</x:v>
      </x:c>
      <x:c r="L352" s="32" t="n">
        <x:v>1</x:v>
      </x:c>
      <x:c r="M352" s="26" t="n">
        <x:v>1</x:v>
      </x:c>
    </x:row>
    <x:row r="353">
      <x:c r="A353" s="20" t="str">
        <x:v>ECI</x:v>
      </x:c>
      <x:c r="B353" s="65" t="n">
        <x:v>45992</x:v>
      </x:c>
      <x:c r="C353" s="20" t="str">
        <x:v>DeepSeek-V3.2</x:v>
      </x:c>
      <x:c r="D353" s="20" t="str">
        <x:v>deepseek_v3</x:v>
      </x:c>
      <x:c r="E353" s="68" t="n">
        <x:v>671</x:v>
      </x:c>
      <x:c r="F353" s="68" t="n">
        <x:v>280.47317968855265</x:v>
      </x:c>
      <x:c r="G353" s="29" t="n">
        <x:f>MAX(F353/E353,E353/F353)</x:f>
        <x:v>2.392385613287881</x:v>
      </x:c>
      <x:c r="H353" s="29" t="n">
        <x:f>F353/E353</x:f>
        <x:v>0.4179928162273512</x:v>
      </x:c>
      <x:c r="I353" s="26" t="n">
        <x:v>71</x:v>
      </x:c>
      <x:c r="J353" s="26" t="n">
        <x:v>35</x:v>
      </x:c>
      <x:c r="K353" s="65" t="n">
        <x:v>45967</x:v>
      </x:c>
      <x:c r="L353" s="32" t="n">
        <x:v>1</x:v>
      </x:c>
      <x:c r="M353" s="26" t="n">
        <x:v>1</x:v>
      </x:c>
    </x:row>
    <x:row r="354">
      <x:c r="A354" s="20" t="str">
        <x:v>ECI</x:v>
      </x:c>
      <x:c r="B354" s="65" t="n">
        <x:v>46013</x:v>
      </x:c>
      <x:c r="C354" s="20" t="str">
        <x:v>GLM-4.7</x:v>
      </x:c>
      <x:c r="D354" s="20" t="str">
        <x:v>glm</x:v>
      </x:c>
      <x:c r="E354" s="68" t="n">
        <x:v>358</x:v>
      </x:c>
      <x:c r="F354" s="68" t="n">
        <x:v>228.90288481069427</x:v>
      </x:c>
      <x:c r="G354" s="29" t="n">
        <x:f>MAX(F354/E354,E354/F354)</x:f>
        <x:v>1.5639820367317379</x:v>
      </x:c>
      <x:c r="H354" s="29" t="n">
        <x:f>F354/E354</x:f>
        <x:v>0.6393935329907662</x:v>
      </x:c>
      <x:c r="I354" s="26" t="n">
        <x:v>76</x:v>
      </x:c>
      <x:c r="J354" s="26" t="n">
        <x:v>35</x:v>
      </x:c>
      <x:c r="K354" s="65" t="n">
        <x:v>45992</x:v>
      </x:c>
      <x:c r="L354" s="32" t="n">
        <x:v>0.948051948051948</x:v>
      </x:c>
      <x:c r="M354" s="26" t="n">
        <x:v>1</x:v>
      </x:c>
    </x:row>
    <x:row r="355">
      <x:c r="A355" s="20" t="str">
        <x:v>ECI</x:v>
      </x:c>
      <x:c r="B355" s="65" t="n">
        <x:v>46049</x:v>
      </x:c>
      <x:c r="C355" s="20" t="str">
        <x:v>Kimi K2.5</x:v>
      </x:c>
      <x:c r="D355" s="20" t="str">
        <x:v>kimi_k2</x:v>
      </x:c>
      <x:c r="E355" s="68" t="n">
        <x:v>1040</x:v>
      </x:c>
      <x:c r="F355" s="68" t="n">
        <x:v>285.9161009484352</x:v>
      </x:c>
      <x:c r="G355" s="29" t="n">
        <x:f>MAX(F355/E355,E355/F355)</x:f>
        <x:v>3.6374306887584598</x:v>
      </x:c>
      <x:c r="H355" s="29" t="n">
        <x:f>F355/E355</x:f>
        <x:v>0.27491932783503387</x:v>
      </x:c>
      <x:c r="I355" s="26" t="n">
        <x:v>76</x:v>
      </x:c>
      <x:c r="J355" s="26" t="n">
        <x:v>35</x:v>
      </x:c>
      <x:c r="K355" s="65" t="n">
        <x:v>46013</x:v>
      </x:c>
      <x:c r="L355" s="32" t="n">
        <x:v>1</x:v>
      </x:c>
      <x:c r="M355" s="26" t="n">
        <x:v>1</x:v>
      </x:c>
    </x:row>
    <x:row r="356">
      <x:c r="A356" s="20" t="str">
        <x:v>ECI</x:v>
      </x:c>
      <x:c r="B356" s="65" t="n">
        <x:v>46064</x:v>
      </x:c>
      <x:c r="C356" s="20" t="str">
        <x:v>GLM-5</x:v>
      </x:c>
      <x:c r="D356" s="20" t="str">
        <x:v>glm</x:v>
      </x:c>
      <x:c r="E356" s="68" t="n">
        <x:v>744</x:v>
      </x:c>
      <x:c r="F356" s="68" t="n">
        <x:v>276.058985508656</x:v>
      </x:c>
      <x:c r="G356" s="29" t="n">
        <x:f>MAX(F356/E356,E356/F356)</x:f>
        <x:v>2.6950761940573438</x:v>
      </x:c>
      <x:c r="H356" s="29" t="n">
        <x:f>F356/E356</x:f>
        <x:v>0.3710470235331398</x:v>
      </x:c>
      <x:c r="I356" s="26" t="n">
        <x:v>77</x:v>
      </x:c>
      <x:c r="J356" s="26" t="n">
        <x:v>35</x:v>
      </x:c>
      <x:c r="K356" s="65" t="n">
        <x:v>46049</x:v>
      </x:c>
      <x:c r="L356" s="32" t="n">
        <x:v>0.9746835443037974</x:v>
      </x:c>
      <x:c r="M356" s="26" t="n">
        <x:v>1</x:v>
      </x:c>
    </x:row>
    <x:row r="357">
      <x:c r="A357" s="20" t="str">
        <x:v>ECI</x:v>
      </x:c>
      <x:c r="B357" s="65" t="n">
        <x:v>46065</x:v>
      </x:c>
      <x:c r="C357" s="20" t="str">
        <x:v>MiniMax-M2.5</x:v>
      </x:c>
      <x:c r="D357" s="20" t="str">
        <x:v>minimax_m2</x:v>
      </x:c>
      <x:c r="E357" s="68" t="n">
        <x:v>228.703644928</x:v>
      </x:c>
      <x:c r="F357" s="68" t="n">
        <x:v>324.7015602936516</x:v>
      </x:c>
      <x:c r="G357" s="29" t="n">
        <x:f>MAX(F357/E357,E357/F357)</x:f>
        <x:v>1.419748077893002</x:v>
      </x:c>
      <x:c r="H357" s="29" t="n">
        <x:f>F357/E357</x:f>
        <x:v>1.419748077893002</x:v>
      </x:c>
      <x:c r="I357" s="26" t="n">
        <x:v>80</x:v>
      </x:c>
      <x:c r="J357" s="26" t="n">
        <x:v>36</x:v>
      </x:c>
      <x:c r="K357" s="65" t="n">
        <x:v>46064</x:v>
      </x:c>
      <x:c r="L357" s="32" t="n">
        <x:v>0.9875</x:v>
      </x:c>
      <x:c r="M357" s="26" t="n">
        <x:v>1</x:v>
      </x:c>
    </x:row>
    <x:row r="358">
      <x:c r="A358" s="20" t="str">
        <x:v>ECI</x:v>
      </x:c>
      <x:c r="B358" s="65" t="n">
        <x:v>46099</x:v>
      </x:c>
      <x:c r="C358" s="20" t="str">
        <x:v>MiniMax-M2.7</x:v>
      </x:c>
      <x:c r="D358" s="20" t="str">
        <x:v>minimax_m2</x:v>
      </x:c>
      <x:c r="E358" s="68" t="n">
        <x:v>228.703644928</x:v>
      </x:c>
      <x:c r="F358" s="68" t="n">
        <x:v>282.66592229645016</x:v>
      </x:c>
      <x:c r="G358" s="29" t="n">
        <x:f>MAX(F358/E358,E358/F358)</x:f>
        <x:v>1.2359484799004339</x:v>
      </x:c>
      <x:c r="H358" s="29" t="n">
        <x:f>F358/E358</x:f>
        <x:v>1.2359484799004339</x:v>
      </x:c>
      <x:c r="I358" s="26" t="n">
        <x:v>80</x:v>
      </x:c>
      <x:c r="J358" s="26" t="n">
        <x:v>36</x:v>
      </x:c>
      <x:c r="K358" s="65" t="n">
        <x:v>46064</x:v>
      </x:c>
      <x:c r="L358" s="32" t="n">
        <x:v>0.9382716049382716</x:v>
      </x:c>
      <x:c r="M358" s="26" t="n">
        <x:v>1</x:v>
      </x:c>
    </x:row>
    <x:row r="359">
      <x:c r="A359" s="20" t="str">
        <x:v>ECI</x:v>
      </x:c>
      <x:c r="B359" s="65" t="n">
        <x:v>46114</x:v>
      </x:c>
      <x:c r="C359" s="20" t="str">
        <x:v>Gemma 4 31B IT</x:v>
      </x:c>
      <x:c r="D359" s="20" t="str">
        <x:v>gemma4</x:v>
      </x:c>
      <x:c r="E359" s="68" t="n">
        <x:v>31</x:v>
      </x:c>
      <x:c r="F359" s="68" t="n">
        <x:v>194.90410896463632</x:v>
      </x:c>
      <x:c r="G359" s="29" t="n">
        <x:f>MAX(F359/E359,E359/F359)</x:f>
        <x:v>6.287229321439882</x:v>
      </x:c>
      <x:c r="H359" s="29" t="n">
        <x:f>F359/E359</x:f>
        <x:v>6.287229321439882</x:v>
      </x:c>
      <x:c r="I359" s="26" t="n">
        <x:v>81</x:v>
      </x:c>
      <x:c r="J359" s="26" t="n">
        <x:v>37</x:v>
      </x:c>
      <x:c r="K359" s="65" t="n">
        <x:v>46065</x:v>
      </x:c>
      <x:c r="L359" s="32" t="n">
        <x:v>0.8888888888888888</x:v>
      </x:c>
      <x:c r="M359" s="26" t="n">
        <x:v>1</x:v>
      </x:c>
    </x:row>
    <x:row r="360">
      <x:c r="A360" s="20" t="str">
        <x:v>ECI</x:v>
      </x:c>
      <x:c r="B360" s="65" t="n">
        <x:v>46126</x:v>
      </x:c>
      <x:c r="C360" s="20" t="str">
        <x:v>Qwen 3.6 35B-A3B</x:v>
      </x:c>
      <x:c r="D360" s="20" t="str">
        <x:v>qwen36</x:v>
      </x:c>
      <x:c r="E360" s="68" t="n">
        <x:v>36</x:v>
      </x:c>
      <x:c r="F360" s="68" t="n">
        <x:v>195.00904973822696</x:v>
      </x:c>
      <x:c r="G360" s="29" t="n">
        <x:f>MAX(F360/E360,E360/F360)</x:f>
        <x:v>5.416918048284082</x:v>
      </x:c>
      <x:c r="H360" s="29" t="n">
        <x:f>F360/E360</x:f>
        <x:v>5.416918048284082</x:v>
      </x:c>
      <x:c r="I360" s="26" t="n">
        <x:v>83</x:v>
      </x:c>
      <x:c r="J360" s="26" t="n">
        <x:v>38</x:v>
      </x:c>
      <x:c r="K360" s="65" t="n">
        <x:v>46121</x:v>
      </x:c>
      <x:c r="L360" s="32" t="n">
        <x:v>0.891566265060241</x:v>
      </x:c>
      <x:c r="M360" s="26" t="n">
        <x:v>1</x:v>
      </x:c>
    </x:row>
    <x:row r="361">
      <x:c r="A361" s="20" t="str">
        <x:v>ECI</x:v>
      </x:c>
      <x:c r="B361" s="65" t="n">
        <x:v>46132</x:v>
      </x:c>
      <x:c r="C361" s="20" t="str">
        <x:v>Kimi K2.6</x:v>
      </x:c>
      <x:c r="D361" s="20" t="str">
        <x:v>kimi_k2</x:v>
      </x:c>
      <x:c r="E361" s="68" t="n">
        <x:v>1040</x:v>
      </x:c>
      <x:c r="F361" s="68" t="n">
        <x:v>251.29296888996464</x:v>
      </x:c>
      <x:c r="G361" s="29" t="n">
        <x:f>MAX(F361/E361,E361/F361)</x:f>
        <x:v>4.138595698057083</x:v>
      </x:c>
      <x:c r="H361" s="29" t="n">
        <x:f>F361/E361</x:f>
        <x:v>0.24162785470188908</x:v>
      </x:c>
      <x:c r="I361" s="26" t="n">
        <x:v>81</x:v>
      </x:c>
      <x:c r="J361" s="26" t="n">
        <x:v>38</x:v>
      </x:c>
      <x:c r="K361" s="65" t="n">
        <x:v>46126</x:v>
      </x:c>
      <x:c r="L361" s="32" t="n">
        <x:v>1</x:v>
      </x:c>
      <x:c r="M361" s="26" t="n">
        <x:v>1</x:v>
      </x:c>
    </x:row>
    <x:row r="362">
      <x:c r="A362" s="20" t="str">
        <x:v>ECI</x:v>
      </x:c>
      <x:c r="B362" s="65" t="n">
        <x:v>46136</x:v>
      </x:c>
      <x:c r="C362" s="20" t="str">
        <x:v>DeepSeek-V4-Pro</x:v>
      </x:c>
      <x:c r="D362" s="20" t="str">
        <x:v>deepseek_v4</x:v>
      </x:c>
      <x:c r="E362" s="68" t="n">
        <x:v>1600</x:v>
      </x:c>
      <x:c r="F362" s="68" t="n">
        <x:v>249.3091835731768</x:v>
      </x:c>
      <x:c r="G362" s="29" t="n">
        <x:f>MAX(F362/E362,E362/F362)</x:f>
        <x:v>6.417733904015496</x:v>
      </x:c>
      <x:c r="H362" s="29" t="n">
        <x:f>F362/E362</x:f>
        <x:v>0.1558182397332355</x:v>
      </x:c>
      <x:c r="I362" s="26" t="n">
        <x:v>85</x:v>
      </x:c>
      <x:c r="J362" s="26" t="n">
        <x:v>39</x:v>
      </x:c>
      <x:c r="K362" s="65" t="n">
        <x:v>46132</x:v>
      </x:c>
      <x:c r="L362" s="32" t="n">
        <x:v>0.9882352941176471</x:v>
      </x:c>
      <x:c r="M362" s="26" t="n">
        <x:v>1</x:v>
      </x:c>
    </x:row>
    <x:row r="363">
      <x:c r="A363" s="20" t="str">
        <x:v>ECI</x:v>
      </x:c>
      <x:c r="B363" s="65" t="n">
        <x:v>46185</x:v>
      </x:c>
      <x:c r="C363" s="20" t="str">
        <x:v>Kimi K2.7 Code</x:v>
      </x:c>
      <x:c r="D363" s="20" t="str">
        <x:v>kimi_k2</x:v>
      </x:c>
      <x:c r="E363" s="68" t="n">
        <x:v>1040</x:v>
      </x:c>
      <x:c r="F363" s="68" t="n">
        <x:v>281.13889169146915</x:v>
      </x:c>
      <x:c r="G363" s="29" t="n">
        <x:f>MAX(F363/E363,E363/F363)</x:f>
        <x:v>3.6992391687356063</x:v>
      </x:c>
      <x:c r="H363" s="29" t="n">
        <x:f>F363/E363</x:f>
        <x:v>0.2703258573956434</x:v>
      </x:c>
      <x:c r="I363" s="26" t="n">
        <x:v>82</x:v>
      </x:c>
      <x:c r="J363" s="26" t="n">
        <x:v>39</x:v>
      </x:c>
      <x:c r="K363" s="65" t="n">
        <x:v>46136</x:v>
      </x:c>
      <x:c r="L363" s="32" t="n">
        <x:v>0.9883720930232558</x:v>
      </x:c>
      <x:c r="M363" s="26" t="n">
        <x:v>1</x:v>
      </x:c>
    </x:row>
    <x:row r="364">
      <x:c r="A364" s="20" t="str">
        <x:v>ECI</x:v>
      </x:c>
      <x:c r="B364" s="65" t="n">
        <x:v>46189</x:v>
      </x:c>
      <x:c r="C364" s="20" t="str">
        <x:v>GLM-5.2</x:v>
      </x:c>
      <x:c r="D364" s="20" t="str">
        <x:v>glm</x:v>
      </x:c>
      <x:c r="E364" s="68" t="n">
        <x:v>744</x:v>
      </x:c>
      <x:c r="F364" s="68" t="n">
        <x:v>345.78239060979575</x:v>
      </x:c>
      <x:c r="G364" s="29" t="n">
        <x:f>MAX(F364/E364,E364/F364)</x:f>
        <x:v>2.1516422472756283</x:v>
      </x:c>
      <x:c r="H364" s="29" t="n">
        <x:f>F364/E364</x:f>
        <x:v>0.4647612777013384</x:v>
      </x:c>
      <x:c r="I364" s="26" t="n">
        <x:v>84</x:v>
      </x:c>
      <x:c r="J364" s="26" t="n">
        <x:v>39</x:v>
      </x:c>
      <x:c r="K364" s="65" t="n">
        <x:v>46185</x:v>
      </x:c>
      <x:c r="L364" s="32" t="n">
        <x:v>1</x:v>
      </x:c>
      <x:c r="M364" s="26" t="n">
        <x:v>1</x:v>
      </x:c>
    </x:row>
    <x:row r="365">
      <x:c r="A365" s="20" t="str">
        <x:v>ECI</x:v>
      </x:c>
      <x:c r="B365" s="65" t="n">
        <x:v>46219</x:v>
      </x:c>
      <x:c r="C365" s="20" t="str">
        <x:v>Kimi K3</x:v>
      </x:c>
      <x:c r="D365" s="20" t="str">
        <x:v>kimi_k2</x:v>
      </x:c>
      <x:c r="E365" s="68" t="n">
        <x:v>2780</x:v>
      </x:c>
      <x:c r="F365" s="68" t="n">
        <x:v>449.8232348227174</x:v>
      </x:c>
      <x:c r="G365" s="29" t="n">
        <x:f>MAX(F365/E365,E365/F365)</x:f>
        <x:v>6.180205433575797</x:v>
      </x:c>
      <x:c r="H365" s="29" t="n">
        <x:f>F365/E365</x:f>
        <x:v>0.16180691900097746</x:v>
      </x:c>
      <x:c r="I365" s="26" t="n">
        <x:v>83</x:v>
      </x:c>
      <x:c r="J365" s="26" t="n">
        <x:v>39</x:v>
      </x:c>
      <x:c r="K365" s="65" t="n">
        <x:v>46189</x:v>
      </x:c>
      <x:c r="L365" s="32" t="n">
        <x:v>1</x:v>
      </x:c>
      <x:c r="M365" s="26" t="n">
        <x:v>1</x:v>
      </x:c>
    </x:row>
    <x:row r="366">
      <x:c r="A366" s="20" t="str">
        <x:v>No-CoT</x:v>
      </x:c>
      <x:c r="B366" s="65" t="n">
        <x:v>45776</x:v>
      </x:c>
      <x:c r="C366" s="20" t="str">
        <x:v>Qwen3-14B</x:v>
      </x:c>
      <x:c r="D366" s="20" t="str">
        <x:v>qwen</x:v>
      </x:c>
      <x:c r="E366" s="68" t="n">
        <x:v>14</x:v>
      </x:c>
      <x:c r="F366" s="68" t="n">
        <x:v>7.794662882145416</x:v>
      </x:c>
      <x:c r="G366" s="29" t="n">
        <x:f>MAX(F366/E366,E366/F366)</x:f>
        <x:v>1.796100769421168</x:v>
      </x:c>
      <x:c r="H366" s="29" t="n">
        <x:f>F366/E366</x:f>
        <x:v>0.5567616344389583</x:v>
      </x:c>
      <x:c r="I366" s="26" t="n">
        <x:v>13</x:v>
      </x:c>
      <x:c r="J366" s="26" t="n">
        <x:v>4</x:v>
      </x:c>
      <x:c r="K366" s="65" t="n">
        <x:v>45752</x:v>
      </x:c>
      <x:c r="L366" s="32" t="n">
        <x:v>0.5384615384615384</x:v>
      </x:c>
      <x:c r="M366" s="26" t="n">
        <x:v>1</x:v>
      </x:c>
    </x:row>
    <x:row r="367">
      <x:c r="A367" s="20" t="str">
        <x:v>No-CoT</x:v>
      </x:c>
      <x:c r="B367" s="65" t="n">
        <x:v>45776</x:v>
      </x:c>
      <x:c r="C367" s="20" t="str">
        <x:v>Qwen3-32B</x:v>
      </x:c>
      <x:c r="D367" s="20" t="str">
        <x:v>qwen</x:v>
      </x:c>
      <x:c r="E367" s="68" t="n">
        <x:v>32</x:v>
      </x:c>
      <x:c r="F367" s="68" t="n">
        <x:v>11.612801130062621</x:v>
      </x:c>
      <x:c r="G367" s="29" t="n">
        <x:f>MAX(F367/E367,E367/F367)</x:f>
        <x:v>2.7555797814499767</x:v>
      </x:c>
      <x:c r="H367" s="29" t="n">
        <x:f>F367/E367</x:f>
        <x:v>0.3629000353144569</x:v>
      </x:c>
      <x:c r="I367" s="26" t="n">
        <x:v>13</x:v>
      </x:c>
      <x:c r="J367" s="26" t="n">
        <x:v>4</x:v>
      </x:c>
      <x:c r="K367" s="65" t="n">
        <x:v>45752</x:v>
      </x:c>
      <x:c r="L367" s="32" t="n">
        <x:v>0.6153846153846154</x:v>
      </x:c>
      <x:c r="M367" s="26" t="n">
        <x:v>1</x:v>
      </x:c>
    </x:row>
    <x:row r="368">
      <x:c r="A368" s="20" t="str">
        <x:v>No-CoT</x:v>
      </x:c>
      <x:c r="B368" s="65" t="n">
        <x:v>45776</x:v>
      </x:c>
      <x:c r="C368" s="20" t="str">
        <x:v>Qwen3-8B</x:v>
      </x:c>
      <x:c r="D368" s="20" t="str">
        <x:v>qwen</x:v>
      </x:c>
      <x:c r="E368" s="68" t="n">
        <x:v>8</x:v>
      </x:c>
      <x:c r="F368" s="68" t="n">
        <x:v>6.6684222229415235</x:v>
      </x:c>
      <x:c r="G368" s="29" t="n">
        <x:f>MAX(F368/E368,E368/F368)</x:f>
        <x:v>1.1996840830620201</x:v>
      </x:c>
      <x:c r="H368" s="29" t="n">
        <x:f>F368/E368</x:f>
        <x:v>0.8335527778676904</x:v>
      </x:c>
      <x:c r="I368" s="26" t="n">
        <x:v>13</x:v>
      </x:c>
      <x:c r="J368" s="26" t="n">
        <x:v>4</x:v>
      </x:c>
      <x:c r="K368" s="65" t="n">
        <x:v>45752</x:v>
      </x:c>
      <x:c r="L368" s="32" t="n">
        <x:v>0.5384615384615384</x:v>
      </x:c>
      <x:c r="M368" s="26" t="n">
        <x:v>1</x:v>
      </x:c>
    </x:row>
    <x:row r="369">
      <x:c r="A369" s="20" t="str">
        <x:v>No-CoT</x:v>
      </x:c>
      <x:c r="B369" s="65" t="n">
        <x:v>45863</x:v>
      </x:c>
      <x:c r="C369" s="20" t="str">
        <x:v>Qwen3-235B-A22B-Instruct (Jul 2025)</x:v>
      </x:c>
      <x:c r="D369" s="20" t="str">
        <x:v>qwen</x:v>
      </x:c>
      <x:c r="E369" s="68" t="n">
        <x:v>235</x:v>
      </x:c>
      <x:c r="F369" s="68" t="n">
        <x:v>679.4681423883175</x:v>
      </x:c>
      <x:c r="G369" s="29" t="n">
        <x:f>MAX(F369/E369,E369/F369)</x:f>
        <x:v>2.8913537973970955</x:v>
      </x:c>
      <x:c r="H369" s="29" t="n">
        <x:f>F369/E369</x:f>
        <x:v>2.8913537973970955</x:v>
      </x:c>
      <x:c r="I369" s="26" t="n">
        <x:v>13</x:v>
      </x:c>
      <x:c r="J369" s="26" t="n">
        <x:v>4</x:v>
      </x:c>
      <x:c r="K369" s="65" t="n">
        <x:v>45752</x:v>
      </x:c>
      <x:c r="L369" s="32" t="n">
        <x:v>1</x:v>
      </x:c>
      <x:c r="M369" s="26" t="n">
        <x:v>1</x:v>
      </x:c>
    </x:row>
    <x:row r="370">
      <x:c r="A370" s="20" t="str">
        <x:v>No-CoT</x:v>
      </x:c>
      <x:c r="B370" s="65" t="n">
        <x:v>45866</x:v>
      </x:c>
      <x:c r="C370" s="20" t="str">
        <x:v>Qwen 3 30B-A3B (2507)</x:v>
      </x:c>
      <x:c r="D370" s="20" t="str">
        <x:v>qwen</x:v>
      </x:c>
      <x:c r="E370" s="68" t="n">
        <x:v>30</x:v>
      </x:c>
      <x:c r="F370" s="68" t="n">
        <x:v>185.91051622976957</x:v>
      </x:c>
      <x:c r="G370" s="29" t="n">
        <x:f>MAX(F370/E370,E370/F370)</x:f>
        <x:v>6.197017207658986</x:v>
      </x:c>
      <x:c r="H370" s="29" t="n">
        <x:f>F370/E370</x:f>
        <x:v>6.197017207658986</x:v>
      </x:c>
      <x:c r="I370" s="26" t="n">
        <x:v>13</x:v>
      </x:c>
      <x:c r="J370" s="26" t="n">
        <x:v>4</x:v>
      </x:c>
      <x:c r="K370" s="65" t="n">
        <x:v>45752</x:v>
      </x:c>
      <x:c r="L370" s="32" t="n">
        <x:v>0.6470588235294118</x:v>
      </x:c>
      <x:c r="M370" s="26" t="n">
        <x:v>1</x:v>
      </x:c>
    </x:row>
    <x:row r="371">
      <x:c r="A371" s="20" t="str">
        <x:v>No-CoT</x:v>
      </x:c>
      <x:c r="B371" s="65" t="n">
        <x:v>45905</x:v>
      </x:c>
      <x:c r="C371" s="20" t="str">
        <x:v>Kimi K2-0905</x:v>
      </x:c>
      <x:c r="D371" s="20" t="str">
        <x:v>kimi</x:v>
      </x:c>
      <x:c r="E371" s="68" t="n">
        <x:v>1040</x:v>
      </x:c>
      <x:c r="F371" s="68" t="n">
        <x:v>261.2336085426939</x:v>
      </x:c>
      <x:c r="G371" s="29" t="n">
        <x:f>MAX(F371/E371,E371/F371)</x:f>
        <x:v>3.981111028560595</x:v>
      </x:c>
      <x:c r="H371" s="29" t="n">
        <x:f>F371/E371</x:f>
        <x:v>0.2511861620602826</x:v>
      </x:c>
      <x:c r="I371" s="26" t="n">
        <x:v>18</x:v>
      </x:c>
      <x:c r="J371" s="26" t="n">
        <x:v>5</x:v>
      </x:c>
      <x:c r="K371" s="65" t="n">
        <x:v>45866</x:v>
      </x:c>
      <x:c r="L371" s="32" t="n">
        <x:v>0.8888888888888888</x:v>
      </x:c>
      <x:c r="M371" s="26" t="n">
        <x:v>1</x:v>
      </x:c>
    </x:row>
    <x:row r="372">
      <x:c r="A372" s="20" t="str">
        <x:v>No-CoT</x:v>
      </x:c>
      <x:c r="B372" s="65" t="n">
        <x:v>45910</x:v>
      </x:c>
      <x:c r="C372" s="20" t="str">
        <x:v>Qwen3-Next-80B-A3B</x:v>
      </x:c>
      <x:c r="D372" s="20" t="str">
        <x:v>qwen</x:v>
      </x:c>
      <x:c r="E372" s="68" t="n">
        <x:v>80</x:v>
      </x:c>
      <x:c r="F372" s="68" t="n">
        <x:v>667.667021952402</x:v>
      </x:c>
      <x:c r="G372" s="29" t="n">
        <x:f>MAX(F372/E372,E372/F372)</x:f>
        <x:v>8.345837774405025</x:v>
      </x:c>
      <x:c r="H372" s="29" t="n">
        <x:f>F372/E372</x:f>
        <x:v>8.345837774405025</x:v>
      </x:c>
      <x:c r="I372" s="26" t="n">
        <x:v>14</x:v>
      </x:c>
      <x:c r="J372" s="26" t="n">
        <x:v>5</x:v>
      </x:c>
      <x:c r="K372" s="65" t="n">
        <x:v>45905</x:v>
      </x:c>
      <x:c r="L372" s="32" t="n">
        <x:v>0.8421052631578947</x:v>
      </x:c>
      <x:c r="M372" s="26" t="n">
        <x:v>1</x:v>
      </x:c>
    </x:row>
    <x:row r="373">
      <x:c r="A373" s="20" t="str">
        <x:v>No-CoT</x:v>
      </x:c>
      <x:c r="B373" s="65" t="n">
        <x:v>45922</x:v>
      </x:c>
      <x:c r="C373" s="20" t="str">
        <x:v>DeepSeek-V3.1-Terminus</x:v>
      </x:c>
      <x:c r="D373" s="20" t="str">
        <x:v>deepseek</x:v>
      </x:c>
      <x:c r="E373" s="68" t="n">
        <x:v>671</x:v>
      </x:c>
      <x:c r="F373" s="68" t="n">
        <x:v>721.190942980271</x:v>
      </x:c>
      <x:c r="G373" s="29" t="n">
        <x:f>MAX(F373/E373,E373/F373)</x:f>
        <x:v>1.0748002130853516</x:v>
      </x:c>
      <x:c r="H373" s="29" t="n">
        <x:f>F373/E373</x:f>
        <x:v>1.0748002130853516</x:v>
      </x:c>
      <x:c r="I373" s="26" t="n">
        <x:v>19</x:v>
      </x:c>
      <x:c r="J373" s="26" t="n">
        <x:v>5</x:v>
      </x:c>
      <x:c r="K373" s="65" t="n">
        <x:v>45910</x:v>
      </x:c>
      <x:c r="L373" s="32" t="n">
        <x:v>0.95</x:v>
      </x:c>
      <x:c r="M373" s="26" t="n">
        <x:v>1</x:v>
      </x:c>
    </x:row>
    <x:row r="374">
      <x:c r="A374" s="20" t="str">
        <x:v>No-CoT</x:v>
      </x:c>
      <x:c r="B374" s="65" t="n">
        <x:v>45992</x:v>
      </x:c>
      <x:c r="C374" s="20" t="str">
        <x:v>DeepSeek-V3.2</x:v>
      </x:c>
      <x:c r="D374" s="20" t="str">
        <x:v>deepseek</x:v>
      </x:c>
      <x:c r="E374" s="68" t="n">
        <x:v>671</x:v>
      </x:c>
      <x:c r="F374" s="68" t="n">
        <x:v>330.9926219429083</x:v>
      </x:c>
      <x:c r="G374" s="29" t="n">
        <x:f>MAX(F374/E374,E374/F374)</x:f>
        <x:v>2.027235519816929</x:v>
      </x:c>
      <x:c r="H374" s="29" t="n">
        <x:f>F374/E374</x:f>
        <x:v>0.4932825960401018</x:v>
      </x:c>
      <x:c r="I374" s="26" t="n">
        <x:v>19</x:v>
      </x:c>
      <x:c r="J374" s="26" t="n">
        <x:v>5</x:v>
      </x:c>
      <x:c r="K374" s="65" t="n">
        <x:v>45910</x:v>
      </x:c>
      <x:c r="L374" s="32" t="n">
        <x:v>0.7619047619047619</x:v>
      </x:c>
      <x:c r="M374" s="26" t="n">
        <x:v>1</x:v>
      </x:c>
    </x:row>
    <x:row r="375">
      <x:c r="A375" s="20" t="str">
        <x:v>No-CoT</x:v>
      </x:c>
      <x:c r="B375" s="65" t="n">
        <x:v>45993</x:v>
      </x:c>
      <x:c r="C375" s="20" t="str">
        <x:v>Ministral 3 14B</x:v>
      </x:c>
      <x:c r="D375" s="20" t="str">
        <x:v>mistral</x:v>
      </x:c>
      <x:c r="E375" s="68" t="n">
        <x:v>14</x:v>
      </x:c>
      <x:c r="F375" s="68" t="n">
        <x:v>12.8397484131029</x:v>
      </x:c>
      <x:c r="G375" s="29" t="n">
        <x:f>MAX(F375/E375,E375/F375)</x:f>
        <x:v>1.090364043715457</x:v>
      </x:c>
      <x:c r="H375" s="29" t="n">
        <x:f>F375/E375</x:f>
        <x:v>0.9171248866502071</x:v>
      </x:c>
      <x:c r="I375" s="26" t="n">
        <x:v>21</x:v>
      </x:c>
      <x:c r="J375" s="26" t="n">
        <x:v>5</x:v>
      </x:c>
      <x:c r="K375" s="65" t="n">
        <x:v>45992</x:v>
      </x:c>
      <x:c r="L375" s="32" t="n">
        <x:v>0.5</x:v>
      </x:c>
      <x:c r="M375" s="26" t="n">
        <x:v>1</x:v>
      </x:c>
    </x:row>
    <x:row r="376">
      <x:c r="A376" s="20" t="str">
        <x:v>No-CoT</x:v>
      </x:c>
      <x:c r="B376" s="65" t="n">
        <x:v>45993</x:v>
      </x:c>
      <x:c r="C376" s="20" t="str">
        <x:v>Ministral 3 3B</x:v>
      </x:c>
      <x:c r="D376" s="20" t="str">
        <x:v>mistral</x:v>
      </x:c>
      <x:c r="E376" s="68" t="n">
        <x:v>3</x:v>
      </x:c>
      <x:c r="F376" s="68" t="n">
        <x:v>1.7258205388157688</x:v>
      </x:c>
      <x:c r="G376" s="29" t="n">
        <x:f>MAX(F376/E376,E376/F376)</x:f>
        <x:v>1.7383035677965413</x:v>
      </x:c>
      <x:c r="H376" s="29" t="n">
        <x:f>F376/E376</x:f>
        <x:v>0.5752735129385896</x:v>
      </x:c>
      <x:c r="I376" s="26" t="n">
        <x:v>21</x:v>
      </x:c>
      <x:c r="J376" s="26" t="n">
        <x:v>5</x:v>
      </x:c>
      <x:c r="K376" s="65" t="n">
        <x:v>45992</x:v>
      </x:c>
      <x:c r="L376" s="32" t="n">
        <x:v>0.045454545454545456</x:v>
      </x:c>
      <x:c r="M376" s="26" t="n">
        <x:v>1</x:v>
      </x:c>
    </x:row>
    <x:row r="377">
      <x:c r="A377" s="20" t="str">
        <x:v>No-CoT</x:v>
      </x:c>
      <x:c r="B377" s="65" t="n">
        <x:v>45993</x:v>
      </x:c>
      <x:c r="C377" s="20" t="str">
        <x:v>Ministral 3 8B</x:v>
      </x:c>
      <x:c r="D377" s="20" t="str">
        <x:v>mistral</x:v>
      </x:c>
      <x:c r="E377" s="68" t="n">
        <x:v>8</x:v>
      </x:c>
      <x:c r="F377" s="68" t="n">
        <x:v>8.656257383298437</x:v>
      </x:c>
      <x:c r="G377" s="29" t="n">
        <x:f>MAX(F377/E377,E377/F377)</x:f>
        <x:v>1.0820321729123046</x:v>
      </x:c>
      <x:c r="H377" s="29" t="n">
        <x:f>F377/E377</x:f>
        <x:v>1.0820321729123046</x:v>
      </x:c>
      <x:c r="I377" s="26" t="n">
        <x:v>21</x:v>
      </x:c>
      <x:c r="J377" s="26" t="n">
        <x:v>5</x:v>
      </x:c>
      <x:c r="K377" s="65" t="n">
        <x:v>45992</x:v>
      </x:c>
      <x:c r="L377" s="32" t="n">
        <x:v>0.4090909090909091</x:v>
      </x:c>
      <x:c r="M377" s="26" t="n">
        <x:v>1</x:v>
      </x:c>
    </x:row>
    <x:row r="378">
      <x:c r="A378" s="20" t="str">
        <x:v>No-CoT</x:v>
      </x:c>
      <x:c r="B378" s="65" t="n">
        <x:v>46049</x:v>
      </x:c>
      <x:c r="C378" s="20" t="str">
        <x:v>Kimi K2.5</x:v>
      </x:c>
      <x:c r="D378" s="20" t="str">
        <x:v>kimi</x:v>
      </x:c>
      <x:c r="E378" s="68" t="n">
        <x:v>1040</x:v>
      </x:c>
      <x:c r="F378" s="68" t="n">
        <x:v>501.1450011797937</x:v>
      </x:c>
      <x:c r="G378" s="29" t="n">
        <x:f>MAX(F378/E378,E378/F378)</x:f>
        <x:v>2.075247677920833</x:v>
      </x:c>
      <x:c r="H378" s="29" t="n">
        <x:f>F378/E378</x:f>
        <x:v>0.48187019344210935</x:v>
      </x:c>
      <x:c r="I378" s="26" t="n">
        <x:v>24</x:v>
      </x:c>
      <x:c r="J378" s="26" t="n">
        <x:v>5</x:v>
      </x:c>
      <x:c r="K378" s="65" t="n">
        <x:v>45993</x:v>
      </x:c>
      <x:c r="L378" s="32" t="n">
        <x:v>1</x:v>
      </x:c>
      <x:c r="M378" s="26" t="n">
        <x:v>1</x:v>
      </x:c>
    </x:row>
    <x:row r="379">
      <x:c r="A379" s="20" t="str">
        <x:v>No-CoT</x:v>
      </x:c>
      <x:c r="B379" s="65" t="n">
        <x:v>46069</x:v>
      </x:c>
      <x:c r="C379" s="20" t="str">
        <x:v>Qwen 3.5 Plus (hosted 397B-A17B)</x:v>
      </x:c>
      <x:c r="D379" s="20" t="str">
        <x:v>qwen</x:v>
      </x:c>
      <x:c r="E379" s="68" t="n">
        <x:v>397</x:v>
      </x:c>
      <x:c r="F379" s="68" t="n">
        <x:v>974.3978012677736</x:v>
      </x:c>
      <x:c r="G379" s="29" t="n">
        <x:f>MAX(F379/E379,E379/F379)</x:f>
        <x:v>2.454402522085072</x:v>
      </x:c>
      <x:c r="H379" s="29" t="n">
        <x:f>F379/E379</x:f>
        <x:v>2.454402522085072</x:v>
      </x:c>
      <x:c r="I379" s="26" t="n">
        <x:v>20</x:v>
      </x:c>
      <x:c r="J379" s="26" t="n">
        <x:v>5</x:v>
      </x:c>
      <x:c r="K379" s="65" t="n">
        <x:v>46049</x:v>
      </x:c>
      <x:c r="L379" s="32" t="n">
        <x:v>0.9615384615384616</x:v>
      </x:c>
      <x:c r="M379" s="26" t="n">
        <x:v>1</x:v>
      </x:c>
    </x:row>
    <x:row r="380">
      <x:c r="A380" s="20" t="str">
        <x:v>No-CoT</x:v>
      </x:c>
      <x:c r="B380" s="65" t="n">
        <x:v>46077</x:v>
      </x:c>
      <x:c r="C380" s="20" t="str">
        <x:v>Qwen3.5-122B-A10B</x:v>
      </x:c>
      <x:c r="D380" s="20" t="str">
        <x:v>qwen</x:v>
      </x:c>
      <x:c r="E380" s="68" t="n">
        <x:v>122</x:v>
      </x:c>
      <x:c r="F380" s="68" t="n">
        <x:v>483.8653028654997</x:v>
      </x:c>
      <x:c r="G380" s="29" t="n">
        <x:f>MAX(F380/E380,E380/F380)</x:f>
        <x:v>3.966109039881145</x:v>
      </x:c>
      <x:c r="H380" s="29" t="n">
        <x:f>F380/E380</x:f>
        <x:v>3.966109039881145</x:v>
      </x:c>
      <x:c r="I380" s="26" t="n">
        <x:v>20</x:v>
      </x:c>
      <x:c r="J380" s="26" t="n">
        <x:v>5</x:v>
      </x:c>
      <x:c r="K380" s="65" t="n">
        <x:v>46049</x:v>
      </x:c>
      <x:c r="L380" s="32" t="n">
        <x:v>0.7037037037037037</x:v>
      </x:c>
      <x:c r="M380" s="26" t="n">
        <x:v>1</x:v>
      </x:c>
    </x:row>
    <x:row r="381">
      <x:c r="A381" s="20" t="str">
        <x:v>No-CoT</x:v>
      </x:c>
      <x:c r="B381" s="65" t="n">
        <x:v>46077</x:v>
      </x:c>
      <x:c r="C381" s="20" t="str">
        <x:v>Qwen3.5-27B</x:v>
      </x:c>
      <x:c r="D381" s="20" t="str">
        <x:v>qwen</x:v>
      </x:c>
      <x:c r="E381" s="68" t="n">
        <x:v>27</x:v>
      </x:c>
      <x:c r="F381" s="68" t="n">
        <x:v>4.818813568551702</x:v>
      </x:c>
      <x:c r="G381" s="29" t="n">
        <x:f>MAX(F381/E381,E381/F381)</x:f>
        <x:v>5.603038925640543</x:v>
      </x:c>
      <x:c r="H381" s="29" t="n">
        <x:f>F381/E381</x:f>
        <x:v>0.17847457661302601</x:v>
      </x:c>
      <x:c r="I381" s="26" t="n">
        <x:v>20</x:v>
      </x:c>
      <x:c r="J381" s="26" t="n">
        <x:v>5</x:v>
      </x:c>
      <x:c r="K381" s="65" t="n">
        <x:v>46049</x:v>
      </x:c>
      <x:c r="L381" s="32" t="n">
        <x:v>0.2962962962962963</x:v>
      </x:c>
      <x:c r="M381" s="26" t="n">
        <x:v>1</x:v>
      </x:c>
    </x:row>
    <x:row r="382">
      <x:c r="A382" s="20" t="str">
        <x:v>No-CoT</x:v>
      </x:c>
      <x:c r="B382" s="65" t="n">
        <x:v>46077</x:v>
      </x:c>
      <x:c r="C382" s="20" t="str">
        <x:v>Qwen3.5-9B</x:v>
      </x:c>
      <x:c r="D382" s="20" t="str">
        <x:v>qwen</x:v>
      </x:c>
      <x:c r="E382" s="68" t="n">
        <x:v>9</x:v>
      </x:c>
      <x:c r="F382" s="68" t="n">
        <x:v>10.254467371730138</x:v>
      </x:c>
      <x:c r="G382" s="29" t="n">
        <x:f>MAX(F382/E382,E382/F382)</x:f>
        <x:v>1.139385263525571</x:v>
      </x:c>
      <x:c r="H382" s="29" t="n">
        <x:f>F382/E382</x:f>
        <x:v>1.139385263525571</x:v>
      </x:c>
      <x:c r="I382" s="26" t="n">
        <x:v>20</x:v>
      </x:c>
      <x:c r="J382" s="26" t="n">
        <x:v>5</x:v>
      </x:c>
      <x:c r="K382" s="65" t="n">
        <x:v>46049</x:v>
      </x:c>
      <x:c r="L382" s="32" t="n">
        <x:v>0.4444444444444444</x:v>
      </x:c>
      <x:c r="M382" s="26" t="n">
        <x:v>1</x:v>
      </x:c>
    </x:row>
    <x:row r="383">
      <x:c r="A383" s="20" t="str">
        <x:v>No-CoT</x:v>
      </x:c>
      <x:c r="B383" s="65" t="n">
        <x:v>46078</x:v>
      </x:c>
      <x:c r="C383" s="20" t="str">
        <x:v>Qwen 3.5 Flash (hosted 35B-A3B)</x:v>
      </x:c>
      <x:c r="D383" s="20" t="str">
        <x:v>qwen</x:v>
      </x:c>
      <x:c r="E383" s="68" t="n">
        <x:v>35</x:v>
      </x:c>
      <x:c r="F383" s="68" t="n">
        <x:v>270.9561295166226</x:v>
      </x:c>
      <x:c r="G383" s="29" t="n">
        <x:f>MAX(F383/E383,E383/F383)</x:f>
        <x:v>7.741603700474931</x:v>
      </x:c>
      <x:c r="H383" s="29" t="n">
        <x:f>F383/E383</x:f>
        <x:v>7.741603700474931</x:v>
      </x:c>
      <x:c r="I383" s="26" t="n">
        <x:v>20</x:v>
      </x:c>
      <x:c r="J383" s="26" t="n">
        <x:v>5</x:v>
      </x:c>
      <x:c r="K383" s="65" t="n">
        <x:v>46049</x:v>
      </x:c>
      <x:c r="L383" s="32" t="n">
        <x:v>0.6</x:v>
      </x:c>
      <x:c r="M383" s="26" t="n">
        <x:v>1</x:v>
      </x:c>
    </x:row>
    <x:row r="384">
      <x:c r="A384" s="20" t="str">
        <x:v>No-CoT</x:v>
      </x:c>
      <x:c r="B384" s="65" t="n">
        <x:v>46114</x:v>
      </x:c>
      <x:c r="C384" s="20" t="str">
        <x:v>Gemma 4 26B A4B</x:v>
      </x:c>
      <x:c r="D384" s="20" t="str">
        <x:v>gemma</x:v>
      </x:c>
      <x:c r="E384" s="68" t="n">
        <x:v>26</x:v>
      </x:c>
      <x:c r="F384" s="68" t="n">
        <x:v>189.86033260143665</x:v>
      </x:c>
      <x:c r="G384" s="29" t="n">
        <x:f>MAX(F384/E384,E384/F384)</x:f>
        <x:v>7.30232048467064</x:v>
      </x:c>
      <x:c r="H384" s="29" t="n">
        <x:f>F384/E384</x:f>
        <x:v>7.30232048467064</x:v>
      </x:c>
      <x:c r="I384" s="26" t="n">
        <x:v>28</x:v>
      </x:c>
      <x:c r="J384" s="26" t="n">
        <x:v>5</x:v>
      </x:c>
      <x:c r="K384" s="65" t="n">
        <x:v>46078</x:v>
      </x:c>
      <x:c r="L384" s="32" t="n">
        <x:v>0.6451612903225806</x:v>
      </x:c>
      <x:c r="M384" s="26" t="n">
        <x:v>1</x:v>
      </x:c>
    </x:row>
    <x:row r="385">
      <x:c r="A385" s="20" t="str">
        <x:v>No-CoT</x:v>
      </x:c>
      <x:c r="B385" s="65" t="n">
        <x:v>46114</x:v>
      </x:c>
      <x:c r="C385" s="20" t="str">
        <x:v>Gemma 4 31B IT</x:v>
      </x:c>
      <x:c r="D385" s="20" t="str">
        <x:v>gemma</x:v>
      </x:c>
      <x:c r="E385" s="68" t="n">
        <x:v>31</x:v>
      </x:c>
      <x:c r="F385" s="68" t="n">
        <x:v>62.07030297339846</x:v>
      </x:c>
      <x:c r="G385" s="29" t="n">
        <x:f>MAX(F385/E385,E385/F385)</x:f>
        <x:v>2.0022678378515635</x:v>
      </x:c>
      <x:c r="H385" s="29" t="n">
        <x:f>F385/E385</x:f>
        <x:v>2.0022678378515635</x:v>
      </x:c>
      <x:c r="I385" s="26" t="n">
        <x:v>28</x:v>
      </x:c>
      <x:c r="J385" s="26" t="n">
        <x:v>5</x:v>
      </x:c>
      <x:c r="K385" s="65" t="n">
        <x:v>46078</x:v>
      </x:c>
      <x:c r="L385" s="32" t="n">
        <x:v>0.9354838709677419</x:v>
      </x:c>
      <x:c r="M385" s="26" t="n">
        <x:v>1</x:v>
      </x:c>
    </x:row>
    <x:row r="386">
      <x:c r="A386" s="20" t="str">
        <x:v>No-CoT</x:v>
      </x:c>
      <x:c r="B386" s="65" t="n">
        <x:v>46132</x:v>
      </x:c>
      <x:c r="C386" s="20" t="str">
        <x:v>Kimi K2.6</x:v>
      </x:c>
      <x:c r="D386" s="20" t="str">
        <x:v>kimi</x:v>
      </x:c>
      <x:c r="E386" s="68" t="n">
        <x:v>1040</x:v>
      </x:c>
      <x:c r="F386" s="68" t="n">
        <x:v>125.1908122890863</x:v>
      </x:c>
      <x:c r="G386" s="29" t="n">
        <x:f>MAX(F386/E386,E386/F386)</x:f>
        <x:v>8.307318891728794</x:v>
      </x:c>
      <x:c r="H386" s="29" t="n">
        <x:f>F386/E386</x:f>
        <x:v>0.12037578104719836</x:v>
      </x:c>
      <x:c r="I386" s="26" t="n">
        <x:v>31</x:v>
      </x:c>
      <x:c r="J386" s="26" t="n">
        <x:v>5</x:v>
      </x:c>
      <x:c r="K386" s="65" t="n">
        <x:v>46114</x:v>
      </x:c>
      <x:c r="L386" s="32" t="n">
        <x:v>0.6363636363636364</x:v>
      </x:c>
      <x:c r="M386" s="26" t="n">
        <x:v>1</x:v>
      </x:c>
    </x:row>
    <x:row r="387">
      <x:c r="A387" s="21" t="str">
        <x:v>No-CoT</x:v>
      </x:c>
      <x:c r="B387" s="66" t="n">
        <x:v>46136</x:v>
      </x:c>
      <x:c r="C387" s="21" t="str">
        <x:v>DeepSeek-V4-Flash</x:v>
      </x:c>
      <x:c r="D387" s="21" t="str">
        <x:v>deepseek</x:v>
      </x:c>
      <x:c r="E387" s="69" t="n">
        <x:v>284</x:v>
      </x:c>
      <x:c r="F387" s="69" t="n">
        <x:v>318.3091186171135</x:v>
      </x:c>
      <x:c r="G387" s="30" t="n">
        <x:f>MAX(F387/E387,E387/F387)</x:f>
        <x:v>1.1208067556940615</x:v>
      </x:c>
      <x:c r="H387" s="30" t="n">
        <x:f>F387/E387</x:f>
        <x:v>1.1208067556940615</x:v>
      </x:c>
      <x:c r="I387" s="27" t="n">
        <x:v>31</x:v>
      </x:c>
      <x:c r="J387" s="27" t="n">
        <x:v>5</x:v>
      </x:c>
      <x:c r="K387" s="66" t="n">
        <x:v>46132</x:v>
      </x:c>
      <x:c r="L387" s="33" t="n">
        <x:v>0.7647058823529411</x:v>
      </x:c>
      <x:c r="M387" s="27" t="n">
        <x:v>1</x:v>
      </x:c>
    </x:row>
  </x:sheetData>
  <x:mergeCells>
    <x:mergeCell ref="A1:M1"/>
    <x:mergeCell ref="A2:M3"/>
  </x:mergeCells>
  <x:conditionalFormatting sqref="G6:G387">
    <x:cfRule type="cellIs" dxfId="2" priority="1" operator="greaterThan">
      <x:formula>3</x:formula>
    </x:cfRule>
  </x:conditionalFormatting>
  <x:pageMargins left="0.7" right="0.7" top="0.75" bottom="0.75" header="0.3" footer="0.3"/>
  <x:tableParts count="1">
    <x:tablePart xmlns:r="http://schemas.openxmlformats.org/officeDocument/2006/relationships" r:id="R4758edda1305431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2" hidden="0" customWidth="1"/>
    <x:col min="3" max="3" width="15" hidden="0" customWidth="1"/>
    <x:col min="4" max="4" width="15" hidden="0" customWidth="1"/>
    <x:col min="5" max="5" width="15" hidden="0" customWidth="1"/>
    <x:col min="6" max="6" width="15" hidden="0" customWidth="1"/>
    <x:col min="7" max="7" width="15" hidden="0" customWidth="1"/>
    <x:col min="8" max="8" width="60" hidden="0" customWidth="1"/>
    <x:col min="9" max="9" width="15" hidden="0" customWidth="1"/>
    <x:col min="10" max="10" width="15" hidden="0" customWidth="1"/>
  </x:cols>
  <x:sheetData>
    <x:row r="1" ht="36" customHeight="1">
      <x:c r="A1" s="3" t="str">
        <x:v>Available-component ensemble backtest</x:v>
      </x:c>
      <x:c r="B1" s="3"/>
      <x:c r="C1" s="3"/>
      <x:c r="D1" s="3"/>
      <x:c r="E1" s="3"/>
      <x:c r="F1" s="3"/>
      <x:c r="G1" s="3"/>
      <x:c r="H1" s="3"/>
      <x:c r="I1" s="3"/>
      <x:c r="J1" s="3"/>
    </x:row>
    <x:row r="2">
      <x:c r="A2" s="6" t="str">
        <x:v>Conservative exact-ish name matching, compatible disclosed totals, release dates within 62 days, and at least two independently backtested component predictions. Missing components are omitted and remaining weights renormalized, mirroring the live visualizer.</x:v>
      </x:c>
      <x:c r="B2" s="6"/>
      <x:c r="C2" s="6"/>
      <x:c r="D2" s="6"/>
      <x:c r="E2" s="6"/>
      <x:c r="F2" s="6"/>
      <x:c r="G2" s="6"/>
      <x:c r="H2" s="6"/>
      <x:c r="I2" s="6"/>
      <x:c r="J2" s="6"/>
    </x:row>
    <x:row r="3">
      <x:c r="A3" s="6"/>
      <x:c r="B3" s="6"/>
      <x:c r="C3" s="6"/>
      <x:c r="D3" s="6"/>
      <x:c r="E3" s="6"/>
      <x:c r="F3" s="6"/>
      <x:c r="G3" s="6"/>
      <x:c r="H3" s="6"/>
      <x:c r="I3" s="6"/>
      <x:c r="J3" s="6"/>
    </x:row>
    <x:row r="5" ht="32" customHeight="1">
      <x:c r="A5" s="14" t="str">
        <x:v>Metric</x:v>
      </x:c>
      <x:c r="B5" s="14" t="str">
        <x:v>Current weights</x:v>
      </x:c>
      <x:c r="C5" s="14" t="str">
        <x:v>Equal weights</x:v>
      </x:c>
      <x:c r="D5" s="14" t="str">
        <x:v>Interpretation</x:v>
      </x:c>
      <x:c r="E5" s="14"/>
      <x:c r="F5" s="14"/>
    </x:row>
    <x:row r="6">
      <x:c r="A6" s="19" t="str">
        <x:v>n</x:v>
      </x:c>
      <x:c r="B6" s="25" t="n">
        <x:v>44</x:v>
      </x:c>
      <x:c r="C6" s="25" t="n">
        <x:v>44</x:v>
      </x:c>
      <x:c r="D6" s="19" t="str">
        <x:v>Same matched checkpoints</x:v>
      </x:c>
    </x:row>
    <x:row r="7">
      <x:c r="A7" s="20" t="str">
        <x:v>Median multiplicative error</x:v>
      </x:c>
      <x:c r="B7" s="29" t="n">
        <x:v>2.1364127981098613</x:v>
      </x:c>
      <x:c r="C7" s="29" t="n">
        <x:v>2.1476917925854377</x:v>
      </x:c>
      <x:c r="D7" s="20" t="str">
        <x:v>Current weights slightly better</x:v>
      </x:c>
    </x:row>
    <x:row r="8">
      <x:c r="A8" s="20" t="str">
        <x:v>RMSE log10</x:v>
      </x:c>
      <x:c r="B8" s="62" t="n">
        <x:v>0.4548058018663915</x:v>
      </x:c>
      <x:c r="C8" s="62" t="n">
        <x:v>0.4331496690868388</x:v>
      </x:c>
      <x:c r="D8" s="20" t="str">
        <x:v>Equal weights slightly better</x:v>
      </x:c>
    </x:row>
    <x:row r="9">
      <x:c r="A9" s="20" t="str">
        <x:v>Bias ratio</x:v>
      </x:c>
      <x:c r="B9" s="29" t="n">
        <x:v>1.1125539481707916</x:v>
      </x:c>
      <x:c r="C9" s="29" t="n">
        <x:v>1.0231743088490786</x:v>
      </x:c>
      <x:c r="D9" s="20" t="str">
        <x:v>1.0 is calibrated</x:v>
      </x:c>
    </x:row>
    <x:row r="10">
      <x:c r="A10" s="20" t="str">
        <x:v>Within 2x</x:v>
      </x:c>
      <x:c r="B10" s="32" t="n">
        <x:v>0.45454545454545453</x:v>
      </x:c>
      <x:c r="C10" s="32" t="n">
        <x:v>0.4090909090909091</x:v>
      </x:c>
      <x:c r="D10" s="20" t="str">
        <x:v>Current weights slightly better</x:v>
      </x:c>
    </x:row>
    <x:row r="11">
      <x:c r="A11" s="21" t="str">
        <x:v>P80 multiplicative error</x:v>
      </x:c>
      <x:c r="B11" s="30" t="n">
        <x:v>5.1511709166892645</x:v>
      </x:c>
      <x:c r="C11" s="30" t="n">
        <x:v>3.756996566542479</x:v>
      </x:c>
      <x:c r="D11" s="21" t="str">
        <x:v>Equal weights has smaller tail</x:v>
      </x:c>
    </x:row>
    <x:row r="14">
      <x:c r="A14" s="9" t="str">
        <x:v>Current-weight ensemble predictions</x:v>
      </x:c>
      <x:c r="B14" s="9"/>
      <x:c r="C14" s="9"/>
      <x:c r="D14" s="9"/>
      <x:c r="E14" s="9"/>
      <x:c r="F14" s="9"/>
      <x:c r="G14" s="9"/>
      <x:c r="H14" s="9"/>
      <x:c r="I14" s="9"/>
      <x:c r="J14" s="9"/>
    </x:row>
    <x:row r="15" ht="32" customHeight="1">
      <x:c r="A15" s="14" t="str">
        <x:v>Release</x:v>
      </x:c>
      <x:c r="B15" s="14" t="str">
        <x:v>Model</x:v>
      </x:c>
      <x:c r="C15" s="14" t="str">
        <x:v>Actual (B)</x:v>
      </x:c>
      <x:c r="D15" s="14" t="str">
        <x:v>Predicted (B)</x:v>
      </x:c>
      <x:c r="E15" s="14" t="str">
        <x:v>Factor error</x:v>
      </x:c>
      <x:c r="F15" s="14" t="str">
        <x:v>Pred / actual</x:v>
      </x:c>
      <x:c r="G15" s="14" t="str">
        <x:v>Components</x:v>
      </x:c>
      <x:c r="H15" s="14" t="str">
        <x:v>Component predictions</x:v>
      </x:c>
      <x:c r="I15" s="14" t="str">
        <x:v>Train max date</x:v>
      </x:c>
      <x:c r="J15" s="14" t="str">
        <x:v>Frontier rank</x:v>
      </x:c>
    </x:row>
    <x:row r="16">
      <x:c r="A16" s="64" t="n">
        <x:v>45992</x:v>
      </x:c>
      <x:c r="B16" s="19" t="str">
        <x:v>DeepSeek-V3.2</x:v>
      </x:c>
      <x:c r="C16" s="67" t="n">
        <x:v>671</x:v>
      </x:c>
      <x:c r="D16" s="67" t="n">
        <x:v>316.16812460343056</x:v>
      </x:c>
      <x:c r="E16" s="28" t="n">
        <x:f>MAX(D16/C16,C16/D16)</x:f>
        <x:v>2.122288579348835</x:v>
      </x:c>
      <x:c r="F16" s="28" t="n">
        <x:f>D16/C16</x:f>
        <x:v>0.47118945544475493</x:v>
      </x:c>
      <x:c r="G16" s="25" t="n">
        <x:v>2</x:v>
      </x:c>
      <x:c r="H16" s="70" t="str">
        <x:v>ECI: 0.28T | No-CoT: 0.33T</x:v>
      </x:c>
      <x:c r="I16" s="64" t="n">
        <x:v>45967</x:v>
      </x:c>
      <x:c r="J16" s="31" t="n">
        <x:v>0.8809523809523809</x:v>
      </x:c>
    </x:row>
    <x:row r="17">
      <x:c r="A17" s="65" t="n">
        <x:v>46136</x:v>
      </x:c>
      <x:c r="B17" s="20" t="str">
        <x:v>DeepSeek-V4-Flash</x:v>
      </x:c>
      <x:c r="C17" s="68" t="n">
        <x:v>284</x:v>
      </x:c>
      <x:c r="D17" s="68" t="n">
        <x:v>274.98376283018445</x:v>
      </x:c>
      <x:c r="E17" s="29" t="n">
        <x:f>MAX(D17/C17,C17/D17)</x:f>
        <x:v>1.0327882529390782</x:v>
      </x:c>
      <x:c r="F17" s="29" t="n">
        <x:f>D17/C17</x:f>
        <x:v>0.9682526860217762</x:v>
      </x:c>
      <x:c r="G17" s="26" t="n">
        <x:v>2</x:v>
      </x:c>
      <x:c r="H17" s="71" t="str">
        <x:v>No-CoT: 0.32T | Compute: 0.06T</x:v>
      </x:c>
      <x:c r="I17" s="65" t="n">
        <x:v>46135</x:v>
      </x:c>
      <x:c r="J17" s="32" t="n">
        <x:v>0.8186274509803921</x:v>
      </x:c>
    </x:row>
    <x:row r="18">
      <x:c r="A18" s="65" t="n">
        <x:v>46136</x:v>
      </x:c>
      <x:c r="B18" s="20" t="str">
        <x:v>DeepSeek-V4-Pro (max)</x:v>
      </x:c>
      <x:c r="C18" s="68" t="n">
        <x:v>1600</x:v>
      </x:c>
      <x:c r="D18" s="68" t="n">
        <x:v>309.68451354930505</x:v>
      </x:c>
      <x:c r="E18" s="29" t="n">
        <x:f>MAX(D18/C18,C18/D18)</x:f>
        <x:v>5.166548309640492</x:v>
      </x:c>
      <x:c r="F18" s="29" t="n">
        <x:f>D18/C18</x:f>
        <x:v>0.19355282096831566</x:v>
      </x:c>
      <x:c r="G18" s="26" t="n">
        <x:v>3</x:v>
      </x:c>
      <x:c r="H18" s="71" t="str">
        <x:v>AA: 0.49T | ECI: 0.25T | Compute: 0.12T</x:v>
      </x:c>
      <x:c r="I18" s="65" t="n">
        <x:v>46135</x:v>
      </x:c>
      <x:c r="J18" s="32" t="n">
        <x:v>0.9938997821350762</x:v>
      </x:c>
    </x:row>
    <x:row r="19">
      <x:c r="A19" s="65" t="n">
        <x:v>45421</x:v>
      </x:c>
      <x:c r="B19" s="20" t="str">
        <x:v>Falcon 2 11B</x:v>
      </x:c>
      <x:c r="C19" s="68" t="n">
        <x:v>11</x:v>
      </x:c>
      <x:c r="D19" s="68" t="n">
        <x:v>20.738076393522974</x:v>
      </x:c>
      <x:c r="E19" s="29" t="n">
        <x:f>MAX(D19/C19,C19/D19)</x:f>
        <x:v>1.8852796721384522</x:v>
      </x:c>
      <x:c r="F19" s="29" t="n">
        <x:f>D19/C19</x:f>
        <x:v>1.8852796721384522</x:v>
      </x:c>
      <x:c r="G19" s="26" t="n">
        <x:v>2</x:v>
      </x:c>
      <x:c r="H19" s="71" t="str">
        <x:v>ECI: 0.02T | Compute: 0.02T</x:v>
      </x:c>
      <x:c r="I19" s="65" t="n">
        <x:v>45419</x:v>
      </x:c>
      <x:c r="J19" s="32" t="n">
        <x:v>0.7367389993972273</x:v>
      </x:c>
    </x:row>
    <x:row r="20">
      <x:c r="A20" s="65" t="n">
        <x:v>45467</x:v>
      </x:c>
      <x:c r="B20" s="20" t="str">
        <x:v>Gemma 2 27B</x:v>
      </x:c>
      <x:c r="C20" s="68" t="n">
        <x:v>27</x:v>
      </x:c>
      <x:c r="D20" s="68" t="n">
        <x:v>50.39566220493507</x:v>
      </x:c>
      <x:c r="E20" s="29" t="n">
        <x:f>MAX(D20/C20,C20/D20)</x:f>
        <x:v>1.8665060075901878</x:v>
      </x:c>
      <x:c r="F20" s="29" t="n">
        <x:f>D20/C20</x:f>
        <x:v>1.8665060075901878</x:v>
      </x:c>
      <x:c r="G20" s="26" t="n">
        <x:v>2</x:v>
      </x:c>
      <x:c r="H20" s="71" t="str">
        <x:v>ECI: 0.05T | Compute: 0.05T</x:v>
      </x:c>
      <x:c r="I20" s="65" t="n">
        <x:v>45458</x:v>
      </x:c>
      <x:c r="J20" s="32" t="n">
        <x:v>0.9462461695607762</x:v>
      </x:c>
    </x:row>
    <x:row r="21">
      <x:c r="A21" s="65" t="n">
        <x:v>45467</x:v>
      </x:c>
      <x:c r="B21" s="20" t="str">
        <x:v>Gemma 2 9B</x:v>
      </x:c>
      <x:c r="C21" s="68" t="n">
        <x:v>9</x:v>
      </x:c>
      <x:c r="D21" s="68" t="n">
        <x:v>36.532879283168825</x:v>
      </x:c>
      <x:c r="E21" s="29" t="n">
        <x:f>MAX(D21/C21,C21/D21)</x:f>
        <x:v>4.059208809240981</x:v>
      </x:c>
      <x:c r="F21" s="29" t="n">
        <x:f>D21/C21</x:f>
        <x:v>4.059208809240981</x:v>
      </x:c>
      <x:c r="G21" s="26" t="n">
        <x:v>2</x:v>
      </x:c>
      <x:c r="H21" s="71" t="str">
        <x:v>ECI: 0.04T | Compute: 0.03T</x:v>
      </x:c>
      <x:c r="I21" s="65" t="n">
        <x:v>45458</x:v>
      </x:c>
      <x:c r="J21" s="32" t="n">
        <x:v>0.8728294177732381</x:v>
      </x:c>
    </x:row>
    <x:row r="22">
      <x:c r="A22" s="65" t="n">
        <x:v>46114</x:v>
      </x:c>
      <x:c r="B22" s="20" t="str">
        <x:v>Gemma 4 31B IT</x:v>
      </x:c>
      <x:c r="C22" s="68" t="n">
        <x:v>31</x:v>
      </x:c>
      <x:c r="D22" s="68" t="n">
        <x:v>85.18689716919434</x:v>
      </x:c>
      <x:c r="E22" s="29" t="n">
        <x:f>MAX(D22/C22,C22/D22)</x:f>
        <x:v>2.7479644248127206</x:v>
      </x:c>
      <x:c r="F22" s="29" t="n">
        <x:f>D22/C22</x:f>
        <x:v>2.7479644248127206</x:v>
      </x:c>
      <x:c r="G22" s="26" t="n">
        <x:v>2</x:v>
      </x:c>
      <x:c r="H22" s="71" t="str">
        <x:v>ECI: 0.19T | No-CoT: 0.06T</x:v>
      </x:c>
      <x:c r="I22" s="65" t="n">
        <x:v>46078</x:v>
      </x:c>
      <x:c r="J22" s="32" t="n">
        <x:v>0.9121863799283154</x:v>
      </x:c>
    </x:row>
    <x:row r="23">
      <x:c r="A23" s="65" t="n">
        <x:v>45930</x:v>
      </x:c>
      <x:c r="B23" s="20" t="str">
        <x:v>GLM-4.6</x:v>
      </x:c>
      <x:c r="C23" s="68" t="n">
        <x:v>357</x:v>
      </x:c>
      <x:c r="D23" s="68" t="n">
        <x:v>156.33053597831955</x:v>
      </x:c>
      <x:c r="E23" s="29" t="n">
        <x:f>MAX(D23/C23,C23/D23)</x:f>
        <x:v>2.2836229516254583</x:v>
      </x:c>
      <x:c r="F23" s="29" t="n">
        <x:f>D23/C23</x:f>
        <x:v>0.4379006610036962</x:v>
      </x:c>
      <x:c r="G23" s="26" t="n">
        <x:v>2</x:v>
      </x:c>
      <x:c r="H23" s="71" t="str">
        <x:v>ECI: 0.19T | Compute: 0.07T</x:v>
      </x:c>
      <x:c r="I23" s="65" t="n">
        <x:v>45929</x:v>
      </x:c>
      <x:c r="J23" s="32" t="n">
        <x:v>0.9555917986952469</x:v>
      </x:c>
    </x:row>
    <x:row r="24">
      <x:c r="A24" s="65" t="n">
        <x:v>46013</x:v>
      </x:c>
      <x:c r="B24" s="20" t="str">
        <x:v>GLM-4.7 Reasoning</x:v>
      </x:c>
      <x:c r="C24" s="68" t="n">
        <x:v>358</x:v>
      </x:c>
      <x:c r="D24" s="68" t="n">
        <x:v>403.04498671503956</x:v>
      </x:c>
      <x:c r="E24" s="29" t="n">
        <x:f>MAX(D24/C24,C24/D24)</x:f>
        <x:v>1.1258239852375407</x:v>
      </x:c>
      <x:c r="F24" s="29" t="n">
        <x:f>D24/C24</x:f>
        <x:v>1.1258239852375407</x:v>
      </x:c>
      <x:c r="G24" s="26" t="n">
        <x:v>2</x:v>
      </x:c>
      <x:c r="H24" s="71" t="str">
        <x:v>AA: 0.71T | ECI: 0.23T</x:v>
      </x:c>
      <x:c r="I24" s="65" t="n">
        <x:v>46014</x:v>
      </x:c>
      <x:c r="J24" s="32" t="n">
        <x:v>0.974025974025974</x:v>
      </x:c>
    </x:row>
    <x:row r="25">
      <x:c r="A25" s="65" t="n">
        <x:v>46064</x:v>
      </x:c>
      <x:c r="B25" s="20" t="str">
        <x:v>GLM-5 Reasoning</x:v>
      </x:c>
      <x:c r="C25" s="68" t="n">
        <x:v>744</x:v>
      </x:c>
      <x:c r="D25" s="68" t="n">
        <x:v>498.1486752621221</x:v>
      </x:c>
      <x:c r="E25" s="29" t="n">
        <x:f>MAX(D25/C25,C25/D25)</x:f>
        <x:v>1.4935300181386868</x:v>
      </x:c>
      <x:c r="F25" s="29" t="n">
        <x:f>D25/C25</x:f>
        <x:v>0.6695546710512393</x:v>
      </x:c>
      <x:c r="G25" s="26" t="n">
        <x:v>3</x:v>
      </x:c>
      <x:c r="H25" s="71" t="str">
        <x:v>AA: 1.42T | ECI: 0.28T | Compute: 0.09T</x:v>
      </x:c>
      <x:c r="I25" s="65" t="n">
        <x:v>46051</x:v>
      </x:c>
      <x:c r="J25" s="32" t="n">
        <x:v>0.9827018237380322</x:v>
      </x:c>
    </x:row>
    <x:row r="26">
      <x:c r="A26" s="65" t="n">
        <x:v>46189</x:v>
      </x:c>
      <x:c r="B26" s="20" t="str">
        <x:v>GLM-5.2 (max)</x:v>
      </x:c>
      <x:c r="C26" s="68" t="n">
        <x:v>744</x:v>
      </x:c>
      <x:c r="D26" s="68" t="n">
        <x:v>625.3025547644878</x:v>
      </x:c>
      <x:c r="E26" s="29" t="n">
        <x:f>MAX(D26/C26,C26/D26)</x:f>
        <x:v>1.189824020917711</x:v>
      </x:c>
      <x:c r="F26" s="29" t="n">
        <x:f>D26/C26</x:f>
        <x:v>0.8404604230705481</x:v>
      </x:c>
      <x:c r="G26" s="26" t="n">
        <x:v>2</x:v>
      </x:c>
      <x:c r="H26" s="71" t="str">
        <x:v>AA: 1.13T | ECI: 0.35T</x:v>
      </x:c>
      <x:c r="I26" s="65" t="n">
        <x:v>46185</x:v>
      </x:c>
      <x:c r="J26" s="32" t="n">
        <x:v>1</x:v>
      </x:c>
    </x:row>
    <x:row r="27">
      <x:c r="A27" s="65" t="n">
        <x:v>45874</x:v>
      </x:c>
      <x:c r="B27" s="20" t="str">
        <x:v>gpt-oss-120b</x:v>
      </x:c>
      <x:c r="C27" s="68" t="n">
        <x:v>116.83</x:v>
      </x:c>
      <x:c r="D27" s="68" t="n">
        <x:v>166.30791112421136</x:v>
      </x:c>
      <x:c r="E27" s="29" t="n">
        <x:f>MAX(D27/C27,C27/D27)</x:f>
        <x:v>1.4235034761979917</x:v>
      </x:c>
      <x:c r="F27" s="29" t="n">
        <x:f>D27/C27</x:f>
        <x:v>1.4235034761979917</x:v>
      </x:c>
      <x:c r="G27" s="26" t="n">
        <x:v>2</x:v>
      </x:c>
      <x:c r="H27" s="71" t="str">
        <x:v>ECI: 0.21T | Compute: 0.07T</x:v>
      </x:c>
      <x:c r="I27" s="65" t="n">
        <x:v>45870</x:v>
      </x:c>
      <x:c r="J27" s="32" t="n">
        <x:v>0.9698067632850241</x:v>
      </x:c>
    </x:row>
    <x:row r="28">
      <x:c r="A28" s="65" t="n">
        <x:v>46049</x:v>
      </x:c>
      <x:c r="B28" s="20" t="str">
        <x:v>Kimi K2.5 Reasoning</x:v>
      </x:c>
      <x:c r="C28" s="68" t="n">
        <x:v>1040</x:v>
      </x:c>
      <x:c r="D28" s="68" t="n">
        <x:v>436.18783370611374</x:v>
      </x:c>
      <x:c r="E28" s="29" t="n">
        <x:f>MAX(D28/C28,C28/D28)</x:f>
        <x:v>2.384293920267183</x:v>
      </x:c>
      <x:c r="F28" s="29" t="n">
        <x:f>D28/C28</x:f>
        <x:v>0.4194113785635709</x:v>
      </x:c>
      <x:c r="G28" s="26" t="n">
        <x:v>4</x:v>
      </x:c>
      <x:c r="H28" s="71" t="str">
        <x:v>AA: 0.74T | ECI: 0.29T | No-CoT: 0.50T | Compute: 0.07T</x:v>
      </x:c>
      <x:c r="I28" s="65" t="n">
        <x:v>46030</x:v>
      </x:c>
      <x:c r="J28" s="32" t="n">
        <x:v>0.9908333333333333</x:v>
      </x:c>
    </x:row>
    <x:row r="29">
      <x:c r="A29" s="65" t="n">
        <x:v>46132</x:v>
      </x:c>
      <x:c r="B29" s="20" t="str">
        <x:v>Kimi K2.6 Reasoning</x:v>
      </x:c>
      <x:c r="C29" s="68" t="n">
        <x:v>1040</x:v>
      </x:c>
      <x:c r="D29" s="68" t="n">
        <x:v>192.70028255006272</x:v>
      </x:c>
      <x:c r="E29" s="29" t="n">
        <x:f>MAX(D29/C29,C29/D29)</x:f>
        <x:v>5.396982226685695</x:v>
      </x:c>
      <x:c r="F29" s="29" t="n">
        <x:f>D29/C29</x:f>
        <x:v>0.18528873322121417</x:v>
      </x:c>
      <x:c r="G29" s="26" t="n">
        <x:v>3</x:v>
      </x:c>
      <x:c r="H29" s="71" t="str">
        <x:v>AA: 0.46T | ECI: 0.25T | No-CoT: 0.13T</x:v>
      </x:c>
      <x:c r="I29" s="65" t="n">
        <x:v>46129</x:v>
      </x:c>
      <x:c r="J29" s="32" t="n">
        <x:v>0.8787878787878788</x:v>
      </x:c>
    </x:row>
    <x:row r="30">
      <x:c r="A30" s="65" t="n">
        <x:v>46185</x:v>
      </x:c>
      <x:c r="B30" s="20" t="str">
        <x:v>Kimi K2.7 Code</x:v>
      </x:c>
      <x:c r="C30" s="68" t="n">
        <x:v>1040</x:v>
      </x:c>
      <x:c r="D30" s="68" t="n">
        <x:v>322.9852346854934</x:v>
      </x:c>
      <x:c r="E30" s="29" t="n">
        <x:f>MAX(D30/C30,C30/D30)</x:f>
        <x:v>3.2199614357377637</x:v>
      </x:c>
      <x:c r="F30" s="29" t="n">
        <x:f>D30/C30</x:f>
        <x:v>0.3105627256591283</x:v>
      </x:c>
      <x:c r="G30" s="26" t="n">
        <x:v>2</x:v>
      </x:c>
      <x:c r="H30" s="71" t="str">
        <x:v>AA: 0.37T | ECI: 0.28T</x:v>
      </x:c>
      <x:c r="I30" s="65" t="n">
        <x:v>46185</x:v>
      </x:c>
      <x:c r="J30" s="32" t="n">
        <x:v>0.9600951374207187</x:v>
      </x:c>
    </x:row>
    <x:row r="31">
      <x:c r="A31" s="65" t="n">
        <x:v>46219</x:v>
      </x:c>
      <x:c r="B31" s="20" t="str">
        <x:v>Kimi K3</x:v>
      </x:c>
      <x:c r="C31" s="68" t="n">
        <x:v>2780</x:v>
      </x:c>
      <x:c r="D31" s="68" t="n">
        <x:v>838.686809173933</x:v>
      </x:c>
      <x:c r="E31" s="29" t="n">
        <x:f>MAX(D31/C31,C31/D31)</x:f>
        <x:v>3.3147057633327615</x:v>
      </x:c>
      <x:c r="F31" s="29" t="n">
        <x:f>D31/C31</x:f>
        <x:v>0.30168590258055145</x:v>
      </x:c>
      <x:c r="G31" s="26" t="n">
        <x:v>3</x:v>
      </x:c>
      <x:c r="H31" s="71" t="str">
        <x:v>AA: 2.24T | ECI: 0.45T | Compute: 0.21T</x:v>
      </x:c>
      <x:c r="I31" s="65" t="n">
        <x:v>46218</x:v>
      </x:c>
      <x:c r="J31" s="32" t="n">
        <x:v>0.9989281886387996</x:v>
      </x:c>
    </x:row>
    <x:row r="32">
      <x:c r="A32" s="65" t="n">
        <x:v>45496</x:v>
      </x:c>
      <x:c r="B32" s="20" t="str">
        <x:v>Llama 3.1-405B</x:v>
      </x:c>
      <x:c r="C32" s="68" t="n">
        <x:v>405</x:v>
      </x:c>
      <x:c r="D32" s="68" t="n">
        <x:v>78.2385824764537</x:v>
      </x:c>
      <x:c r="E32" s="29" t="n">
        <x:f>MAX(D32/C32,C32/D32)</x:f>
        <x:v>5.176474153553163</x:v>
      </x:c>
      <x:c r="F32" s="29" t="n">
        <x:f>D32/C32</x:f>
        <x:v>0.19318168512704617</x:v>
      </x:c>
      <x:c r="G32" s="26" t="n">
        <x:v>2</x:v>
      </x:c>
      <x:c r="H32" s="71" t="str">
        <x:v>ECI: 0.06T | Compute: 0.19T</x:v>
      </x:c>
      <x:c r="I32" s="65" t="n">
        <x:v>45493</x:v>
      </x:c>
      <x:c r="J32" s="32" t="n">
        <x:v>1</x:v>
      </x:c>
    </x:row>
    <x:row r="33">
      <x:c r="A33" s="65" t="n">
        <x:v>45496</x:v>
      </x:c>
      <x:c r="B33" s="20" t="str">
        <x:v>Llama 3.1-70B</x:v>
      </x:c>
      <x:c r="C33" s="68" t="n">
        <x:v>70</x:v>
      </x:c>
      <x:c r="D33" s="68" t="n">
        <x:v>55.42509713933745</x:v>
      </x:c>
      <x:c r="E33" s="29" t="n">
        <x:f>MAX(D33/C33,C33/D33)</x:f>
        <x:v>1.262965761233067</x:v>
      </x:c>
      <x:c r="F33" s="29" t="n">
        <x:f>D33/C33</x:f>
        <x:v>0.791787101990535</x:v>
      </x:c>
      <x:c r="G33" s="26" t="n">
        <x:v>2</x:v>
      </x:c>
      <x:c r="H33" s="71" t="str">
        <x:v>ECI: 0.05T | Compute: 0.09T</x:v>
      </x:c>
      <x:c r="I33" s="65" t="n">
        <x:v>45493</x:v>
      </x:c>
      <x:c r="J33" s="32" t="n">
        <x:v>0.9972826086956521</x:v>
      </x:c>
    </x:row>
    <x:row r="34">
      <x:c r="A34" s="65" t="n">
        <x:v>45496</x:v>
      </x:c>
      <x:c r="B34" s="20" t="str">
        <x:v>Llama 3.1-8B</x:v>
      </x:c>
      <x:c r="C34" s="68" t="n">
        <x:v>8</x:v>
      </x:c>
      <x:c r="D34" s="68" t="n">
        <x:v>26.358526112949235</x:v>
      </x:c>
      <x:c r="E34" s="29" t="n">
        <x:f>MAX(D34/C34,C34/D34)</x:f>
        <x:v>3.2948157641186544</x:v>
      </x:c>
      <x:c r="F34" s="29" t="n">
        <x:f>D34/C34</x:f>
        <x:v>3.2948157641186544</x:v>
      </x:c>
      <x:c r="G34" s="26" t="n">
        <x:v>2</x:v>
      </x:c>
      <x:c r="H34" s="71" t="str">
        <x:v>ECI: 0.02T | Compute: 0.04T</x:v>
      </x:c>
      <x:c r="I34" s="65" t="n">
        <x:v>45493</x:v>
      </x:c>
      <x:c r="J34" s="32" t="n">
        <x:v>0.8184551341350601</x:v>
      </x:c>
    </x:row>
    <x:row r="35">
      <x:c r="A35" s="65" t="n">
        <x:v>45632</x:v>
      </x:c>
      <x:c r="B35" s="20" t="str">
        <x:v>Llama 3.3 70B</x:v>
      </x:c>
      <x:c r="C35" s="68" t="n">
        <x:v>70</x:v>
      </x:c>
      <x:c r="D35" s="68" t="n">
        <x:v>65.93034343188609</x:v>
      </x:c>
      <x:c r="E35" s="29" t="n">
        <x:f>MAX(D35/C35,C35/D35)</x:f>
        <x:v>1.0617266095742146</x:v>
      </x:c>
      <x:c r="F35" s="29" t="n">
        <x:f>D35/C35</x:f>
        <x:v>0.9418620490269441</x:v>
      </x:c>
      <x:c r="G35" s="26" t="n">
        <x:v>2</x:v>
      </x:c>
      <x:c r="H35" s="71" t="str">
        <x:v>ECI: 0.06T | Compute: 0.07T</x:v>
      </x:c>
      <x:c r="I35" s="65" t="n">
        <x:v>45631</x:v>
      </x:c>
      <x:c r="J35" s="32" t="n">
        <x:v>0.9513376200682702</x:v>
      </x:c>
    </x:row>
    <x:row r="36">
      <x:c r="A36" s="65" t="n">
        <x:v>45400</x:v>
      </x:c>
      <x:c r="B36" s="20" t="str">
        <x:v>Llama 3-70B</x:v>
      </x:c>
      <x:c r="C36" s="68" t="n">
        <x:v>70</x:v>
      </x:c>
      <x:c r="D36" s="68" t="n">
        <x:v>38.40323498159941</x:v>
      </x:c>
      <x:c r="E36" s="29" t="n">
        <x:f>MAX(D36/C36,C36/D36)</x:f>
        <x:v>1.8227631092417063</x:v>
      </x:c>
      <x:c r="F36" s="29" t="n">
        <x:f>D36/C36</x:f>
        <x:v>0.5486176425942773</x:v>
      </x:c>
      <x:c r="G36" s="26" t="n">
        <x:v>2</x:v>
      </x:c>
      <x:c r="H36" s="71" t="str">
        <x:v>ECI: 0.03T | Compute: 0.10T</x:v>
      </x:c>
      <x:c r="I36" s="65" t="n">
        <x:v>45399</x:v>
      </x:c>
      <x:c r="J36" s="32" t="n">
        <x:v>1</x:v>
      </x:c>
    </x:row>
    <x:row r="37">
      <x:c r="A37" s="65" t="n">
        <x:v>45400</x:v>
      </x:c>
      <x:c r="B37" s="20" t="str">
        <x:v>Llama 3-8B</x:v>
      </x:c>
      <x:c r="C37" s="68" t="n">
        <x:v>8</x:v>
      </x:c>
      <x:c r="D37" s="68" t="n">
        <x:v>23.17546818653554</x:v>
      </x:c>
      <x:c r="E37" s="29" t="n">
        <x:f>MAX(D37/C37,C37/D37)</x:f>
        <x:v>2.8969335233169424</x:v>
      </x:c>
      <x:c r="F37" s="29" t="n">
        <x:f>D37/C37</x:f>
        <x:v>2.8969335233169424</x:v>
      </x:c>
      <x:c r="G37" s="26" t="n">
        <x:v>2</x:v>
      </x:c>
      <x:c r="H37" s="71" t="str">
        <x:v>ECI: 0.02T | Compute: 0.03T</x:v>
      </x:c>
      <x:c r="I37" s="65" t="n">
        <x:v>45399</x:v>
      </x:c>
      <x:c r="J37" s="32" t="n">
        <x:v>0.9094794094794094</x:v>
      </x:c>
    </x:row>
    <x:row r="38">
      <x:c r="A38" s="65" t="n">
        <x:v>45752</x:v>
      </x:c>
      <x:c r="B38" s="20" t="str">
        <x:v>Llama 4 Maverick</x:v>
      </x:c>
      <x:c r="C38" s="68" t="n">
        <x:v>400</x:v>
      </x:c>
      <x:c r="D38" s="68" t="n">
        <x:v>75.80926846302135</x:v>
      </x:c>
      <x:c r="E38" s="29" t="n">
        <x:f>MAX(D38/C38,C38/D38)</x:f>
        <x:v>5.27639968185571</x:v>
      </x:c>
      <x:c r="F38" s="29" t="n">
        <x:f>D38/C38</x:f>
        <x:v>0.18952317115755338</x:v>
      </x:c>
      <x:c r="G38" s="26" t="n">
        <x:v>2</x:v>
      </x:c>
      <x:c r="H38" s="71" t="str">
        <x:v>ECI: 0.09T | Compute: 0.05T</x:v>
      </x:c>
      <x:c r="I38" s="65" t="n">
        <x:v>45740</x:v>
      </x:c>
      <x:c r="J38" s="32" t="n">
        <x:v>0.9493955761316872</x:v>
      </x:c>
    </x:row>
    <x:row r="39">
      <x:c r="A39" s="65" t="n">
        <x:v>45752</x:v>
      </x:c>
      <x:c r="B39" s="20" t="str">
        <x:v>Llama 4 Scout</x:v>
      </x:c>
      <x:c r="C39" s="68" t="n">
        <x:v>109</x:v>
      </x:c>
      <x:c r="D39" s="68" t="n">
        <x:v>68.24703393140769</x:v>
      </x:c>
      <x:c r="E39" s="29" t="n">
        <x:f>MAX(D39/C39,C39/D39)</x:f>
        <x:v>1.5971390069427993</x:v>
      </x:c>
      <x:c r="F39" s="29" t="n">
        <x:f>D39/C39</x:f>
        <x:v>0.6261195773523641</x:v>
      </x:c>
      <x:c r="G39" s="26" t="n">
        <x:v>2</x:v>
      </x:c>
      <x:c r="H39" s="71" t="str">
        <x:v>ECI: 0.07T | Compute: 0.06T</x:v>
      </x:c>
      <x:c r="I39" s="65" t="n">
        <x:v>45740</x:v>
      </x:c>
      <x:c r="J39" s="32" t="n">
        <x:v>0.94653420781893</x:v>
      </x:c>
    </x:row>
    <x:row r="40">
      <x:c r="A40" s="65" t="n">
        <x:v>46007</x:v>
      </x:c>
      <x:c r="B40" s="20" t="str">
        <x:v>MiMo-V2-Flash Reasoning</x:v>
      </x:c>
      <x:c r="C40" s="68" t="n">
        <x:v>309</x:v>
      </x:c>
      <x:c r="D40" s="68" t="n">
        <x:v>472.86520857888615</x:v>
      </x:c>
      <x:c r="E40" s="29" t="n">
        <x:f>MAX(D40/C40,C40/D40)</x:f>
        <x:v>1.5303081183782723</x:v>
      </x:c>
      <x:c r="F40" s="29" t="n">
        <x:f>D40/C40</x:f>
        <x:v>1.5303081183782723</x:v>
      </x:c>
      <x:c r="G40" s="26" t="n">
        <x:v>2</x:v>
      </x:c>
      <x:c r="H40" s="71" t="str">
        <x:v>AA: 0.84T | Compute: 0.05T</x:v>
      </x:c>
      <x:c r="I40" s="65" t="n">
        <x:v>46006</x:v>
      </x:c>
      <x:c r="J40" s="32" t="n">
        <x:v>0.8826480424945897</x:v>
      </x:c>
    </x:row>
    <x:row r="41">
      <x:c r="A41" s="65" t="n">
        <x:v>46065</x:v>
      </x:c>
      <x:c r="B41" s="20" t="str">
        <x:v>MiniMax-M2.5</x:v>
      </x:c>
      <x:c r="C41" s="68" t="n">
        <x:v>228.703644928</x:v>
      </x:c>
      <x:c r="D41" s="68" t="n">
        <x:v>491.85715228430377</x:v>
      </x:c>
      <x:c r="E41" s="29" t="n">
        <x:f>MAX(D41/C41,C41/D41)</x:f>
        <x:v>2.150631016130719</x:v>
      </x:c>
      <x:c r="F41" s="29" t="n">
        <x:f>D41/C41</x:f>
        <x:v>2.150631016130719</x:v>
      </x:c>
      <x:c r="G41" s="26" t="n">
        <x:v>2</x:v>
      </x:c>
      <x:c r="H41" s="71" t="str">
        <x:v>AA: 0.75T | ECI: 0.32T</x:v>
      </x:c>
      <x:c r="I41" s="65" t="n">
        <x:v>46064</x:v>
      </x:c>
      <x:c r="J41" s="32" t="n">
        <x:v>0.93125</x:v>
      </x:c>
    </x:row>
    <x:row r="42">
      <x:c r="A42" s="65" t="n">
        <x:v>46099</x:v>
      </x:c>
      <x:c r="B42" s="20" t="str">
        <x:v>MiniMax-M2.7</x:v>
      </x:c>
      <x:c r="C42" s="68" t="n">
        <x:v>228.703644928</x:v>
      </x:c>
      <x:c r="D42" s="68" t="n">
        <x:v>462.8283533617697</x:v>
      </x:c>
      <x:c r="E42" s="29" t="n">
        <x:f>MAX(D42/C42,C42/D42)</x:f>
        <x:v>2.0237034416634523</x:v>
      </x:c>
      <x:c r="F42" s="29" t="n">
        <x:f>D42/C42</x:f>
        <x:v>2.0237034416634523</x:v>
      </x:c>
      <x:c r="G42" s="26" t="n">
        <x:v>2</x:v>
      </x:c>
      <x:c r="H42" s="71" t="str">
        <x:v>AA: 0.76T | ECI: 0.28T</x:v>
      </x:c>
      <x:c r="I42" s="65" t="n">
        <x:v>46092</x:v>
      </x:c>
      <x:c r="J42" s="32" t="n">
        <x:v>0.9544299201161945</x:v>
      </x:c>
    </x:row>
    <x:row r="43">
      <x:c r="A43" s="65" t="n">
        <x:v>45399</x:v>
      </x:c>
      <x:c r="B43" s="20" t="str">
        <x:v>Mixtral 8x22B</x:v>
      </x:c>
      <x:c r="C43" s="68" t="n">
        <x:v>141</x:v>
      </x:c>
      <x:c r="D43" s="68" t="n">
        <x:v>22.79182746394447</x:v>
      </x:c>
      <x:c r="E43" s="29" t="n">
        <x:f>MAX(D43/C43,C43/D43)</x:f>
        <x:v>6.186428017808355</x:v>
      </x:c>
      <x:c r="F43" s="29" t="n">
        <x:f>D43/C43</x:f>
        <x:v>0.16164416641095367</x:v>
      </x:c>
      <x:c r="G43" s="26" t="n">
        <x:v>2</x:v>
      </x:c>
      <x:c r="H43" s="71" t="str">
        <x:v>ECI: 0.02T | Compute: 0.06T</x:v>
      </x:c>
      <x:c r="I43" s="65" t="n">
        <x:v>45390</x:v>
      </x:c>
      <x:c r="J43" s="32" t="n">
        <x:v>0.9894366197183099</x:v>
      </x:c>
    </x:row>
    <x:row r="44">
      <x:c r="A44" s="65" t="n">
        <x:v>45271</x:v>
      </x:c>
      <x:c r="B44" s="20" t="str">
        <x:v>Mixtral 8x7B</x:v>
      </x:c>
      <x:c r="C44" s="68" t="n">
        <x:v>46.7</x:v>
      </x:c>
      <x:c r="D44" s="68" t="n">
        <x:v>25.846933447529654</x:v>
      </x:c>
      <x:c r="E44" s="29" t="n">
        <x:f>MAX(D44/C44,C44/D44)</x:f>
        <x:v>1.8067907395979077</x:v>
      </x:c>
      <x:c r="F44" s="29" t="n">
        <x:f>D44/C44</x:f>
        <x:v>0.5534675256430333</x:v>
      </x:c>
      <x:c r="G44" s="26" t="n">
        <x:v>2</x:v>
      </x:c>
      <x:c r="H44" s="71" t="str">
        <x:v>ECI: 0.02T | Compute: 0.04T</x:v>
      </x:c>
      <x:c r="I44" s="65" t="n">
        <x:v>45268</x:v>
      </x:c>
      <x:c r="J44" s="32" t="n">
        <x:v>0.9776785714285714</x:v>
      </x:c>
    </x:row>
    <x:row r="45">
      <x:c r="A45" s="65" t="n">
        <x:v>46006</x:v>
      </x:c>
      <x:c r="B45" s="20" t="str">
        <x:v>Nemotron 3 Nano 30B A3B Reasoning</x:v>
      </x:c>
      <x:c r="C45" s="68" t="n">
        <x:v>31.6</x:v>
      </x:c>
      <x:c r="D45" s="68" t="n">
        <x:v>125.71407165192826</x:v>
      </x:c>
      <x:c r="E45" s="29" t="n">
        <x:f>MAX(D45/C45,C45/D45)</x:f>
        <x:v>3.9782934067065905</x:v>
      </x:c>
      <x:c r="F45" s="29" t="n">
        <x:f>D45/C45</x:f>
        <x:v>3.9782934067065905</x:v>
      </x:c>
      <x:c r="G45" s="26" t="n">
        <x:v>2</x:v>
      </x:c>
      <x:c r="H45" s="71" t="str">
        <x:v>AA: 0.19T | Compute: 0.02T</x:v>
      </x:c>
      <x:c r="I45" s="65" t="n">
        <x:v>46003</x:v>
      </x:c>
      <x:c r="J45" s="32" t="n">
        <x:v>0.42156040268456374</x:v>
      </x:c>
    </x:row>
    <x:row r="46">
      <x:c r="A46" s="65" t="n">
        <x:v>45272</x:v>
      </x:c>
      <x:c r="B46" s="20" t="str">
        <x:v>Phi-2</x:v>
      </x:c>
      <x:c r="C46" s="68" t="n">
        <x:v>2.7</x:v>
      </x:c>
      <x:c r="D46" s="68" t="n">
        <x:v>14.221378554198127</x:v>
      </x:c>
      <x:c r="E46" s="29" t="n">
        <x:f>MAX(D46/C46,C46/D46)</x:f>
        <x:v>5.2671772422956025</x:v>
      </x:c>
      <x:c r="F46" s="29" t="n">
        <x:f>D46/C46</x:f>
        <x:v>5.2671772422956025</x:v>
      </x:c>
      <x:c r="G46" s="26" t="n">
        <x:v>2</x:v>
      </x:c>
      <x:c r="H46" s="71" t="str">
        <x:v>ECI: 0.02T | Compute: 0.01T</x:v>
      </x:c>
      <x:c r="I46" s="65" t="n">
        <x:v>45271</x:v>
      </x:c>
      <x:c r="J46" s="32" t="n">
        <x:v>0.5707646176911544</x:v>
      </x:c>
    </x:row>
    <x:row r="47">
      <x:c r="A47" s="65" t="n">
        <x:v>45405</x:v>
      </x:c>
      <x:c r="B47" s="20" t="str">
        <x:v>phi-3-medium 14B</x:v>
      </x:c>
      <x:c r="C47" s="68" t="n">
        <x:v>14</x:v>
      </x:c>
      <x:c r="D47" s="68" t="n">
        <x:v>31.694296926261732</x:v>
      </x:c>
      <x:c r="E47" s="29" t="n">
        <x:f>MAX(D47/C47,C47/D47)</x:f>
        <x:v>2.263878351875838</x:v>
      </x:c>
      <x:c r="F47" s="29" t="n">
        <x:f>D47/C47</x:f>
        <x:v>2.263878351875838</x:v>
      </x:c>
      <x:c r="G47" s="26" t="n">
        <x:v>2</x:v>
      </x:c>
      <x:c r="H47" s="71" t="str">
        <x:v>ECI: 0.03T | Compute: 0.03T</x:v>
      </x:c>
      <x:c r="I47" s="65" t="n">
        <x:v>45400</x:v>
      </x:c>
      <x:c r="J47" s="32" t="n">
        <x:v>0.9188896899783705</x:v>
      </x:c>
    </x:row>
    <x:row r="48">
      <x:c r="A48" s="65" t="n">
        <x:v>45405</x:v>
      </x:c>
      <x:c r="B48" s="20" t="str">
        <x:v>phi-3-mini 3.8B</x:v>
      </x:c>
      <x:c r="C48" s="68" t="n">
        <x:v>3.8</x:v>
      </x:c>
      <x:c r="D48" s="68" t="n">
        <x:v>22.55730300184776</x:v>
      </x:c>
      <x:c r="E48" s="29" t="n">
        <x:f>MAX(D48/C48,C48/D48)</x:f>
        <x:v>5.936132368907305</x:v>
      </x:c>
      <x:c r="F48" s="29" t="n">
        <x:f>D48/C48</x:f>
        <x:v>5.936132368907305</x:v>
      </x:c>
      <x:c r="G48" s="26" t="n">
        <x:v>2</x:v>
      </x:c>
      <x:c r="H48" s="71" t="str">
        <x:v>ECI: 0.03T | Compute: 0.01T</x:v>
      </x:c>
      <x:c r="I48" s="65" t="n">
        <x:v>45400</x:v>
      </x:c>
      <x:c r="J48" s="32" t="n">
        <x:v>0.7247656813266041</x:v>
      </x:c>
    </x:row>
    <x:row r="49">
      <x:c r="A49" s="65" t="n">
        <x:v>45405</x:v>
      </x:c>
      <x:c r="B49" s="20" t="str">
        <x:v>phi-3-small 7.4B</x:v>
      </x:c>
      <x:c r="C49" s="68" t="n">
        <x:v>7.4</x:v>
      </x:c>
      <x:c r="D49" s="68" t="n">
        <x:v>30.688589819992462</x:v>
      </x:c>
      <x:c r="E49" s="29" t="n">
        <x:f>MAX(D49/C49,C49/D49)</x:f>
        <x:v>4.147106732431413</x:v>
      </x:c>
      <x:c r="F49" s="29" t="n">
        <x:f>D49/C49</x:f>
        <x:v>4.147106732431413</x:v>
      </x:c>
      <x:c r="G49" s="26" t="n">
        <x:v>2</x:v>
      </x:c>
      <x:c r="H49" s="71" t="str">
        <x:v>ECI: 0.03T | Compute: 0.02T</x:v>
      </x:c>
      <x:c r="I49" s="65" t="n">
        <x:v>45400</x:v>
      </x:c>
      <x:c r="J49" s="32" t="n">
        <x:v>0.8704037490987744</x:v>
      </x:c>
    </x:row>
    <x:row r="50">
      <x:c r="A50" s="65" t="n">
        <x:v>45638</x:v>
      </x:c>
      <x:c r="B50" s="20" t="str">
        <x:v>Phi-4</x:v>
      </x:c>
      <x:c r="C50" s="68" t="n">
        <x:v>14</x:v>
      </x:c>
      <x:c r="D50" s="68" t="n">
        <x:v>71.97322659306649</x:v>
      </x:c>
      <x:c r="E50" s="29" t="n">
        <x:f>MAX(D50/C50,C50/D50)</x:f>
        <x:v>5.140944756647606</x:v>
      </x:c>
      <x:c r="F50" s="29" t="n">
        <x:f>D50/C50</x:f>
        <x:v>5.140944756647606</x:v>
      </x:c>
      <x:c r="G50" s="26" t="n">
        <x:v>2</x:v>
      </x:c>
      <x:c r="H50" s="71" t="str">
        <x:v>ECI: 0.09T | Compute: 0.03T</x:v>
      </x:c>
      <x:c r="I50" s="65" t="n">
        <x:v>45635</x:v>
      </x:c>
      <x:c r="J50" s="32" t="n">
        <x:v>0.9444444444444444</x:v>
      </x:c>
    </x:row>
    <x:row r="51">
      <x:c r="A51" s="65" t="n">
        <x:v>45554</x:v>
      </x:c>
      <x:c r="B51" s="20" t="str">
        <x:v>Qwen2.5-72B</x:v>
      </x:c>
      <x:c r="C51" s="68" t="n">
        <x:v>72.7</x:v>
      </x:c>
      <x:c r="D51" s="68" t="n">
        <x:v>74.2356703760557</x:v>
      </x:c>
      <x:c r="E51" s="29" t="n">
        <x:f>MAX(D51/C51,C51/D51)</x:f>
        <x:v>1.021123388941619</x:v>
      </x:c>
      <x:c r="F51" s="29" t="n">
        <x:f>D51/C51</x:f>
        <x:v>1.021123388941619</x:v>
      </x:c>
      <x:c r="G51" s="26" t="n">
        <x:v>2</x:v>
      </x:c>
      <x:c r="H51" s="71" t="str">
        <x:v>ECI: 0.07T | Compute: 0.08T</x:v>
      </x:c>
      <x:c r="I51" s="65" t="n">
        <x:v>45553</x:v>
      </x:c>
      <x:c r="J51" s="32" t="n">
        <x:v>0.9900497512437811</x:v>
      </x:c>
    </x:row>
    <x:row r="52">
      <x:c r="A52" s="65" t="n">
        <x:v>45553</x:v>
      </x:c>
      <x:c r="B52" s="20" t="str">
        <x:v>Qwen2.5-Coder-32B</x:v>
      </x:c>
      <x:c r="C52" s="68" t="n">
        <x:v>32.5</x:v>
      </x:c>
      <x:c r="D52" s="68" t="n">
        <x:v>34.52192587088393</x:v>
      </x:c>
      <x:c r="E52" s="29" t="n">
        <x:f>MAX(D52/C52,C52/D52)</x:f>
        <x:v>1.0622131037195057</x:v>
      </x:c>
      <x:c r="F52" s="29" t="n">
        <x:f>D52/C52</x:f>
        <x:v>1.0622131037195057</x:v>
      </x:c>
      <x:c r="G52" s="26" t="n">
        <x:v>2</x:v>
      </x:c>
      <x:c r="H52" s="71" t="str">
        <x:v>ECI: 0.04T | Compute: 0.03T</x:v>
      </x:c>
      <x:c r="I52" s="65" t="n">
        <x:v>45541</x:v>
      </x:c>
      <x:c r="J52" s="32" t="n">
        <x:v>0.8485671191553544</x:v>
      </x:c>
    </x:row>
    <x:row r="53">
      <x:c r="A53" s="65" t="n">
        <x:v>45450</x:v>
      </x:c>
      <x:c r="B53" s="20" t="str">
        <x:v>Qwen2-72B</x:v>
      </x:c>
      <x:c r="C53" s="68" t="n">
        <x:v>72.71</x:v>
      </x:c>
      <x:c r="D53" s="68" t="n">
        <x:v>60.08058242863954</x:v>
      </x:c>
      <x:c r="E53" s="29" t="n">
        <x:f>MAX(D53/C53,C53/D53)</x:f>
        <x:v>1.2102079750368764</x:v>
      </x:c>
      <x:c r="F53" s="29" t="n">
        <x:f>D53/C53</x:f>
        <x:v>0.8263042556545117</x:v>
      </x:c>
      <x:c r="G53" s="26" t="n">
        <x:v>2</x:v>
      </x:c>
      <x:c r="H53" s="71" t="str">
        <x:v>ECI: 0.06T | Compute: 0.06T</x:v>
      </x:c>
      <x:c r="I53" s="65" t="n">
        <x:v>45446</x:v>
      </x:c>
      <x:c r="J53" s="32" t="n">
        <x:v>0.9941176470588236</x:v>
      </x:c>
    </x:row>
    <x:row r="54">
      <x:c r="A54" s="65" t="n">
        <x:v>46128</x:v>
      </x:c>
      <x:c r="B54" s="20" t="str">
        <x:v>Qwen3.6-35B-A3B Reasoning</x:v>
      </x:c>
      <x:c r="C54" s="68" t="n">
        <x:v>36</x:v>
      </x:c>
      <x:c r="D54" s="68" t="n">
        <x:v>224.6176021215034</x:v>
      </x:c>
      <x:c r="E54" s="29" t="n">
        <x:f>MAX(D54/C54,C54/D54)</x:f>
        <x:v>6.239377836708428</x:v>
      </x:c>
      <x:c r="F54" s="29" t="n">
        <x:f>D54/C54</x:f>
        <x:v>6.239377836708428</x:v>
      </x:c>
      <x:c r="G54" s="26" t="n">
        <x:v>2</x:v>
      </x:c>
      <x:c r="H54" s="71" t="str">
        <x:v>AA: 0.26T | ECI: 0.20T</x:v>
      </x:c>
      <x:c r="I54" s="65" t="n">
        <x:v>46121</x:v>
      </x:c>
      <x:c r="J54" s="32" t="n">
        <x:v>0.7930053547523427</x:v>
      </x:c>
    </x:row>
    <x:row r="55">
      <x:c r="A55" s="65" t="n">
        <x:v>45910</x:v>
      </x:c>
      <x:c r="B55" s="20" t="str">
        <x:v>Qwen3-Next-80B-A3B</x:v>
      </x:c>
      <x:c r="C55" s="68" t="n">
        <x:v>80</x:v>
      </x:c>
      <x:c r="D55" s="68" t="n">
        <x:v>483.17740574444605</x:v>
      </x:c>
      <x:c r="E55" s="29" t="n">
        <x:f>MAX(D55/C55,C55/D55)</x:f>
        <x:v>6.039717571805576</x:v>
      </x:c>
      <x:c r="F55" s="29" t="n">
        <x:f>D55/C55</x:f>
        <x:v>6.039717571805576</x:v>
      </x:c>
      <x:c r="G55" s="26" t="n">
        <x:v>2</x:v>
      </x:c>
      <x:c r="H55" s="71" t="str">
        <x:v>No-CoT: 0.67T | Compute: 0.02T</x:v>
      </x:c>
      <x:c r="I55" s="65" t="n">
        <x:v>45905</x:v>
      </x:c>
      <x:c r="J55" s="32" t="n">
        <x:v>0.7235001840264998</x:v>
      </x:c>
    </x:row>
    <x:row r="56">
      <x:c r="A56" s="65" t="n">
        <x:v>45342</x:v>
      </x:c>
      <x:c r="B56" s="20" t="str">
        <x:v>StarCoder 2 15B</x:v>
      </x:c>
      <x:c r="C56" s="68" t="n">
        <x:v>15</x:v>
      </x:c>
      <x:c r="D56" s="68" t="n">
        <x:v>12.798096927184892</x:v>
      </x:c>
      <x:c r="E56" s="29" t="n">
        <x:f>MAX(D56/C56,C56/D56)</x:f>
        <x:v>1.1720492574281078</x:v>
      </x:c>
      <x:c r="F56" s="29" t="n">
        <x:f>D56/C56</x:f>
        <x:v>0.8532064618123261</x:v>
      </x:c>
      <x:c r="G56" s="26" t="n">
        <x:v>2</x:v>
      </x:c>
      <x:c r="H56" s="71" t="str">
        <x:v>ECI: 0.01T | Compute: 0.03T</x:v>
      </x:c>
      <x:c r="I56" s="65" t="n">
        <x:v>45326</x:v>
      </x:c>
      <x:c r="J56" s="32" t="n">
        <x:v>0.750381679389313</x:v>
      </x:c>
    </x:row>
    <x:row r="57">
      <x:c r="A57" s="65" t="n">
        <x:v>45344</x:v>
      </x:c>
      <x:c r="B57" s="20" t="str">
        <x:v>StarCoder 2 3B</x:v>
      </x:c>
      <x:c r="C57" s="68" t="n">
        <x:v>3</x:v>
      </x:c>
      <x:c r="D57" s="68" t="n">
        <x:v>4.853682607138027</x:v>
      </x:c>
      <x:c r="E57" s="29" t="n">
        <x:f>MAX(D57/C57,C57/D57)</x:f>
        <x:v>1.6178942023793423</x:v>
      </x:c>
      <x:c r="F57" s="29" t="n">
        <x:f>D57/C57</x:f>
        <x:v>1.6178942023793423</x:v>
      </x:c>
      <x:c r="G57" s="26" t="n">
        <x:v>2</x:v>
      </x:c>
      <x:c r="H57" s="71" t="str">
        <x:v>ECI: 0.00T | Compute: 0.01T</x:v>
      </x:c>
      <x:c r="I57" s="65" t="n">
        <x:v>45343</x:v>
      </x:c>
      <x:c r="J57" s="32" t="n">
        <x:v>0.30348583877995644</x:v>
      </x:c>
    </x:row>
    <x:row r="58">
      <x:c r="A58" s="65" t="n">
        <x:v>45342</x:v>
      </x:c>
      <x:c r="B58" s="20" t="str">
        <x:v>StarCoder 2 7B</x:v>
      </x:c>
      <x:c r="C58" s="68" t="n">
        <x:v>7</x:v>
      </x:c>
      <x:c r="D58" s="68" t="n">
        <x:v>7.169681209759811</x:v>
      </x:c>
      <x:c r="E58" s="29" t="n">
        <x:f>MAX(D58/C58,C58/D58)</x:f>
        <x:v>1.02424017282283</x:v>
      </x:c>
      <x:c r="F58" s="29" t="n">
        <x:f>D58/C58</x:f>
        <x:v>1.02424017282283</x:v>
      </x:c>
      <x:c r="G58" s="26" t="n">
        <x:v>2</x:v>
      </x:c>
      <x:c r="H58" s="71" t="str">
        <x:v>ECI: 0.01T | Compute: 0.02T</x:v>
      </x:c>
      <x:c r="I58" s="65" t="n">
        <x:v>45326</x:v>
      </x:c>
      <x:c r="J58" s="32" t="n">
        <x:v>0.4907124681933842</x:v>
      </x:c>
    </x:row>
    <x:row r="59">
      <x:c r="A59" s="66" t="n">
        <x:v>45252</x:v>
      </x:c>
      <x:c r="B59" s="21" t="str">
        <x:v>Yi-34B</x:v>
      </x:c>
      <x:c r="C59" s="69" t="n">
        <x:v>34</x:v>
      </x:c>
      <x:c r="D59" s="69" t="n">
        <x:v>24.354852344319646</x:v>
      </x:c>
      <x:c r="E59" s="30" t="n">
        <x:f>MAX(D59/C59,C59/D59)</x:f>
        <x:v>1.3960257085249757</x:v>
      </x:c>
      <x:c r="F59" s="30" t="n">
        <x:f>D59/C59</x:f>
        <x:v>0.7163191865976366</x:v>
      </x:c>
      <x:c r="G59" s="27" t="n">
        <x:v>2</x:v>
      </x:c>
      <x:c r="H59" s="72" t="str">
        <x:v>ECI: 0.02T | Compute: 0.03T</x:v>
      </x:c>
      <x:c r="I59" s="66" t="n">
        <x:v>45245</x:v>
      </x:c>
      <x:c r="J59" s="33" t="n">
        <x:v>0.9855769230769231</x:v>
      </x:c>
    </x:row>
  </x:sheetData>
  <x:mergeCells>
    <x:mergeCell ref="A1:J1"/>
    <x:mergeCell ref="A2:J3"/>
    <x:mergeCell ref="A14:J14"/>
  </x:mergeCells>
  <x:conditionalFormatting sqref="E16:E59">
    <x:cfRule type="cellIs" dxfId="3" priority="1" operator="greaterThan">
      <x:formula>3</x:formula>
    </x:cfRule>
  </x:conditionalFormatting>
  <x:pageMargins left="0.7" right="0.7" top="0.75" bottom="0.75" header="0.3" footer="0.3"/>
  <x:tableParts count="1">
    <x:tablePart xmlns:r="http://schemas.openxmlformats.org/officeDocument/2006/relationships" r:id="R8ce8dbed486d4b5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 min="3" max="3" width="16" hidden="0" customWidth="1"/>
    <x:col min="4" max="4" width="16" hidden="0" customWidth="1"/>
    <x:col min="5" max="5" width="16" hidden="0" customWidth="1"/>
    <x:col min="6" max="6" width="16" hidden="0" customWidth="1"/>
    <x:col min="7" max="7" width="44" hidden="0" customWidth="1"/>
    <x:col min="8" max="8" width="68" hidden="0" customWidth="1"/>
  </x:cols>
  <x:sheetData>
    <x:row r="1" ht="36" customHeight="1">
      <x:c r="A1" s="3" t="str">
        <x:v>External anchor checks</x:v>
      </x:c>
      <x:c r="B1" s="3"/>
      <x:c r="C1" s="3"/>
      <x:c r="D1" s="3"/>
      <x:c r="E1" s="3"/>
      <x:c r="F1" s="3"/>
      <x:c r="G1" s="3"/>
      <x:c r="H1" s="3"/>
    </x:row>
    <x:row r="2">
      <x:c r="A2" s="6" t="str">
        <x:v>These checks compare pre-lock component outputs with subsequently supplied disclosed totals. They are not part of the expanding-window panel and should be read as two encouraging case studies, not an estimated generalization rate.</x:v>
      </x:c>
      <x:c r="B2" s="6"/>
      <x:c r="C2" s="6"/>
      <x:c r="D2" s="6"/>
      <x:c r="E2" s="6"/>
      <x:c r="F2" s="6"/>
      <x:c r="G2" s="6"/>
      <x:c r="H2" s="6"/>
    </x:row>
    <x:row r="3">
      <x:c r="A3" s="6"/>
      <x:c r="B3" s="6"/>
      <x:c r="C3" s="6"/>
      <x:c r="D3" s="6"/>
      <x:c r="E3" s="6"/>
      <x:c r="F3" s="6"/>
      <x:c r="G3" s="6"/>
      <x:c r="H3" s="6"/>
    </x:row>
    <x:row r="5" ht="32" customHeight="1">
      <x:c r="A5" s="14" t="str">
        <x:v>Anchor</x:v>
      </x:c>
      <x:c r="B5" s="14" t="str">
        <x:v>Method</x:v>
      </x:c>
      <x:c r="C5" s="14" t="str">
        <x:v>Actual (B)</x:v>
      </x:c>
      <x:c r="D5" s="14" t="str">
        <x:v>Predicted (B)</x:v>
      </x:c>
      <x:c r="E5" s="14" t="str">
        <x:v>Factor error</x:v>
      </x:c>
      <x:c r="F5" s="14" t="str">
        <x:v>Train n</x:v>
      </x:c>
      <x:c r="G5" s="14" t="str">
        <x:v>Coefficients</x:v>
      </x:c>
      <x:c r="H5" s="14" t="str">
        <x:v>Note</x:v>
      </x:c>
    </x:row>
    <x:row r="6">
      <x:c r="A6" s="19" t="str">
        <x:v>Kimi K3</x:v>
      </x:c>
      <x:c r="B6" s="19" t="str">
        <x:v>AA expanding fit</x:v>
      </x:c>
      <x:c r="C6" s="67" t="n">
        <x:v>2780</x:v>
      </x:c>
      <x:c r="D6" s="67" t="n">
        <x:v>2506.9559161671764</x:v>
      </x:c>
      <x:c r="E6" s="28" t="n">
        <x:f>MAX(D6/C6,C6/D6)</x:f>
        <x:v>1.108914593221198</x:v>
      </x:c>
      <x:c r="F6" s="25" t="n">
        <x:v>50</x:v>
      </x:c>
      <x:c r="G6" s="70" t="str">
        <x:v>2.6255, 0.0472, -0.5430</x:v>
      </x:c>
      <x:c r="H6" s="70" t="str">
        <x:v>Pre-calibration external check; current AA snapshot, exact release date.</x:v>
      </x:c>
    </x:row>
    <x:row r="7">
      <x:c r="A7" s="20" t="str">
        <x:v>Kimi K3</x:v>
      </x:c>
      <x:c r="B7" s="20" t="str">
        <x:v>AA expanding fit; all Kimi held out</x:v>
      </x:c>
      <x:c r="C7" s="68" t="n">
        <x:v>2780</x:v>
      </x:c>
      <x:c r="D7" s="68" t="n">
        <x:v>2242.8774539771252</x:v>
      </x:c>
      <x:c r="E7" s="29" t="n">
        <x:f>MAX(D7/C7,C7/D7)</x:f>
        <x:v>1.2394792212434236</x:v>
      </x:c>
      <x:c r="F7" s="26" t="n">
        <x:v>46</x:v>
      </x:c>
      <x:c r="G7" s="71" t="str">
        <x:v>2.5524, 0.0454, -0.5078</x:v>
      </x:c>
      <x:c r="H7" s="71" t="str">
        <x:v>Pre-calibration external check; current AA snapshot, exact release date.</x:v>
      </x:c>
    </x:row>
    <x:row r="8">
      <x:c r="A8" s="20" t="str">
        <x:v>Grok 4.5</x:v>
      </x:c>
      <x:c r="B8" s="20" t="str">
        <x:v>AA direct chronological panel fit</x:v>
      </x:c>
      <x:c r="C8" s="68" t="n">
        <x:v>1500</x:v>
      </x:c>
      <x:c r="D8" s="68" t="n">
        <x:v>1409.8588147134335</x:v>
      </x:c>
      <x:c r="E8" s="29" t="n">
        <x:f>MAX(D8/C8,C8/D8)</x:f>
        <x:v>1.063936320676825</x:v>
      </x:c>
      <x:c r="F8" s="26" t="n">
        <x:v>47</x:v>
      </x:c>
      <x:c r="G8" s="71" t="str">
        <x:v>3.3648, 0.0499, -0.8256</x:v>
      </x:c>
      <x:c r="H8" s="71" t="str">
        <x:v>Directly refit from the pinned regression panel using only strictly earlier releases. The disclosed 1.5T target is hidden from fitting; weak branch performance is retained as a stress check.</x:v>
      </x:c>
    </x:row>
    <x:row r="9">
      <x:c r="A9" s="20" t="str">
        <x:v>Grok 4.5</x:v>
      </x:c>
      <x:c r="B9" s="20" t="str">
        <x:v>ECI direct chronological 60/40 panel fit</x:v>
      </x:c>
      <x:c r="C9" s="68" t="n">
        <x:v>1500</x:v>
      </x:c>
      <x:c r="D9" s="68" t="n">
        <x:v>448.9942987384369</x:v>
      </x:c>
      <x:c r="E9" s="29" t="n">
        <x:f>MAX(D9/C9,C9/D9)</x:f>
        <x:v>3.3407996587364908</x:v>
      </x:c>
      <x:c r="F9" s="26" t="n">
        <x:v>88</x:v>
      </x:c>
      <x:c r="G9" s="71" t="str">
        <x:v>-2.1693, 0.0317, -3.3146, 0.0450, -0.2872</x:v>
      </x:c>
      <x:c r="H9" s="71" t="str">
        <x:v>Directly refit from the pinned regression panel using only strictly earlier releases. The disclosed 1.5T target is hidden from fitting; weak branch performance is retained as a stress check.</x:v>
      </x:c>
    </x:row>
    <x:row r="10">
      <x:c r="A10" s="21" t="str">
        <x:v>Grok 4.5</x:v>
      </x:c>
      <x:c r="B10" s="21" t="str">
        <x:v>AA/ECI direct geometric ensemble before anchor lock</x:v>
      </x:c>
      <x:c r="C10" s="69" t="n">
        <x:v>1500</x:v>
      </x:c>
      <x:c r="D10" s="69" t="n">
        <x:v>795.6246412929038</x:v>
      </x:c>
      <x:c r="E10" s="30" t="n">
        <x:f>MAX(D10/C10,C10/D10)</x:f>
        <x:v>1.8853111406435001</x:v>
      </x:c>
      <x:c r="F10" s="27" t="n">
        <x:v>47</x:v>
      </x:c>
      <x:c r="G10" s="72" t="str"/>
      <x:c r="H10" s="72" t="str">
        <x:v>Geometric pool of the two independently refit direct panel checks. No site, compute, price, horizon, or locked-anchor value enters the prediction.</x:v>
      </x:c>
    </x:row>
    <x:row r="14">
      <x:c r="A14" s="46" t="str">
        <x:v>Interpretation: K3's expanding AA fit has 1.11× error; excluding every earlier Kimi lineage gives 1.24×. Grok's AA/ECI geometric estimate has 1.89× error. These checks are materially better than the broad panel average, but they are only two frontier-scale observations and may be lucky or lab-correlated.</x:v>
      </x:c>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sheetData>
  <x:mergeCells>
    <x:mergeCell ref="A1:H1"/>
    <x:mergeCell ref="A2:H3"/>
    <x:mergeCell ref="A14:H17"/>
  </x:mergeCells>
  <x:pageMargins left="0.7" right="0.7" top="0.75" bottom="0.75" header="0.3" footer="0.3"/>
  <x:tableParts count="1">
    <x:tablePart xmlns:r="http://schemas.openxmlformats.org/officeDocument/2006/relationships" r:id="R05ac6106ab8e418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72" hidden="0" customWidth="1"/>
    <x:col min="3" max="3" width="58" hidden="0" customWidth="1"/>
    <x:col min="4" max="4" width="19" hidden="0" customWidth="1"/>
    <x:col min="5" max="5" width="19" hidden="0" customWidth="1"/>
    <x:col min="6" max="6" width="19" hidden="0" customWidth="1"/>
    <x:col min="7" max="7" width="14" hidden="0" customWidth="1"/>
    <x:col min="8" max="8" width="14" hidden="0" customWidth="1"/>
  </x:cols>
  <x:sheetData>
    <x:row r="1" ht="36" customHeight="1">
      <x:c r="A1" s="3" t="str">
        <x:v>Method, data inventory, and limits</x:v>
      </x:c>
      <x:c r="B1" s="3"/>
      <x:c r="C1" s="3"/>
      <x:c r="D1" s="3"/>
      <x:c r="E1" s="3"/>
      <x:c r="F1" s="3"/>
      <x:c r="G1" s="3"/>
      <x:c r="H1" s="3"/>
    </x:row>
    <x:row r="2">
      <x:c r="A2" s="6" t="str">
        <x:v>This sheet records the exact evaluation contract. It is deliberately stricter than ordinary random cross-validation and deliberately narrower than a claim of real-time historical forecasting.</x:v>
      </x:c>
      <x:c r="B2" s="6"/>
      <x:c r="C2" s="6"/>
      <x:c r="D2" s="6"/>
      <x:c r="E2" s="6"/>
      <x:c r="F2" s="6"/>
      <x:c r="G2" s="6"/>
      <x:c r="H2" s="6"/>
    </x:row>
    <x:row r="3">
      <x:c r="A3" s="6"/>
      <x:c r="B3" s="6"/>
      <x:c r="C3" s="6"/>
      <x:c r="D3" s="6"/>
      <x:c r="E3" s="6"/>
      <x:c r="F3" s="6"/>
      <x:c r="G3" s="6"/>
      <x:c r="H3" s="6"/>
    </x:row>
    <x:row r="5">
      <x:c r="A5" s="9" t="str">
        <x:v>Evaluation contract</x:v>
      </x:c>
      <x:c r="B5" s="9"/>
      <x:c r="C5" s="9"/>
      <x:c r="D5" s="9"/>
      <x:c r="E5" s="9"/>
      <x:c r="F5" s="9"/>
      <x:c r="G5" s="9"/>
      <x:c r="H5" s="9"/>
    </x:row>
    <x:row r="6" ht="32" customHeight="1">
      <x:c r="A6" s="14" t="str">
        <x:v>Item</x:v>
      </x:c>
      <x:c r="B6" s="14" t="str">
        <x:v>Rule</x:v>
      </x:c>
      <x:c r="C6" s="14" t="str">
        <x:v>Why</x:v>
      </x:c>
    </x:row>
    <x:row r="7">
      <x:c r="A7" s="19" t="str">
        <x:v>Target</x:v>
      </x:c>
      <x:c r="B7" s="70" t="str">
        <x:v>log10 disclosed total parameters in billions</x:v>
      </x:c>
      <x:c r="C7" s="70" t="str">
        <x:v>Directly tests literal total-parameter recovery</x:v>
      </x:c>
    </x:row>
    <x:row r="8">
      <x:c r="A8" s="20" t="str">
        <x:v>Date split</x:v>
      </x:c>
      <x:c r="B8" s="71" t="str">
        <x:v>For AA, max(training release date, public parameter-label date, verified score-publication date) must be strictly earlier than the test score-publication date; release date remains the date feature. Other panels retain strict release-date ordering.</x:v>
      </x:c>
      <x:c r="C8" s="71" t="str">
        <x:v>Blocks future-checkpoint leakage</x:v>
      </x:c>
    </x:row>
    <x:row r="9">
      <x:c r="A9" s="20" t="str">
        <x:v>Preferred split</x:v>
      </x:c>
      <x:c r="B9" s="71" t="str">
        <x:v>chronological_family_holdout</x:v>
      </x:c>
      <x:c r="C9" s="71" t="str">
        <x:v>Blocks older sibling/lab-family leakage</x:v>
      </x:c>
    </x:row>
    <x:row r="10">
      <x:c r="A10" s="20" t="str">
        <x:v>Weights</x:v>
      </x:c>
      <x:c r="B10" s="71" t="str">
        <x:v>inverse checkpoint count per training family; AA estimated scores and broad ECI CIs receive 0.5 weight</x:v>
      </x:c>
      <x:c r="C10" s="71" t="str">
        <x:v>Prevents prolific families from dominating</x:v>
      </x:c>
    </x:row>
    <x:row r="11">
      <x:c r="A11" s="20" t="str">
        <x:v>Current-like status</x:v>
      </x:c>
      <x:c r="B11" s="71" t="str">
        <x:v>Specifications are compared transparently. Current-like specifications were designated from the live pipeline before reading this backtest.</x:v>
      </x:c>
      <x:c r="C11" s="71" t="str">
        <x:v>Avoids selecting a winner after seeing test results</x:v>
      </x:c>
    </x:row>
    <x:row r="12">
      <x:c r="A12" s="21" t="str">
        <x:v>Benchmark vintage</x:v>
      </x:c>
      <x:c r="B12" s="72" t="str">
        <x:v>Pseudo-chronological: current benchmark snapshots are used, so the exercise validates cross-model mapping and temporal extrapolation, not a fully vintage real-time forecast.</x:v>
      </x:c>
      <x:c r="C12" s="72" t="str">
        <x:v>Limits the causal interpretation</x:v>
      </x:c>
    </x:row>
    <x:row r="15">
      <x:c r="A15" s="9" t="str">
        <x:v>Panel inventory</x:v>
      </x:c>
      <x:c r="B15" s="9"/>
      <x:c r="C15" s="9"/>
      <x:c r="D15" s="9"/>
      <x:c r="E15" s="9"/>
      <x:c r="F15" s="9"/>
      <x:c r="G15" s="9"/>
      <x:c r="H15" s="9"/>
    </x:row>
    <x:row r="16" ht="32" customHeight="1">
      <x:c r="A16" s="14" t="str">
        <x:v>Panel</x:v>
      </x:c>
      <x:c r="B16" s="14" t="str">
        <x:v>Rows</x:v>
      </x:c>
      <x:c r="C16" s="14" t="str">
        <x:v>Families</x:v>
      </x:c>
      <x:c r="D16" s="14" t="str">
        <x:v>First release</x:v>
      </x:c>
      <x:c r="E16" s="14" t="str">
        <x:v>Last release</x:v>
      </x:c>
      <x:c r="F16" s="14" t="str">
        <x:v>Current-like specification</x:v>
      </x:c>
    </x:row>
    <x:row r="17">
      <x:c r="A17" s="19" t="str">
        <x:v>AA</x:v>
      </x:c>
      <x:c r="B17" s="25" t="n">
        <x:v>50</x:v>
      </x:c>
      <x:c r="C17" s="25" t="n">
        <x:v>22</x:v>
      </x:c>
      <x:c r="D17" s="64" t="n">
        <x:v>45859</x:v>
      </x:c>
      <x:c r="E17" s="64" t="n">
        <x:v>46218</x:v>
      </x:c>
      <x:c r="F17" s="19" t="str">
        <x:v>score + exact date</x:v>
      </x:c>
    </x:row>
    <x:row r="18">
      <x:c r="A18" s="20" t="str">
        <x:v>ECI</x:v>
      </x:c>
      <x:c r="B18" s="26" t="n">
        <x:v>89</x:v>
      </x:c>
      <x:c r="C18" s="26" t="n">
        <x:v>40</x:v>
      </x:c>
      <x:c r="D18" s="65" t="n">
        <x:v>44981</x:v>
      </x:c>
      <x:c r="E18" s="65" t="n">
        <x:v>46219</x:v>
      </x:c>
      <x:c r="F18" s="20" t="str">
        <x:v>60% score-only / 40% score+date</x:v>
      </x:c>
    </x:row>
    <x:row r="19">
      <x:c r="A19" s="20" t="str">
        <x:v>No-CoT</x:v>
      </x:c>
      <x:c r="B19" s="26" t="n">
        <x:v>35</x:v>
      </x:c>
      <x:c r="C19" s="26" t="n">
        <x:v>6</x:v>
      </x:c>
      <x:c r="D19" s="65" t="n">
        <x:v>45400</x:v>
      </x:c>
      <x:c r="E19" s="65" t="n">
        <x:v>46136</x:v>
      </x:c>
      <x:c r="F19" s="20" t="str">
        <x:v>log horizon + date + MoE</x:v>
      </x:c>
    </x:row>
    <x:row r="20">
      <x:c r="A20" s="21" t="str">
        <x:v>Compute</x:v>
      </x:c>
      <x:c r="B20" s="27" t="n">
        <x:v>312</x:v>
      </x:c>
      <x:c r="C20" s="27" t="n">
        <x:v>119</x:v>
      </x:c>
      <x:c r="D20" s="66" t="n">
        <x:v>44601</x:v>
      </x:c>
      <x:c r="E20" s="66" t="n">
        <x:v>46219</x:v>
      </x:c>
      <x:c r="F20" s="21" t="str">
        <x:v>log compute + date</x:v>
      </x:c>
    </x:row>
    <x:row r="23">
      <x:c r="A23" s="9" t="str">
        <x:v>Current evidence weights and testable implication</x:v>
      </x:c>
      <x:c r="B23" s="9"/>
      <x:c r="C23" s="9"/>
      <x:c r="D23" s="9"/>
      <x:c r="E23" s="9"/>
      <x:c r="F23" s="9"/>
      <x:c r="G23" s="9"/>
      <x:c r="H23" s="9"/>
    </x:row>
    <x:row r="24" ht="32" customHeight="1">
      <x:c r="A24" s="14" t="str">
        <x:v>Component</x:v>
      </x:c>
      <x:c r="B24" s="14" t="str">
        <x:v>Evidence-only live weight</x:v>
      </x:c>
      <x:c r="C24" s="14" t="str">
        <x:v>Backtest median error</x:v>
      </x:c>
      <x:c r="D24" s="14" t="str">
        <x:v>Backtest status</x:v>
      </x:c>
    </x:row>
    <x:row r="25">
      <x:c r="A25" s="19" t="str">
        <x:v>AA</x:v>
      </x:c>
      <x:c r="B25" s="31" t="n">
        <x:v>0.20509383378016086</x:v>
      </x:c>
      <x:c r="C25" s="28" t="n">
        <x:v>2.70082658858217</x:v>
      </x:c>
      <x:c r="D25" s="19" t="str">
        <x:v>Useful, high tail risk</x:v>
      </x:c>
    </x:row>
    <x:row r="26">
      <x:c r="A26" s="20" t="str">
        <x:v>ECI</x:v>
      </x:c>
      <x:c r="B26" s="32" t="n">
        <x:v>0.20509383378016086</x:v>
      </x:c>
      <x:c r="C26" s="29" t="n">
        <x:v>2.5962758629332074</x:v>
      </x:c>
      <x:c r="D26" s="20" t="str">
        <x:v>Useful, best large panel after ensemble</x:v>
      </x:c>
    </x:row>
    <x:row r="27">
      <x:c r="A27" s="20" t="str">
        <x:v>No-CoT</x:v>
      </x:c>
      <x:c r="B27" s="32" t="n">
        <x:v>0.5361930294906166</x:v>
      </x:c>
      <x:c r="C27" s="29" t="n">
        <x:v>2.2568768541150135</x:v>
      </x:c>
      <x:c r="D27" s="20" t="str">
        <x:v>Useful, not precise enough to establish majority weight</x:v>
      </x:c>
    </x:row>
    <x:row r="28">
      <x:c r="A28" s="21" t="str">
        <x:v>Compute</x:v>
      </x:c>
      <x:c r="B28" s="33" t="n">
        <x:v>0.05361930294906166</x:v>
      </x:c>
      <x:c r="C28" s="30" t="n">
        <x:v>2.705812123184848</x:v>
      </x:c>
      <x:c r="D28" s="21" t="str">
        <x:v>Correctly treated as weak/correlated</x:v>
      </x:c>
    </x:row>
    <x:row r="30">
      <x:c r="A30" s="53" t="str">
        <x:v>Weight conclusion: the current available-component mix is not dominated by the equal-weight sensitivity, but neither does it dominate it. Current weights: 2.1× median, 0.455 log10 RMSE, 5.2× P80, 1.11 bias. Equal weights: 2.1× median, 0.433 RMSE, 3.8× P80, 1.02 bias. Treat 50% No-CoT as a prior judgment, not a backtest-derived optimum.</x:v>
      </x:c>
      <x:c r="B30" s="53"/>
      <x:c r="C30" s="53"/>
      <x:c r="D30" s="53"/>
      <x:c r="E30" s="53"/>
      <x:c r="F30" s="53"/>
      <x:c r="G30" s="53"/>
      <x:c r="H30" s="53"/>
    </x:row>
    <x:row r="31">
      <x:c r="A31" s="53"/>
      <x:c r="B31" s="53"/>
      <x:c r="C31" s="53"/>
      <x:c r="D31" s="53"/>
      <x:c r="E31" s="53"/>
      <x:c r="F31" s="53"/>
      <x:c r="G31" s="53"/>
      <x:c r="H31" s="53"/>
    </x:row>
    <x:row r="32">
      <x:c r="A32" s="53"/>
      <x:c r="B32" s="53"/>
      <x:c r="C32" s="53"/>
      <x:c r="D32" s="53"/>
      <x:c r="E32" s="53"/>
      <x:c r="F32" s="53"/>
      <x:c r="G32" s="53"/>
      <x:c r="H32" s="53"/>
    </x:row>
    <x:row r="33">
      <x:c r="A33" s="53"/>
      <x:c r="B33" s="53"/>
      <x:c r="C33" s="53"/>
      <x:c r="D33" s="53"/>
      <x:c r="E33" s="53"/>
      <x:c r="F33" s="53"/>
      <x:c r="G33" s="53"/>
      <x:c r="H33" s="53"/>
    </x:row>
    <x:row r="36">
      <x:c r="A36" s="9" t="str">
        <x:v>Limits and next validation steps</x:v>
      </x:c>
      <x:c r="B36" s="9"/>
      <x:c r="C36" s="9"/>
      <x:c r="D36" s="9"/>
      <x:c r="E36" s="9"/>
      <x:c r="F36" s="9"/>
      <x:c r="G36" s="9"/>
      <x:c r="H36" s="9"/>
    </x:row>
    <x:row r="37" ht="32" customHeight="1">
      <x:c r="A37" s="14" t="str">
        <x:v>Priority</x:v>
      </x:c>
      <x:c r="B37" s="14" t="str">
        <x:v>Limitation</x:v>
      </x:c>
      <x:c r="C37" s="14" t="str">
        <x:v>Required improvement</x:v>
      </x:c>
    </x:row>
    <x:row r="38">
      <x:c r="A38" s="19" t="str">
        <x:v>High</x:v>
      </x:c>
      <x:c r="B38" s="70" t="str">
        <x:v>Current benchmark snapshots, not historical vintages</x:v>
      </x:c>
      <x:c r="C38" s="70" t="str">
        <x:v>Archive dated AA/ECI/No-CoT snapshots and rerun true vintage forecasts</x:v>
      </x:c>
    </x:row>
    <x:row r="39">
      <x:c r="A39" s="20" t="str">
        <x:v>High</x:v>
      </x:c>
      <x:c r="B39" s="71" t="str">
        <x:v>Only K3 and Grok supply clean external frontier anchors</x:v>
      </x:c>
      <x:c r="C39" s="71" t="str">
        <x:v>Pre-register predictions before the next open-weight or closed-model disclosure</x:v>
      </x:c>
    </x:row>
    <x:row r="40">
      <x:c r="A40" s="20" t="str">
        <x:v>High</x:v>
      </x:c>
      <x:c r="B40" s="71" t="str">
        <x:v>Crowd forecasts cannot yet be scored</x:v>
      </x:c>
      <x:c r="C40" s="71" t="str">
        <x:v>Timestamp every forecast and freeze it before disclosure</x:v>
      </x:c>
    </x:row>
    <x:row r="41">
      <x:c r="A41" s="20" t="str">
        <x:v>High</x:v>
      </x:c>
      <x:c r="B41" s="71" t="str">
        <x:v>Components are correlated</x:v>
      </x:c>
      <x:c r="C41" s="71" t="str">
        <x:v>Estimate an OOS residual covariance matrix on a larger exact-overlap panel</x:v>
      </x:c>
    </x:row>
    <x:row r="42">
      <x:c r="A42" s="20" t="str">
        <x:v>Medium</x:v>
      </x:c>
      <x:c r="B42" s="71" t="str">
        <x:v>Family definitions are manual proxies</x:v>
      </x:c>
      <x:c r="C42" s="71" t="str">
        <x:v>Maintain a base-model lineage graph and hold out shared pretrained bases</x:v>
      </x:c>
    </x:row>
    <x:row r="43">
      <x:c r="A43" s="20" t="str">
        <x:v>Medium</x:v>
      </x:c>
      <x:c r="B43" s="71" t="str">
        <x:v>No-CoT architecture is known for open models but hidden for closed targets</x:v>
      </x:c>
      <x:c r="C43" s="71" t="str">
        <x:v>Run explicit dense/MoE scenario forecasts</x:v>
      </x:c>
    </x:row>
    <x:row r="44">
      <x:c r="A44" s="20" t="str">
        <x:v>Medium</x:v>
      </x:c>
      <x:c r="B44" s="71" t="str">
        <x:v>API price branch has too few disclosed proprietary bases</x:v>
      </x:c>
      <x:c r="C44" s="71" t="str">
        <x:v>Do not raise its weight until there are more independent disclosures</x:v>
      </x:c>
    </x:row>
    <x:row r="45">
      <x:c r="A45" s="21" t="str">
        <x:v>Medium</x:v>
      </x:c>
      <x:c r="B45" s="72" t="str">
        <x:v>Total parameters are not active parameters or training compute</x:v>
      </x:c>
      <x:c r="C45" s="72" t="str">
        <x:v>Report total, active, and compute-equivalent posteriors separately</x:v>
      </x:c>
    </x:row>
    <x:row r="48">
      <x:c r="A48" s="9" t="str">
        <x:v>Immutable source files</x:v>
      </x:c>
      <x:c r="B48" s="9"/>
      <x:c r="C48" s="9"/>
      <x:c r="D48" s="9"/>
      <x:c r="E48" s="9"/>
      <x:c r="F48" s="9"/>
      <x:c r="G48" s="9"/>
      <x:c r="H48" s="9"/>
    </x:row>
    <x:row r="49" ht="32" customHeight="1">
      <x:c r="A49" s="14" t="str">
        <x:v>Path</x:v>
      </x:c>
      <x:c r="B49" s="14" t="str">
        <x:v>SHA-256</x:v>
      </x:c>
      <x:c r="C49" s="14" t="str">
        <x:v>Use</x:v>
      </x:c>
    </x:row>
    <x:row r="50">
      <x:c r="A50" s="70" t="str">
        <x:v>regression_results.json</x:v>
      </x:c>
      <x:c r="B50" s="70" t="str">
        <x:v>c8add60b6702a7f2b83efe5e803875cf18fbae28987598ab26b13786e4b9bae7</x:v>
      </x:c>
      <x:c r="C50" s="70" t="str">
        <x:v>Curated AA/ECI panels</x:v>
      </x:c>
    </x:row>
    <x:row r="51">
      <x:c r="A51" s="71" t="str">
        <x:v>outputs/019f6c42-2d53-7743-ab07-6293e2618dd7/unified_model_observations_compute_enriched_2026-07-17.csv</x:v>
      </x:c>
      <x:c r="B51" s="71" t="str">
        <x:v>c52906493bf4bb5b22dfed9822cf42e23094b97cce10d1264343ba7b9ead9794</x:v>
      </x:c>
      <x:c r="C51" s="71" t="str">
        <x:v>Unified No-CoT/Epoch compute rows</x:v>
      </x:c>
    </x:row>
    <x:row r="52">
      <x:c r="A52" s="71" t="str">
        <x:v>sources/kimi_k3_release_evidence_2026-07-31.json</x:v>
      </x:c>
      <x:c r="B52" s="71" t="str">
        <x:v>f38da7ad2ced836cef909f0be4d688c3d8f80215fc6b0d6902bfa9488357b600</x:v>
      </x:c>
      <x:c r="C52" s="71" t="str">
        <x:v>Live factor checks</x:v>
      </x:c>
    </x:row>
    <x:row r="53">
      <x:c r="A53" s="71" t="str">
        <x:v>sources/aa_parameter_label_availability_2026-07-31.json</x:v>
      </x:c>
      <x:c r="B53" s="71" t="str">
        <x:v>ddcb74ba7234af648d6712be4c24ac23cb185f388d61844f39aabecdc9a7d845</x:v>
      </x:c>
      <x:c r="C53" s="71" t="str">
        <x:v>Live factor checks</x:v>
      </x:c>
    </x:row>
    <x:row r="54">
      <x:c r="A54" s="71" t="str">
        <x:v>sources/aa_score_availability_2026-07-31.json</x:v>
      </x:c>
      <x:c r="B54" s="71" t="str">
        <x:v>5d61f803e6cc8de6082400218a9a3c941f93eec7301e6b4aded55d9ec227c9b9</x:v>
      </x:c>
      <x:c r="C54" s="71" t="str">
        <x:v>Live factor checks</x:v>
      </x:c>
    </x:row>
    <x:row r="55">
      <x:c r="A55" s="71" t="str">
        <x:v>sources/aa_changelog_2026-07-31.json.gz</x:v>
      </x:c>
      <x:c r="B55" s="71" t="str">
        <x:v>f0eb36386c6e22de238687e533b5d9a29deddc39039b175edb88739a32b01e5a</x:v>
      </x:c>
      <x:c r="C55" s="71" t="str">
        <x:v>Live factor checks</x:v>
      </x:c>
    </x:row>
    <x:row r="56">
      <x:c r="A56" s="71" t="str">
        <x:v>sources/open_model_parameter_truth_reconciliation_2026-07-31.json</x:v>
      </x:c>
      <x:c r="B56" s="71" t="str">
        <x:v>cbfc667c884f88d7a4456efde5a47f24ca6ca481f0e30a67cbfcc419c7c0ad89</x:v>
      </x:c>
      <x:c r="C56" s="71" t="str">
        <x:v>Live factor checks</x:v>
      </x:c>
    </x:row>
    <x:row r="57">
      <x:c r="A57" s="71" t="str">
        <x:v>sources/aa_detailed_model_signals_2026-07-31.csv</x:v>
      </x:c>
      <x:c r="B57" s="71" t="str">
        <x:v>c00553aa052e8e5fd40bf84637bc17663e407b5f6d348ddb1140c2df48b39404</x:v>
      </x:c>
      <x:c r="C57" s="71" t="str">
        <x:v>Unified No-CoT/Epoch compute rows</x:v>
      </x:c>
    </x:row>
    <x:row r="58">
      <x:c r="A58" s="71" t="str">
        <x:v>sources/aa_parameter_label_availability_evidence_2026-07-31/aa-label-longcat-flash-lite-2026-01-29__hugging_face_model_api.json</x:v>
      </x:c>
      <x:c r="B58" s="71" t="str">
        <x:v>89e2abe5443efe5fa26b952a7138c2f05d483232b9ffd9044227817e2c893b90</x:v>
      </x:c>
      <x:c r="C58" s="71" t="str">
        <x:v>Live factor checks</x:v>
      </x:c>
    </x:row>
    <x:row r="59">
      <x:c r="A59" s="71" t="str">
        <x:v>sources/aa_parameter_label_availability_evidence_2026-07-31/aa-label-longcat-flash-lite-2026-01-29__hugging_face_commit_history.json</x:v>
      </x:c>
      <x:c r="B59" s="71" t="str">
        <x:v>b5986d40bf9558ce48afb431abc7ff802b0bd6f543bc72fda917ee0ec2ca5ee7</x:v>
      </x:c>
      <x:c r="C59" s="71" t="str">
        <x:v>Live factor checks</x:v>
      </x:c>
    </x:row>
    <x:row r="60">
      <x:c r="A60" s="71" t="str">
        <x:v>sources/aa_parameter_label_availability_evidence_2026-07-31/aa-label-longcat-flash-lite-2026-01-29__commit_pinned_config.json</x:v>
      </x:c>
      <x:c r="B60" s="71" t="str">
        <x:v>c5719c2df9c931b11b0336a0fa8bfdceae617c5303d1bad7197436a7daea33a0</x:v>
      </x:c>
      <x:c r="C60" s="71" t="str">
        <x:v>Live factor checks</x:v>
      </x:c>
    </x:row>
    <x:row r="61">
      <x:c r="A61" s="71" t="str">
        <x:v>sources/aa_parameter_label_availability_evidence_2026-07-31/aa-label-longcat-flash-lite-2026-01-29__commit_pinned_model_card.md</x:v>
      </x:c>
      <x:c r="B61" s="71" t="str">
        <x:v>b23e647f56fd30a03523be4ab94f5022a5327cfcb83eb5b69320c8b26cbee714</x:v>
      </x:c>
      <x:c r="C61" s="71" t="str">
        <x:v>Live factor checks</x:v>
      </x:c>
    </x:row>
    <x:row r="62">
      <x:c r="A62" s="71" t="str">
        <x:v>sources/aa_parameter_label_availability_evidence_2026-07-31/aa-label-longcat-flash-lite-2026-01-29__first_party_label_source.html</x:v>
      </x:c>
      <x:c r="B62" s="71" t="str">
        <x:v>3323609924fe41785bdb00edfc2f655cfa18e5dea8b1e992a0f44209b4cab5d3</x:v>
      </x:c>
      <x:c r="C62" s="71" t="str">
        <x:v>Live factor checks</x:v>
      </x:c>
    </x:row>
    <x:row r="63">
      <x:c r="A63" s="71" t="str">
        <x:v>sources/aa_parameter_label_availability_evidence_2026-07-31/aa-label-minimax-m2-7-2026-04-09__hugging_face_model_api.json</x:v>
      </x:c>
      <x:c r="B63" s="71" t="str">
        <x:v>102169550714100c8fd01a3d922e1e1313b5e71b827d706b65f4f894b36748f9</x:v>
      </x:c>
      <x:c r="C63" s="71" t="str">
        <x:v>Live factor checks</x:v>
      </x:c>
    </x:row>
    <x:row r="64">
      <x:c r="A64" s="71" t="str">
        <x:v>sources/aa_parameter_label_availability_evidence_2026-07-31/aa-label-minimax-m2-7-2026-04-09__hugging_face_commit_history.json</x:v>
      </x:c>
      <x:c r="B64" s="71" t="str">
        <x:v>6880c6d3837f120da6641bee8d97a876b284c845a5e482035158914d225f9140</x:v>
      </x:c>
      <x:c r="C64" s="71" t="str">
        <x:v>Live factor checks</x:v>
      </x:c>
    </x:row>
    <x:row r="65">
      <x:c r="A65" s="71" t="str">
        <x:v>sources/aa_parameter_label_availability_evidence_2026-07-31/aa-label-minimax-m2-7-2026-04-09__commit_pinned_config.json</x:v>
      </x:c>
      <x:c r="B65" s="71" t="str">
        <x:v>3372a31ecbdba614b309cfa5b3dfec33ceea3c580cb9612ff35345d92ced8618</x:v>
      </x:c>
      <x:c r="C65" s="71" t="str">
        <x:v>Live factor checks</x:v>
      </x:c>
    </x:row>
    <x:row r="66">
      <x:c r="A66" s="71" t="str">
        <x:v>sources/aa_parameter_label_availability_evidence_2026-07-31/aa-label-minimax-m2-7-2026-04-09__commit_pinned_model_card.md</x:v>
      </x:c>
      <x:c r="B66" s="71" t="str">
        <x:v>d0a0743fd312760e619049cdecb347344cd3beea48a867f2b277481d79ea06ba</x:v>
      </x:c>
      <x:c r="C66" s="71" t="str">
        <x:v>Live factor checks</x:v>
      </x:c>
    </x:row>
    <x:row r="67">
      <x:c r="A67" s="71" t="str">
        <x:v>sources/aa_parameter_label_availability_evidence_2026-07-31/aa-label-minimax-m2-7-2026-04-09__first_party_launch_page.html</x:v>
      </x:c>
      <x:c r="B67" s="71" t="str">
        <x:v>2a42caede98841a19ce51e74859278029ebd493903a8d23432266fd1743a14d4</x:v>
      </x:c>
      <x:c r="C67" s="71" t="str">
        <x:v>Live factor checks</x:v>
      </x:c>
    </x:row>
    <x:row r="68">
      <x:c r="A68" s="71" t="str">
        <x:v>sources/aa_parameter_label_availability_evidence_2026-07-31/aa-label-mimo-v2-5-2026-04-22__hugging_face_model_api.json</x:v>
      </x:c>
      <x:c r="B68" s="71" t="str">
        <x:v>c4b713c73a7cea22f2502abc610c50894713fa50bd4e8dee948e1be7b9511de8</x:v>
      </x:c>
      <x:c r="C68" s="71" t="str">
        <x:v>Live factor checks</x:v>
      </x:c>
    </x:row>
    <x:row r="69">
      <x:c r="A69" s="71" t="str">
        <x:v>sources/aa_parameter_label_availability_evidence_2026-07-31/aa-label-mimo-v2-5-2026-04-22__hugging_face_commit_history.json</x:v>
      </x:c>
      <x:c r="B69" s="71" t="str">
        <x:v>139415d50cc77ce0b96cd6bea40b1eb77cc2a1309e553a01eb9f05b403739a7f</x:v>
      </x:c>
      <x:c r="C69" s="71" t="str">
        <x:v>Live factor checks</x:v>
      </x:c>
    </x:row>
    <x:row r="70">
      <x:c r="A70" s="71" t="str">
        <x:v>sources/aa_parameter_label_availability_evidence_2026-07-31/aa-label-mimo-v2-5-2026-04-22__commit_pinned_config.json</x:v>
      </x:c>
      <x:c r="B70" s="71" t="str">
        <x:v>48f5c3616813a76d80d1895f3b6cc1d8df9b0b2a34d732fd825cab670ebfc8a5</x:v>
      </x:c>
      <x:c r="C70" s="71" t="str">
        <x:v>Live factor checks</x:v>
      </x:c>
    </x:row>
    <x:row r="71">
      <x:c r="A71" s="71" t="str">
        <x:v>sources/aa_parameter_label_availability_evidence_2026-07-31/aa-label-mimo-v2-5-2026-04-22__commit_pinned_model_card.md</x:v>
      </x:c>
      <x:c r="B71" s="71" t="str">
        <x:v>31bfe317627714a8cbc9f4102b826d8370b202fce93b582074ef0cdc3b2c099a</x:v>
      </x:c>
      <x:c r="C71" s="71" t="str">
        <x:v>Live factor checks</x:v>
      </x:c>
    </x:row>
    <x:row r="72">
      <x:c r="A72" s="71" t="str">
        <x:v>sources/aa_parameter_label_availability_evidence_2026-07-31/aa-label-mimo-v2-5-2026-04-22__first_party_label_source.html</x:v>
      </x:c>
      <x:c r="B72" s="71" t="str">
        <x:v>b470a6bf40358a35bd927c87361597e22c51a5ff7fb677660e166e6a45961f06</x:v>
      </x:c>
      <x:c r="C72" s="71" t="str">
        <x:v>Live factor checks</x:v>
      </x:c>
    </x:row>
    <x:row r="73">
      <x:c r="A73" s="71" t="str">
        <x:v>sources/aa_parameter_label_availability_evidence_2026-07-31/aa-label-minimax-m3-2026-06-12__hugging_face_model_api.json</x:v>
      </x:c>
      <x:c r="B73" s="71" t="str">
        <x:v>2ea4de95a54b646abf7d354123d2fef559e33bb184857c177f0ab32860c2c336</x:v>
      </x:c>
      <x:c r="C73" s="71" t="str">
        <x:v>Live factor checks</x:v>
      </x:c>
    </x:row>
    <x:row r="74">
      <x:c r="A74" s="71" t="str">
        <x:v>sources/aa_parameter_label_availability_evidence_2026-07-31/aa-label-minimax-m3-2026-06-12__hugging_face_commit_history.json</x:v>
      </x:c>
      <x:c r="B74" s="71" t="str">
        <x:v>bd802a0bd90ebd397028dd78730da48f6e3fad52d7c53933e94965d804ae293f</x:v>
      </x:c>
      <x:c r="C74" s="71" t="str">
        <x:v>Live factor checks</x:v>
      </x:c>
    </x:row>
    <x:row r="75">
      <x:c r="A75" s="71" t="str">
        <x:v>sources/aa_parameter_label_availability_evidence_2026-07-31/aa-label-minimax-m3-2026-06-12__commit_pinned_config.json</x:v>
      </x:c>
      <x:c r="B75" s="71" t="str">
        <x:v>c9c97ce1e4eece60012d5a10ea87717458bfb1f19c2c7a615a3dbff83d090c6b</x:v>
      </x:c>
      <x:c r="C75" s="71" t="str">
        <x:v>Live factor checks</x:v>
      </x:c>
    </x:row>
    <x:row r="76">
      <x:c r="A76" s="71" t="str">
        <x:v>sources/aa_parameter_label_availability_evidence_2026-07-31/aa-label-minimax-m3-2026-06-12__commit_pinned_model_card.md</x:v>
      </x:c>
      <x:c r="B76" s="71" t="str">
        <x:v>03dc56061db0f91e054c9194b74541a6d0616c6892f01fae6612bdd352d7a16f</x:v>
      </x:c>
      <x:c r="C76" s="71" t="str">
        <x:v>Live factor checks</x:v>
      </x:c>
    </x:row>
    <x:row r="77">
      <x:c r="A77" s="71" t="str">
        <x:v>sources/aa_parameter_label_availability_evidence_2026-07-31/aa-label-minimax-m3-2026-06-12__first_party_launch_page.html</x:v>
      </x:c>
      <x:c r="B77" s="71" t="str">
        <x:v>b6c35e9ca6f5d69c4eada19cf97c68491e1e90b5eaffee3b0f5190001eafb732</x:v>
      </x:c>
      <x:c r="C77" s="71" t="str">
        <x:v>Live factor checks</x:v>
      </x:c>
    </x:row>
    <x:row r="78">
      <x:c r="A78" s="71" t="str">
        <x:v>sources/aa_parameter_label_availability_evidence_2026-07-31/aa-label-nex-n2-pro-2026-06-03__hugging_face_model_api.json</x:v>
      </x:c>
      <x:c r="B78" s="71" t="str">
        <x:v>b84e4de07c881d3fce7cd5fd38941de3a052cd70a65a09b160b2746bdf8c649d</x:v>
      </x:c>
      <x:c r="C78" s="71" t="str">
        <x:v>Live factor checks</x:v>
      </x:c>
    </x:row>
    <x:row r="79">
      <x:c r="A79" s="71" t="str">
        <x:v>sources/aa_parameter_label_availability_evidence_2026-07-31/aa-label-nex-n2-pro-2026-06-03__hugging_face_commit_history.json</x:v>
      </x:c>
      <x:c r="B79" s="71" t="str">
        <x:v>35392481ebd28c116931133b1a34ed397a5895337c022327e4235495daad4604</x:v>
      </x:c>
      <x:c r="C79" s="71" t="str">
        <x:v>Live factor checks</x:v>
      </x:c>
    </x:row>
    <x:row r="80">
      <x:c r="A80" s="71" t="str">
        <x:v>sources/aa_parameter_label_availability_evidence_2026-07-31/aa-label-nex-n2-pro-2026-06-03__commit_pinned_config.json</x:v>
      </x:c>
      <x:c r="B80" s="71" t="str">
        <x:v>117cf53ddda3bd6778477e4cfa3371c4f8d6a7adae10a322a4545358e61f56d0</x:v>
      </x:c>
      <x:c r="C80" s="71" t="str">
        <x:v>Live factor checks</x:v>
      </x:c>
    </x:row>
    <x:row r="81">
      <x:c r="A81" s="71" t="str">
        <x:v>sources/aa_parameter_label_availability_evidence_2026-07-31/aa-label-nex-n2-pro-2026-06-03__commit_pinned_model_card.md</x:v>
      </x:c>
      <x:c r="B81" s="71" t="str">
        <x:v>5b9de04586801239f13892018630434b81889cd687476361b0d02d56ed769c8d</x:v>
      </x:c>
      <x:c r="C81" s="71" t="str">
        <x:v>Live factor checks</x:v>
      </x:c>
    </x:row>
    <x:row r="82">
      <x:c r="A82" s="71" t="str">
        <x:v>sources/aa_parameter_label_availability_evidence_2026-07-31/aa-label-longcat-2-0-2026-06-30__hugging_face_model_api.json</x:v>
      </x:c>
      <x:c r="B82" s="71" t="str">
        <x:v>46e4abcd862ceb44a594adb1fea2e10afed27eba50cb74fcc839f6c797e58976</x:v>
      </x:c>
      <x:c r="C82" s="71" t="str">
        <x:v>Live factor checks</x:v>
      </x:c>
    </x:row>
    <x:row r="83">
      <x:c r="A83" s="71" t="str">
        <x:v>sources/aa_parameter_label_availability_evidence_2026-07-31/aa-label-longcat-2-0-2026-06-30__hugging_face_commit_history.json</x:v>
      </x:c>
      <x:c r="B83" s="71" t="str">
        <x:v>2dc06efd1f0ba08059aac6c6bd9bdce7166883bcc1bc1cd85e6271922f972caa</x:v>
      </x:c>
      <x:c r="C83" s="71" t="str">
        <x:v>Live factor checks</x:v>
      </x:c>
    </x:row>
    <x:row r="84">
      <x:c r="A84" s="71" t="str">
        <x:v>sources/aa_parameter_label_availability_evidence_2026-07-31/aa-label-longcat-2-0-2026-06-30__commit_pinned_config.json</x:v>
      </x:c>
      <x:c r="B84" s="71" t="str">
        <x:v>c77120ade725b51d4911469fcefccdb46bf31c14465531533a68b74d54df16a5</x:v>
      </x:c>
      <x:c r="C84" s="71" t="str">
        <x:v>Live factor checks</x:v>
      </x:c>
    </x:row>
    <x:row r="85">
      <x:c r="A85" s="71" t="str">
        <x:v>sources/aa_parameter_label_availability_evidence_2026-07-31/aa-label-longcat-2-0-2026-06-30__commit_pinned_model_card.md</x:v>
      </x:c>
      <x:c r="B85" s="71" t="str">
        <x:v>3e0e15fa0c5cc81675bd69af8eb469d128a725c1a7bfc71f03b7877b7b650567</x:v>
      </x:c>
      <x:c r="C85" s="71" t="str">
        <x:v>Live factor checks</x:v>
      </x:c>
    </x:row>
    <x:row r="86">
      <x:c r="A86" s="72" t="str">
        <x:v>sources/aa_parameter_label_availability_evidence_2026-07-31/aa-label-longcat-2-0-2026-06-30__first_party_label_source.html</x:v>
      </x:c>
      <x:c r="B86" s="72" t="str">
        <x:v>b4f3da932292f5da49185b53923e6b2751f032e0f36e2983528fae3caaec8972</x:v>
      </x:c>
      <x:c r="C86" s="72" t="str">
        <x:v>Live factor checks</x:v>
      </x:c>
    </x:row>
  </x:sheetData>
  <x:mergeCells>
    <x:mergeCell ref="A1:H1"/>
    <x:mergeCell ref="A2:H3"/>
    <x:mergeCell ref="A5:H5"/>
    <x:mergeCell ref="A15:H15"/>
    <x:mergeCell ref="A23:H23"/>
    <x:mergeCell ref="A30:H33"/>
    <x:mergeCell ref="A36:H36"/>
    <x:mergeCell ref="A48:H48"/>
  </x:mergeCells>
  <x:conditionalFormatting sqref="A38:A45">
    <x:cfRule type="containsText" dxfId="4" priority="1" operator="containsText" text="High"/>
  </x:conditionalFormatting>
  <x:pageMargins left="0.7" right="0.7" top="0.75" bottom="0.75" header="0.3" footer="0.3"/>
  <x:legacyDrawing xmlns:r="http://schemas.openxmlformats.org/officeDocument/2006/relationships" r:id="R2c32aab4b1a44b0d"/>
</x:worksheet>
</file>